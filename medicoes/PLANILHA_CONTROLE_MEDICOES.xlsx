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ADASTRO" sheetId="2" state="visible" r:id="rId2"/>
    <sheet name="HISTORICO" sheetId="3" state="visible" r:id="rId3"/>
    <sheet name="PESQUISA" sheetId="4" state="visible" r:id="rId4"/>
    <sheet name="RELATORIO_MEDICAO" sheetId="5" state="visible" r:id="rId5"/>
    <sheet name="CONFIGURACOES" sheetId="6" state="visible" r:id="rId6"/>
    <sheet name="MOTOR_RELATORIO" sheetId="7" state="hidden" r:id="rId7"/>
  </sheets>
  <definedNames>
    <definedName name="LISTA_UNIDADES">CONFIGURACOES!$B$10:$B$16</definedName>
    <definedName name="LISTA_STATUS">CONFIGURACOES!$D$10:$D$12</definedName>
    <definedName name="LISTA_MEDICOES">CONFIGURACOES!$G$10:$G$33</definedName>
    <definedName name="LISTA_ITENS_CATALOGO">CONFIGURACOES!$B$37:$B$42</definedName>
    <definedName name="_xlnm._FilterDatabase" localSheetId="2" hidden="1">'HISTORICO'!$A$2:$W$2</definedName>
    <definedName name="_xlnm.Print_Titles" localSheetId="2">'HISTORICO'!$2:$2</definedName>
    <definedName name="_xlnm.Print_Titles" localSheetId="4">'RELATORIO_MEDICAO'!$10:$10</definedName>
    <definedName name="_xlnm.Print_Area" localSheetId="4">'RELATORIO_MEDICAO'!$A$1:$K$270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DD/MM/YYYY"/>
    <numFmt numFmtId="166" formatCode="0.0000"/>
    <numFmt numFmtId="167" formatCode="DD/MM/YYYY - HH:MM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</font>
    <font>
      <name val="Calibri"/>
      <color rgb="000000FF"/>
    </font>
    <font>
      <name val="Calibri"/>
      <b val="1"/>
      <color rgb="00FFFFFF"/>
    </font>
    <font>
      <name val="Calibri"/>
      <i val="1"/>
      <color rgb="00C00000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i val="1"/>
      <color rgb="00777777"/>
      <sz val="8"/>
    </font>
    <font>
      <name val="Calibri"/>
      <b val="1"/>
      <color rgb="001F3864"/>
      <sz val="16"/>
    </font>
    <font>
      <name val="Calibri"/>
      <i val="1"/>
      <sz val="9"/>
    </font>
    <font>
      <name val="Calibri"/>
      <b val="1"/>
      <color rgb="00FFFFFF"/>
      <sz val="10"/>
    </font>
    <font>
      <name val="Calibri"/>
      <i val="1"/>
      <color rgb="00777777"/>
      <sz val="7"/>
    </font>
    <font>
      <name val="Calibri"/>
      <b val="1"/>
      <color rgb="000000FF"/>
      <sz val="11"/>
    </font>
    <font>
      <name val="Calibri"/>
      <b val="1"/>
      <color rgb="00C00000"/>
      <sz val="13"/>
    </font>
    <font>
      <name val="Calibri"/>
      <b val="1"/>
      <color rgb="001F3864"/>
      <sz val="11"/>
    </font>
    <font>
      <name val="Calibri"/>
      <b val="1"/>
      <sz val="9"/>
    </font>
    <font>
      <name val="Calibri"/>
      <color rgb="00000000"/>
      <sz val="9"/>
    </font>
    <font>
      <name val="Calibri"/>
      <b val="1"/>
      <color rgb="001F3864"/>
      <sz val="10"/>
    </font>
    <font>
      <name val="Calibri"/>
      <b val="1"/>
      <i val="1"/>
      <color rgb="00333333"/>
      <sz val="9"/>
    </font>
    <font>
      <name val="Calibri"/>
      <sz val="9"/>
    </font>
    <font>
      <name val="Calibri"/>
      <b val="1"/>
      <color rgb="001F3864"/>
      <sz val="9"/>
    </font>
    <font>
      <name val="Calibri"/>
      <i val="1"/>
      <color rgb="00777777"/>
      <sz val="8"/>
    </font>
    <font>
      <name val="Calibri"/>
      <i val="1"/>
      <sz val="8"/>
    </font>
    <font>
      <name val="Calibri"/>
      <color rgb="00777777"/>
      <sz val="8"/>
    </font>
    <font>
      <name val="Calibri"/>
      <b val="1"/>
      <color rgb="000000FF"/>
    </font>
    <font>
      <name val="Calibri"/>
    </font>
    <font>
      <name val="Calibri"/>
      <b val="1"/>
      <i val="1"/>
      <color rgb="00333333"/>
      <sz val="10"/>
    </font>
    <font>
      <name val="Calibri"/>
      <b val="1"/>
      <color rgb="00C00000"/>
    </font>
    <font>
      <name val="Calibri"/>
      <i val="1"/>
      <color rgb="00777777"/>
      <sz val="9"/>
    </font>
    <font>
      <name val="Calibri"/>
      <b val="1"/>
      <sz val="10"/>
    </font>
    <font>
      <name val="Calibri"/>
      <i val="1"/>
      <color rgb="00333333"/>
    </font>
    <font>
      <name val="Calibri"/>
      <b val="1"/>
      <color rgb="00FFFFFF"/>
      <sz val="12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EDEDED"/>
      </patternFill>
    </fill>
    <fill>
      <patternFill patternType="solid">
        <fgColor rgb="00D9E2F3"/>
      </patternFill>
    </fill>
    <fill>
      <patternFill patternType="solid">
        <fgColor rgb="002E7D32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EAF1FB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7" fillId="0" borderId="0" pivotButton="0" quotePrefix="0" xfId="0"/>
    <xf numFmtId="0" fontId="3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3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left" vertical="center"/>
    </xf>
    <xf numFmtId="0" fontId="33" fillId="9" borderId="2" applyAlignment="1" pivotButton="0" quotePrefix="0" xfId="0">
      <alignment horizontal="left" vertical="center"/>
    </xf>
    <xf numFmtId="164" fontId="33" fillId="9" borderId="2" applyAlignment="1" pivotButton="0" quotePrefix="0" xfId="0">
      <alignment horizontal="left" vertical="center"/>
    </xf>
    <xf numFmtId="0" fontId="32" fillId="0" borderId="0" pivotButton="0" quotePrefix="0" xfId="0"/>
    <xf numFmtId="166" fontId="4" fillId="10" borderId="2" pivotButton="0" quotePrefix="0" xfId="0"/>
    <xf numFmtId="164" fontId="4" fillId="10" borderId="2" pivotButton="0" quotePrefix="0" xfId="0"/>
    <xf numFmtId="0" fontId="7" fillId="0" borderId="0" applyAlignment="1" pivotButton="0" quotePrefix="0" xfId="0">
      <alignment wrapText="1"/>
    </xf>
    <xf numFmtId="0" fontId="34" fillId="6" borderId="2" applyAlignment="1" pivotButton="0" quotePrefix="0" xfId="0">
      <alignment horizontal="center" vertical="center"/>
    </xf>
    <xf numFmtId="0" fontId="24" fillId="0" borderId="0" applyAlignment="1" pivotButton="0" quotePrefix="0" xfId="0">
      <alignment wrapText="1"/>
    </xf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27" fillId="7" borderId="2" pivotButton="0" quotePrefix="0" xfId="0"/>
    <xf numFmtId="0" fontId="22" fillId="0" borderId="1" pivotButton="0" quotePrefix="0" xfId="0"/>
    <xf numFmtId="164" fontId="22" fillId="0" borderId="1" pivotButton="0" quotePrefix="0" xfId="0"/>
    <xf numFmtId="0" fontId="28" fillId="0" borderId="0" pivotButton="0" quotePrefix="0" xfId="0"/>
    <xf numFmtId="164" fontId="28" fillId="0" borderId="0" pivotButton="0" quotePrefix="0" xfId="0"/>
    <xf numFmtId="0" fontId="29" fillId="0" borderId="0" pivotButton="0" quotePrefix="0" xfId="0"/>
    <xf numFmtId="165" fontId="22" fillId="0" borderId="1" pivotButton="0" quotePrefix="0" xfId="0"/>
    <xf numFmtId="166" fontId="22" fillId="0" borderId="1" pivotButton="0" quotePrefix="0" xfId="0"/>
    <xf numFmtId="164" fontId="30" fillId="0" borderId="0" pivotButton="0" quotePrefix="0" xfId="0"/>
    <xf numFmtId="0" fontId="31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right" vertical="center"/>
    </xf>
    <xf numFmtId="0" fontId="15" fillId="7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 vertical="center"/>
    </xf>
    <xf numFmtId="164" fontId="16" fillId="7" borderId="2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right" vertical="center" wrapText="1"/>
    </xf>
    <xf numFmtId="0" fontId="19" fillId="0" borderId="1" applyAlignment="1" pivotButton="0" quotePrefix="0" xfId="0">
      <alignment horizontal="left" vertical="center" wrapText="1"/>
    </xf>
    <xf numFmtId="165" fontId="19" fillId="0" borderId="1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18" fillId="0" borderId="1" pivotButton="0" quotePrefix="0" xfId="0"/>
    <xf numFmtId="0" fontId="18" fillId="0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3" fillId="9" borderId="1" applyAlignment="1" pivotButton="0" quotePrefix="0" xfId="0">
      <alignment horizontal="right" vertical="center"/>
    </xf>
    <xf numFmtId="166" fontId="23" fillId="9" borderId="1" applyAlignment="1" pivotButton="0" quotePrefix="0" xfId="0">
      <alignment horizontal="center" vertical="center"/>
    </xf>
    <xf numFmtId="0" fontId="0" fillId="9" borderId="3" pivotButton="0" quotePrefix="0" xfId="0"/>
    <xf numFmtId="0" fontId="23" fillId="9" borderId="3" applyAlignment="1" pivotButton="0" quotePrefix="0" xfId="0">
      <alignment horizontal="right" vertical="center"/>
    </xf>
    <xf numFmtId="164" fontId="23" fillId="9" borderId="3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/>
    </xf>
    <xf numFmtId="0" fontId="0" fillId="2" borderId="0" pivotButton="0" quotePrefix="0" xfId="0"/>
    <xf numFmtId="164" fontId="8" fillId="2" borderId="0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167" fontId="26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55555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0" customWidth="1" min="2" max="2"/>
  </cols>
  <sheetData>
    <row r="1" ht="26" customHeight="1">
      <c r="A1" s="1" t="inlineStr">
        <is>
          <t>SISTEMA DE CONTROLE E RELATORIO DE MEDICOES - LEIA-ME</t>
        </is>
      </c>
    </row>
    <row r="3">
      <c r="B3" s="2" t="inlineStr">
        <is>
          <t>COMO USAR</t>
        </is>
      </c>
    </row>
    <row r="4" ht="28" customHeight="1">
      <c r="B4" s="3" t="inlineStr">
        <is>
          <t>1. Cadastre itens novos no catalogo (aba CONFIGURACOES, tabela a partir da linha 36) se necessario.</t>
        </is>
      </c>
    </row>
    <row r="5" ht="28" customHeight="1">
      <c r="B5" s="3" t="inlineStr">
        <is>
          <t>2. Lance medicoes na aba HISTORICO (digite direto na tabela) ou use a aba CADASTRO como formulario-guia e depois copie a linha de previa para a proxima linha livre do HISTORICO.</t>
        </is>
      </c>
    </row>
    <row r="6" ht="16" customHeight="1">
      <c r="B6" s="3" t="inlineStr">
        <is>
          <t>3. Para pesquisar, use a aba PESQUISA (por CT/texto breve ou por ITEM).</t>
        </is>
      </c>
    </row>
    <row r="7" ht="28" customHeight="1">
      <c r="B7" s="3" t="inlineStr">
        <is>
          <t>4. Para gerar o relatorio, va na aba RELATORIO_MEDICAO e escolha a NOTA e a MEDICAO nas celulas amarelas (C5 e F5). O relatorio e montado automaticamente.</t>
        </is>
      </c>
    </row>
    <row r="8" ht="28" customHeight="1">
      <c r="B8" s="3" t="inlineStr">
        <is>
          <t>5. Para imprimir: Ctrl+P na aba RELATORIO_MEDICAO (area de impressao ja configurada, A4, cabecalho repetido em todas as paginas).</t>
        </is>
      </c>
    </row>
    <row r="9" ht="16" customHeight="1">
      <c r="B9" s="3" t="inlineStr"/>
    </row>
    <row r="10">
      <c r="B10" s="2" t="inlineStr">
        <is>
          <t>SOBRE O MOTOR DE CALCULO (formulas, sem macros)</t>
        </is>
      </c>
    </row>
    <row r="11" ht="28" customHeight="1">
      <c r="B11" s="3" t="inlineStr">
        <is>
          <t>O sistema funciona 100% por formulas nativas do Excel (INDEX/MATCH/SUMIF/SUMIFS/COUNTIFS), sem macros, para maxima compatibilidade. A aba MOTOR_RELATORIO (oculta) extrai as linhas do HISTORICO referentes a NOTA+MEDICAO selecionadas e calcula agrupamento por ITEM (bloco), posicao da forma dentro do bloco e resultado/valor total de cada bloco.</t>
        </is>
      </c>
    </row>
    <row r="12" ht="28" customHeight="1">
      <c r="B12" s="3" t="inlineStr">
        <is>
          <t>O RELATORIO_MEDICAO suporta ate 20 itens por medicao e ate 6 formas/medicoes por item (muito acima do exemplo do PDF de referencia, que tem 6 itens e no maximo 3 formas). Linhas de capacidade nao usadas ficam em branco e podem ser recolhidas (agrupamento/outline a esquerda da planilha).</t>
        </is>
      </c>
    </row>
    <row r="13" ht="16" customHeight="1">
      <c r="B13" s="3" t="inlineStr"/>
    </row>
    <row r="14">
      <c r="B14" s="2" t="inlineStr">
        <is>
          <t>REGRA DE X, Y, Z (nao inverter)</t>
        </is>
      </c>
    </row>
    <row r="15" ht="28" customHeight="1">
      <c r="B15" s="3" t="inlineStr">
        <is>
          <t>Na aba HISTORICO, por especificacao, a coluna O guarda Z, a coluna P guarda Y e a coluna Q guarda X. O RESULTADO = QUANTIDADE x X x Y x Z (campos vazios contam como 1). O relatorio exibe sempre na ordem visual X | Y | Z.</t>
        </is>
      </c>
    </row>
    <row r="16" ht="16" customHeight="1">
      <c r="B16" s="3" t="inlineStr"/>
    </row>
    <row r="17">
      <c r="B17" s="2" t="inlineStr">
        <is>
          <t>MODULOS VBA OPCIONAIS (pasta /medicoes/vba)</t>
        </is>
      </c>
    </row>
    <row r="18" ht="28" customHeight="1">
      <c r="B18" s="3" t="inlineStr">
        <is>
          <t>Este arquivo foi gerado em um ambiente Linux sem Microsoft Excel disponivel para compilar/testar macros reais. Por isso, o sistema foi construido para funcionar 100% por formulas (testado e validado). Para quem quiser automacao extra (botao 'Adicionar ao Historico' com um clique, exportacao para PDF com nome de arquivo automatico, ou um gerador de relatorio sem limite de 20 itens / 6 formas), os modulos .bas prontos estao na pasta /medicoes/vba deste repositorio. Para instalar: Excel -&gt; Alt+F11 -&gt; Arquivo -&gt; Importar Arquivo -&gt; selecione cada .bas -&gt; salve como .xlsm. Leva menos de um minuto e nao altera nenhuma formula existente.</t>
        </is>
      </c>
    </row>
    <row r="19" ht="16" customHeight="1">
      <c r="B19" s="3" t="inlineStr"/>
    </row>
    <row r="20">
      <c r="B20" s="2" t="inlineStr">
        <is>
          <t>DADOS DE TESTE</t>
        </is>
      </c>
    </row>
    <row r="21" ht="28" customHeight="1">
      <c r="B21" s="3" t="inlineStr">
        <is>
          <t>A aba HISTORICO ja contem 8 lancamentos de teste (NOTA 29655103, MEDICAO 1), extraidos do PDF de referencia ENG003341, formando os 6 blocos/itens do documento. TOTAL GERAL esperado: R$ 2.469,77. Apague ou edite esses lancamentos quando for usar o sistema com dados reais.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36" customWidth="1" min="3" max="3"/>
    <col width="3" customWidth="1" min="4" max="4"/>
    <col width="22" customWidth="1" min="5" max="5"/>
    <col width="34" customWidth="1" min="6" max="6"/>
  </cols>
  <sheetData>
    <row r="1" ht="22" customHeight="1">
      <c r="A1" s="1" t="inlineStr">
        <is>
          <t>CADASTRO / LANCAMENTO DE MEDICAO</t>
        </is>
      </c>
    </row>
    <row r="2" ht="45" customHeight="1">
      <c r="A2" s="4" t="inlineStr">
        <is>
          <t>Preencha os campos abaixo. LINHA, ATIVIDADE, UND. e PRECO UNITARIO sao preenchidos automaticamente ao escolher o ITEM (base: aba CONFIGURACOES). RESULTADO e VALOR TOTAL sao calculados automaticamente nesta previa. Depois, copie a linha de previa para a proxima linha livre da tabela da aba HISTORICO - ou digite direto la, que tem as mesmas formulas - ou use o botao ADICIONAR AO HISTORICO apos importar o VBA opcional.</t>
        </is>
      </c>
    </row>
    <row r="6" ht="18" customHeight="1">
      <c r="B6" s="5" t="inlineStr">
        <is>
          <t>DADOS DA MEDICAO</t>
        </is>
      </c>
    </row>
    <row r="7" ht="16" customHeight="1">
      <c r="B7" s="6" t="inlineStr">
        <is>
          <t>NOTA:</t>
        </is>
      </c>
      <c r="C7" s="7" t="n"/>
    </row>
    <row r="8" ht="16" customHeight="1">
      <c r="B8" s="6" t="inlineStr">
        <is>
          <t>T.MED:</t>
        </is>
      </c>
      <c r="C8" s="7" t="n"/>
    </row>
    <row r="9" ht="16" customHeight="1">
      <c r="B9" s="6" t="inlineStr">
        <is>
          <t>MEDICAO:</t>
        </is>
      </c>
      <c r="C9" s="7" t="n"/>
    </row>
    <row r="10" ht="16" customHeight="1">
      <c r="B10" s="6" t="inlineStr">
        <is>
          <t>ELAB.:</t>
        </is>
      </c>
      <c r="C10" s="7" t="n"/>
    </row>
    <row r="11" ht="16" customHeight="1">
      <c r="B11" s="6" t="inlineStr">
        <is>
          <t>OBRA:</t>
        </is>
      </c>
      <c r="C11" s="7" t="n"/>
    </row>
    <row r="12" ht="16" customHeight="1">
      <c r="B12" s="6" t="inlineStr">
        <is>
          <t>FISCAL:</t>
        </is>
      </c>
      <c r="C12" s="7" t="n"/>
    </row>
    <row r="13" ht="16" customHeight="1">
      <c r="B13" s="6" t="inlineStr">
        <is>
          <t>CT:</t>
        </is>
      </c>
      <c r="C13" s="7" t="n"/>
    </row>
    <row r="14" ht="16" customHeight="1">
      <c r="B14" s="6" t="inlineStr">
        <is>
          <t>SUPER.:</t>
        </is>
      </c>
      <c r="C14" s="7" t="n"/>
    </row>
    <row r="15" ht="16" customHeight="1">
      <c r="B15" s="6" t="inlineStr">
        <is>
          <t>DATA:</t>
        </is>
      </c>
      <c r="C15" s="8" t="n"/>
    </row>
    <row r="16" ht="18" customHeight="1">
      <c r="B16" s="5" t="inlineStr">
        <is>
          <t>ITEM DA MEDICAO</t>
        </is>
      </c>
    </row>
    <row r="17" ht="16" customHeight="1">
      <c r="B17" s="6" t="inlineStr">
        <is>
          <t>ITEM:</t>
        </is>
      </c>
      <c r="C17" s="7" t="n"/>
    </row>
    <row r="18" ht="16" customHeight="1">
      <c r="B18" s="6" t="inlineStr">
        <is>
          <t>LINHA (auto):</t>
        </is>
      </c>
      <c r="C18" s="9">
        <f>IFERROR(INDEX(CONFIGURACOES!$G$37:$G$300,MATCH($C$17,CONFIGURACOES!$B$37:$B$300,0)),"")</f>
        <v/>
      </c>
    </row>
    <row r="19" ht="16" customHeight="1">
      <c r="B19" s="6" t="inlineStr">
        <is>
          <t>ATIVIDADE (auto):</t>
        </is>
      </c>
      <c r="C19" s="9">
        <f>IFERROR(INDEX(CONFIGURACOES!$H$37:$H$300,MATCH($C$17,CONFIGURACOES!$B$37:$B$300,0)),"")</f>
        <v/>
      </c>
    </row>
    <row r="20" ht="16" customHeight="1">
      <c r="B20" s="6" t="inlineStr">
        <is>
          <t>DESCRICAO (forma):</t>
        </is>
      </c>
      <c r="C20" s="7" t="n"/>
    </row>
    <row r="21" ht="16" customHeight="1">
      <c r="B21" s="6" t="inlineStr">
        <is>
          <t>UND. (auto/editavel):</t>
        </is>
      </c>
      <c r="C21" s="9">
        <f>IFERROR(INDEX(CONFIGURACOES!$I$37:$I$300,MATCH($C$17,CONFIGURACOES!$B$37:$B$300,0)),"")</f>
        <v/>
      </c>
    </row>
    <row r="22" ht="16" customHeight="1">
      <c r="B22" s="6" t="inlineStr">
        <is>
          <t>QUANTIDADE:</t>
        </is>
      </c>
      <c r="C22" s="7" t="n"/>
    </row>
    <row r="23" ht="16" customHeight="1">
      <c r="B23" s="6" t="inlineStr">
        <is>
          <t>X:</t>
        </is>
      </c>
      <c r="C23" s="7" t="n"/>
    </row>
    <row r="24" ht="16" customHeight="1">
      <c r="B24" s="6" t="inlineStr">
        <is>
          <t>Y:</t>
        </is>
      </c>
      <c r="C24" s="7" t="n"/>
    </row>
    <row r="25" ht="16" customHeight="1">
      <c r="B25" s="6" t="inlineStr">
        <is>
          <t>Z:</t>
        </is>
      </c>
      <c r="C25" s="7" t="n"/>
    </row>
    <row r="26" ht="18" customHeight="1">
      <c r="B26" s="5" t="inlineStr">
        <is>
          <t>VALORES / STATUS</t>
        </is>
      </c>
    </row>
    <row r="27" ht="16" customHeight="1">
      <c r="B27" s="6" t="inlineStr">
        <is>
          <t>PRECO UNITARIO (auto/editavel):</t>
        </is>
      </c>
      <c r="C27" s="10">
        <f>IFERROR(INDEX(CONFIGURACOES!$J$37:$J$300,MATCH($C$17,CONFIGURACOES!$B$37:$B$300,0)),"")</f>
        <v/>
      </c>
    </row>
    <row r="28" ht="16" customHeight="1">
      <c r="B28" s="6" t="inlineStr">
        <is>
          <t>STATUS:</t>
        </is>
      </c>
      <c r="C28" s="7" t="n"/>
    </row>
    <row r="30">
      <c r="B30" s="11" t="inlineStr">
        <is>
          <t>RESULTADO (previa):</t>
        </is>
      </c>
      <c r="C30" s="12">
        <f>IF($C$22="","",$C$22*IF($C$23="",1,$C$23)*IF($C$24="",1,$C$24)*IF($C$25="",1,$C$25))</f>
        <v/>
      </c>
    </row>
    <row r="31">
      <c r="B31" s="11" t="inlineStr">
        <is>
          <t>VALOR TOTAL (previa):</t>
        </is>
      </c>
      <c r="C31" s="13">
        <f>IF(OR($C$30="",$C$27=""),"",$C$30*$C$27)</f>
        <v/>
      </c>
    </row>
    <row r="33">
      <c r="B33" s="14" t="inlineStr">
        <is>
          <t>Campos obrigatorios: NOTA, T.MED, MEDICAO, OBRA, DATA, ITEM. Numericos: QUANTIDADE, X, Y, Z, PRECO UNITARIO. O RESULTADO nunca deve ser digitado manualmente.</t>
        </is>
      </c>
    </row>
    <row r="35" ht="26" customHeight="1">
      <c r="B35" s="15" t="inlineStr">
        <is>
          <t>+  ADICIONAR AO HISTORICO</t>
        </is>
      </c>
    </row>
    <row r="36">
      <c r="B36" s="16" t="inlineStr">
        <is>
          <t>Este botao e visual. Para ativa-lo: importe os modulos VBA (pasta /medicoes/vba, veja o README) e depois clique com o botao direito aqui -&gt; Atribuir Macro -&gt; AdicionarLancamento.</t>
        </is>
      </c>
    </row>
  </sheetData>
  <mergeCells count="8">
    <mergeCell ref="A2:F2"/>
    <mergeCell ref="B6:C6"/>
    <mergeCell ref="B16:C16"/>
    <mergeCell ref="B33:F33"/>
    <mergeCell ref="A1:F1"/>
    <mergeCell ref="B36:F36"/>
    <mergeCell ref="B26:C26"/>
    <mergeCell ref="B35:C35"/>
  </mergeCells>
  <dataValidations count="6">
    <dataValidation sqref="C17" showDropDown="0" showInputMessage="0" showErrorMessage="0" allowBlank="1" type="list">
      <formula1>=LISTA_ITENS_CATALOGO</formula1>
    </dataValidation>
    <dataValidation sqref="C21" showDropDown="0" showInputMessage="0" showErrorMessage="0" allowBlank="1" type="list" errorStyle="warning">
      <formula1>=LISTA_UNIDADES</formula1>
    </dataValidation>
    <dataValidation sqref="C28" showDropDown="0" showInputMessage="0" showErrorMessage="0" allowBlank="1" type="list">
      <formula1>=LISTA_STATUS</formula1>
    </dataValidation>
    <dataValidation sqref="C9" showDropDown="0" showInputMessage="0" showErrorMessage="0" allowBlank="1" type="list">
      <formula1>=LISTA_MEDICOES</formula1>
    </dataValidation>
    <dataValidation sqref="C22 C23 C24 C25" showDropDown="0" showInputMessage="0" showErrorMessage="0" allowBlank="1" errorTitle="Valor invalido" error="Informe um numero valido (maior ou igual a 0)." type="decimal" operator="greaterThanOrEqual">
      <formula1>0</formula1>
    </dataValidation>
    <dataValidation sqref="C15" showDropDown="0" showInputMessage="0" showErrorMessage="0" allowBlank="1" errorTitle="Data invalida" error="Informe uma data valida." type="date" operator="greaterThan">
      <formula1>1900-01-01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C200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4" customWidth="1" min="4" max="4"/>
    <col width="26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34" customWidth="1" min="11" max="11"/>
    <col width="20" customWidth="1" min="12" max="12"/>
    <col width="7" customWidth="1" min="13" max="13"/>
    <col width="11" customWidth="1" min="14" max="14"/>
    <col width="8" customWidth="1" min="15" max="15"/>
    <col width="8" customWidth="1" min="16" max="16"/>
    <col width="8" customWidth="1" min="17" max="17"/>
    <col width="11" customWidth="1" min="18" max="18"/>
    <col width="12" customWidth="1" min="19" max="19"/>
    <col width="13" customWidth="1" min="20" max="20"/>
    <col width="12" customWidth="1" min="21" max="21"/>
    <col width="10" customWidth="1" min="22" max="22"/>
    <col width="24" customWidth="1" min="23" max="23"/>
    <col width="2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22" customHeight="1">
      <c r="A1" s="17" t="inlineStr">
        <is>
          <t>HISTORICO DE MEDICOES (tabela mestre - cresce automaticamente)</t>
        </is>
      </c>
    </row>
    <row r="2" ht="28" customHeight="1">
      <c r="A2" s="18" t="inlineStr">
        <is>
          <t>NOTA</t>
        </is>
      </c>
      <c r="B2" s="18" t="inlineStr">
        <is>
          <t>T.MED</t>
        </is>
      </c>
      <c r="C2" s="18" t="inlineStr">
        <is>
          <t>MEDICAO</t>
        </is>
      </c>
      <c r="D2" s="18" t="inlineStr">
        <is>
          <t>ELAB.</t>
        </is>
      </c>
      <c r="E2" s="18" t="inlineStr">
        <is>
          <t>OBRA</t>
        </is>
      </c>
      <c r="F2" s="18" t="inlineStr">
        <is>
          <t>FISCAL</t>
        </is>
      </c>
      <c r="G2" s="18" t="inlineStr">
        <is>
          <t>CT</t>
        </is>
      </c>
      <c r="H2" s="18" t="inlineStr">
        <is>
          <t>SUPER.</t>
        </is>
      </c>
      <c r="I2" s="18" t="inlineStr">
        <is>
          <t>ITEM</t>
        </is>
      </c>
      <c r="J2" s="18" t="inlineStr">
        <is>
          <t>LINHA</t>
        </is>
      </c>
      <c r="K2" s="18" t="inlineStr">
        <is>
          <t>ATIVIDADE</t>
        </is>
      </c>
      <c r="L2" s="18" t="inlineStr">
        <is>
          <t>DESCRICAO</t>
        </is>
      </c>
      <c r="M2" s="18" t="inlineStr">
        <is>
          <t>UND.</t>
        </is>
      </c>
      <c r="N2" s="18" t="inlineStr">
        <is>
          <t>QUANTIDADE</t>
        </is>
      </c>
      <c r="O2" s="18" t="inlineStr">
        <is>
          <t>Z</t>
        </is>
      </c>
      <c r="P2" s="18" t="inlineStr">
        <is>
          <t>Y</t>
        </is>
      </c>
      <c r="Q2" s="18" t="inlineStr">
        <is>
          <t>X</t>
        </is>
      </c>
      <c r="R2" s="18" t="inlineStr">
        <is>
          <t>RESULTADO</t>
        </is>
      </c>
      <c r="S2" s="18" t="inlineStr">
        <is>
          <t>PRECO UNITARIO</t>
        </is>
      </c>
      <c r="T2" s="18" t="inlineStr">
        <is>
          <t>VALOR TOTAL</t>
        </is>
      </c>
      <c r="U2" s="18" t="inlineStr">
        <is>
          <t>DATA</t>
        </is>
      </c>
      <c r="V2" s="18" t="inlineStr">
        <is>
          <t>APROVADO</t>
        </is>
      </c>
      <c r="W2" s="18" t="inlineStr">
        <is>
          <t>DESCRICAO DO STATUS</t>
        </is>
      </c>
      <c r="X2" s="19" t="inlineStr">
        <is>
          <t>[aux] CHAVE_GRUPO</t>
        </is>
      </c>
      <c r="Y2" s="19" t="inlineStr">
        <is>
          <t>[aux] RANKSEL_RELATORIO</t>
        </is>
      </c>
      <c r="Z2" s="19" t="inlineStr">
        <is>
          <t>[aux] FLAG_CT</t>
        </is>
      </c>
      <c r="AA2" s="19" t="inlineStr">
        <is>
          <t>[aux] RANK_CT</t>
        </is>
      </c>
      <c r="AB2" s="19" t="inlineStr">
        <is>
          <t>[aux] FLAG_ITEM</t>
        </is>
      </c>
      <c r="AC2" s="19" t="inlineStr">
        <is>
          <t>[aux] RANK_ITEM</t>
        </is>
      </c>
    </row>
    <row r="3">
      <c r="A3" s="20" t="n">
        <v>29655103</v>
      </c>
      <c r="B3" s="20" t="inlineStr">
        <is>
          <t>MED</t>
        </is>
      </c>
      <c r="C3" s="20" t="n">
        <v>1</v>
      </c>
      <c r="D3" s="20" t="inlineStr">
        <is>
          <t>Mariana Dalapicola</t>
        </is>
      </c>
      <c r="E3" s="20" t="inlineStr">
        <is>
          <t>CAPL/LLE/ PISO INSTALACAO NOVA BOMBA</t>
        </is>
      </c>
      <c r="F3" s="20" t="inlineStr">
        <is>
          <t>ORYANE</t>
        </is>
      </c>
      <c r="G3" s="20" t="inlineStr">
        <is>
          <t>S31C-MIL</t>
        </is>
      </c>
      <c r="H3" s="20" t="inlineStr">
        <is>
          <t>-</t>
        </is>
      </c>
      <c r="I3" s="20" t="inlineStr">
        <is>
          <t>19.12.4</t>
        </is>
      </c>
      <c r="J3" s="20">
        <f>IFERROR(INDEX(CONFIGURACOES!$G$37:$G$300,MATCH($I3,CONFIGURACOES!$B$37:$B$300,0)),"")</f>
        <v/>
      </c>
      <c r="K3" s="20">
        <f>IFERROR(INDEX(CONFIGURACOES!$H$37:$H$300,MATCH($I3,CONFIGURACOES!$B$37:$B$300,0)),"")</f>
        <v/>
      </c>
      <c r="L3" s="20" t="inlineStr">
        <is>
          <t>Rastreamento</t>
        </is>
      </c>
      <c r="M3" s="20">
        <f>IFERROR(INDEX(CONFIGURACOES!$I$37:$I$300,MATCH($I3,CONFIGURACOES!$B$37:$B$300,0)),"")</f>
        <v/>
      </c>
      <c r="N3" s="21" t="n">
        <v>1</v>
      </c>
      <c r="O3" s="21" t="n">
        <v>1</v>
      </c>
      <c r="P3" s="21" t="n">
        <v>1</v>
      </c>
      <c r="Q3" s="21" t="n">
        <v>2</v>
      </c>
      <c r="R3" s="21">
        <f>IF($N3="","",$N3*IF($Q3="",1,$Q3)*IF($P3="",1,$P3)*IF($O3="",1,$O3))</f>
        <v/>
      </c>
      <c r="S3" s="22">
        <f>IFERROR(INDEX(CONFIGURACOES!$J$37:$J$300,MATCH($I3,CONFIGURACOES!$B$37:$B$300,0)),"")</f>
        <v/>
      </c>
      <c r="T3" s="22">
        <f>IF(OR($R3="",$S3=""),"",$R3*$S3)</f>
        <v/>
      </c>
      <c r="U3" s="23" t="inlineStr">
        <is>
          <t>2026-09-02</t>
        </is>
      </c>
      <c r="V3" s="20" t="inlineStr">
        <is>
          <t>Pendente</t>
        </is>
      </c>
      <c r="W3" s="20" t="inlineStr">
        <is>
          <t>Medicao de teste extraida do PDF de referencia ENG003341 (NOTA 29655103).</t>
        </is>
      </c>
      <c r="X3">
        <f>IF($A3="","",$A3&amp;"|"&amp;$C3&amp;"|"&amp;$I3)</f>
        <v/>
      </c>
      <c r="Y3">
        <f>IF(AND($A3=RELATORIO_MEDICAO!$C$5,$C3=RELATORIO_MEDICAO!$F$5,$A3&lt;&gt;""),COUNTIFS($A$3:$A3,RELATORIO_MEDICAO!$C$5,$C$3:$C3,RELATORIO_MEDICAO!$F$5),"")</f>
        <v/>
      </c>
      <c r="Z3">
        <f>IF(OR($A3="",PESQUISA!$C$4=""),0,IF(OR(ISNUMBER(SEARCH(PESQUISA!$C$4,$G3)),ISNUMBER(SEARCH(PESQUISA!$C$4,$K3)),ISNUMBER(SEARCH(PESQUISA!$C$4,$L3))),1,0))</f>
        <v/>
      </c>
      <c r="AA3">
        <f>IF($Z3=1,SUM($Z$3:$Z3),"")</f>
        <v/>
      </c>
      <c r="AB3">
        <f>IF(OR($A3="",PESQUISA!$C$50=""),0,IF(ISNUMBER(SEARCH(PESQUISA!$C$50,$I3)),1,0))</f>
        <v/>
      </c>
      <c r="AC3">
        <f>IF($AB3=1,SUM($AB$3:$AB3),"")</f>
        <v/>
      </c>
    </row>
    <row r="4">
      <c r="A4" s="20" t="n">
        <v>29655103</v>
      </c>
      <c r="B4" s="20" t="inlineStr">
        <is>
          <t>MED</t>
        </is>
      </c>
      <c r="C4" s="20" t="n">
        <v>1</v>
      </c>
      <c r="D4" s="20" t="inlineStr">
        <is>
          <t>Mariana Dalapicola</t>
        </is>
      </c>
      <c r="E4" s="20" t="inlineStr">
        <is>
          <t>CAPL/LLE/ PISO INSTALACAO NOVA BOMBA</t>
        </is>
      </c>
      <c r="F4" s="20" t="inlineStr">
        <is>
          <t>ORYANE</t>
        </is>
      </c>
      <c r="G4" s="20" t="inlineStr">
        <is>
          <t>S31C-MIL</t>
        </is>
      </c>
      <c r="H4" s="20" t="inlineStr">
        <is>
          <t>-</t>
        </is>
      </c>
      <c r="I4" s="20" t="inlineStr">
        <is>
          <t>19.1.2</t>
        </is>
      </c>
      <c r="J4" s="20">
        <f>IFERROR(INDEX(CONFIGURACOES!$G$37:$G$300,MATCH($I4,CONFIGURACOES!$B$37:$B$300,0)),"")</f>
        <v/>
      </c>
      <c r="K4" s="20">
        <f>IFERROR(INDEX(CONFIGURACOES!$H$37:$H$300,MATCH($I4,CONFIGURACOES!$B$37:$B$300,0)),"")</f>
        <v/>
      </c>
      <c r="L4" s="20" t="inlineStr">
        <is>
          <t>Demolicao</t>
        </is>
      </c>
      <c r="M4" s="20">
        <f>IFERROR(INDEX(CONFIGURACOES!$I$37:$I$300,MATCH($I4,CONFIGURACOES!$B$37:$B$300,0)),"")</f>
        <v/>
      </c>
      <c r="N4" s="21" t="n">
        <v>1</v>
      </c>
      <c r="O4" s="21" t="n">
        <v>0.06</v>
      </c>
      <c r="P4" s="21" t="n">
        <v>1.5</v>
      </c>
      <c r="Q4" s="21" t="n">
        <v>1.05</v>
      </c>
      <c r="R4" s="21">
        <f>IF($N4="","",$N4*IF($Q4="",1,$Q4)*IF($P4="",1,$P4)*IF($O4="",1,$O4))</f>
        <v/>
      </c>
      <c r="S4" s="22">
        <f>IFERROR(INDEX(CONFIGURACOES!$J$37:$J$300,MATCH($I4,CONFIGURACOES!$B$37:$B$300,0)),"")</f>
        <v/>
      </c>
      <c r="T4" s="22">
        <f>IF(OR($R4="",$S4=""),"",$R4*$S4)</f>
        <v/>
      </c>
      <c r="U4" s="23" t="inlineStr">
        <is>
          <t>2026-09-02</t>
        </is>
      </c>
      <c r="V4" s="20" t="inlineStr">
        <is>
          <t>Pendente</t>
        </is>
      </c>
      <c r="W4" s="20" t="inlineStr">
        <is>
          <t>Medicao de teste extraida do PDF de referencia ENG003341 (NOTA 29655103).</t>
        </is>
      </c>
      <c r="X4">
        <f>IF($A4="","",$A4&amp;"|"&amp;$C4&amp;"|"&amp;$I4)</f>
        <v/>
      </c>
      <c r="Y4">
        <f>IF(AND($A4=RELATORIO_MEDICAO!$C$5,$C4=RELATORIO_MEDICAO!$F$5,$A4&lt;&gt;""),COUNTIFS($A$3:$A4,RELATORIO_MEDICAO!$C$5,$C$3:$C4,RELATORIO_MEDICAO!$F$5),"")</f>
        <v/>
      </c>
      <c r="Z4">
        <f>IF(OR($A4="",PESQUISA!$C$4=""),0,IF(OR(ISNUMBER(SEARCH(PESQUISA!$C$4,$G4)),ISNUMBER(SEARCH(PESQUISA!$C$4,$K4)),ISNUMBER(SEARCH(PESQUISA!$C$4,$L4))),1,0))</f>
        <v/>
      </c>
      <c r="AA4">
        <f>IF($Z4=1,SUM($Z$3:$Z4),"")</f>
        <v/>
      </c>
      <c r="AB4">
        <f>IF(OR($A4="",PESQUISA!$C$50=""),0,IF(ISNUMBER(SEARCH(PESQUISA!$C$50,$I4)),1,0))</f>
        <v/>
      </c>
      <c r="AC4">
        <f>IF($AB4=1,SUM($AB$3:$AB4),"")</f>
        <v/>
      </c>
    </row>
    <row r="5">
      <c r="A5" s="20" t="n">
        <v>29655103</v>
      </c>
      <c r="B5" s="20" t="inlineStr">
        <is>
          <t>MED</t>
        </is>
      </c>
      <c r="C5" s="20" t="n">
        <v>1</v>
      </c>
      <c r="D5" s="20" t="inlineStr">
        <is>
          <t>Mariana Dalapicola</t>
        </is>
      </c>
      <c r="E5" s="20" t="inlineStr">
        <is>
          <t>CAPL/LLE/ PISO INSTALACAO NOVA BOMBA</t>
        </is>
      </c>
      <c r="F5" s="20" t="inlineStr">
        <is>
          <t>ORYANE</t>
        </is>
      </c>
      <c r="G5" s="20" t="inlineStr">
        <is>
          <t>S31C-MIL</t>
        </is>
      </c>
      <c r="H5" s="20" t="inlineStr">
        <is>
          <t>-</t>
        </is>
      </c>
      <c r="I5" s="20" t="inlineStr">
        <is>
          <t>3.1.1</t>
        </is>
      </c>
      <c r="J5" s="20">
        <f>IFERROR(INDEX(CONFIGURACOES!$G$37:$G$300,MATCH($I5,CONFIGURACOES!$B$37:$B$300,0)),"")</f>
        <v/>
      </c>
      <c r="K5" s="20">
        <f>IFERROR(INDEX(CONFIGURACOES!$H$37:$H$300,MATCH($I5,CONFIGURACOES!$B$37:$B$300,0)),"")</f>
        <v/>
      </c>
      <c r="L5" s="20" t="inlineStr">
        <is>
          <t>Forma 1</t>
        </is>
      </c>
      <c r="M5" s="20">
        <f>IFERROR(INDEX(CONFIGURACOES!$I$37:$I$300,MATCH($I5,CONFIGURACOES!$B$37:$B$300,0)),"")</f>
        <v/>
      </c>
      <c r="N5" s="21" t="n">
        <v>1</v>
      </c>
      <c r="O5" s="21" t="n">
        <v>1</v>
      </c>
      <c r="P5" s="21" t="n">
        <v>0.35</v>
      </c>
      <c r="Q5" s="21" t="n">
        <v>1.05</v>
      </c>
      <c r="R5" s="21">
        <f>IF($N5="","",$N5*IF($Q5="",1,$Q5)*IF($P5="",1,$P5)*IF($O5="",1,$O5))</f>
        <v/>
      </c>
      <c r="S5" s="22">
        <f>IFERROR(INDEX(CONFIGURACOES!$J$37:$J$300,MATCH($I5,CONFIGURACOES!$B$37:$B$300,0)),"")</f>
        <v/>
      </c>
      <c r="T5" s="22">
        <f>IF(OR($R5="",$S5=""),"",$R5*$S5)</f>
        <v/>
      </c>
      <c r="U5" s="23" t="inlineStr">
        <is>
          <t>2026-09-02</t>
        </is>
      </c>
      <c r="V5" s="20" t="inlineStr">
        <is>
          <t>Pendente</t>
        </is>
      </c>
      <c r="W5" s="20" t="inlineStr">
        <is>
          <t>Medicao de teste extraida do PDF de referencia ENG003341 (NOTA 29655103).</t>
        </is>
      </c>
      <c r="X5">
        <f>IF($A5="","",$A5&amp;"|"&amp;$C5&amp;"|"&amp;$I5)</f>
        <v/>
      </c>
      <c r="Y5">
        <f>IF(AND($A5=RELATORIO_MEDICAO!$C$5,$C5=RELATORIO_MEDICAO!$F$5,$A5&lt;&gt;""),COUNTIFS($A$3:$A5,RELATORIO_MEDICAO!$C$5,$C$3:$C5,RELATORIO_MEDICAO!$F$5),"")</f>
        <v/>
      </c>
      <c r="Z5">
        <f>IF(OR($A5="",PESQUISA!$C$4=""),0,IF(OR(ISNUMBER(SEARCH(PESQUISA!$C$4,$G5)),ISNUMBER(SEARCH(PESQUISA!$C$4,$K5)),ISNUMBER(SEARCH(PESQUISA!$C$4,$L5))),1,0))</f>
        <v/>
      </c>
      <c r="AA5">
        <f>IF($Z5=1,SUM($Z$3:$Z5),"")</f>
        <v/>
      </c>
      <c r="AB5">
        <f>IF(OR($A5="",PESQUISA!$C$50=""),0,IF(ISNUMBER(SEARCH(PESQUISA!$C$50,$I5)),1,0))</f>
        <v/>
      </c>
      <c r="AC5">
        <f>IF($AB5=1,SUM($AB$3:$AB5),"")</f>
        <v/>
      </c>
    </row>
    <row r="6">
      <c r="A6" s="20" t="n">
        <v>29655103</v>
      </c>
      <c r="B6" s="20" t="inlineStr">
        <is>
          <t>MED</t>
        </is>
      </c>
      <c r="C6" s="20" t="n">
        <v>1</v>
      </c>
      <c r="D6" s="20" t="inlineStr">
        <is>
          <t>Mariana Dalapicola</t>
        </is>
      </c>
      <c r="E6" s="20" t="inlineStr">
        <is>
          <t>CAPL/LLE/ PISO INSTALACAO NOVA BOMBA</t>
        </is>
      </c>
      <c r="F6" s="20" t="inlineStr">
        <is>
          <t>ORYANE</t>
        </is>
      </c>
      <c r="G6" s="20" t="inlineStr">
        <is>
          <t>S31C-MIL</t>
        </is>
      </c>
      <c r="H6" s="20" t="inlineStr">
        <is>
          <t>-</t>
        </is>
      </c>
      <c r="I6" s="20" t="inlineStr">
        <is>
          <t>3.1.1</t>
        </is>
      </c>
      <c r="J6" s="20">
        <f>IFERROR(INDEX(CONFIGURACOES!$G$37:$G$300,MATCH($I6,CONFIGURACOES!$B$37:$B$300,0)),"")</f>
        <v/>
      </c>
      <c r="K6" s="20">
        <f>IFERROR(INDEX(CONFIGURACOES!$H$37:$H$300,MATCH($I6,CONFIGURACOES!$B$37:$B$300,0)),"")</f>
        <v/>
      </c>
      <c r="L6" s="20" t="inlineStr">
        <is>
          <t>Forma 2</t>
        </is>
      </c>
      <c r="M6" s="20">
        <f>IFERROR(INDEX(CONFIGURACOES!$I$37:$I$300,MATCH($I6,CONFIGURACOES!$B$37:$B$300,0)),"")</f>
        <v/>
      </c>
      <c r="N6" s="21" t="n">
        <v>2</v>
      </c>
      <c r="O6" s="21" t="n">
        <v>1</v>
      </c>
      <c r="P6" s="21" t="n">
        <v>0.06</v>
      </c>
      <c r="Q6" s="21" t="n">
        <v>1.05</v>
      </c>
      <c r="R6" s="21">
        <f>IF($N6="","",$N6*IF($Q6="",1,$Q6)*IF($P6="",1,$P6)*IF($O6="",1,$O6))</f>
        <v/>
      </c>
      <c r="S6" s="22">
        <f>IFERROR(INDEX(CONFIGURACOES!$J$37:$J$300,MATCH($I6,CONFIGURACOES!$B$37:$B$300,0)),"")</f>
        <v/>
      </c>
      <c r="T6" s="22">
        <f>IF(OR($R6="",$S6=""),"",$R6*$S6)</f>
        <v/>
      </c>
      <c r="U6" s="23" t="inlineStr">
        <is>
          <t>2026-09-02</t>
        </is>
      </c>
      <c r="V6" s="20" t="inlineStr">
        <is>
          <t>Pendente</t>
        </is>
      </c>
      <c r="W6" s="20" t="inlineStr">
        <is>
          <t>Medicao de teste extraida do PDF de referencia ENG003341 (NOTA 29655103).</t>
        </is>
      </c>
      <c r="X6">
        <f>IF($A6="","",$A6&amp;"|"&amp;$C6&amp;"|"&amp;$I6)</f>
        <v/>
      </c>
      <c r="Y6">
        <f>IF(AND($A6=RELATORIO_MEDICAO!$C$5,$C6=RELATORIO_MEDICAO!$F$5,$A6&lt;&gt;""),COUNTIFS($A$3:$A6,RELATORIO_MEDICAO!$C$5,$C$3:$C6,RELATORIO_MEDICAO!$F$5),"")</f>
        <v/>
      </c>
      <c r="Z6">
        <f>IF(OR($A6="",PESQUISA!$C$4=""),0,IF(OR(ISNUMBER(SEARCH(PESQUISA!$C$4,$G6)),ISNUMBER(SEARCH(PESQUISA!$C$4,$K6)),ISNUMBER(SEARCH(PESQUISA!$C$4,$L6))),1,0))</f>
        <v/>
      </c>
      <c r="AA6">
        <f>IF($Z6=1,SUM($Z$3:$Z6),"")</f>
        <v/>
      </c>
      <c r="AB6">
        <f>IF(OR($A6="",PESQUISA!$C$50=""),0,IF(ISNUMBER(SEARCH(PESQUISA!$C$50,$I6)),1,0))</f>
        <v/>
      </c>
      <c r="AC6">
        <f>IF($AB6=1,SUM($AB$3:$AB6),"")</f>
        <v/>
      </c>
    </row>
    <row r="7">
      <c r="A7" s="20" t="n">
        <v>29655103</v>
      </c>
      <c r="B7" s="20" t="inlineStr">
        <is>
          <t>MED</t>
        </is>
      </c>
      <c r="C7" s="20" t="n">
        <v>1</v>
      </c>
      <c r="D7" s="20" t="inlineStr">
        <is>
          <t>Mariana Dalapicola</t>
        </is>
      </c>
      <c r="E7" s="20" t="inlineStr">
        <is>
          <t>CAPL/LLE/ PISO INSTALACAO NOVA BOMBA</t>
        </is>
      </c>
      <c r="F7" s="20" t="inlineStr">
        <is>
          <t>ORYANE</t>
        </is>
      </c>
      <c r="G7" s="20" t="inlineStr">
        <is>
          <t>S31C-MIL</t>
        </is>
      </c>
      <c r="H7" s="20" t="inlineStr">
        <is>
          <t>-</t>
        </is>
      </c>
      <c r="I7" s="20" t="inlineStr">
        <is>
          <t>3.1.1</t>
        </is>
      </c>
      <c r="J7" s="20">
        <f>IFERROR(INDEX(CONFIGURACOES!$G$37:$G$300,MATCH($I7,CONFIGURACOES!$B$37:$B$300,0)),"")</f>
        <v/>
      </c>
      <c r="K7" s="20">
        <f>IFERROR(INDEX(CONFIGURACOES!$H$37:$H$300,MATCH($I7,CONFIGURACOES!$B$37:$B$300,0)),"")</f>
        <v/>
      </c>
      <c r="L7" s="20" t="inlineStr">
        <is>
          <t>Forma 3</t>
        </is>
      </c>
      <c r="M7" s="20">
        <f>IFERROR(INDEX(CONFIGURACOES!$I$37:$I$300,MATCH($I7,CONFIGURACOES!$B$37:$B$300,0)),"")</f>
        <v/>
      </c>
      <c r="N7" s="21" t="n">
        <v>2</v>
      </c>
      <c r="O7" s="21" t="n">
        <v>1</v>
      </c>
      <c r="P7" s="21" t="n">
        <v>0.06</v>
      </c>
      <c r="Q7" s="21" t="n">
        <v>1.5</v>
      </c>
      <c r="R7" s="21">
        <f>IF($N7="","",$N7*IF($Q7="",1,$Q7)*IF($P7="",1,$P7)*IF($O7="",1,$O7))</f>
        <v/>
      </c>
      <c r="S7" s="22">
        <f>IFERROR(INDEX(CONFIGURACOES!$J$37:$J$300,MATCH($I7,CONFIGURACOES!$B$37:$B$300,0)),"")</f>
        <v/>
      </c>
      <c r="T7" s="22">
        <f>IF(OR($R7="",$S7=""),"",$R7*$S7)</f>
        <v/>
      </c>
      <c r="U7" s="23" t="inlineStr">
        <is>
          <t>2026-09-02</t>
        </is>
      </c>
      <c r="V7" s="20" t="inlineStr">
        <is>
          <t>Pendente</t>
        </is>
      </c>
      <c r="W7" s="20" t="inlineStr">
        <is>
          <t>Medicao de teste extraida do PDF de referencia ENG003341 (NOTA 29655103).</t>
        </is>
      </c>
      <c r="X7">
        <f>IF($A7="","",$A7&amp;"|"&amp;$C7&amp;"|"&amp;$I7)</f>
        <v/>
      </c>
      <c r="Y7">
        <f>IF(AND($A7=RELATORIO_MEDICAO!$C$5,$C7=RELATORIO_MEDICAO!$F$5,$A7&lt;&gt;""),COUNTIFS($A$3:$A7,RELATORIO_MEDICAO!$C$5,$C$3:$C7,RELATORIO_MEDICAO!$F$5),"")</f>
        <v/>
      </c>
      <c r="Z7">
        <f>IF(OR($A7="",PESQUISA!$C$4=""),0,IF(OR(ISNUMBER(SEARCH(PESQUISA!$C$4,$G7)),ISNUMBER(SEARCH(PESQUISA!$C$4,$K7)),ISNUMBER(SEARCH(PESQUISA!$C$4,$L7))),1,0))</f>
        <v/>
      </c>
      <c r="AA7">
        <f>IF($Z7=1,SUM($Z$3:$Z7),"")</f>
        <v/>
      </c>
      <c r="AB7">
        <f>IF(OR($A7="",PESQUISA!$C$50=""),0,IF(ISNUMBER(SEARCH(PESQUISA!$C$50,$I7)),1,0))</f>
        <v/>
      </c>
      <c r="AC7">
        <f>IF($AB7=1,SUM($AB$3:$AB7),"")</f>
        <v/>
      </c>
    </row>
    <row r="8">
      <c r="A8" s="20" t="n">
        <v>29655103</v>
      </c>
      <c r="B8" s="20" t="inlineStr">
        <is>
          <t>MED</t>
        </is>
      </c>
      <c r="C8" s="20" t="n">
        <v>1</v>
      </c>
      <c r="D8" s="20" t="inlineStr">
        <is>
          <t>Mariana Dalapicola</t>
        </is>
      </c>
      <c r="E8" s="20" t="inlineStr">
        <is>
          <t>CAPL/LLE/ PISO INSTALACAO NOVA BOMBA</t>
        </is>
      </c>
      <c r="F8" s="20" t="inlineStr">
        <is>
          <t>ORYANE</t>
        </is>
      </c>
      <c r="G8" s="20" t="inlineStr">
        <is>
          <t>S31C-MIL</t>
        </is>
      </c>
      <c r="H8" s="20" t="inlineStr">
        <is>
          <t>-</t>
        </is>
      </c>
      <c r="I8" s="20" t="inlineStr">
        <is>
          <t>4.1.4</t>
        </is>
      </c>
      <c r="J8" s="20">
        <f>IFERROR(INDEX(CONFIGURACOES!$G$37:$G$300,MATCH($I8,CONFIGURACOES!$B$37:$B$300,0)),"")</f>
        <v/>
      </c>
      <c r="K8" s="20">
        <f>IFERROR(INDEX(CONFIGURACOES!$H$37:$H$300,MATCH($I8,CONFIGURACOES!$B$37:$B$300,0)),"")</f>
        <v/>
      </c>
      <c r="L8" s="20" t="inlineStr">
        <is>
          <t>Malha</t>
        </is>
      </c>
      <c r="M8" s="20">
        <f>IFERROR(INDEX(CONFIGURACOES!$I$37:$I$300,MATCH($I8,CONFIGURACOES!$B$37:$B$300,0)),"")</f>
        <v/>
      </c>
      <c r="N8" s="21" t="n">
        <v>1</v>
      </c>
      <c r="O8" s="21" t="n">
        <v>1.48</v>
      </c>
      <c r="P8" s="21" t="n">
        <v>1.05</v>
      </c>
      <c r="Q8" s="21" t="n">
        <v>1.5</v>
      </c>
      <c r="R8" s="21">
        <f>IF($N8="","",$N8*IF($Q8="",1,$Q8)*IF($P8="",1,$P8)*IF($O8="",1,$O8))</f>
        <v/>
      </c>
      <c r="S8" s="22">
        <f>IFERROR(INDEX(CONFIGURACOES!$J$37:$J$300,MATCH($I8,CONFIGURACOES!$B$37:$B$300,0)),"")</f>
        <v/>
      </c>
      <c r="T8" s="22">
        <f>IF(OR($R8="",$S8=""),"",$R8*$S8)</f>
        <v/>
      </c>
      <c r="U8" s="23" t="inlineStr">
        <is>
          <t>2026-09-02</t>
        </is>
      </c>
      <c r="V8" s="20" t="inlineStr">
        <is>
          <t>Pendente</t>
        </is>
      </c>
      <c r="W8" s="20" t="inlineStr">
        <is>
          <t>Medicao de teste extraida do PDF de referencia ENG003341 (NOTA 29655103).</t>
        </is>
      </c>
      <c r="X8">
        <f>IF($A8="","",$A8&amp;"|"&amp;$C8&amp;"|"&amp;$I8)</f>
        <v/>
      </c>
      <c r="Y8">
        <f>IF(AND($A8=RELATORIO_MEDICAO!$C$5,$C8=RELATORIO_MEDICAO!$F$5,$A8&lt;&gt;""),COUNTIFS($A$3:$A8,RELATORIO_MEDICAO!$C$5,$C$3:$C8,RELATORIO_MEDICAO!$F$5),"")</f>
        <v/>
      </c>
      <c r="Z8">
        <f>IF(OR($A8="",PESQUISA!$C$4=""),0,IF(OR(ISNUMBER(SEARCH(PESQUISA!$C$4,$G8)),ISNUMBER(SEARCH(PESQUISA!$C$4,$K8)),ISNUMBER(SEARCH(PESQUISA!$C$4,$L8))),1,0))</f>
        <v/>
      </c>
      <c r="AA8">
        <f>IF($Z8=1,SUM($Z$3:$Z8),"")</f>
        <v/>
      </c>
      <c r="AB8">
        <f>IF(OR($A8="",PESQUISA!$C$50=""),0,IF(ISNUMBER(SEARCH(PESQUISA!$C$50,$I8)),1,0))</f>
        <v/>
      </c>
      <c r="AC8">
        <f>IF($AB8=1,SUM($AB$3:$AB8),"")</f>
        <v/>
      </c>
    </row>
    <row r="9">
      <c r="A9" s="20" t="n">
        <v>29655103</v>
      </c>
      <c r="B9" s="20" t="inlineStr">
        <is>
          <t>MED</t>
        </is>
      </c>
      <c r="C9" s="20" t="n">
        <v>1</v>
      </c>
      <c r="D9" s="20" t="inlineStr">
        <is>
          <t>Mariana Dalapicola</t>
        </is>
      </c>
      <c r="E9" s="20" t="inlineStr">
        <is>
          <t>CAPL/LLE/ PISO INSTALACAO NOVA BOMBA</t>
        </is>
      </c>
      <c r="F9" s="20" t="inlineStr">
        <is>
          <t>ORYANE</t>
        </is>
      </c>
      <c r="G9" s="20" t="inlineStr">
        <is>
          <t>S31C-MIL</t>
        </is>
      </c>
      <c r="H9" s="20" t="inlineStr">
        <is>
          <t>-</t>
        </is>
      </c>
      <c r="I9" s="20" t="inlineStr">
        <is>
          <t>6.3</t>
        </is>
      </c>
      <c r="J9" s="20">
        <f>IFERROR(INDEX(CONFIGURACOES!$G$37:$G$300,MATCH($I9,CONFIGURACOES!$B$37:$B$300,0)),"")</f>
        <v/>
      </c>
      <c r="K9" s="20">
        <f>IFERROR(INDEX(CONFIGURACOES!$H$37:$H$300,MATCH($I9,CONFIGURACOES!$B$37:$B$300,0)),"")</f>
        <v/>
      </c>
      <c r="L9" s="20" t="inlineStr">
        <is>
          <t>Graute</t>
        </is>
      </c>
      <c r="M9" s="20">
        <f>IFERROR(INDEX(CONFIGURACOES!$I$37:$I$300,MATCH($I9,CONFIGURACOES!$B$37:$B$300,0)),"")</f>
        <v/>
      </c>
      <c r="N9" s="21" t="n">
        <v>1</v>
      </c>
      <c r="O9" s="21" t="n">
        <v>1</v>
      </c>
      <c r="P9" s="21" t="n">
        <v>1</v>
      </c>
      <c r="Q9" s="21" t="n">
        <v>0.03</v>
      </c>
      <c r="R9" s="21">
        <f>IF($N9="","",$N9*IF($Q9="",1,$Q9)*IF($P9="",1,$P9)*IF($O9="",1,$O9))</f>
        <v/>
      </c>
      <c r="S9" s="22">
        <f>IFERROR(INDEX(CONFIGURACOES!$J$37:$J$300,MATCH($I9,CONFIGURACOES!$B$37:$B$300,0)),"")</f>
        <v/>
      </c>
      <c r="T9" s="22">
        <f>IF(OR($R9="",$S9=""),"",$R9*$S9)</f>
        <v/>
      </c>
      <c r="U9" s="23" t="inlineStr">
        <is>
          <t>2026-09-02</t>
        </is>
      </c>
      <c r="V9" s="20" t="inlineStr">
        <is>
          <t>Pendente</t>
        </is>
      </c>
      <c r="W9" s="20" t="inlineStr">
        <is>
          <t>Medicao de teste extraida do PDF de referencia ENG003341 (NOTA 29655103).</t>
        </is>
      </c>
      <c r="X9">
        <f>IF($A9="","",$A9&amp;"|"&amp;$C9&amp;"|"&amp;$I9)</f>
        <v/>
      </c>
      <c r="Y9">
        <f>IF(AND($A9=RELATORIO_MEDICAO!$C$5,$C9=RELATORIO_MEDICAO!$F$5,$A9&lt;&gt;""),COUNTIFS($A$3:$A9,RELATORIO_MEDICAO!$C$5,$C$3:$C9,RELATORIO_MEDICAO!$F$5),"")</f>
        <v/>
      </c>
      <c r="Z9">
        <f>IF(OR($A9="",PESQUISA!$C$4=""),0,IF(OR(ISNUMBER(SEARCH(PESQUISA!$C$4,$G9)),ISNUMBER(SEARCH(PESQUISA!$C$4,$K9)),ISNUMBER(SEARCH(PESQUISA!$C$4,$L9))),1,0))</f>
        <v/>
      </c>
      <c r="AA9">
        <f>IF($Z9=1,SUM($Z$3:$Z9),"")</f>
        <v/>
      </c>
      <c r="AB9">
        <f>IF(OR($A9="",PESQUISA!$C$50=""),0,IF(ISNUMBER(SEARCH(PESQUISA!$C$50,$I9)),1,0))</f>
        <v/>
      </c>
      <c r="AC9">
        <f>IF($AB9=1,SUM($AB$3:$AB9),"")</f>
        <v/>
      </c>
    </row>
    <row r="10">
      <c r="A10" s="20" t="n">
        <v>29655103</v>
      </c>
      <c r="B10" s="20" t="inlineStr">
        <is>
          <t>MED</t>
        </is>
      </c>
      <c r="C10" s="20" t="n">
        <v>1</v>
      </c>
      <c r="D10" s="20" t="inlineStr">
        <is>
          <t>Mariana Dalapicola</t>
        </is>
      </c>
      <c r="E10" s="20" t="inlineStr">
        <is>
          <t>CAPL/LLE/ PISO INSTALACAO NOVA BOMBA</t>
        </is>
      </c>
      <c r="F10" s="20" t="inlineStr">
        <is>
          <t>ORYANE</t>
        </is>
      </c>
      <c r="G10" s="20" t="inlineStr">
        <is>
          <t>S31C-MIL</t>
        </is>
      </c>
      <c r="H10" s="20" t="inlineStr">
        <is>
          <t>-</t>
        </is>
      </c>
      <c r="I10" s="20" t="inlineStr">
        <is>
          <t>7.1</t>
        </is>
      </c>
      <c r="J10" s="20">
        <f>IFERROR(INDEX(CONFIGURACOES!$G$37:$G$300,MATCH($I10,CONFIGURACOES!$B$37:$B$300,0)),"")</f>
        <v/>
      </c>
      <c r="K10" s="20">
        <f>IFERROR(INDEX(CONFIGURACOES!$H$37:$H$300,MATCH($I10,CONFIGURACOES!$B$37:$B$300,0)),"")</f>
        <v/>
      </c>
      <c r="L10" s="20" t="inlineStr">
        <is>
          <t>Sikadur</t>
        </is>
      </c>
      <c r="M10" s="20">
        <f>IFERROR(INDEX(CONFIGURACOES!$I$37:$I$300,MATCH($I10,CONFIGURACOES!$B$37:$B$300,0)),"")</f>
        <v/>
      </c>
      <c r="N10" s="21" t="n">
        <v>1</v>
      </c>
      <c r="O10" s="21" t="n">
        <v>1</v>
      </c>
      <c r="P10" s="21" t="n">
        <v>1</v>
      </c>
      <c r="Q10" s="21" t="n">
        <v>1</v>
      </c>
      <c r="R10" s="21">
        <f>IF($N10="","",$N10*IF($Q10="",1,$Q10)*IF($P10="",1,$P10)*IF($O10="",1,$O10))</f>
        <v/>
      </c>
      <c r="S10" s="22">
        <f>IFERROR(INDEX(CONFIGURACOES!$J$37:$J$300,MATCH($I10,CONFIGURACOES!$B$37:$B$300,0)),"")</f>
        <v/>
      </c>
      <c r="T10" s="22">
        <f>IF(OR($R10="",$S10=""),"",$R10*$S10)</f>
        <v/>
      </c>
      <c r="U10" s="23" t="inlineStr">
        <is>
          <t>2026-09-02</t>
        </is>
      </c>
      <c r="V10" s="20" t="inlineStr">
        <is>
          <t>Pendente</t>
        </is>
      </c>
      <c r="W10" s="20" t="inlineStr">
        <is>
          <t>Medicao de teste extraida do PDF de referencia ENG003341 (NOTA 29655103).</t>
        </is>
      </c>
      <c r="X10">
        <f>IF($A10="","",$A10&amp;"|"&amp;$C10&amp;"|"&amp;$I10)</f>
        <v/>
      </c>
      <c r="Y10">
        <f>IF(AND($A10=RELATORIO_MEDICAO!$C$5,$C10=RELATORIO_MEDICAO!$F$5,$A10&lt;&gt;""),COUNTIFS($A$3:$A10,RELATORIO_MEDICAO!$C$5,$C$3:$C10,RELATORIO_MEDICAO!$F$5),"")</f>
        <v/>
      </c>
      <c r="Z10">
        <f>IF(OR($A10="",PESQUISA!$C$4=""),0,IF(OR(ISNUMBER(SEARCH(PESQUISA!$C$4,$G10)),ISNUMBER(SEARCH(PESQUISA!$C$4,$K10)),ISNUMBER(SEARCH(PESQUISA!$C$4,$L10))),1,0))</f>
        <v/>
      </c>
      <c r="AA10">
        <f>IF($Z10=1,SUM($Z$3:$Z10),"")</f>
        <v/>
      </c>
      <c r="AB10">
        <f>IF(OR($A10="",PESQUISA!$C$50=""),0,IF(ISNUMBER(SEARCH(PESQUISA!$C$50,$I10)),1,0))</f>
        <v/>
      </c>
      <c r="AC10">
        <f>IF($AB10=1,SUM($AB$3:$AB10),"")</f>
        <v/>
      </c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>
        <f>IFERROR(INDEX(CONFIGURACOES!$G$37:$G$300,MATCH($I11,CONFIGURACOES!$B$37:$B$300,0)),"")</f>
        <v/>
      </c>
      <c r="K11" s="20">
        <f>IFERROR(INDEX(CONFIGURACOES!$H$37:$H$300,MATCH($I11,CONFIGURACOES!$B$37:$B$300,0)),"")</f>
        <v/>
      </c>
      <c r="L11" s="20" t="n"/>
      <c r="M11" s="20">
        <f>IFERROR(INDEX(CONFIGURACOES!$I$37:$I$300,MATCH($I11,CONFIGURACOES!$B$37:$B$300,0)),"")</f>
        <v/>
      </c>
      <c r="N11" s="21" t="n"/>
      <c r="O11" s="21" t="n"/>
      <c r="P11" s="21" t="n"/>
      <c r="Q11" s="21" t="n"/>
      <c r="R11" s="21">
        <f>IF($N11="","",$N11*IF($Q11="",1,$Q11)*IF($P11="",1,$P11)*IF($O11="",1,$O11))</f>
        <v/>
      </c>
      <c r="S11" s="22">
        <f>IFERROR(INDEX(CONFIGURACOES!$J$37:$J$300,MATCH($I11,CONFIGURACOES!$B$37:$B$300,0)),"")</f>
        <v/>
      </c>
      <c r="T11" s="22">
        <f>IF(OR($R11="",$S11=""),"",$R11*$S11)</f>
        <v/>
      </c>
      <c r="U11" s="20" t="n"/>
      <c r="V11" s="20" t="n"/>
      <c r="W11" s="20" t="n"/>
      <c r="X11">
        <f>IF($A11="","",$A11&amp;"|"&amp;$C11&amp;"|"&amp;$I11)</f>
        <v/>
      </c>
      <c r="Y11">
        <f>IF(AND($A11=RELATORIO_MEDICAO!$C$5,$C11=RELATORIO_MEDICAO!$F$5,$A11&lt;&gt;""),COUNTIFS($A$3:$A11,RELATORIO_MEDICAO!$C$5,$C$3:$C11,RELATORIO_MEDICAO!$F$5),"")</f>
        <v/>
      </c>
      <c r="Z11">
        <f>IF(OR($A11="",PESQUISA!$C$4=""),0,IF(OR(ISNUMBER(SEARCH(PESQUISA!$C$4,$G11)),ISNUMBER(SEARCH(PESQUISA!$C$4,$K11)),ISNUMBER(SEARCH(PESQUISA!$C$4,$L11))),1,0))</f>
        <v/>
      </c>
      <c r="AA11">
        <f>IF($Z11=1,SUM($Z$3:$Z11),"")</f>
        <v/>
      </c>
      <c r="AB11">
        <f>IF(OR($A11="",PESQUISA!$C$50=""),0,IF(ISNUMBER(SEARCH(PESQUISA!$C$50,$I11)),1,0))</f>
        <v/>
      </c>
      <c r="AC11">
        <f>IF($AB11=1,SUM($AB$3:$AB11),"")</f>
        <v/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>
        <f>IFERROR(INDEX(CONFIGURACOES!$G$37:$G$300,MATCH($I12,CONFIGURACOES!$B$37:$B$300,0)),"")</f>
        <v/>
      </c>
      <c r="K12" s="20">
        <f>IFERROR(INDEX(CONFIGURACOES!$H$37:$H$300,MATCH($I12,CONFIGURACOES!$B$37:$B$300,0)),"")</f>
        <v/>
      </c>
      <c r="L12" s="20" t="n"/>
      <c r="M12" s="20">
        <f>IFERROR(INDEX(CONFIGURACOES!$I$37:$I$300,MATCH($I12,CONFIGURACOES!$B$37:$B$300,0)),"")</f>
        <v/>
      </c>
      <c r="N12" s="21" t="n"/>
      <c r="O12" s="21" t="n"/>
      <c r="P12" s="21" t="n"/>
      <c r="Q12" s="21" t="n"/>
      <c r="R12" s="21">
        <f>IF($N12="","",$N12*IF($Q12="",1,$Q12)*IF($P12="",1,$P12)*IF($O12="",1,$O12))</f>
        <v/>
      </c>
      <c r="S12" s="22">
        <f>IFERROR(INDEX(CONFIGURACOES!$J$37:$J$300,MATCH($I12,CONFIGURACOES!$B$37:$B$300,0)),"")</f>
        <v/>
      </c>
      <c r="T12" s="22">
        <f>IF(OR($R12="",$S12=""),"",$R12*$S12)</f>
        <v/>
      </c>
      <c r="U12" s="20" t="n"/>
      <c r="V12" s="20" t="n"/>
      <c r="W12" s="20" t="n"/>
      <c r="X12">
        <f>IF($A12="","",$A12&amp;"|"&amp;$C12&amp;"|"&amp;$I12)</f>
        <v/>
      </c>
      <c r="Y12">
        <f>IF(AND($A12=RELATORIO_MEDICAO!$C$5,$C12=RELATORIO_MEDICAO!$F$5,$A12&lt;&gt;""),COUNTIFS($A$3:$A12,RELATORIO_MEDICAO!$C$5,$C$3:$C12,RELATORIO_MEDICAO!$F$5),"")</f>
        <v/>
      </c>
      <c r="Z12">
        <f>IF(OR($A12="",PESQUISA!$C$4=""),0,IF(OR(ISNUMBER(SEARCH(PESQUISA!$C$4,$G12)),ISNUMBER(SEARCH(PESQUISA!$C$4,$K12)),ISNUMBER(SEARCH(PESQUISA!$C$4,$L12))),1,0))</f>
        <v/>
      </c>
      <c r="AA12">
        <f>IF($Z12=1,SUM($Z$3:$Z12),"")</f>
        <v/>
      </c>
      <c r="AB12">
        <f>IF(OR($A12="",PESQUISA!$C$50=""),0,IF(ISNUMBER(SEARCH(PESQUISA!$C$50,$I12)),1,0))</f>
        <v/>
      </c>
      <c r="AC12">
        <f>IF($AB12=1,SUM($AB$3:$AB12),"")</f>
        <v/>
      </c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>
        <f>IFERROR(INDEX(CONFIGURACOES!$G$37:$G$300,MATCH($I13,CONFIGURACOES!$B$37:$B$300,0)),"")</f>
        <v/>
      </c>
      <c r="K13" s="20">
        <f>IFERROR(INDEX(CONFIGURACOES!$H$37:$H$300,MATCH($I13,CONFIGURACOES!$B$37:$B$300,0)),"")</f>
        <v/>
      </c>
      <c r="L13" s="20" t="n"/>
      <c r="M13" s="20">
        <f>IFERROR(INDEX(CONFIGURACOES!$I$37:$I$300,MATCH($I13,CONFIGURACOES!$B$37:$B$300,0)),"")</f>
        <v/>
      </c>
      <c r="N13" s="21" t="n"/>
      <c r="O13" s="21" t="n"/>
      <c r="P13" s="21" t="n"/>
      <c r="Q13" s="21" t="n"/>
      <c r="R13" s="21">
        <f>IF($N13="","",$N13*IF($Q13="",1,$Q13)*IF($P13="",1,$P13)*IF($O13="",1,$O13))</f>
        <v/>
      </c>
      <c r="S13" s="22">
        <f>IFERROR(INDEX(CONFIGURACOES!$J$37:$J$300,MATCH($I13,CONFIGURACOES!$B$37:$B$300,0)),"")</f>
        <v/>
      </c>
      <c r="T13" s="22">
        <f>IF(OR($R13="",$S13=""),"",$R13*$S13)</f>
        <v/>
      </c>
      <c r="U13" s="20" t="n"/>
      <c r="V13" s="20" t="n"/>
      <c r="W13" s="20" t="n"/>
      <c r="X13">
        <f>IF($A13="","",$A13&amp;"|"&amp;$C13&amp;"|"&amp;$I13)</f>
        <v/>
      </c>
      <c r="Y13">
        <f>IF(AND($A13=RELATORIO_MEDICAO!$C$5,$C13=RELATORIO_MEDICAO!$F$5,$A13&lt;&gt;""),COUNTIFS($A$3:$A13,RELATORIO_MEDICAO!$C$5,$C$3:$C13,RELATORIO_MEDICAO!$F$5),"")</f>
        <v/>
      </c>
      <c r="Z13">
        <f>IF(OR($A13="",PESQUISA!$C$4=""),0,IF(OR(ISNUMBER(SEARCH(PESQUISA!$C$4,$G13)),ISNUMBER(SEARCH(PESQUISA!$C$4,$K13)),ISNUMBER(SEARCH(PESQUISA!$C$4,$L13))),1,0))</f>
        <v/>
      </c>
      <c r="AA13">
        <f>IF($Z13=1,SUM($Z$3:$Z13),"")</f>
        <v/>
      </c>
      <c r="AB13">
        <f>IF(OR($A13="",PESQUISA!$C$50=""),0,IF(ISNUMBER(SEARCH(PESQUISA!$C$50,$I13)),1,0))</f>
        <v/>
      </c>
      <c r="AC13">
        <f>IF($AB13=1,SUM($AB$3:$AB13),"")</f>
        <v/>
      </c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>
        <f>IFERROR(INDEX(CONFIGURACOES!$G$37:$G$300,MATCH($I14,CONFIGURACOES!$B$37:$B$300,0)),"")</f>
        <v/>
      </c>
      <c r="K14" s="20">
        <f>IFERROR(INDEX(CONFIGURACOES!$H$37:$H$300,MATCH($I14,CONFIGURACOES!$B$37:$B$300,0)),"")</f>
        <v/>
      </c>
      <c r="L14" s="20" t="n"/>
      <c r="M14" s="20">
        <f>IFERROR(INDEX(CONFIGURACOES!$I$37:$I$300,MATCH($I14,CONFIGURACOES!$B$37:$B$300,0)),"")</f>
        <v/>
      </c>
      <c r="N14" s="21" t="n"/>
      <c r="O14" s="21" t="n"/>
      <c r="P14" s="21" t="n"/>
      <c r="Q14" s="21" t="n"/>
      <c r="R14" s="21">
        <f>IF($N14="","",$N14*IF($Q14="",1,$Q14)*IF($P14="",1,$P14)*IF($O14="",1,$O14))</f>
        <v/>
      </c>
      <c r="S14" s="22">
        <f>IFERROR(INDEX(CONFIGURACOES!$J$37:$J$300,MATCH($I14,CONFIGURACOES!$B$37:$B$300,0)),"")</f>
        <v/>
      </c>
      <c r="T14" s="22">
        <f>IF(OR($R14="",$S14=""),"",$R14*$S14)</f>
        <v/>
      </c>
      <c r="U14" s="20" t="n"/>
      <c r="V14" s="20" t="n"/>
      <c r="W14" s="20" t="n"/>
      <c r="X14">
        <f>IF($A14="","",$A14&amp;"|"&amp;$C14&amp;"|"&amp;$I14)</f>
        <v/>
      </c>
      <c r="Y14">
        <f>IF(AND($A14=RELATORIO_MEDICAO!$C$5,$C14=RELATORIO_MEDICAO!$F$5,$A14&lt;&gt;""),COUNTIFS($A$3:$A14,RELATORIO_MEDICAO!$C$5,$C$3:$C14,RELATORIO_MEDICAO!$F$5),"")</f>
        <v/>
      </c>
      <c r="Z14">
        <f>IF(OR($A14="",PESQUISA!$C$4=""),0,IF(OR(ISNUMBER(SEARCH(PESQUISA!$C$4,$G14)),ISNUMBER(SEARCH(PESQUISA!$C$4,$K14)),ISNUMBER(SEARCH(PESQUISA!$C$4,$L14))),1,0))</f>
        <v/>
      </c>
      <c r="AA14">
        <f>IF($Z14=1,SUM($Z$3:$Z14),"")</f>
        <v/>
      </c>
      <c r="AB14">
        <f>IF(OR($A14="",PESQUISA!$C$50=""),0,IF(ISNUMBER(SEARCH(PESQUISA!$C$50,$I14)),1,0))</f>
        <v/>
      </c>
      <c r="AC14">
        <f>IF($AB14=1,SUM($AB$3:$AB14),"")</f>
        <v/>
      </c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>
        <f>IFERROR(INDEX(CONFIGURACOES!$G$37:$G$300,MATCH($I15,CONFIGURACOES!$B$37:$B$300,0)),"")</f>
        <v/>
      </c>
      <c r="K15" s="20">
        <f>IFERROR(INDEX(CONFIGURACOES!$H$37:$H$300,MATCH($I15,CONFIGURACOES!$B$37:$B$300,0)),"")</f>
        <v/>
      </c>
      <c r="L15" s="20" t="n"/>
      <c r="M15" s="20">
        <f>IFERROR(INDEX(CONFIGURACOES!$I$37:$I$300,MATCH($I15,CONFIGURACOES!$B$37:$B$300,0)),"")</f>
        <v/>
      </c>
      <c r="N15" s="21" t="n"/>
      <c r="O15" s="21" t="n"/>
      <c r="P15" s="21" t="n"/>
      <c r="Q15" s="21" t="n"/>
      <c r="R15" s="21">
        <f>IF($N15="","",$N15*IF($Q15="",1,$Q15)*IF($P15="",1,$P15)*IF($O15="",1,$O15))</f>
        <v/>
      </c>
      <c r="S15" s="22">
        <f>IFERROR(INDEX(CONFIGURACOES!$J$37:$J$300,MATCH($I15,CONFIGURACOES!$B$37:$B$300,0)),"")</f>
        <v/>
      </c>
      <c r="T15" s="22">
        <f>IF(OR($R15="",$S15=""),"",$R15*$S15)</f>
        <v/>
      </c>
      <c r="U15" s="20" t="n"/>
      <c r="V15" s="20" t="n"/>
      <c r="W15" s="20" t="n"/>
      <c r="X15">
        <f>IF($A15="","",$A15&amp;"|"&amp;$C15&amp;"|"&amp;$I15)</f>
        <v/>
      </c>
      <c r="Y15">
        <f>IF(AND($A15=RELATORIO_MEDICAO!$C$5,$C15=RELATORIO_MEDICAO!$F$5,$A15&lt;&gt;""),COUNTIFS($A$3:$A15,RELATORIO_MEDICAO!$C$5,$C$3:$C15,RELATORIO_MEDICAO!$F$5),"")</f>
        <v/>
      </c>
      <c r="Z15">
        <f>IF(OR($A15="",PESQUISA!$C$4=""),0,IF(OR(ISNUMBER(SEARCH(PESQUISA!$C$4,$G15)),ISNUMBER(SEARCH(PESQUISA!$C$4,$K15)),ISNUMBER(SEARCH(PESQUISA!$C$4,$L15))),1,0))</f>
        <v/>
      </c>
      <c r="AA15">
        <f>IF($Z15=1,SUM($Z$3:$Z15),"")</f>
        <v/>
      </c>
      <c r="AB15">
        <f>IF(OR($A15="",PESQUISA!$C$50=""),0,IF(ISNUMBER(SEARCH(PESQUISA!$C$50,$I15)),1,0))</f>
        <v/>
      </c>
      <c r="AC15">
        <f>IF($AB15=1,SUM($AB$3:$AB15),"")</f>
        <v/>
      </c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>
        <f>IFERROR(INDEX(CONFIGURACOES!$G$37:$G$300,MATCH($I16,CONFIGURACOES!$B$37:$B$300,0)),"")</f>
        <v/>
      </c>
      <c r="K16" s="20">
        <f>IFERROR(INDEX(CONFIGURACOES!$H$37:$H$300,MATCH($I16,CONFIGURACOES!$B$37:$B$300,0)),"")</f>
        <v/>
      </c>
      <c r="L16" s="20" t="n"/>
      <c r="M16" s="20">
        <f>IFERROR(INDEX(CONFIGURACOES!$I$37:$I$300,MATCH($I16,CONFIGURACOES!$B$37:$B$300,0)),"")</f>
        <v/>
      </c>
      <c r="N16" s="21" t="n"/>
      <c r="O16" s="21" t="n"/>
      <c r="P16" s="21" t="n"/>
      <c r="Q16" s="21" t="n"/>
      <c r="R16" s="21">
        <f>IF($N16="","",$N16*IF($Q16="",1,$Q16)*IF($P16="",1,$P16)*IF($O16="",1,$O16))</f>
        <v/>
      </c>
      <c r="S16" s="22">
        <f>IFERROR(INDEX(CONFIGURACOES!$J$37:$J$300,MATCH($I16,CONFIGURACOES!$B$37:$B$300,0)),"")</f>
        <v/>
      </c>
      <c r="T16" s="22">
        <f>IF(OR($R16="",$S16=""),"",$R16*$S16)</f>
        <v/>
      </c>
      <c r="U16" s="20" t="n"/>
      <c r="V16" s="20" t="n"/>
      <c r="W16" s="20" t="n"/>
      <c r="X16">
        <f>IF($A16="","",$A16&amp;"|"&amp;$C16&amp;"|"&amp;$I16)</f>
        <v/>
      </c>
      <c r="Y16">
        <f>IF(AND($A16=RELATORIO_MEDICAO!$C$5,$C16=RELATORIO_MEDICAO!$F$5,$A16&lt;&gt;""),COUNTIFS($A$3:$A16,RELATORIO_MEDICAO!$C$5,$C$3:$C16,RELATORIO_MEDICAO!$F$5),"")</f>
        <v/>
      </c>
      <c r="Z16">
        <f>IF(OR($A16="",PESQUISA!$C$4=""),0,IF(OR(ISNUMBER(SEARCH(PESQUISA!$C$4,$G16)),ISNUMBER(SEARCH(PESQUISA!$C$4,$K16)),ISNUMBER(SEARCH(PESQUISA!$C$4,$L16))),1,0))</f>
        <v/>
      </c>
      <c r="AA16">
        <f>IF($Z16=1,SUM($Z$3:$Z16),"")</f>
        <v/>
      </c>
      <c r="AB16">
        <f>IF(OR($A16="",PESQUISA!$C$50=""),0,IF(ISNUMBER(SEARCH(PESQUISA!$C$50,$I16)),1,0))</f>
        <v/>
      </c>
      <c r="AC16">
        <f>IF($AB16=1,SUM($AB$3:$AB16),"")</f>
        <v/>
      </c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>
        <f>IFERROR(INDEX(CONFIGURACOES!$G$37:$G$300,MATCH($I17,CONFIGURACOES!$B$37:$B$300,0)),"")</f>
        <v/>
      </c>
      <c r="K17" s="20">
        <f>IFERROR(INDEX(CONFIGURACOES!$H$37:$H$300,MATCH($I17,CONFIGURACOES!$B$37:$B$300,0)),"")</f>
        <v/>
      </c>
      <c r="L17" s="20" t="n"/>
      <c r="M17" s="20">
        <f>IFERROR(INDEX(CONFIGURACOES!$I$37:$I$300,MATCH($I17,CONFIGURACOES!$B$37:$B$300,0)),"")</f>
        <v/>
      </c>
      <c r="N17" s="21" t="n"/>
      <c r="O17" s="21" t="n"/>
      <c r="P17" s="21" t="n"/>
      <c r="Q17" s="21" t="n"/>
      <c r="R17" s="21">
        <f>IF($N17="","",$N17*IF($Q17="",1,$Q17)*IF($P17="",1,$P17)*IF($O17="",1,$O17))</f>
        <v/>
      </c>
      <c r="S17" s="22">
        <f>IFERROR(INDEX(CONFIGURACOES!$J$37:$J$300,MATCH($I17,CONFIGURACOES!$B$37:$B$300,0)),"")</f>
        <v/>
      </c>
      <c r="T17" s="22">
        <f>IF(OR($R17="",$S17=""),"",$R17*$S17)</f>
        <v/>
      </c>
      <c r="U17" s="20" t="n"/>
      <c r="V17" s="20" t="n"/>
      <c r="W17" s="20" t="n"/>
      <c r="X17">
        <f>IF($A17="","",$A17&amp;"|"&amp;$C17&amp;"|"&amp;$I17)</f>
        <v/>
      </c>
      <c r="Y17">
        <f>IF(AND($A17=RELATORIO_MEDICAO!$C$5,$C17=RELATORIO_MEDICAO!$F$5,$A17&lt;&gt;""),COUNTIFS($A$3:$A17,RELATORIO_MEDICAO!$C$5,$C$3:$C17,RELATORIO_MEDICAO!$F$5),"")</f>
        <v/>
      </c>
      <c r="Z17">
        <f>IF(OR($A17="",PESQUISA!$C$4=""),0,IF(OR(ISNUMBER(SEARCH(PESQUISA!$C$4,$G17)),ISNUMBER(SEARCH(PESQUISA!$C$4,$K17)),ISNUMBER(SEARCH(PESQUISA!$C$4,$L17))),1,0))</f>
        <v/>
      </c>
      <c r="AA17">
        <f>IF($Z17=1,SUM($Z$3:$Z17),"")</f>
        <v/>
      </c>
      <c r="AB17">
        <f>IF(OR($A17="",PESQUISA!$C$50=""),0,IF(ISNUMBER(SEARCH(PESQUISA!$C$50,$I17)),1,0))</f>
        <v/>
      </c>
      <c r="AC17">
        <f>IF($AB17=1,SUM($AB$3:$AB17),"")</f>
        <v/>
      </c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>
        <f>IFERROR(INDEX(CONFIGURACOES!$G$37:$G$300,MATCH($I18,CONFIGURACOES!$B$37:$B$300,0)),"")</f>
        <v/>
      </c>
      <c r="K18" s="20">
        <f>IFERROR(INDEX(CONFIGURACOES!$H$37:$H$300,MATCH($I18,CONFIGURACOES!$B$37:$B$300,0)),"")</f>
        <v/>
      </c>
      <c r="L18" s="20" t="n"/>
      <c r="M18" s="20">
        <f>IFERROR(INDEX(CONFIGURACOES!$I$37:$I$300,MATCH($I18,CONFIGURACOES!$B$37:$B$300,0)),"")</f>
        <v/>
      </c>
      <c r="N18" s="21" t="n"/>
      <c r="O18" s="21" t="n"/>
      <c r="P18" s="21" t="n"/>
      <c r="Q18" s="21" t="n"/>
      <c r="R18" s="21">
        <f>IF($N18="","",$N18*IF($Q18="",1,$Q18)*IF($P18="",1,$P18)*IF($O18="",1,$O18))</f>
        <v/>
      </c>
      <c r="S18" s="22">
        <f>IFERROR(INDEX(CONFIGURACOES!$J$37:$J$300,MATCH($I18,CONFIGURACOES!$B$37:$B$300,0)),"")</f>
        <v/>
      </c>
      <c r="T18" s="22">
        <f>IF(OR($R18="",$S18=""),"",$R18*$S18)</f>
        <v/>
      </c>
      <c r="U18" s="20" t="n"/>
      <c r="V18" s="20" t="n"/>
      <c r="W18" s="20" t="n"/>
      <c r="X18">
        <f>IF($A18="","",$A18&amp;"|"&amp;$C18&amp;"|"&amp;$I18)</f>
        <v/>
      </c>
      <c r="Y18">
        <f>IF(AND($A18=RELATORIO_MEDICAO!$C$5,$C18=RELATORIO_MEDICAO!$F$5,$A18&lt;&gt;""),COUNTIFS($A$3:$A18,RELATORIO_MEDICAO!$C$5,$C$3:$C18,RELATORIO_MEDICAO!$F$5),"")</f>
        <v/>
      </c>
      <c r="Z18">
        <f>IF(OR($A18="",PESQUISA!$C$4=""),0,IF(OR(ISNUMBER(SEARCH(PESQUISA!$C$4,$G18)),ISNUMBER(SEARCH(PESQUISA!$C$4,$K18)),ISNUMBER(SEARCH(PESQUISA!$C$4,$L18))),1,0))</f>
        <v/>
      </c>
      <c r="AA18">
        <f>IF($Z18=1,SUM($Z$3:$Z18),"")</f>
        <v/>
      </c>
      <c r="AB18">
        <f>IF(OR($A18="",PESQUISA!$C$50=""),0,IF(ISNUMBER(SEARCH(PESQUISA!$C$50,$I18)),1,0))</f>
        <v/>
      </c>
      <c r="AC18">
        <f>IF($AB18=1,SUM($AB$3:$AB18),"")</f>
        <v/>
      </c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>
        <f>IFERROR(INDEX(CONFIGURACOES!$G$37:$G$300,MATCH($I19,CONFIGURACOES!$B$37:$B$300,0)),"")</f>
        <v/>
      </c>
      <c r="K19" s="20">
        <f>IFERROR(INDEX(CONFIGURACOES!$H$37:$H$300,MATCH($I19,CONFIGURACOES!$B$37:$B$300,0)),"")</f>
        <v/>
      </c>
      <c r="L19" s="20" t="n"/>
      <c r="M19" s="20">
        <f>IFERROR(INDEX(CONFIGURACOES!$I$37:$I$300,MATCH($I19,CONFIGURACOES!$B$37:$B$300,0)),"")</f>
        <v/>
      </c>
      <c r="N19" s="21" t="n"/>
      <c r="O19" s="21" t="n"/>
      <c r="P19" s="21" t="n"/>
      <c r="Q19" s="21" t="n"/>
      <c r="R19" s="21">
        <f>IF($N19="","",$N19*IF($Q19="",1,$Q19)*IF($P19="",1,$P19)*IF($O19="",1,$O19))</f>
        <v/>
      </c>
      <c r="S19" s="22">
        <f>IFERROR(INDEX(CONFIGURACOES!$J$37:$J$300,MATCH($I19,CONFIGURACOES!$B$37:$B$300,0)),"")</f>
        <v/>
      </c>
      <c r="T19" s="22">
        <f>IF(OR($R19="",$S19=""),"",$R19*$S19)</f>
        <v/>
      </c>
      <c r="U19" s="20" t="n"/>
      <c r="V19" s="20" t="n"/>
      <c r="W19" s="20" t="n"/>
      <c r="X19">
        <f>IF($A19="","",$A19&amp;"|"&amp;$C19&amp;"|"&amp;$I19)</f>
        <v/>
      </c>
      <c r="Y19">
        <f>IF(AND($A19=RELATORIO_MEDICAO!$C$5,$C19=RELATORIO_MEDICAO!$F$5,$A19&lt;&gt;""),COUNTIFS($A$3:$A19,RELATORIO_MEDICAO!$C$5,$C$3:$C19,RELATORIO_MEDICAO!$F$5),"")</f>
        <v/>
      </c>
      <c r="Z19">
        <f>IF(OR($A19="",PESQUISA!$C$4=""),0,IF(OR(ISNUMBER(SEARCH(PESQUISA!$C$4,$G19)),ISNUMBER(SEARCH(PESQUISA!$C$4,$K19)),ISNUMBER(SEARCH(PESQUISA!$C$4,$L19))),1,0))</f>
        <v/>
      </c>
      <c r="AA19">
        <f>IF($Z19=1,SUM($Z$3:$Z19),"")</f>
        <v/>
      </c>
      <c r="AB19">
        <f>IF(OR($A19="",PESQUISA!$C$50=""),0,IF(ISNUMBER(SEARCH(PESQUISA!$C$50,$I19)),1,0))</f>
        <v/>
      </c>
      <c r="AC19">
        <f>IF($AB19=1,SUM($AB$3:$AB19),"")</f>
        <v/>
      </c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>
        <f>IFERROR(INDEX(CONFIGURACOES!$G$37:$G$300,MATCH($I20,CONFIGURACOES!$B$37:$B$300,0)),"")</f>
        <v/>
      </c>
      <c r="K20" s="20">
        <f>IFERROR(INDEX(CONFIGURACOES!$H$37:$H$300,MATCH($I20,CONFIGURACOES!$B$37:$B$300,0)),"")</f>
        <v/>
      </c>
      <c r="L20" s="20" t="n"/>
      <c r="M20" s="20">
        <f>IFERROR(INDEX(CONFIGURACOES!$I$37:$I$300,MATCH($I20,CONFIGURACOES!$B$37:$B$300,0)),"")</f>
        <v/>
      </c>
      <c r="N20" s="21" t="n"/>
      <c r="O20" s="21" t="n"/>
      <c r="P20" s="21" t="n"/>
      <c r="Q20" s="21" t="n"/>
      <c r="R20" s="21">
        <f>IF($N20="","",$N20*IF($Q20="",1,$Q20)*IF($P20="",1,$P20)*IF($O20="",1,$O20))</f>
        <v/>
      </c>
      <c r="S20" s="22">
        <f>IFERROR(INDEX(CONFIGURACOES!$J$37:$J$300,MATCH($I20,CONFIGURACOES!$B$37:$B$300,0)),"")</f>
        <v/>
      </c>
      <c r="T20" s="22">
        <f>IF(OR($R20="",$S20=""),"",$R20*$S20)</f>
        <v/>
      </c>
      <c r="U20" s="20" t="n"/>
      <c r="V20" s="20" t="n"/>
      <c r="W20" s="20" t="n"/>
      <c r="X20">
        <f>IF($A20="","",$A20&amp;"|"&amp;$C20&amp;"|"&amp;$I20)</f>
        <v/>
      </c>
      <c r="Y20">
        <f>IF(AND($A20=RELATORIO_MEDICAO!$C$5,$C20=RELATORIO_MEDICAO!$F$5,$A20&lt;&gt;""),COUNTIFS($A$3:$A20,RELATORIO_MEDICAO!$C$5,$C$3:$C20,RELATORIO_MEDICAO!$F$5),"")</f>
        <v/>
      </c>
      <c r="Z20">
        <f>IF(OR($A20="",PESQUISA!$C$4=""),0,IF(OR(ISNUMBER(SEARCH(PESQUISA!$C$4,$G20)),ISNUMBER(SEARCH(PESQUISA!$C$4,$K20)),ISNUMBER(SEARCH(PESQUISA!$C$4,$L20))),1,0))</f>
        <v/>
      </c>
      <c r="AA20">
        <f>IF($Z20=1,SUM($Z$3:$Z20),"")</f>
        <v/>
      </c>
      <c r="AB20">
        <f>IF(OR($A20="",PESQUISA!$C$50=""),0,IF(ISNUMBER(SEARCH(PESQUISA!$C$50,$I20)),1,0))</f>
        <v/>
      </c>
      <c r="AC20">
        <f>IF($AB20=1,SUM($AB$3:$AB20),"")</f>
        <v/>
      </c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>
        <f>IFERROR(INDEX(CONFIGURACOES!$G$37:$G$300,MATCH($I21,CONFIGURACOES!$B$37:$B$300,0)),"")</f>
        <v/>
      </c>
      <c r="K21" s="20">
        <f>IFERROR(INDEX(CONFIGURACOES!$H$37:$H$300,MATCH($I21,CONFIGURACOES!$B$37:$B$300,0)),"")</f>
        <v/>
      </c>
      <c r="L21" s="20" t="n"/>
      <c r="M21" s="20">
        <f>IFERROR(INDEX(CONFIGURACOES!$I$37:$I$300,MATCH($I21,CONFIGURACOES!$B$37:$B$300,0)),"")</f>
        <v/>
      </c>
      <c r="N21" s="21" t="n"/>
      <c r="O21" s="21" t="n"/>
      <c r="P21" s="21" t="n"/>
      <c r="Q21" s="21" t="n"/>
      <c r="R21" s="21">
        <f>IF($N21="","",$N21*IF($Q21="",1,$Q21)*IF($P21="",1,$P21)*IF($O21="",1,$O21))</f>
        <v/>
      </c>
      <c r="S21" s="22">
        <f>IFERROR(INDEX(CONFIGURACOES!$J$37:$J$300,MATCH($I21,CONFIGURACOES!$B$37:$B$300,0)),"")</f>
        <v/>
      </c>
      <c r="T21" s="22">
        <f>IF(OR($R21="",$S21=""),"",$R21*$S21)</f>
        <v/>
      </c>
      <c r="U21" s="20" t="n"/>
      <c r="V21" s="20" t="n"/>
      <c r="W21" s="20" t="n"/>
      <c r="X21">
        <f>IF($A21="","",$A21&amp;"|"&amp;$C21&amp;"|"&amp;$I21)</f>
        <v/>
      </c>
      <c r="Y21">
        <f>IF(AND($A21=RELATORIO_MEDICAO!$C$5,$C21=RELATORIO_MEDICAO!$F$5,$A21&lt;&gt;""),COUNTIFS($A$3:$A21,RELATORIO_MEDICAO!$C$5,$C$3:$C21,RELATORIO_MEDICAO!$F$5),"")</f>
        <v/>
      </c>
      <c r="Z21">
        <f>IF(OR($A21="",PESQUISA!$C$4=""),0,IF(OR(ISNUMBER(SEARCH(PESQUISA!$C$4,$G21)),ISNUMBER(SEARCH(PESQUISA!$C$4,$K21)),ISNUMBER(SEARCH(PESQUISA!$C$4,$L21))),1,0))</f>
        <v/>
      </c>
      <c r="AA21">
        <f>IF($Z21=1,SUM($Z$3:$Z21),"")</f>
        <v/>
      </c>
      <c r="AB21">
        <f>IF(OR($A21="",PESQUISA!$C$50=""),0,IF(ISNUMBER(SEARCH(PESQUISA!$C$50,$I21)),1,0))</f>
        <v/>
      </c>
      <c r="AC21">
        <f>IF($AB21=1,SUM($AB$3:$AB21),"")</f>
        <v/>
      </c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>
        <f>IFERROR(INDEX(CONFIGURACOES!$G$37:$G$300,MATCH($I22,CONFIGURACOES!$B$37:$B$300,0)),"")</f>
        <v/>
      </c>
      <c r="K22" s="20">
        <f>IFERROR(INDEX(CONFIGURACOES!$H$37:$H$300,MATCH($I22,CONFIGURACOES!$B$37:$B$300,0)),"")</f>
        <v/>
      </c>
      <c r="L22" s="20" t="n"/>
      <c r="M22" s="20">
        <f>IFERROR(INDEX(CONFIGURACOES!$I$37:$I$300,MATCH($I22,CONFIGURACOES!$B$37:$B$300,0)),"")</f>
        <v/>
      </c>
      <c r="N22" s="21" t="n"/>
      <c r="O22" s="21" t="n"/>
      <c r="P22" s="21" t="n"/>
      <c r="Q22" s="21" t="n"/>
      <c r="R22" s="21">
        <f>IF($N22="","",$N22*IF($Q22="",1,$Q22)*IF($P22="",1,$P22)*IF($O22="",1,$O22))</f>
        <v/>
      </c>
      <c r="S22" s="22">
        <f>IFERROR(INDEX(CONFIGURACOES!$J$37:$J$300,MATCH($I22,CONFIGURACOES!$B$37:$B$300,0)),"")</f>
        <v/>
      </c>
      <c r="T22" s="22">
        <f>IF(OR($R22="",$S22=""),"",$R22*$S22)</f>
        <v/>
      </c>
      <c r="U22" s="20" t="n"/>
      <c r="V22" s="20" t="n"/>
      <c r="W22" s="20" t="n"/>
      <c r="X22">
        <f>IF($A22="","",$A22&amp;"|"&amp;$C22&amp;"|"&amp;$I22)</f>
        <v/>
      </c>
      <c r="Y22">
        <f>IF(AND($A22=RELATORIO_MEDICAO!$C$5,$C22=RELATORIO_MEDICAO!$F$5,$A22&lt;&gt;""),COUNTIFS($A$3:$A22,RELATORIO_MEDICAO!$C$5,$C$3:$C22,RELATORIO_MEDICAO!$F$5),"")</f>
        <v/>
      </c>
      <c r="Z22">
        <f>IF(OR($A22="",PESQUISA!$C$4=""),0,IF(OR(ISNUMBER(SEARCH(PESQUISA!$C$4,$G22)),ISNUMBER(SEARCH(PESQUISA!$C$4,$K22)),ISNUMBER(SEARCH(PESQUISA!$C$4,$L22))),1,0))</f>
        <v/>
      </c>
      <c r="AA22">
        <f>IF($Z22=1,SUM($Z$3:$Z22),"")</f>
        <v/>
      </c>
      <c r="AB22">
        <f>IF(OR($A22="",PESQUISA!$C$50=""),0,IF(ISNUMBER(SEARCH(PESQUISA!$C$50,$I22)),1,0))</f>
        <v/>
      </c>
      <c r="AC22">
        <f>IF($AB22=1,SUM($AB$3:$AB22),"")</f>
        <v/>
      </c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>
        <f>IFERROR(INDEX(CONFIGURACOES!$G$37:$G$300,MATCH($I23,CONFIGURACOES!$B$37:$B$300,0)),"")</f>
        <v/>
      </c>
      <c r="K23" s="20">
        <f>IFERROR(INDEX(CONFIGURACOES!$H$37:$H$300,MATCH($I23,CONFIGURACOES!$B$37:$B$300,0)),"")</f>
        <v/>
      </c>
      <c r="L23" s="20" t="n"/>
      <c r="M23" s="20">
        <f>IFERROR(INDEX(CONFIGURACOES!$I$37:$I$300,MATCH($I23,CONFIGURACOES!$B$37:$B$300,0)),"")</f>
        <v/>
      </c>
      <c r="N23" s="21" t="n"/>
      <c r="O23" s="21" t="n"/>
      <c r="P23" s="21" t="n"/>
      <c r="Q23" s="21" t="n"/>
      <c r="R23" s="21">
        <f>IF($N23="","",$N23*IF($Q23="",1,$Q23)*IF($P23="",1,$P23)*IF($O23="",1,$O23))</f>
        <v/>
      </c>
      <c r="S23" s="22">
        <f>IFERROR(INDEX(CONFIGURACOES!$J$37:$J$300,MATCH($I23,CONFIGURACOES!$B$37:$B$300,0)),"")</f>
        <v/>
      </c>
      <c r="T23" s="22">
        <f>IF(OR($R23="",$S23=""),"",$R23*$S23)</f>
        <v/>
      </c>
      <c r="U23" s="20" t="n"/>
      <c r="V23" s="20" t="n"/>
      <c r="W23" s="20" t="n"/>
      <c r="X23">
        <f>IF($A23="","",$A23&amp;"|"&amp;$C23&amp;"|"&amp;$I23)</f>
        <v/>
      </c>
      <c r="Y23">
        <f>IF(AND($A23=RELATORIO_MEDICAO!$C$5,$C23=RELATORIO_MEDICAO!$F$5,$A23&lt;&gt;""),COUNTIFS($A$3:$A23,RELATORIO_MEDICAO!$C$5,$C$3:$C23,RELATORIO_MEDICAO!$F$5),"")</f>
        <v/>
      </c>
      <c r="Z23">
        <f>IF(OR($A23="",PESQUISA!$C$4=""),0,IF(OR(ISNUMBER(SEARCH(PESQUISA!$C$4,$G23)),ISNUMBER(SEARCH(PESQUISA!$C$4,$K23)),ISNUMBER(SEARCH(PESQUISA!$C$4,$L23))),1,0))</f>
        <v/>
      </c>
      <c r="AA23">
        <f>IF($Z23=1,SUM($Z$3:$Z23),"")</f>
        <v/>
      </c>
      <c r="AB23">
        <f>IF(OR($A23="",PESQUISA!$C$50=""),0,IF(ISNUMBER(SEARCH(PESQUISA!$C$50,$I23)),1,0))</f>
        <v/>
      </c>
      <c r="AC23">
        <f>IF($AB23=1,SUM($AB$3:$AB23),"")</f>
        <v/>
      </c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>
        <f>IFERROR(INDEX(CONFIGURACOES!$G$37:$G$300,MATCH($I24,CONFIGURACOES!$B$37:$B$300,0)),"")</f>
        <v/>
      </c>
      <c r="K24" s="20">
        <f>IFERROR(INDEX(CONFIGURACOES!$H$37:$H$300,MATCH($I24,CONFIGURACOES!$B$37:$B$300,0)),"")</f>
        <v/>
      </c>
      <c r="L24" s="20" t="n"/>
      <c r="M24" s="20">
        <f>IFERROR(INDEX(CONFIGURACOES!$I$37:$I$300,MATCH($I24,CONFIGURACOES!$B$37:$B$300,0)),"")</f>
        <v/>
      </c>
      <c r="N24" s="21" t="n"/>
      <c r="O24" s="21" t="n"/>
      <c r="P24" s="21" t="n"/>
      <c r="Q24" s="21" t="n"/>
      <c r="R24" s="21">
        <f>IF($N24="","",$N24*IF($Q24="",1,$Q24)*IF($P24="",1,$P24)*IF($O24="",1,$O24))</f>
        <v/>
      </c>
      <c r="S24" s="22">
        <f>IFERROR(INDEX(CONFIGURACOES!$J$37:$J$300,MATCH($I24,CONFIGURACOES!$B$37:$B$300,0)),"")</f>
        <v/>
      </c>
      <c r="T24" s="22">
        <f>IF(OR($R24="",$S24=""),"",$R24*$S24)</f>
        <v/>
      </c>
      <c r="U24" s="20" t="n"/>
      <c r="V24" s="20" t="n"/>
      <c r="W24" s="20" t="n"/>
      <c r="X24">
        <f>IF($A24="","",$A24&amp;"|"&amp;$C24&amp;"|"&amp;$I24)</f>
        <v/>
      </c>
      <c r="Y24">
        <f>IF(AND($A24=RELATORIO_MEDICAO!$C$5,$C24=RELATORIO_MEDICAO!$F$5,$A24&lt;&gt;""),COUNTIFS($A$3:$A24,RELATORIO_MEDICAO!$C$5,$C$3:$C24,RELATORIO_MEDICAO!$F$5),"")</f>
        <v/>
      </c>
      <c r="Z24">
        <f>IF(OR($A24="",PESQUISA!$C$4=""),0,IF(OR(ISNUMBER(SEARCH(PESQUISA!$C$4,$G24)),ISNUMBER(SEARCH(PESQUISA!$C$4,$K24)),ISNUMBER(SEARCH(PESQUISA!$C$4,$L24))),1,0))</f>
        <v/>
      </c>
      <c r="AA24">
        <f>IF($Z24=1,SUM($Z$3:$Z24),"")</f>
        <v/>
      </c>
      <c r="AB24">
        <f>IF(OR($A24="",PESQUISA!$C$50=""),0,IF(ISNUMBER(SEARCH(PESQUISA!$C$50,$I24)),1,0))</f>
        <v/>
      </c>
      <c r="AC24">
        <f>IF($AB24=1,SUM($AB$3:$AB24),"")</f>
        <v/>
      </c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>
        <f>IFERROR(INDEX(CONFIGURACOES!$G$37:$G$300,MATCH($I25,CONFIGURACOES!$B$37:$B$300,0)),"")</f>
        <v/>
      </c>
      <c r="K25" s="20">
        <f>IFERROR(INDEX(CONFIGURACOES!$H$37:$H$300,MATCH($I25,CONFIGURACOES!$B$37:$B$300,0)),"")</f>
        <v/>
      </c>
      <c r="L25" s="20" t="n"/>
      <c r="M25" s="20">
        <f>IFERROR(INDEX(CONFIGURACOES!$I$37:$I$300,MATCH($I25,CONFIGURACOES!$B$37:$B$300,0)),"")</f>
        <v/>
      </c>
      <c r="N25" s="21" t="n"/>
      <c r="O25" s="21" t="n"/>
      <c r="P25" s="21" t="n"/>
      <c r="Q25" s="21" t="n"/>
      <c r="R25" s="21">
        <f>IF($N25="","",$N25*IF($Q25="",1,$Q25)*IF($P25="",1,$P25)*IF($O25="",1,$O25))</f>
        <v/>
      </c>
      <c r="S25" s="22">
        <f>IFERROR(INDEX(CONFIGURACOES!$J$37:$J$300,MATCH($I25,CONFIGURACOES!$B$37:$B$300,0)),"")</f>
        <v/>
      </c>
      <c r="T25" s="22">
        <f>IF(OR($R25="",$S25=""),"",$R25*$S25)</f>
        <v/>
      </c>
      <c r="U25" s="20" t="n"/>
      <c r="V25" s="20" t="n"/>
      <c r="W25" s="20" t="n"/>
      <c r="X25">
        <f>IF($A25="","",$A25&amp;"|"&amp;$C25&amp;"|"&amp;$I25)</f>
        <v/>
      </c>
      <c r="Y25">
        <f>IF(AND($A25=RELATORIO_MEDICAO!$C$5,$C25=RELATORIO_MEDICAO!$F$5,$A25&lt;&gt;""),COUNTIFS($A$3:$A25,RELATORIO_MEDICAO!$C$5,$C$3:$C25,RELATORIO_MEDICAO!$F$5),"")</f>
        <v/>
      </c>
      <c r="Z25">
        <f>IF(OR($A25="",PESQUISA!$C$4=""),0,IF(OR(ISNUMBER(SEARCH(PESQUISA!$C$4,$G25)),ISNUMBER(SEARCH(PESQUISA!$C$4,$K25)),ISNUMBER(SEARCH(PESQUISA!$C$4,$L25))),1,0))</f>
        <v/>
      </c>
      <c r="AA25">
        <f>IF($Z25=1,SUM($Z$3:$Z25),"")</f>
        <v/>
      </c>
      <c r="AB25">
        <f>IF(OR($A25="",PESQUISA!$C$50=""),0,IF(ISNUMBER(SEARCH(PESQUISA!$C$50,$I25)),1,0))</f>
        <v/>
      </c>
      <c r="AC25">
        <f>IF($AB25=1,SUM($AB$3:$AB25),"")</f>
        <v/>
      </c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>
        <f>IFERROR(INDEX(CONFIGURACOES!$G$37:$G$300,MATCH($I26,CONFIGURACOES!$B$37:$B$300,0)),"")</f>
        <v/>
      </c>
      <c r="K26" s="20">
        <f>IFERROR(INDEX(CONFIGURACOES!$H$37:$H$300,MATCH($I26,CONFIGURACOES!$B$37:$B$300,0)),"")</f>
        <v/>
      </c>
      <c r="L26" s="20" t="n"/>
      <c r="M26" s="20">
        <f>IFERROR(INDEX(CONFIGURACOES!$I$37:$I$300,MATCH($I26,CONFIGURACOES!$B$37:$B$300,0)),"")</f>
        <v/>
      </c>
      <c r="N26" s="21" t="n"/>
      <c r="O26" s="21" t="n"/>
      <c r="P26" s="21" t="n"/>
      <c r="Q26" s="21" t="n"/>
      <c r="R26" s="21">
        <f>IF($N26="","",$N26*IF($Q26="",1,$Q26)*IF($P26="",1,$P26)*IF($O26="",1,$O26))</f>
        <v/>
      </c>
      <c r="S26" s="22">
        <f>IFERROR(INDEX(CONFIGURACOES!$J$37:$J$300,MATCH($I26,CONFIGURACOES!$B$37:$B$300,0)),"")</f>
        <v/>
      </c>
      <c r="T26" s="22">
        <f>IF(OR($R26="",$S26=""),"",$R26*$S26)</f>
        <v/>
      </c>
      <c r="U26" s="20" t="n"/>
      <c r="V26" s="20" t="n"/>
      <c r="W26" s="20" t="n"/>
      <c r="X26">
        <f>IF($A26="","",$A26&amp;"|"&amp;$C26&amp;"|"&amp;$I26)</f>
        <v/>
      </c>
      <c r="Y26">
        <f>IF(AND($A26=RELATORIO_MEDICAO!$C$5,$C26=RELATORIO_MEDICAO!$F$5,$A26&lt;&gt;""),COUNTIFS($A$3:$A26,RELATORIO_MEDICAO!$C$5,$C$3:$C26,RELATORIO_MEDICAO!$F$5),"")</f>
        <v/>
      </c>
      <c r="Z26">
        <f>IF(OR($A26="",PESQUISA!$C$4=""),0,IF(OR(ISNUMBER(SEARCH(PESQUISA!$C$4,$G26)),ISNUMBER(SEARCH(PESQUISA!$C$4,$K26)),ISNUMBER(SEARCH(PESQUISA!$C$4,$L26))),1,0))</f>
        <v/>
      </c>
      <c r="AA26">
        <f>IF($Z26=1,SUM($Z$3:$Z26),"")</f>
        <v/>
      </c>
      <c r="AB26">
        <f>IF(OR($A26="",PESQUISA!$C$50=""),0,IF(ISNUMBER(SEARCH(PESQUISA!$C$50,$I26)),1,0))</f>
        <v/>
      </c>
      <c r="AC26">
        <f>IF($AB26=1,SUM($AB$3:$AB26),"")</f>
        <v/>
      </c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>
        <f>IFERROR(INDEX(CONFIGURACOES!$G$37:$G$300,MATCH($I27,CONFIGURACOES!$B$37:$B$300,0)),"")</f>
        <v/>
      </c>
      <c r="K27" s="20">
        <f>IFERROR(INDEX(CONFIGURACOES!$H$37:$H$300,MATCH($I27,CONFIGURACOES!$B$37:$B$300,0)),"")</f>
        <v/>
      </c>
      <c r="L27" s="20" t="n"/>
      <c r="M27" s="20">
        <f>IFERROR(INDEX(CONFIGURACOES!$I$37:$I$300,MATCH($I27,CONFIGURACOES!$B$37:$B$300,0)),"")</f>
        <v/>
      </c>
      <c r="N27" s="21" t="n"/>
      <c r="O27" s="21" t="n"/>
      <c r="P27" s="21" t="n"/>
      <c r="Q27" s="21" t="n"/>
      <c r="R27" s="21">
        <f>IF($N27="","",$N27*IF($Q27="",1,$Q27)*IF($P27="",1,$P27)*IF($O27="",1,$O27))</f>
        <v/>
      </c>
      <c r="S27" s="22">
        <f>IFERROR(INDEX(CONFIGURACOES!$J$37:$J$300,MATCH($I27,CONFIGURACOES!$B$37:$B$300,0)),"")</f>
        <v/>
      </c>
      <c r="T27" s="22">
        <f>IF(OR($R27="",$S27=""),"",$R27*$S27)</f>
        <v/>
      </c>
      <c r="U27" s="20" t="n"/>
      <c r="V27" s="20" t="n"/>
      <c r="W27" s="20" t="n"/>
      <c r="X27">
        <f>IF($A27="","",$A27&amp;"|"&amp;$C27&amp;"|"&amp;$I27)</f>
        <v/>
      </c>
      <c r="Y27">
        <f>IF(AND($A27=RELATORIO_MEDICAO!$C$5,$C27=RELATORIO_MEDICAO!$F$5,$A27&lt;&gt;""),COUNTIFS($A$3:$A27,RELATORIO_MEDICAO!$C$5,$C$3:$C27,RELATORIO_MEDICAO!$F$5),"")</f>
        <v/>
      </c>
      <c r="Z27">
        <f>IF(OR($A27="",PESQUISA!$C$4=""),0,IF(OR(ISNUMBER(SEARCH(PESQUISA!$C$4,$G27)),ISNUMBER(SEARCH(PESQUISA!$C$4,$K27)),ISNUMBER(SEARCH(PESQUISA!$C$4,$L27))),1,0))</f>
        <v/>
      </c>
      <c r="AA27">
        <f>IF($Z27=1,SUM($Z$3:$Z27),"")</f>
        <v/>
      </c>
      <c r="AB27">
        <f>IF(OR($A27="",PESQUISA!$C$50=""),0,IF(ISNUMBER(SEARCH(PESQUISA!$C$50,$I27)),1,0))</f>
        <v/>
      </c>
      <c r="AC27">
        <f>IF($AB27=1,SUM($AB$3:$AB27),"")</f>
        <v/>
      </c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>
        <f>IFERROR(INDEX(CONFIGURACOES!$G$37:$G$300,MATCH($I28,CONFIGURACOES!$B$37:$B$300,0)),"")</f>
        <v/>
      </c>
      <c r="K28" s="20">
        <f>IFERROR(INDEX(CONFIGURACOES!$H$37:$H$300,MATCH($I28,CONFIGURACOES!$B$37:$B$300,0)),"")</f>
        <v/>
      </c>
      <c r="L28" s="20" t="n"/>
      <c r="M28" s="20">
        <f>IFERROR(INDEX(CONFIGURACOES!$I$37:$I$300,MATCH($I28,CONFIGURACOES!$B$37:$B$300,0)),"")</f>
        <v/>
      </c>
      <c r="N28" s="21" t="n"/>
      <c r="O28" s="21" t="n"/>
      <c r="P28" s="21" t="n"/>
      <c r="Q28" s="21" t="n"/>
      <c r="R28" s="21">
        <f>IF($N28="","",$N28*IF($Q28="",1,$Q28)*IF($P28="",1,$P28)*IF($O28="",1,$O28))</f>
        <v/>
      </c>
      <c r="S28" s="22">
        <f>IFERROR(INDEX(CONFIGURACOES!$J$37:$J$300,MATCH($I28,CONFIGURACOES!$B$37:$B$300,0)),"")</f>
        <v/>
      </c>
      <c r="T28" s="22">
        <f>IF(OR($R28="",$S28=""),"",$R28*$S28)</f>
        <v/>
      </c>
      <c r="U28" s="20" t="n"/>
      <c r="V28" s="20" t="n"/>
      <c r="W28" s="20" t="n"/>
      <c r="X28">
        <f>IF($A28="","",$A28&amp;"|"&amp;$C28&amp;"|"&amp;$I28)</f>
        <v/>
      </c>
      <c r="Y28">
        <f>IF(AND($A28=RELATORIO_MEDICAO!$C$5,$C28=RELATORIO_MEDICAO!$F$5,$A28&lt;&gt;""),COUNTIFS($A$3:$A28,RELATORIO_MEDICAO!$C$5,$C$3:$C28,RELATORIO_MEDICAO!$F$5),"")</f>
        <v/>
      </c>
      <c r="Z28">
        <f>IF(OR($A28="",PESQUISA!$C$4=""),0,IF(OR(ISNUMBER(SEARCH(PESQUISA!$C$4,$G28)),ISNUMBER(SEARCH(PESQUISA!$C$4,$K28)),ISNUMBER(SEARCH(PESQUISA!$C$4,$L28))),1,0))</f>
        <v/>
      </c>
      <c r="AA28">
        <f>IF($Z28=1,SUM($Z$3:$Z28),"")</f>
        <v/>
      </c>
      <c r="AB28">
        <f>IF(OR($A28="",PESQUISA!$C$50=""),0,IF(ISNUMBER(SEARCH(PESQUISA!$C$50,$I28)),1,0))</f>
        <v/>
      </c>
      <c r="AC28">
        <f>IF($AB28=1,SUM($AB$3:$AB28),"")</f>
        <v/>
      </c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>
        <f>IFERROR(INDEX(CONFIGURACOES!$G$37:$G$300,MATCH($I29,CONFIGURACOES!$B$37:$B$300,0)),"")</f>
        <v/>
      </c>
      <c r="K29" s="20">
        <f>IFERROR(INDEX(CONFIGURACOES!$H$37:$H$300,MATCH($I29,CONFIGURACOES!$B$37:$B$300,0)),"")</f>
        <v/>
      </c>
      <c r="L29" s="20" t="n"/>
      <c r="M29" s="20">
        <f>IFERROR(INDEX(CONFIGURACOES!$I$37:$I$300,MATCH($I29,CONFIGURACOES!$B$37:$B$300,0)),"")</f>
        <v/>
      </c>
      <c r="N29" s="21" t="n"/>
      <c r="O29" s="21" t="n"/>
      <c r="P29" s="21" t="n"/>
      <c r="Q29" s="21" t="n"/>
      <c r="R29" s="21">
        <f>IF($N29="","",$N29*IF($Q29="",1,$Q29)*IF($P29="",1,$P29)*IF($O29="",1,$O29))</f>
        <v/>
      </c>
      <c r="S29" s="22">
        <f>IFERROR(INDEX(CONFIGURACOES!$J$37:$J$300,MATCH($I29,CONFIGURACOES!$B$37:$B$300,0)),"")</f>
        <v/>
      </c>
      <c r="T29" s="22">
        <f>IF(OR($R29="",$S29=""),"",$R29*$S29)</f>
        <v/>
      </c>
      <c r="U29" s="20" t="n"/>
      <c r="V29" s="20" t="n"/>
      <c r="W29" s="20" t="n"/>
      <c r="X29">
        <f>IF($A29="","",$A29&amp;"|"&amp;$C29&amp;"|"&amp;$I29)</f>
        <v/>
      </c>
      <c r="Y29">
        <f>IF(AND($A29=RELATORIO_MEDICAO!$C$5,$C29=RELATORIO_MEDICAO!$F$5,$A29&lt;&gt;""),COUNTIFS($A$3:$A29,RELATORIO_MEDICAO!$C$5,$C$3:$C29,RELATORIO_MEDICAO!$F$5),"")</f>
        <v/>
      </c>
      <c r="Z29">
        <f>IF(OR($A29="",PESQUISA!$C$4=""),0,IF(OR(ISNUMBER(SEARCH(PESQUISA!$C$4,$G29)),ISNUMBER(SEARCH(PESQUISA!$C$4,$K29)),ISNUMBER(SEARCH(PESQUISA!$C$4,$L29))),1,0))</f>
        <v/>
      </c>
      <c r="AA29">
        <f>IF($Z29=1,SUM($Z$3:$Z29),"")</f>
        <v/>
      </c>
      <c r="AB29">
        <f>IF(OR($A29="",PESQUISA!$C$50=""),0,IF(ISNUMBER(SEARCH(PESQUISA!$C$50,$I29)),1,0))</f>
        <v/>
      </c>
      <c r="AC29">
        <f>IF($AB29=1,SUM($AB$3:$AB29),"")</f>
        <v/>
      </c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>
        <f>IFERROR(INDEX(CONFIGURACOES!$G$37:$G$300,MATCH($I30,CONFIGURACOES!$B$37:$B$300,0)),"")</f>
        <v/>
      </c>
      <c r="K30" s="20">
        <f>IFERROR(INDEX(CONFIGURACOES!$H$37:$H$300,MATCH($I30,CONFIGURACOES!$B$37:$B$300,0)),"")</f>
        <v/>
      </c>
      <c r="L30" s="20" t="n"/>
      <c r="M30" s="20">
        <f>IFERROR(INDEX(CONFIGURACOES!$I$37:$I$300,MATCH($I30,CONFIGURACOES!$B$37:$B$300,0)),"")</f>
        <v/>
      </c>
      <c r="N30" s="21" t="n"/>
      <c r="O30" s="21" t="n"/>
      <c r="P30" s="21" t="n"/>
      <c r="Q30" s="21" t="n"/>
      <c r="R30" s="21">
        <f>IF($N30="","",$N30*IF($Q30="",1,$Q30)*IF($P30="",1,$P30)*IF($O30="",1,$O30))</f>
        <v/>
      </c>
      <c r="S30" s="22">
        <f>IFERROR(INDEX(CONFIGURACOES!$J$37:$J$300,MATCH($I30,CONFIGURACOES!$B$37:$B$300,0)),"")</f>
        <v/>
      </c>
      <c r="T30" s="22">
        <f>IF(OR($R30="",$S30=""),"",$R30*$S30)</f>
        <v/>
      </c>
      <c r="U30" s="20" t="n"/>
      <c r="V30" s="20" t="n"/>
      <c r="W30" s="20" t="n"/>
      <c r="X30">
        <f>IF($A30="","",$A30&amp;"|"&amp;$C30&amp;"|"&amp;$I30)</f>
        <v/>
      </c>
      <c r="Y30">
        <f>IF(AND($A30=RELATORIO_MEDICAO!$C$5,$C30=RELATORIO_MEDICAO!$F$5,$A30&lt;&gt;""),COUNTIFS($A$3:$A30,RELATORIO_MEDICAO!$C$5,$C$3:$C30,RELATORIO_MEDICAO!$F$5),"")</f>
        <v/>
      </c>
      <c r="Z30">
        <f>IF(OR($A30="",PESQUISA!$C$4=""),0,IF(OR(ISNUMBER(SEARCH(PESQUISA!$C$4,$G30)),ISNUMBER(SEARCH(PESQUISA!$C$4,$K30)),ISNUMBER(SEARCH(PESQUISA!$C$4,$L30))),1,0))</f>
        <v/>
      </c>
      <c r="AA30">
        <f>IF($Z30=1,SUM($Z$3:$Z30),"")</f>
        <v/>
      </c>
      <c r="AB30">
        <f>IF(OR($A30="",PESQUISA!$C$50=""),0,IF(ISNUMBER(SEARCH(PESQUISA!$C$50,$I30)),1,0))</f>
        <v/>
      </c>
      <c r="AC30">
        <f>IF($AB30=1,SUM($AB$3:$AB30),"")</f>
        <v/>
      </c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>
        <f>IFERROR(INDEX(CONFIGURACOES!$G$37:$G$300,MATCH($I31,CONFIGURACOES!$B$37:$B$300,0)),"")</f>
        <v/>
      </c>
      <c r="K31" s="20">
        <f>IFERROR(INDEX(CONFIGURACOES!$H$37:$H$300,MATCH($I31,CONFIGURACOES!$B$37:$B$300,0)),"")</f>
        <v/>
      </c>
      <c r="L31" s="20" t="n"/>
      <c r="M31" s="20">
        <f>IFERROR(INDEX(CONFIGURACOES!$I$37:$I$300,MATCH($I31,CONFIGURACOES!$B$37:$B$300,0)),"")</f>
        <v/>
      </c>
      <c r="N31" s="21" t="n"/>
      <c r="O31" s="21" t="n"/>
      <c r="P31" s="21" t="n"/>
      <c r="Q31" s="21" t="n"/>
      <c r="R31" s="21">
        <f>IF($N31="","",$N31*IF($Q31="",1,$Q31)*IF($P31="",1,$P31)*IF($O31="",1,$O31))</f>
        <v/>
      </c>
      <c r="S31" s="22">
        <f>IFERROR(INDEX(CONFIGURACOES!$J$37:$J$300,MATCH($I31,CONFIGURACOES!$B$37:$B$300,0)),"")</f>
        <v/>
      </c>
      <c r="T31" s="22">
        <f>IF(OR($R31="",$S31=""),"",$R31*$S31)</f>
        <v/>
      </c>
      <c r="U31" s="20" t="n"/>
      <c r="V31" s="20" t="n"/>
      <c r="W31" s="20" t="n"/>
      <c r="X31">
        <f>IF($A31="","",$A31&amp;"|"&amp;$C31&amp;"|"&amp;$I31)</f>
        <v/>
      </c>
      <c r="Y31">
        <f>IF(AND($A31=RELATORIO_MEDICAO!$C$5,$C31=RELATORIO_MEDICAO!$F$5,$A31&lt;&gt;""),COUNTIFS($A$3:$A31,RELATORIO_MEDICAO!$C$5,$C$3:$C31,RELATORIO_MEDICAO!$F$5),"")</f>
        <v/>
      </c>
      <c r="Z31">
        <f>IF(OR($A31="",PESQUISA!$C$4=""),0,IF(OR(ISNUMBER(SEARCH(PESQUISA!$C$4,$G31)),ISNUMBER(SEARCH(PESQUISA!$C$4,$K31)),ISNUMBER(SEARCH(PESQUISA!$C$4,$L31))),1,0))</f>
        <v/>
      </c>
      <c r="AA31">
        <f>IF($Z31=1,SUM($Z$3:$Z31),"")</f>
        <v/>
      </c>
      <c r="AB31">
        <f>IF(OR($A31="",PESQUISA!$C$50=""),0,IF(ISNUMBER(SEARCH(PESQUISA!$C$50,$I31)),1,0))</f>
        <v/>
      </c>
      <c r="AC31">
        <f>IF($AB31=1,SUM($AB$3:$AB31),"")</f>
        <v/>
      </c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>
        <f>IFERROR(INDEX(CONFIGURACOES!$G$37:$G$300,MATCH($I32,CONFIGURACOES!$B$37:$B$300,0)),"")</f>
        <v/>
      </c>
      <c r="K32" s="20">
        <f>IFERROR(INDEX(CONFIGURACOES!$H$37:$H$300,MATCH($I32,CONFIGURACOES!$B$37:$B$300,0)),"")</f>
        <v/>
      </c>
      <c r="L32" s="20" t="n"/>
      <c r="M32" s="20">
        <f>IFERROR(INDEX(CONFIGURACOES!$I$37:$I$300,MATCH($I32,CONFIGURACOES!$B$37:$B$300,0)),"")</f>
        <v/>
      </c>
      <c r="N32" s="21" t="n"/>
      <c r="O32" s="21" t="n"/>
      <c r="P32" s="21" t="n"/>
      <c r="Q32" s="21" t="n"/>
      <c r="R32" s="21">
        <f>IF($N32="","",$N32*IF($Q32="",1,$Q32)*IF($P32="",1,$P32)*IF($O32="",1,$O32))</f>
        <v/>
      </c>
      <c r="S32" s="22">
        <f>IFERROR(INDEX(CONFIGURACOES!$J$37:$J$300,MATCH($I32,CONFIGURACOES!$B$37:$B$300,0)),"")</f>
        <v/>
      </c>
      <c r="T32" s="22">
        <f>IF(OR($R32="",$S32=""),"",$R32*$S32)</f>
        <v/>
      </c>
      <c r="U32" s="20" t="n"/>
      <c r="V32" s="20" t="n"/>
      <c r="W32" s="20" t="n"/>
      <c r="X32">
        <f>IF($A32="","",$A32&amp;"|"&amp;$C32&amp;"|"&amp;$I32)</f>
        <v/>
      </c>
      <c r="Y32">
        <f>IF(AND($A32=RELATORIO_MEDICAO!$C$5,$C32=RELATORIO_MEDICAO!$F$5,$A32&lt;&gt;""),COUNTIFS($A$3:$A32,RELATORIO_MEDICAO!$C$5,$C$3:$C32,RELATORIO_MEDICAO!$F$5),"")</f>
        <v/>
      </c>
      <c r="Z32">
        <f>IF(OR($A32="",PESQUISA!$C$4=""),0,IF(OR(ISNUMBER(SEARCH(PESQUISA!$C$4,$G32)),ISNUMBER(SEARCH(PESQUISA!$C$4,$K32)),ISNUMBER(SEARCH(PESQUISA!$C$4,$L32))),1,0))</f>
        <v/>
      </c>
      <c r="AA32">
        <f>IF($Z32=1,SUM($Z$3:$Z32),"")</f>
        <v/>
      </c>
      <c r="AB32">
        <f>IF(OR($A32="",PESQUISA!$C$50=""),0,IF(ISNUMBER(SEARCH(PESQUISA!$C$50,$I32)),1,0))</f>
        <v/>
      </c>
      <c r="AC32">
        <f>IF($AB32=1,SUM($AB$3:$AB32),"")</f>
        <v/>
      </c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>
        <f>IFERROR(INDEX(CONFIGURACOES!$G$37:$G$300,MATCH($I33,CONFIGURACOES!$B$37:$B$300,0)),"")</f>
        <v/>
      </c>
      <c r="K33" s="20">
        <f>IFERROR(INDEX(CONFIGURACOES!$H$37:$H$300,MATCH($I33,CONFIGURACOES!$B$37:$B$300,0)),"")</f>
        <v/>
      </c>
      <c r="L33" s="20" t="n"/>
      <c r="M33" s="20">
        <f>IFERROR(INDEX(CONFIGURACOES!$I$37:$I$300,MATCH($I33,CONFIGURACOES!$B$37:$B$300,0)),"")</f>
        <v/>
      </c>
      <c r="N33" s="21" t="n"/>
      <c r="O33" s="21" t="n"/>
      <c r="P33" s="21" t="n"/>
      <c r="Q33" s="21" t="n"/>
      <c r="R33" s="21">
        <f>IF($N33="","",$N33*IF($Q33="",1,$Q33)*IF($P33="",1,$P33)*IF($O33="",1,$O33))</f>
        <v/>
      </c>
      <c r="S33" s="22">
        <f>IFERROR(INDEX(CONFIGURACOES!$J$37:$J$300,MATCH($I33,CONFIGURACOES!$B$37:$B$300,0)),"")</f>
        <v/>
      </c>
      <c r="T33" s="22">
        <f>IF(OR($R33="",$S33=""),"",$R33*$S33)</f>
        <v/>
      </c>
      <c r="U33" s="20" t="n"/>
      <c r="V33" s="20" t="n"/>
      <c r="W33" s="20" t="n"/>
      <c r="X33">
        <f>IF($A33="","",$A33&amp;"|"&amp;$C33&amp;"|"&amp;$I33)</f>
        <v/>
      </c>
      <c r="Y33">
        <f>IF(AND($A33=RELATORIO_MEDICAO!$C$5,$C33=RELATORIO_MEDICAO!$F$5,$A33&lt;&gt;""),COUNTIFS($A$3:$A33,RELATORIO_MEDICAO!$C$5,$C$3:$C33,RELATORIO_MEDICAO!$F$5),"")</f>
        <v/>
      </c>
      <c r="Z33">
        <f>IF(OR($A33="",PESQUISA!$C$4=""),0,IF(OR(ISNUMBER(SEARCH(PESQUISA!$C$4,$G33)),ISNUMBER(SEARCH(PESQUISA!$C$4,$K33)),ISNUMBER(SEARCH(PESQUISA!$C$4,$L33))),1,0))</f>
        <v/>
      </c>
      <c r="AA33">
        <f>IF($Z33=1,SUM($Z$3:$Z33),"")</f>
        <v/>
      </c>
      <c r="AB33">
        <f>IF(OR($A33="",PESQUISA!$C$50=""),0,IF(ISNUMBER(SEARCH(PESQUISA!$C$50,$I33)),1,0))</f>
        <v/>
      </c>
      <c r="AC33">
        <f>IF($AB33=1,SUM($AB$3:$AB33),"")</f>
        <v/>
      </c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>
        <f>IFERROR(INDEX(CONFIGURACOES!$G$37:$G$300,MATCH($I34,CONFIGURACOES!$B$37:$B$300,0)),"")</f>
        <v/>
      </c>
      <c r="K34" s="20">
        <f>IFERROR(INDEX(CONFIGURACOES!$H$37:$H$300,MATCH($I34,CONFIGURACOES!$B$37:$B$300,0)),"")</f>
        <v/>
      </c>
      <c r="L34" s="20" t="n"/>
      <c r="M34" s="20">
        <f>IFERROR(INDEX(CONFIGURACOES!$I$37:$I$300,MATCH($I34,CONFIGURACOES!$B$37:$B$300,0)),"")</f>
        <v/>
      </c>
      <c r="N34" s="21" t="n"/>
      <c r="O34" s="21" t="n"/>
      <c r="P34" s="21" t="n"/>
      <c r="Q34" s="21" t="n"/>
      <c r="R34" s="21">
        <f>IF($N34="","",$N34*IF($Q34="",1,$Q34)*IF($P34="",1,$P34)*IF($O34="",1,$O34))</f>
        <v/>
      </c>
      <c r="S34" s="22">
        <f>IFERROR(INDEX(CONFIGURACOES!$J$37:$J$300,MATCH($I34,CONFIGURACOES!$B$37:$B$300,0)),"")</f>
        <v/>
      </c>
      <c r="T34" s="22">
        <f>IF(OR($R34="",$S34=""),"",$R34*$S34)</f>
        <v/>
      </c>
      <c r="U34" s="20" t="n"/>
      <c r="V34" s="20" t="n"/>
      <c r="W34" s="20" t="n"/>
      <c r="X34">
        <f>IF($A34="","",$A34&amp;"|"&amp;$C34&amp;"|"&amp;$I34)</f>
        <v/>
      </c>
      <c r="Y34">
        <f>IF(AND($A34=RELATORIO_MEDICAO!$C$5,$C34=RELATORIO_MEDICAO!$F$5,$A34&lt;&gt;""),COUNTIFS($A$3:$A34,RELATORIO_MEDICAO!$C$5,$C$3:$C34,RELATORIO_MEDICAO!$F$5),"")</f>
        <v/>
      </c>
      <c r="Z34">
        <f>IF(OR($A34="",PESQUISA!$C$4=""),0,IF(OR(ISNUMBER(SEARCH(PESQUISA!$C$4,$G34)),ISNUMBER(SEARCH(PESQUISA!$C$4,$K34)),ISNUMBER(SEARCH(PESQUISA!$C$4,$L34))),1,0))</f>
        <v/>
      </c>
      <c r="AA34">
        <f>IF($Z34=1,SUM($Z$3:$Z34),"")</f>
        <v/>
      </c>
      <c r="AB34">
        <f>IF(OR($A34="",PESQUISA!$C$50=""),0,IF(ISNUMBER(SEARCH(PESQUISA!$C$50,$I34)),1,0))</f>
        <v/>
      </c>
      <c r="AC34">
        <f>IF($AB34=1,SUM($AB$3:$AB34),"")</f>
        <v/>
      </c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>
        <f>IFERROR(INDEX(CONFIGURACOES!$G$37:$G$300,MATCH($I35,CONFIGURACOES!$B$37:$B$300,0)),"")</f>
        <v/>
      </c>
      <c r="K35" s="20">
        <f>IFERROR(INDEX(CONFIGURACOES!$H$37:$H$300,MATCH($I35,CONFIGURACOES!$B$37:$B$300,0)),"")</f>
        <v/>
      </c>
      <c r="L35" s="20" t="n"/>
      <c r="M35" s="20">
        <f>IFERROR(INDEX(CONFIGURACOES!$I$37:$I$300,MATCH($I35,CONFIGURACOES!$B$37:$B$300,0)),"")</f>
        <v/>
      </c>
      <c r="N35" s="21" t="n"/>
      <c r="O35" s="21" t="n"/>
      <c r="P35" s="21" t="n"/>
      <c r="Q35" s="21" t="n"/>
      <c r="R35" s="21">
        <f>IF($N35="","",$N35*IF($Q35="",1,$Q35)*IF($P35="",1,$P35)*IF($O35="",1,$O35))</f>
        <v/>
      </c>
      <c r="S35" s="22">
        <f>IFERROR(INDEX(CONFIGURACOES!$J$37:$J$300,MATCH($I35,CONFIGURACOES!$B$37:$B$300,0)),"")</f>
        <v/>
      </c>
      <c r="T35" s="22">
        <f>IF(OR($R35="",$S35=""),"",$R35*$S35)</f>
        <v/>
      </c>
      <c r="U35" s="20" t="n"/>
      <c r="V35" s="20" t="n"/>
      <c r="W35" s="20" t="n"/>
      <c r="X35">
        <f>IF($A35="","",$A35&amp;"|"&amp;$C35&amp;"|"&amp;$I35)</f>
        <v/>
      </c>
      <c r="Y35">
        <f>IF(AND($A35=RELATORIO_MEDICAO!$C$5,$C35=RELATORIO_MEDICAO!$F$5,$A35&lt;&gt;""),COUNTIFS($A$3:$A35,RELATORIO_MEDICAO!$C$5,$C$3:$C35,RELATORIO_MEDICAO!$F$5),"")</f>
        <v/>
      </c>
      <c r="Z35">
        <f>IF(OR($A35="",PESQUISA!$C$4=""),0,IF(OR(ISNUMBER(SEARCH(PESQUISA!$C$4,$G35)),ISNUMBER(SEARCH(PESQUISA!$C$4,$K35)),ISNUMBER(SEARCH(PESQUISA!$C$4,$L35))),1,0))</f>
        <v/>
      </c>
      <c r="AA35">
        <f>IF($Z35=1,SUM($Z$3:$Z35),"")</f>
        <v/>
      </c>
      <c r="AB35">
        <f>IF(OR($A35="",PESQUISA!$C$50=""),0,IF(ISNUMBER(SEARCH(PESQUISA!$C$50,$I35)),1,0))</f>
        <v/>
      </c>
      <c r="AC35">
        <f>IF($AB35=1,SUM($AB$3:$AB35),"")</f>
        <v/>
      </c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>
        <f>IFERROR(INDEX(CONFIGURACOES!$G$37:$G$300,MATCH($I36,CONFIGURACOES!$B$37:$B$300,0)),"")</f>
        <v/>
      </c>
      <c r="K36" s="20">
        <f>IFERROR(INDEX(CONFIGURACOES!$H$37:$H$300,MATCH($I36,CONFIGURACOES!$B$37:$B$300,0)),"")</f>
        <v/>
      </c>
      <c r="L36" s="20" t="n"/>
      <c r="M36" s="20">
        <f>IFERROR(INDEX(CONFIGURACOES!$I$37:$I$300,MATCH($I36,CONFIGURACOES!$B$37:$B$300,0)),"")</f>
        <v/>
      </c>
      <c r="N36" s="21" t="n"/>
      <c r="O36" s="21" t="n"/>
      <c r="P36" s="21" t="n"/>
      <c r="Q36" s="21" t="n"/>
      <c r="R36" s="21">
        <f>IF($N36="","",$N36*IF($Q36="",1,$Q36)*IF($P36="",1,$P36)*IF($O36="",1,$O36))</f>
        <v/>
      </c>
      <c r="S36" s="22">
        <f>IFERROR(INDEX(CONFIGURACOES!$J$37:$J$300,MATCH($I36,CONFIGURACOES!$B$37:$B$300,0)),"")</f>
        <v/>
      </c>
      <c r="T36" s="22">
        <f>IF(OR($R36="",$S36=""),"",$R36*$S36)</f>
        <v/>
      </c>
      <c r="U36" s="20" t="n"/>
      <c r="V36" s="20" t="n"/>
      <c r="W36" s="20" t="n"/>
      <c r="X36">
        <f>IF($A36="","",$A36&amp;"|"&amp;$C36&amp;"|"&amp;$I36)</f>
        <v/>
      </c>
      <c r="Y36">
        <f>IF(AND($A36=RELATORIO_MEDICAO!$C$5,$C36=RELATORIO_MEDICAO!$F$5,$A36&lt;&gt;""),COUNTIFS($A$3:$A36,RELATORIO_MEDICAO!$C$5,$C$3:$C36,RELATORIO_MEDICAO!$F$5),"")</f>
        <v/>
      </c>
      <c r="Z36">
        <f>IF(OR($A36="",PESQUISA!$C$4=""),0,IF(OR(ISNUMBER(SEARCH(PESQUISA!$C$4,$G36)),ISNUMBER(SEARCH(PESQUISA!$C$4,$K36)),ISNUMBER(SEARCH(PESQUISA!$C$4,$L36))),1,0))</f>
        <v/>
      </c>
      <c r="AA36">
        <f>IF($Z36=1,SUM($Z$3:$Z36),"")</f>
        <v/>
      </c>
      <c r="AB36">
        <f>IF(OR($A36="",PESQUISA!$C$50=""),0,IF(ISNUMBER(SEARCH(PESQUISA!$C$50,$I36)),1,0))</f>
        <v/>
      </c>
      <c r="AC36">
        <f>IF($AB36=1,SUM($AB$3:$AB36),"")</f>
        <v/>
      </c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>
        <f>IFERROR(INDEX(CONFIGURACOES!$G$37:$G$300,MATCH($I37,CONFIGURACOES!$B$37:$B$300,0)),"")</f>
        <v/>
      </c>
      <c r="K37" s="20">
        <f>IFERROR(INDEX(CONFIGURACOES!$H$37:$H$300,MATCH($I37,CONFIGURACOES!$B$37:$B$300,0)),"")</f>
        <v/>
      </c>
      <c r="L37" s="20" t="n"/>
      <c r="M37" s="20">
        <f>IFERROR(INDEX(CONFIGURACOES!$I$37:$I$300,MATCH($I37,CONFIGURACOES!$B$37:$B$300,0)),"")</f>
        <v/>
      </c>
      <c r="N37" s="21" t="n"/>
      <c r="O37" s="21" t="n"/>
      <c r="P37" s="21" t="n"/>
      <c r="Q37" s="21" t="n"/>
      <c r="R37" s="21">
        <f>IF($N37="","",$N37*IF($Q37="",1,$Q37)*IF($P37="",1,$P37)*IF($O37="",1,$O37))</f>
        <v/>
      </c>
      <c r="S37" s="22">
        <f>IFERROR(INDEX(CONFIGURACOES!$J$37:$J$300,MATCH($I37,CONFIGURACOES!$B$37:$B$300,0)),"")</f>
        <v/>
      </c>
      <c r="T37" s="22">
        <f>IF(OR($R37="",$S37=""),"",$R37*$S37)</f>
        <v/>
      </c>
      <c r="U37" s="20" t="n"/>
      <c r="V37" s="20" t="n"/>
      <c r="W37" s="20" t="n"/>
      <c r="X37">
        <f>IF($A37="","",$A37&amp;"|"&amp;$C37&amp;"|"&amp;$I37)</f>
        <v/>
      </c>
      <c r="Y37">
        <f>IF(AND($A37=RELATORIO_MEDICAO!$C$5,$C37=RELATORIO_MEDICAO!$F$5,$A37&lt;&gt;""),COUNTIFS($A$3:$A37,RELATORIO_MEDICAO!$C$5,$C$3:$C37,RELATORIO_MEDICAO!$F$5),"")</f>
        <v/>
      </c>
      <c r="Z37">
        <f>IF(OR($A37="",PESQUISA!$C$4=""),0,IF(OR(ISNUMBER(SEARCH(PESQUISA!$C$4,$G37)),ISNUMBER(SEARCH(PESQUISA!$C$4,$K37)),ISNUMBER(SEARCH(PESQUISA!$C$4,$L37))),1,0))</f>
        <v/>
      </c>
      <c r="AA37">
        <f>IF($Z37=1,SUM($Z$3:$Z37),"")</f>
        <v/>
      </c>
      <c r="AB37">
        <f>IF(OR($A37="",PESQUISA!$C$50=""),0,IF(ISNUMBER(SEARCH(PESQUISA!$C$50,$I37)),1,0))</f>
        <v/>
      </c>
      <c r="AC37">
        <f>IF($AB37=1,SUM($AB$3:$AB37),"")</f>
        <v/>
      </c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>
        <f>IFERROR(INDEX(CONFIGURACOES!$G$37:$G$300,MATCH($I38,CONFIGURACOES!$B$37:$B$300,0)),"")</f>
        <v/>
      </c>
      <c r="K38" s="20">
        <f>IFERROR(INDEX(CONFIGURACOES!$H$37:$H$300,MATCH($I38,CONFIGURACOES!$B$37:$B$300,0)),"")</f>
        <v/>
      </c>
      <c r="L38" s="20" t="n"/>
      <c r="M38" s="20">
        <f>IFERROR(INDEX(CONFIGURACOES!$I$37:$I$300,MATCH($I38,CONFIGURACOES!$B$37:$B$300,0)),"")</f>
        <v/>
      </c>
      <c r="N38" s="21" t="n"/>
      <c r="O38" s="21" t="n"/>
      <c r="P38" s="21" t="n"/>
      <c r="Q38" s="21" t="n"/>
      <c r="R38" s="21">
        <f>IF($N38="","",$N38*IF($Q38="",1,$Q38)*IF($P38="",1,$P38)*IF($O38="",1,$O38))</f>
        <v/>
      </c>
      <c r="S38" s="22">
        <f>IFERROR(INDEX(CONFIGURACOES!$J$37:$J$300,MATCH($I38,CONFIGURACOES!$B$37:$B$300,0)),"")</f>
        <v/>
      </c>
      <c r="T38" s="22">
        <f>IF(OR($R38="",$S38=""),"",$R38*$S38)</f>
        <v/>
      </c>
      <c r="U38" s="20" t="n"/>
      <c r="V38" s="20" t="n"/>
      <c r="W38" s="20" t="n"/>
      <c r="X38">
        <f>IF($A38="","",$A38&amp;"|"&amp;$C38&amp;"|"&amp;$I38)</f>
        <v/>
      </c>
      <c r="Y38">
        <f>IF(AND($A38=RELATORIO_MEDICAO!$C$5,$C38=RELATORIO_MEDICAO!$F$5,$A38&lt;&gt;""),COUNTIFS($A$3:$A38,RELATORIO_MEDICAO!$C$5,$C$3:$C38,RELATORIO_MEDICAO!$F$5),"")</f>
        <v/>
      </c>
      <c r="Z38">
        <f>IF(OR($A38="",PESQUISA!$C$4=""),0,IF(OR(ISNUMBER(SEARCH(PESQUISA!$C$4,$G38)),ISNUMBER(SEARCH(PESQUISA!$C$4,$K38)),ISNUMBER(SEARCH(PESQUISA!$C$4,$L38))),1,0))</f>
        <v/>
      </c>
      <c r="AA38">
        <f>IF($Z38=1,SUM($Z$3:$Z38),"")</f>
        <v/>
      </c>
      <c r="AB38">
        <f>IF(OR($A38="",PESQUISA!$C$50=""),0,IF(ISNUMBER(SEARCH(PESQUISA!$C$50,$I38)),1,0))</f>
        <v/>
      </c>
      <c r="AC38">
        <f>IF($AB38=1,SUM($AB$3:$AB38),"")</f>
        <v/>
      </c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>
        <f>IFERROR(INDEX(CONFIGURACOES!$G$37:$G$300,MATCH($I39,CONFIGURACOES!$B$37:$B$300,0)),"")</f>
        <v/>
      </c>
      <c r="K39" s="20">
        <f>IFERROR(INDEX(CONFIGURACOES!$H$37:$H$300,MATCH($I39,CONFIGURACOES!$B$37:$B$300,0)),"")</f>
        <v/>
      </c>
      <c r="L39" s="20" t="n"/>
      <c r="M39" s="20">
        <f>IFERROR(INDEX(CONFIGURACOES!$I$37:$I$300,MATCH($I39,CONFIGURACOES!$B$37:$B$300,0)),"")</f>
        <v/>
      </c>
      <c r="N39" s="21" t="n"/>
      <c r="O39" s="21" t="n"/>
      <c r="P39" s="21" t="n"/>
      <c r="Q39" s="21" t="n"/>
      <c r="R39" s="21">
        <f>IF($N39="","",$N39*IF($Q39="",1,$Q39)*IF($P39="",1,$P39)*IF($O39="",1,$O39))</f>
        <v/>
      </c>
      <c r="S39" s="22">
        <f>IFERROR(INDEX(CONFIGURACOES!$J$37:$J$300,MATCH($I39,CONFIGURACOES!$B$37:$B$300,0)),"")</f>
        <v/>
      </c>
      <c r="T39" s="22">
        <f>IF(OR($R39="",$S39=""),"",$R39*$S39)</f>
        <v/>
      </c>
      <c r="U39" s="20" t="n"/>
      <c r="V39" s="20" t="n"/>
      <c r="W39" s="20" t="n"/>
      <c r="X39">
        <f>IF($A39="","",$A39&amp;"|"&amp;$C39&amp;"|"&amp;$I39)</f>
        <v/>
      </c>
      <c r="Y39">
        <f>IF(AND($A39=RELATORIO_MEDICAO!$C$5,$C39=RELATORIO_MEDICAO!$F$5,$A39&lt;&gt;""),COUNTIFS($A$3:$A39,RELATORIO_MEDICAO!$C$5,$C$3:$C39,RELATORIO_MEDICAO!$F$5),"")</f>
        <v/>
      </c>
      <c r="Z39">
        <f>IF(OR($A39="",PESQUISA!$C$4=""),0,IF(OR(ISNUMBER(SEARCH(PESQUISA!$C$4,$G39)),ISNUMBER(SEARCH(PESQUISA!$C$4,$K39)),ISNUMBER(SEARCH(PESQUISA!$C$4,$L39))),1,0))</f>
        <v/>
      </c>
      <c r="AA39">
        <f>IF($Z39=1,SUM($Z$3:$Z39),"")</f>
        <v/>
      </c>
      <c r="AB39">
        <f>IF(OR($A39="",PESQUISA!$C$50=""),0,IF(ISNUMBER(SEARCH(PESQUISA!$C$50,$I39)),1,0))</f>
        <v/>
      </c>
      <c r="AC39">
        <f>IF($AB39=1,SUM($AB$3:$AB39),"")</f>
        <v/>
      </c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>
        <f>IFERROR(INDEX(CONFIGURACOES!$G$37:$G$300,MATCH($I40,CONFIGURACOES!$B$37:$B$300,0)),"")</f>
        <v/>
      </c>
      <c r="K40" s="20">
        <f>IFERROR(INDEX(CONFIGURACOES!$H$37:$H$300,MATCH($I40,CONFIGURACOES!$B$37:$B$300,0)),"")</f>
        <v/>
      </c>
      <c r="L40" s="20" t="n"/>
      <c r="M40" s="20">
        <f>IFERROR(INDEX(CONFIGURACOES!$I$37:$I$300,MATCH($I40,CONFIGURACOES!$B$37:$B$300,0)),"")</f>
        <v/>
      </c>
      <c r="N40" s="21" t="n"/>
      <c r="O40" s="21" t="n"/>
      <c r="P40" s="21" t="n"/>
      <c r="Q40" s="21" t="n"/>
      <c r="R40" s="21">
        <f>IF($N40="","",$N40*IF($Q40="",1,$Q40)*IF($P40="",1,$P40)*IF($O40="",1,$O40))</f>
        <v/>
      </c>
      <c r="S40" s="22">
        <f>IFERROR(INDEX(CONFIGURACOES!$J$37:$J$300,MATCH($I40,CONFIGURACOES!$B$37:$B$300,0)),"")</f>
        <v/>
      </c>
      <c r="T40" s="22">
        <f>IF(OR($R40="",$S40=""),"",$R40*$S40)</f>
        <v/>
      </c>
      <c r="U40" s="20" t="n"/>
      <c r="V40" s="20" t="n"/>
      <c r="W40" s="20" t="n"/>
      <c r="X40">
        <f>IF($A40="","",$A40&amp;"|"&amp;$C40&amp;"|"&amp;$I40)</f>
        <v/>
      </c>
      <c r="Y40">
        <f>IF(AND($A40=RELATORIO_MEDICAO!$C$5,$C40=RELATORIO_MEDICAO!$F$5,$A40&lt;&gt;""),COUNTIFS($A$3:$A40,RELATORIO_MEDICAO!$C$5,$C$3:$C40,RELATORIO_MEDICAO!$F$5),"")</f>
        <v/>
      </c>
      <c r="Z40">
        <f>IF(OR($A40="",PESQUISA!$C$4=""),0,IF(OR(ISNUMBER(SEARCH(PESQUISA!$C$4,$G40)),ISNUMBER(SEARCH(PESQUISA!$C$4,$K40)),ISNUMBER(SEARCH(PESQUISA!$C$4,$L40))),1,0))</f>
        <v/>
      </c>
      <c r="AA40">
        <f>IF($Z40=1,SUM($Z$3:$Z40),"")</f>
        <v/>
      </c>
      <c r="AB40">
        <f>IF(OR($A40="",PESQUISA!$C$50=""),0,IF(ISNUMBER(SEARCH(PESQUISA!$C$50,$I40)),1,0))</f>
        <v/>
      </c>
      <c r="AC40">
        <f>IF($AB40=1,SUM($AB$3:$AB40),"")</f>
        <v/>
      </c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>
        <f>IFERROR(INDEX(CONFIGURACOES!$G$37:$G$300,MATCH($I41,CONFIGURACOES!$B$37:$B$300,0)),"")</f>
        <v/>
      </c>
      <c r="K41" s="20">
        <f>IFERROR(INDEX(CONFIGURACOES!$H$37:$H$300,MATCH($I41,CONFIGURACOES!$B$37:$B$300,0)),"")</f>
        <v/>
      </c>
      <c r="L41" s="20" t="n"/>
      <c r="M41" s="20">
        <f>IFERROR(INDEX(CONFIGURACOES!$I$37:$I$300,MATCH($I41,CONFIGURACOES!$B$37:$B$300,0)),"")</f>
        <v/>
      </c>
      <c r="N41" s="21" t="n"/>
      <c r="O41" s="21" t="n"/>
      <c r="P41" s="21" t="n"/>
      <c r="Q41" s="21" t="n"/>
      <c r="R41" s="21">
        <f>IF($N41="","",$N41*IF($Q41="",1,$Q41)*IF($P41="",1,$P41)*IF($O41="",1,$O41))</f>
        <v/>
      </c>
      <c r="S41" s="22">
        <f>IFERROR(INDEX(CONFIGURACOES!$J$37:$J$300,MATCH($I41,CONFIGURACOES!$B$37:$B$300,0)),"")</f>
        <v/>
      </c>
      <c r="T41" s="22">
        <f>IF(OR($R41="",$S41=""),"",$R41*$S41)</f>
        <v/>
      </c>
      <c r="U41" s="20" t="n"/>
      <c r="V41" s="20" t="n"/>
      <c r="W41" s="20" t="n"/>
      <c r="X41">
        <f>IF($A41="","",$A41&amp;"|"&amp;$C41&amp;"|"&amp;$I41)</f>
        <v/>
      </c>
      <c r="Y41">
        <f>IF(AND($A41=RELATORIO_MEDICAO!$C$5,$C41=RELATORIO_MEDICAO!$F$5,$A41&lt;&gt;""),COUNTIFS($A$3:$A41,RELATORIO_MEDICAO!$C$5,$C$3:$C41,RELATORIO_MEDICAO!$F$5),"")</f>
        <v/>
      </c>
      <c r="Z41">
        <f>IF(OR($A41="",PESQUISA!$C$4=""),0,IF(OR(ISNUMBER(SEARCH(PESQUISA!$C$4,$G41)),ISNUMBER(SEARCH(PESQUISA!$C$4,$K41)),ISNUMBER(SEARCH(PESQUISA!$C$4,$L41))),1,0))</f>
        <v/>
      </c>
      <c r="AA41">
        <f>IF($Z41=1,SUM($Z$3:$Z41),"")</f>
        <v/>
      </c>
      <c r="AB41">
        <f>IF(OR($A41="",PESQUISA!$C$50=""),0,IF(ISNUMBER(SEARCH(PESQUISA!$C$50,$I41)),1,0))</f>
        <v/>
      </c>
      <c r="AC41">
        <f>IF($AB41=1,SUM($AB$3:$AB41),"")</f>
        <v/>
      </c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>
        <f>IFERROR(INDEX(CONFIGURACOES!$G$37:$G$300,MATCH($I42,CONFIGURACOES!$B$37:$B$300,0)),"")</f>
        <v/>
      </c>
      <c r="K42" s="20">
        <f>IFERROR(INDEX(CONFIGURACOES!$H$37:$H$300,MATCH($I42,CONFIGURACOES!$B$37:$B$300,0)),"")</f>
        <v/>
      </c>
      <c r="L42" s="20" t="n"/>
      <c r="M42" s="20">
        <f>IFERROR(INDEX(CONFIGURACOES!$I$37:$I$300,MATCH($I42,CONFIGURACOES!$B$37:$B$300,0)),"")</f>
        <v/>
      </c>
      <c r="N42" s="21" t="n"/>
      <c r="O42" s="21" t="n"/>
      <c r="P42" s="21" t="n"/>
      <c r="Q42" s="21" t="n"/>
      <c r="R42" s="21">
        <f>IF($N42="","",$N42*IF($Q42="",1,$Q42)*IF($P42="",1,$P42)*IF($O42="",1,$O42))</f>
        <v/>
      </c>
      <c r="S42" s="22">
        <f>IFERROR(INDEX(CONFIGURACOES!$J$37:$J$300,MATCH($I42,CONFIGURACOES!$B$37:$B$300,0)),"")</f>
        <v/>
      </c>
      <c r="T42" s="22">
        <f>IF(OR($R42="",$S42=""),"",$R42*$S42)</f>
        <v/>
      </c>
      <c r="U42" s="20" t="n"/>
      <c r="V42" s="20" t="n"/>
      <c r="W42" s="20" t="n"/>
      <c r="X42">
        <f>IF($A42="","",$A42&amp;"|"&amp;$C42&amp;"|"&amp;$I42)</f>
        <v/>
      </c>
      <c r="Y42">
        <f>IF(AND($A42=RELATORIO_MEDICAO!$C$5,$C42=RELATORIO_MEDICAO!$F$5,$A42&lt;&gt;""),COUNTIFS($A$3:$A42,RELATORIO_MEDICAO!$C$5,$C$3:$C42,RELATORIO_MEDICAO!$F$5),"")</f>
        <v/>
      </c>
      <c r="Z42">
        <f>IF(OR($A42="",PESQUISA!$C$4=""),0,IF(OR(ISNUMBER(SEARCH(PESQUISA!$C$4,$G42)),ISNUMBER(SEARCH(PESQUISA!$C$4,$K42)),ISNUMBER(SEARCH(PESQUISA!$C$4,$L42))),1,0))</f>
        <v/>
      </c>
      <c r="AA42">
        <f>IF($Z42=1,SUM($Z$3:$Z42),"")</f>
        <v/>
      </c>
      <c r="AB42">
        <f>IF(OR($A42="",PESQUISA!$C$50=""),0,IF(ISNUMBER(SEARCH(PESQUISA!$C$50,$I42)),1,0))</f>
        <v/>
      </c>
      <c r="AC42">
        <f>IF($AB42=1,SUM($AB$3:$AB42),"")</f>
        <v/>
      </c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>
        <f>IFERROR(INDEX(CONFIGURACOES!$G$37:$G$300,MATCH($I43,CONFIGURACOES!$B$37:$B$300,0)),"")</f>
        <v/>
      </c>
      <c r="K43" s="20">
        <f>IFERROR(INDEX(CONFIGURACOES!$H$37:$H$300,MATCH($I43,CONFIGURACOES!$B$37:$B$300,0)),"")</f>
        <v/>
      </c>
      <c r="L43" s="20" t="n"/>
      <c r="M43" s="20">
        <f>IFERROR(INDEX(CONFIGURACOES!$I$37:$I$300,MATCH($I43,CONFIGURACOES!$B$37:$B$300,0)),"")</f>
        <v/>
      </c>
      <c r="N43" s="21" t="n"/>
      <c r="O43" s="21" t="n"/>
      <c r="P43" s="21" t="n"/>
      <c r="Q43" s="21" t="n"/>
      <c r="R43" s="21">
        <f>IF($N43="","",$N43*IF($Q43="",1,$Q43)*IF($P43="",1,$P43)*IF($O43="",1,$O43))</f>
        <v/>
      </c>
      <c r="S43" s="22">
        <f>IFERROR(INDEX(CONFIGURACOES!$J$37:$J$300,MATCH($I43,CONFIGURACOES!$B$37:$B$300,0)),"")</f>
        <v/>
      </c>
      <c r="T43" s="22">
        <f>IF(OR($R43="",$S43=""),"",$R43*$S43)</f>
        <v/>
      </c>
      <c r="U43" s="20" t="n"/>
      <c r="V43" s="20" t="n"/>
      <c r="W43" s="20" t="n"/>
      <c r="X43">
        <f>IF($A43="","",$A43&amp;"|"&amp;$C43&amp;"|"&amp;$I43)</f>
        <v/>
      </c>
      <c r="Y43">
        <f>IF(AND($A43=RELATORIO_MEDICAO!$C$5,$C43=RELATORIO_MEDICAO!$F$5,$A43&lt;&gt;""),COUNTIFS($A$3:$A43,RELATORIO_MEDICAO!$C$5,$C$3:$C43,RELATORIO_MEDICAO!$F$5),"")</f>
        <v/>
      </c>
      <c r="Z43">
        <f>IF(OR($A43="",PESQUISA!$C$4=""),0,IF(OR(ISNUMBER(SEARCH(PESQUISA!$C$4,$G43)),ISNUMBER(SEARCH(PESQUISA!$C$4,$K43)),ISNUMBER(SEARCH(PESQUISA!$C$4,$L43))),1,0))</f>
        <v/>
      </c>
      <c r="AA43">
        <f>IF($Z43=1,SUM($Z$3:$Z43),"")</f>
        <v/>
      </c>
      <c r="AB43">
        <f>IF(OR($A43="",PESQUISA!$C$50=""),0,IF(ISNUMBER(SEARCH(PESQUISA!$C$50,$I43)),1,0))</f>
        <v/>
      </c>
      <c r="AC43">
        <f>IF($AB43=1,SUM($AB$3:$AB43),"")</f>
        <v/>
      </c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>
        <f>IFERROR(INDEX(CONFIGURACOES!$G$37:$G$300,MATCH($I44,CONFIGURACOES!$B$37:$B$300,0)),"")</f>
        <v/>
      </c>
      <c r="K44" s="20">
        <f>IFERROR(INDEX(CONFIGURACOES!$H$37:$H$300,MATCH($I44,CONFIGURACOES!$B$37:$B$300,0)),"")</f>
        <v/>
      </c>
      <c r="L44" s="20" t="n"/>
      <c r="M44" s="20">
        <f>IFERROR(INDEX(CONFIGURACOES!$I$37:$I$300,MATCH($I44,CONFIGURACOES!$B$37:$B$300,0)),"")</f>
        <v/>
      </c>
      <c r="N44" s="21" t="n"/>
      <c r="O44" s="21" t="n"/>
      <c r="P44" s="21" t="n"/>
      <c r="Q44" s="21" t="n"/>
      <c r="R44" s="21">
        <f>IF($N44="","",$N44*IF($Q44="",1,$Q44)*IF($P44="",1,$P44)*IF($O44="",1,$O44))</f>
        <v/>
      </c>
      <c r="S44" s="22">
        <f>IFERROR(INDEX(CONFIGURACOES!$J$37:$J$300,MATCH($I44,CONFIGURACOES!$B$37:$B$300,0)),"")</f>
        <v/>
      </c>
      <c r="T44" s="22">
        <f>IF(OR($R44="",$S44=""),"",$R44*$S44)</f>
        <v/>
      </c>
      <c r="U44" s="20" t="n"/>
      <c r="V44" s="20" t="n"/>
      <c r="W44" s="20" t="n"/>
      <c r="X44">
        <f>IF($A44="","",$A44&amp;"|"&amp;$C44&amp;"|"&amp;$I44)</f>
        <v/>
      </c>
      <c r="Y44">
        <f>IF(AND($A44=RELATORIO_MEDICAO!$C$5,$C44=RELATORIO_MEDICAO!$F$5,$A44&lt;&gt;""),COUNTIFS($A$3:$A44,RELATORIO_MEDICAO!$C$5,$C$3:$C44,RELATORIO_MEDICAO!$F$5),"")</f>
        <v/>
      </c>
      <c r="Z44">
        <f>IF(OR($A44="",PESQUISA!$C$4=""),0,IF(OR(ISNUMBER(SEARCH(PESQUISA!$C$4,$G44)),ISNUMBER(SEARCH(PESQUISA!$C$4,$K44)),ISNUMBER(SEARCH(PESQUISA!$C$4,$L44))),1,0))</f>
        <v/>
      </c>
      <c r="AA44">
        <f>IF($Z44=1,SUM($Z$3:$Z44),"")</f>
        <v/>
      </c>
      <c r="AB44">
        <f>IF(OR($A44="",PESQUISA!$C$50=""),0,IF(ISNUMBER(SEARCH(PESQUISA!$C$50,$I44)),1,0))</f>
        <v/>
      </c>
      <c r="AC44">
        <f>IF($AB44=1,SUM($AB$3:$AB44),"")</f>
        <v/>
      </c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>
        <f>IFERROR(INDEX(CONFIGURACOES!$G$37:$G$300,MATCH($I45,CONFIGURACOES!$B$37:$B$300,0)),"")</f>
        <v/>
      </c>
      <c r="K45" s="20">
        <f>IFERROR(INDEX(CONFIGURACOES!$H$37:$H$300,MATCH($I45,CONFIGURACOES!$B$37:$B$300,0)),"")</f>
        <v/>
      </c>
      <c r="L45" s="20" t="n"/>
      <c r="M45" s="20">
        <f>IFERROR(INDEX(CONFIGURACOES!$I$37:$I$300,MATCH($I45,CONFIGURACOES!$B$37:$B$300,0)),"")</f>
        <v/>
      </c>
      <c r="N45" s="21" t="n"/>
      <c r="O45" s="21" t="n"/>
      <c r="P45" s="21" t="n"/>
      <c r="Q45" s="21" t="n"/>
      <c r="R45" s="21">
        <f>IF($N45="","",$N45*IF($Q45="",1,$Q45)*IF($P45="",1,$P45)*IF($O45="",1,$O45))</f>
        <v/>
      </c>
      <c r="S45" s="22">
        <f>IFERROR(INDEX(CONFIGURACOES!$J$37:$J$300,MATCH($I45,CONFIGURACOES!$B$37:$B$300,0)),"")</f>
        <v/>
      </c>
      <c r="T45" s="22">
        <f>IF(OR($R45="",$S45=""),"",$R45*$S45)</f>
        <v/>
      </c>
      <c r="U45" s="20" t="n"/>
      <c r="V45" s="20" t="n"/>
      <c r="W45" s="20" t="n"/>
      <c r="X45">
        <f>IF($A45="","",$A45&amp;"|"&amp;$C45&amp;"|"&amp;$I45)</f>
        <v/>
      </c>
      <c r="Y45">
        <f>IF(AND($A45=RELATORIO_MEDICAO!$C$5,$C45=RELATORIO_MEDICAO!$F$5,$A45&lt;&gt;""),COUNTIFS($A$3:$A45,RELATORIO_MEDICAO!$C$5,$C$3:$C45,RELATORIO_MEDICAO!$F$5),"")</f>
        <v/>
      </c>
      <c r="Z45">
        <f>IF(OR($A45="",PESQUISA!$C$4=""),0,IF(OR(ISNUMBER(SEARCH(PESQUISA!$C$4,$G45)),ISNUMBER(SEARCH(PESQUISA!$C$4,$K45)),ISNUMBER(SEARCH(PESQUISA!$C$4,$L45))),1,0))</f>
        <v/>
      </c>
      <c r="AA45">
        <f>IF($Z45=1,SUM($Z$3:$Z45),"")</f>
        <v/>
      </c>
      <c r="AB45">
        <f>IF(OR($A45="",PESQUISA!$C$50=""),0,IF(ISNUMBER(SEARCH(PESQUISA!$C$50,$I45)),1,0))</f>
        <v/>
      </c>
      <c r="AC45">
        <f>IF($AB45=1,SUM($AB$3:$AB45),"")</f>
        <v/>
      </c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>
        <f>IFERROR(INDEX(CONFIGURACOES!$G$37:$G$300,MATCH($I46,CONFIGURACOES!$B$37:$B$300,0)),"")</f>
        <v/>
      </c>
      <c r="K46" s="20">
        <f>IFERROR(INDEX(CONFIGURACOES!$H$37:$H$300,MATCH($I46,CONFIGURACOES!$B$37:$B$300,0)),"")</f>
        <v/>
      </c>
      <c r="L46" s="20" t="n"/>
      <c r="M46" s="20">
        <f>IFERROR(INDEX(CONFIGURACOES!$I$37:$I$300,MATCH($I46,CONFIGURACOES!$B$37:$B$300,0)),"")</f>
        <v/>
      </c>
      <c r="N46" s="21" t="n"/>
      <c r="O46" s="21" t="n"/>
      <c r="P46" s="21" t="n"/>
      <c r="Q46" s="21" t="n"/>
      <c r="R46" s="21">
        <f>IF($N46="","",$N46*IF($Q46="",1,$Q46)*IF($P46="",1,$P46)*IF($O46="",1,$O46))</f>
        <v/>
      </c>
      <c r="S46" s="22">
        <f>IFERROR(INDEX(CONFIGURACOES!$J$37:$J$300,MATCH($I46,CONFIGURACOES!$B$37:$B$300,0)),"")</f>
        <v/>
      </c>
      <c r="T46" s="22">
        <f>IF(OR($R46="",$S46=""),"",$R46*$S46)</f>
        <v/>
      </c>
      <c r="U46" s="20" t="n"/>
      <c r="V46" s="20" t="n"/>
      <c r="W46" s="20" t="n"/>
      <c r="X46">
        <f>IF($A46="","",$A46&amp;"|"&amp;$C46&amp;"|"&amp;$I46)</f>
        <v/>
      </c>
      <c r="Y46">
        <f>IF(AND($A46=RELATORIO_MEDICAO!$C$5,$C46=RELATORIO_MEDICAO!$F$5,$A46&lt;&gt;""),COUNTIFS($A$3:$A46,RELATORIO_MEDICAO!$C$5,$C$3:$C46,RELATORIO_MEDICAO!$F$5),"")</f>
        <v/>
      </c>
      <c r="Z46">
        <f>IF(OR($A46="",PESQUISA!$C$4=""),0,IF(OR(ISNUMBER(SEARCH(PESQUISA!$C$4,$G46)),ISNUMBER(SEARCH(PESQUISA!$C$4,$K46)),ISNUMBER(SEARCH(PESQUISA!$C$4,$L46))),1,0))</f>
        <v/>
      </c>
      <c r="AA46">
        <f>IF($Z46=1,SUM($Z$3:$Z46),"")</f>
        <v/>
      </c>
      <c r="AB46">
        <f>IF(OR($A46="",PESQUISA!$C$50=""),0,IF(ISNUMBER(SEARCH(PESQUISA!$C$50,$I46)),1,0))</f>
        <v/>
      </c>
      <c r="AC46">
        <f>IF($AB46=1,SUM($AB$3:$AB46),"")</f>
        <v/>
      </c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>
        <f>IFERROR(INDEX(CONFIGURACOES!$G$37:$G$300,MATCH($I47,CONFIGURACOES!$B$37:$B$300,0)),"")</f>
        <v/>
      </c>
      <c r="K47" s="20">
        <f>IFERROR(INDEX(CONFIGURACOES!$H$37:$H$300,MATCH($I47,CONFIGURACOES!$B$37:$B$300,0)),"")</f>
        <v/>
      </c>
      <c r="L47" s="20" t="n"/>
      <c r="M47" s="20">
        <f>IFERROR(INDEX(CONFIGURACOES!$I$37:$I$300,MATCH($I47,CONFIGURACOES!$B$37:$B$300,0)),"")</f>
        <v/>
      </c>
      <c r="N47" s="21" t="n"/>
      <c r="O47" s="21" t="n"/>
      <c r="P47" s="21" t="n"/>
      <c r="Q47" s="21" t="n"/>
      <c r="R47" s="21">
        <f>IF($N47="","",$N47*IF($Q47="",1,$Q47)*IF($P47="",1,$P47)*IF($O47="",1,$O47))</f>
        <v/>
      </c>
      <c r="S47" s="22">
        <f>IFERROR(INDEX(CONFIGURACOES!$J$37:$J$300,MATCH($I47,CONFIGURACOES!$B$37:$B$300,0)),"")</f>
        <v/>
      </c>
      <c r="T47" s="22">
        <f>IF(OR($R47="",$S47=""),"",$R47*$S47)</f>
        <v/>
      </c>
      <c r="U47" s="20" t="n"/>
      <c r="V47" s="20" t="n"/>
      <c r="W47" s="20" t="n"/>
      <c r="X47">
        <f>IF($A47="","",$A47&amp;"|"&amp;$C47&amp;"|"&amp;$I47)</f>
        <v/>
      </c>
      <c r="Y47">
        <f>IF(AND($A47=RELATORIO_MEDICAO!$C$5,$C47=RELATORIO_MEDICAO!$F$5,$A47&lt;&gt;""),COUNTIFS($A$3:$A47,RELATORIO_MEDICAO!$C$5,$C$3:$C47,RELATORIO_MEDICAO!$F$5),"")</f>
        <v/>
      </c>
      <c r="Z47">
        <f>IF(OR($A47="",PESQUISA!$C$4=""),0,IF(OR(ISNUMBER(SEARCH(PESQUISA!$C$4,$G47)),ISNUMBER(SEARCH(PESQUISA!$C$4,$K47)),ISNUMBER(SEARCH(PESQUISA!$C$4,$L47))),1,0))</f>
        <v/>
      </c>
      <c r="AA47">
        <f>IF($Z47=1,SUM($Z$3:$Z47),"")</f>
        <v/>
      </c>
      <c r="AB47">
        <f>IF(OR($A47="",PESQUISA!$C$50=""),0,IF(ISNUMBER(SEARCH(PESQUISA!$C$50,$I47)),1,0))</f>
        <v/>
      </c>
      <c r="AC47">
        <f>IF($AB47=1,SUM($AB$3:$AB47),"")</f>
        <v/>
      </c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>
        <f>IFERROR(INDEX(CONFIGURACOES!$G$37:$G$300,MATCH($I48,CONFIGURACOES!$B$37:$B$300,0)),"")</f>
        <v/>
      </c>
      <c r="K48" s="20">
        <f>IFERROR(INDEX(CONFIGURACOES!$H$37:$H$300,MATCH($I48,CONFIGURACOES!$B$37:$B$300,0)),"")</f>
        <v/>
      </c>
      <c r="L48" s="20" t="n"/>
      <c r="M48" s="20">
        <f>IFERROR(INDEX(CONFIGURACOES!$I$37:$I$300,MATCH($I48,CONFIGURACOES!$B$37:$B$300,0)),"")</f>
        <v/>
      </c>
      <c r="N48" s="21" t="n"/>
      <c r="O48" s="21" t="n"/>
      <c r="P48" s="21" t="n"/>
      <c r="Q48" s="21" t="n"/>
      <c r="R48" s="21">
        <f>IF($N48="","",$N48*IF($Q48="",1,$Q48)*IF($P48="",1,$P48)*IF($O48="",1,$O48))</f>
        <v/>
      </c>
      <c r="S48" s="22">
        <f>IFERROR(INDEX(CONFIGURACOES!$J$37:$J$300,MATCH($I48,CONFIGURACOES!$B$37:$B$300,0)),"")</f>
        <v/>
      </c>
      <c r="T48" s="22">
        <f>IF(OR($R48="",$S48=""),"",$R48*$S48)</f>
        <v/>
      </c>
      <c r="U48" s="20" t="n"/>
      <c r="V48" s="20" t="n"/>
      <c r="W48" s="20" t="n"/>
      <c r="X48">
        <f>IF($A48="","",$A48&amp;"|"&amp;$C48&amp;"|"&amp;$I48)</f>
        <v/>
      </c>
      <c r="Y48">
        <f>IF(AND($A48=RELATORIO_MEDICAO!$C$5,$C48=RELATORIO_MEDICAO!$F$5,$A48&lt;&gt;""),COUNTIFS($A$3:$A48,RELATORIO_MEDICAO!$C$5,$C$3:$C48,RELATORIO_MEDICAO!$F$5),"")</f>
        <v/>
      </c>
      <c r="Z48">
        <f>IF(OR($A48="",PESQUISA!$C$4=""),0,IF(OR(ISNUMBER(SEARCH(PESQUISA!$C$4,$G48)),ISNUMBER(SEARCH(PESQUISA!$C$4,$K48)),ISNUMBER(SEARCH(PESQUISA!$C$4,$L48))),1,0))</f>
        <v/>
      </c>
      <c r="AA48">
        <f>IF($Z48=1,SUM($Z$3:$Z48),"")</f>
        <v/>
      </c>
      <c r="AB48">
        <f>IF(OR($A48="",PESQUISA!$C$50=""),0,IF(ISNUMBER(SEARCH(PESQUISA!$C$50,$I48)),1,0))</f>
        <v/>
      </c>
      <c r="AC48">
        <f>IF($AB48=1,SUM($AB$3:$AB48),"")</f>
        <v/>
      </c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>
        <f>IFERROR(INDEX(CONFIGURACOES!$G$37:$G$300,MATCH($I49,CONFIGURACOES!$B$37:$B$300,0)),"")</f>
        <v/>
      </c>
      <c r="K49" s="20">
        <f>IFERROR(INDEX(CONFIGURACOES!$H$37:$H$300,MATCH($I49,CONFIGURACOES!$B$37:$B$300,0)),"")</f>
        <v/>
      </c>
      <c r="L49" s="20" t="n"/>
      <c r="M49" s="20">
        <f>IFERROR(INDEX(CONFIGURACOES!$I$37:$I$300,MATCH($I49,CONFIGURACOES!$B$37:$B$300,0)),"")</f>
        <v/>
      </c>
      <c r="N49" s="21" t="n"/>
      <c r="O49" s="21" t="n"/>
      <c r="P49" s="21" t="n"/>
      <c r="Q49" s="21" t="n"/>
      <c r="R49" s="21">
        <f>IF($N49="","",$N49*IF($Q49="",1,$Q49)*IF($P49="",1,$P49)*IF($O49="",1,$O49))</f>
        <v/>
      </c>
      <c r="S49" s="22">
        <f>IFERROR(INDEX(CONFIGURACOES!$J$37:$J$300,MATCH($I49,CONFIGURACOES!$B$37:$B$300,0)),"")</f>
        <v/>
      </c>
      <c r="T49" s="22">
        <f>IF(OR($R49="",$S49=""),"",$R49*$S49)</f>
        <v/>
      </c>
      <c r="U49" s="20" t="n"/>
      <c r="V49" s="20" t="n"/>
      <c r="W49" s="20" t="n"/>
      <c r="X49">
        <f>IF($A49="","",$A49&amp;"|"&amp;$C49&amp;"|"&amp;$I49)</f>
        <v/>
      </c>
      <c r="Y49">
        <f>IF(AND($A49=RELATORIO_MEDICAO!$C$5,$C49=RELATORIO_MEDICAO!$F$5,$A49&lt;&gt;""),COUNTIFS($A$3:$A49,RELATORIO_MEDICAO!$C$5,$C$3:$C49,RELATORIO_MEDICAO!$F$5),"")</f>
        <v/>
      </c>
      <c r="Z49">
        <f>IF(OR($A49="",PESQUISA!$C$4=""),0,IF(OR(ISNUMBER(SEARCH(PESQUISA!$C$4,$G49)),ISNUMBER(SEARCH(PESQUISA!$C$4,$K49)),ISNUMBER(SEARCH(PESQUISA!$C$4,$L49))),1,0))</f>
        <v/>
      </c>
      <c r="AA49">
        <f>IF($Z49=1,SUM($Z$3:$Z49),"")</f>
        <v/>
      </c>
      <c r="AB49">
        <f>IF(OR($A49="",PESQUISA!$C$50=""),0,IF(ISNUMBER(SEARCH(PESQUISA!$C$50,$I49)),1,0))</f>
        <v/>
      </c>
      <c r="AC49">
        <f>IF($AB49=1,SUM($AB$3:$AB49),"")</f>
        <v/>
      </c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>
        <f>IFERROR(INDEX(CONFIGURACOES!$G$37:$G$300,MATCH($I50,CONFIGURACOES!$B$37:$B$300,0)),"")</f>
        <v/>
      </c>
      <c r="K50" s="20">
        <f>IFERROR(INDEX(CONFIGURACOES!$H$37:$H$300,MATCH($I50,CONFIGURACOES!$B$37:$B$300,0)),"")</f>
        <v/>
      </c>
      <c r="L50" s="20" t="n"/>
      <c r="M50" s="20">
        <f>IFERROR(INDEX(CONFIGURACOES!$I$37:$I$300,MATCH($I50,CONFIGURACOES!$B$37:$B$300,0)),"")</f>
        <v/>
      </c>
      <c r="N50" s="21" t="n"/>
      <c r="O50" s="21" t="n"/>
      <c r="P50" s="21" t="n"/>
      <c r="Q50" s="21" t="n"/>
      <c r="R50" s="21">
        <f>IF($N50="","",$N50*IF($Q50="",1,$Q50)*IF($P50="",1,$P50)*IF($O50="",1,$O50))</f>
        <v/>
      </c>
      <c r="S50" s="22">
        <f>IFERROR(INDEX(CONFIGURACOES!$J$37:$J$300,MATCH($I50,CONFIGURACOES!$B$37:$B$300,0)),"")</f>
        <v/>
      </c>
      <c r="T50" s="22">
        <f>IF(OR($R50="",$S50=""),"",$R50*$S50)</f>
        <v/>
      </c>
      <c r="U50" s="20" t="n"/>
      <c r="V50" s="20" t="n"/>
      <c r="W50" s="20" t="n"/>
      <c r="X50">
        <f>IF($A50="","",$A50&amp;"|"&amp;$C50&amp;"|"&amp;$I50)</f>
        <v/>
      </c>
      <c r="Y50">
        <f>IF(AND($A50=RELATORIO_MEDICAO!$C$5,$C50=RELATORIO_MEDICAO!$F$5,$A50&lt;&gt;""),COUNTIFS($A$3:$A50,RELATORIO_MEDICAO!$C$5,$C$3:$C50,RELATORIO_MEDICAO!$F$5),"")</f>
        <v/>
      </c>
      <c r="Z50">
        <f>IF(OR($A50="",PESQUISA!$C$4=""),0,IF(OR(ISNUMBER(SEARCH(PESQUISA!$C$4,$G50)),ISNUMBER(SEARCH(PESQUISA!$C$4,$K50)),ISNUMBER(SEARCH(PESQUISA!$C$4,$L50))),1,0))</f>
        <v/>
      </c>
      <c r="AA50">
        <f>IF($Z50=1,SUM($Z$3:$Z50),"")</f>
        <v/>
      </c>
      <c r="AB50">
        <f>IF(OR($A50="",PESQUISA!$C$50=""),0,IF(ISNUMBER(SEARCH(PESQUISA!$C$50,$I50)),1,0))</f>
        <v/>
      </c>
      <c r="AC50">
        <f>IF($AB50=1,SUM($AB$3:$AB50),"")</f>
        <v/>
      </c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>
        <f>IFERROR(INDEX(CONFIGURACOES!$G$37:$G$300,MATCH($I51,CONFIGURACOES!$B$37:$B$300,0)),"")</f>
        <v/>
      </c>
      <c r="K51" s="20">
        <f>IFERROR(INDEX(CONFIGURACOES!$H$37:$H$300,MATCH($I51,CONFIGURACOES!$B$37:$B$300,0)),"")</f>
        <v/>
      </c>
      <c r="L51" s="20" t="n"/>
      <c r="M51" s="20">
        <f>IFERROR(INDEX(CONFIGURACOES!$I$37:$I$300,MATCH($I51,CONFIGURACOES!$B$37:$B$300,0)),"")</f>
        <v/>
      </c>
      <c r="N51" s="21" t="n"/>
      <c r="O51" s="21" t="n"/>
      <c r="P51" s="21" t="n"/>
      <c r="Q51" s="21" t="n"/>
      <c r="R51" s="21">
        <f>IF($N51="","",$N51*IF($Q51="",1,$Q51)*IF($P51="",1,$P51)*IF($O51="",1,$O51))</f>
        <v/>
      </c>
      <c r="S51" s="22">
        <f>IFERROR(INDEX(CONFIGURACOES!$J$37:$J$300,MATCH($I51,CONFIGURACOES!$B$37:$B$300,0)),"")</f>
        <v/>
      </c>
      <c r="T51" s="22">
        <f>IF(OR($R51="",$S51=""),"",$R51*$S51)</f>
        <v/>
      </c>
      <c r="U51" s="20" t="n"/>
      <c r="V51" s="20" t="n"/>
      <c r="W51" s="20" t="n"/>
      <c r="X51">
        <f>IF($A51="","",$A51&amp;"|"&amp;$C51&amp;"|"&amp;$I51)</f>
        <v/>
      </c>
      <c r="Y51">
        <f>IF(AND($A51=RELATORIO_MEDICAO!$C$5,$C51=RELATORIO_MEDICAO!$F$5,$A51&lt;&gt;""),COUNTIFS($A$3:$A51,RELATORIO_MEDICAO!$C$5,$C$3:$C51,RELATORIO_MEDICAO!$F$5),"")</f>
        <v/>
      </c>
      <c r="Z51">
        <f>IF(OR($A51="",PESQUISA!$C$4=""),0,IF(OR(ISNUMBER(SEARCH(PESQUISA!$C$4,$G51)),ISNUMBER(SEARCH(PESQUISA!$C$4,$K51)),ISNUMBER(SEARCH(PESQUISA!$C$4,$L51))),1,0))</f>
        <v/>
      </c>
      <c r="AA51">
        <f>IF($Z51=1,SUM($Z$3:$Z51),"")</f>
        <v/>
      </c>
      <c r="AB51">
        <f>IF(OR($A51="",PESQUISA!$C$50=""),0,IF(ISNUMBER(SEARCH(PESQUISA!$C$50,$I51)),1,0))</f>
        <v/>
      </c>
      <c r="AC51">
        <f>IF($AB51=1,SUM($AB$3:$AB51),"")</f>
        <v/>
      </c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>
        <f>IFERROR(INDEX(CONFIGURACOES!$G$37:$G$300,MATCH($I52,CONFIGURACOES!$B$37:$B$300,0)),"")</f>
        <v/>
      </c>
      <c r="K52" s="20">
        <f>IFERROR(INDEX(CONFIGURACOES!$H$37:$H$300,MATCH($I52,CONFIGURACOES!$B$37:$B$300,0)),"")</f>
        <v/>
      </c>
      <c r="L52" s="20" t="n"/>
      <c r="M52" s="20">
        <f>IFERROR(INDEX(CONFIGURACOES!$I$37:$I$300,MATCH($I52,CONFIGURACOES!$B$37:$B$300,0)),"")</f>
        <v/>
      </c>
      <c r="N52" s="21" t="n"/>
      <c r="O52" s="21" t="n"/>
      <c r="P52" s="21" t="n"/>
      <c r="Q52" s="21" t="n"/>
      <c r="R52" s="21">
        <f>IF($N52="","",$N52*IF($Q52="",1,$Q52)*IF($P52="",1,$P52)*IF($O52="",1,$O52))</f>
        <v/>
      </c>
      <c r="S52" s="22">
        <f>IFERROR(INDEX(CONFIGURACOES!$J$37:$J$300,MATCH($I52,CONFIGURACOES!$B$37:$B$300,0)),"")</f>
        <v/>
      </c>
      <c r="T52" s="22">
        <f>IF(OR($R52="",$S52=""),"",$R52*$S52)</f>
        <v/>
      </c>
      <c r="U52" s="20" t="n"/>
      <c r="V52" s="20" t="n"/>
      <c r="W52" s="20" t="n"/>
      <c r="X52">
        <f>IF($A52="","",$A52&amp;"|"&amp;$C52&amp;"|"&amp;$I52)</f>
        <v/>
      </c>
      <c r="Y52">
        <f>IF(AND($A52=RELATORIO_MEDICAO!$C$5,$C52=RELATORIO_MEDICAO!$F$5,$A52&lt;&gt;""),COUNTIFS($A$3:$A52,RELATORIO_MEDICAO!$C$5,$C$3:$C52,RELATORIO_MEDICAO!$F$5),"")</f>
        <v/>
      </c>
      <c r="Z52">
        <f>IF(OR($A52="",PESQUISA!$C$4=""),0,IF(OR(ISNUMBER(SEARCH(PESQUISA!$C$4,$G52)),ISNUMBER(SEARCH(PESQUISA!$C$4,$K52)),ISNUMBER(SEARCH(PESQUISA!$C$4,$L52))),1,0))</f>
        <v/>
      </c>
      <c r="AA52">
        <f>IF($Z52=1,SUM($Z$3:$Z52),"")</f>
        <v/>
      </c>
      <c r="AB52">
        <f>IF(OR($A52="",PESQUISA!$C$50=""),0,IF(ISNUMBER(SEARCH(PESQUISA!$C$50,$I52)),1,0))</f>
        <v/>
      </c>
      <c r="AC52">
        <f>IF($AB52=1,SUM($AB$3:$AB52),"")</f>
        <v/>
      </c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>
        <f>IFERROR(INDEX(CONFIGURACOES!$G$37:$G$300,MATCH($I53,CONFIGURACOES!$B$37:$B$300,0)),"")</f>
        <v/>
      </c>
      <c r="K53" s="20">
        <f>IFERROR(INDEX(CONFIGURACOES!$H$37:$H$300,MATCH($I53,CONFIGURACOES!$B$37:$B$300,0)),"")</f>
        <v/>
      </c>
      <c r="L53" s="20" t="n"/>
      <c r="M53" s="20">
        <f>IFERROR(INDEX(CONFIGURACOES!$I$37:$I$300,MATCH($I53,CONFIGURACOES!$B$37:$B$300,0)),"")</f>
        <v/>
      </c>
      <c r="N53" s="21" t="n"/>
      <c r="O53" s="21" t="n"/>
      <c r="P53" s="21" t="n"/>
      <c r="Q53" s="21" t="n"/>
      <c r="R53" s="21">
        <f>IF($N53="","",$N53*IF($Q53="",1,$Q53)*IF($P53="",1,$P53)*IF($O53="",1,$O53))</f>
        <v/>
      </c>
      <c r="S53" s="22">
        <f>IFERROR(INDEX(CONFIGURACOES!$J$37:$J$300,MATCH($I53,CONFIGURACOES!$B$37:$B$300,0)),"")</f>
        <v/>
      </c>
      <c r="T53" s="22">
        <f>IF(OR($R53="",$S53=""),"",$R53*$S53)</f>
        <v/>
      </c>
      <c r="U53" s="20" t="n"/>
      <c r="V53" s="20" t="n"/>
      <c r="W53" s="20" t="n"/>
      <c r="X53">
        <f>IF($A53="","",$A53&amp;"|"&amp;$C53&amp;"|"&amp;$I53)</f>
        <v/>
      </c>
      <c r="Y53">
        <f>IF(AND($A53=RELATORIO_MEDICAO!$C$5,$C53=RELATORIO_MEDICAO!$F$5,$A53&lt;&gt;""),COUNTIFS($A$3:$A53,RELATORIO_MEDICAO!$C$5,$C$3:$C53,RELATORIO_MEDICAO!$F$5),"")</f>
        <v/>
      </c>
      <c r="Z53">
        <f>IF(OR($A53="",PESQUISA!$C$4=""),0,IF(OR(ISNUMBER(SEARCH(PESQUISA!$C$4,$G53)),ISNUMBER(SEARCH(PESQUISA!$C$4,$K53)),ISNUMBER(SEARCH(PESQUISA!$C$4,$L53))),1,0))</f>
        <v/>
      </c>
      <c r="AA53">
        <f>IF($Z53=1,SUM($Z$3:$Z53),"")</f>
        <v/>
      </c>
      <c r="AB53">
        <f>IF(OR($A53="",PESQUISA!$C$50=""),0,IF(ISNUMBER(SEARCH(PESQUISA!$C$50,$I53)),1,0))</f>
        <v/>
      </c>
      <c r="AC53">
        <f>IF($AB53=1,SUM($AB$3:$AB53),"")</f>
        <v/>
      </c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>
        <f>IFERROR(INDEX(CONFIGURACOES!$G$37:$G$300,MATCH($I54,CONFIGURACOES!$B$37:$B$300,0)),"")</f>
        <v/>
      </c>
      <c r="K54" s="20">
        <f>IFERROR(INDEX(CONFIGURACOES!$H$37:$H$300,MATCH($I54,CONFIGURACOES!$B$37:$B$300,0)),"")</f>
        <v/>
      </c>
      <c r="L54" s="20" t="n"/>
      <c r="M54" s="20">
        <f>IFERROR(INDEX(CONFIGURACOES!$I$37:$I$300,MATCH($I54,CONFIGURACOES!$B$37:$B$300,0)),"")</f>
        <v/>
      </c>
      <c r="N54" s="21" t="n"/>
      <c r="O54" s="21" t="n"/>
      <c r="P54" s="21" t="n"/>
      <c r="Q54" s="21" t="n"/>
      <c r="R54" s="21">
        <f>IF($N54="","",$N54*IF($Q54="",1,$Q54)*IF($P54="",1,$P54)*IF($O54="",1,$O54))</f>
        <v/>
      </c>
      <c r="S54" s="22">
        <f>IFERROR(INDEX(CONFIGURACOES!$J$37:$J$300,MATCH($I54,CONFIGURACOES!$B$37:$B$300,0)),"")</f>
        <v/>
      </c>
      <c r="T54" s="22">
        <f>IF(OR($R54="",$S54=""),"",$R54*$S54)</f>
        <v/>
      </c>
      <c r="U54" s="20" t="n"/>
      <c r="V54" s="20" t="n"/>
      <c r="W54" s="20" t="n"/>
      <c r="X54">
        <f>IF($A54="","",$A54&amp;"|"&amp;$C54&amp;"|"&amp;$I54)</f>
        <v/>
      </c>
      <c r="Y54">
        <f>IF(AND($A54=RELATORIO_MEDICAO!$C$5,$C54=RELATORIO_MEDICAO!$F$5,$A54&lt;&gt;""),COUNTIFS($A$3:$A54,RELATORIO_MEDICAO!$C$5,$C$3:$C54,RELATORIO_MEDICAO!$F$5),"")</f>
        <v/>
      </c>
      <c r="Z54">
        <f>IF(OR($A54="",PESQUISA!$C$4=""),0,IF(OR(ISNUMBER(SEARCH(PESQUISA!$C$4,$G54)),ISNUMBER(SEARCH(PESQUISA!$C$4,$K54)),ISNUMBER(SEARCH(PESQUISA!$C$4,$L54))),1,0))</f>
        <v/>
      </c>
      <c r="AA54">
        <f>IF($Z54=1,SUM($Z$3:$Z54),"")</f>
        <v/>
      </c>
      <c r="AB54">
        <f>IF(OR($A54="",PESQUISA!$C$50=""),0,IF(ISNUMBER(SEARCH(PESQUISA!$C$50,$I54)),1,0))</f>
        <v/>
      </c>
      <c r="AC54">
        <f>IF($AB54=1,SUM($AB$3:$AB54),"")</f>
        <v/>
      </c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>
        <f>IFERROR(INDEX(CONFIGURACOES!$G$37:$G$300,MATCH($I55,CONFIGURACOES!$B$37:$B$300,0)),"")</f>
        <v/>
      </c>
      <c r="K55" s="20">
        <f>IFERROR(INDEX(CONFIGURACOES!$H$37:$H$300,MATCH($I55,CONFIGURACOES!$B$37:$B$300,0)),"")</f>
        <v/>
      </c>
      <c r="L55" s="20" t="n"/>
      <c r="M55" s="20">
        <f>IFERROR(INDEX(CONFIGURACOES!$I$37:$I$300,MATCH($I55,CONFIGURACOES!$B$37:$B$300,0)),"")</f>
        <v/>
      </c>
      <c r="N55" s="21" t="n"/>
      <c r="O55" s="21" t="n"/>
      <c r="P55" s="21" t="n"/>
      <c r="Q55" s="21" t="n"/>
      <c r="R55" s="21">
        <f>IF($N55="","",$N55*IF($Q55="",1,$Q55)*IF($P55="",1,$P55)*IF($O55="",1,$O55))</f>
        <v/>
      </c>
      <c r="S55" s="22">
        <f>IFERROR(INDEX(CONFIGURACOES!$J$37:$J$300,MATCH($I55,CONFIGURACOES!$B$37:$B$300,0)),"")</f>
        <v/>
      </c>
      <c r="T55" s="22">
        <f>IF(OR($R55="",$S55=""),"",$R55*$S55)</f>
        <v/>
      </c>
      <c r="U55" s="20" t="n"/>
      <c r="V55" s="20" t="n"/>
      <c r="W55" s="20" t="n"/>
      <c r="X55">
        <f>IF($A55="","",$A55&amp;"|"&amp;$C55&amp;"|"&amp;$I55)</f>
        <v/>
      </c>
      <c r="Y55">
        <f>IF(AND($A55=RELATORIO_MEDICAO!$C$5,$C55=RELATORIO_MEDICAO!$F$5,$A55&lt;&gt;""),COUNTIFS($A$3:$A55,RELATORIO_MEDICAO!$C$5,$C$3:$C55,RELATORIO_MEDICAO!$F$5),"")</f>
        <v/>
      </c>
      <c r="Z55">
        <f>IF(OR($A55="",PESQUISA!$C$4=""),0,IF(OR(ISNUMBER(SEARCH(PESQUISA!$C$4,$G55)),ISNUMBER(SEARCH(PESQUISA!$C$4,$K55)),ISNUMBER(SEARCH(PESQUISA!$C$4,$L55))),1,0))</f>
        <v/>
      </c>
      <c r="AA55">
        <f>IF($Z55=1,SUM($Z$3:$Z55),"")</f>
        <v/>
      </c>
      <c r="AB55">
        <f>IF(OR($A55="",PESQUISA!$C$50=""),0,IF(ISNUMBER(SEARCH(PESQUISA!$C$50,$I55)),1,0))</f>
        <v/>
      </c>
      <c r="AC55">
        <f>IF($AB55=1,SUM($AB$3:$AB55),"")</f>
        <v/>
      </c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>
        <f>IFERROR(INDEX(CONFIGURACOES!$G$37:$G$300,MATCH($I56,CONFIGURACOES!$B$37:$B$300,0)),"")</f>
        <v/>
      </c>
      <c r="K56" s="20">
        <f>IFERROR(INDEX(CONFIGURACOES!$H$37:$H$300,MATCH($I56,CONFIGURACOES!$B$37:$B$300,0)),"")</f>
        <v/>
      </c>
      <c r="L56" s="20" t="n"/>
      <c r="M56" s="20">
        <f>IFERROR(INDEX(CONFIGURACOES!$I$37:$I$300,MATCH($I56,CONFIGURACOES!$B$37:$B$300,0)),"")</f>
        <v/>
      </c>
      <c r="N56" s="21" t="n"/>
      <c r="O56" s="21" t="n"/>
      <c r="P56" s="21" t="n"/>
      <c r="Q56" s="21" t="n"/>
      <c r="R56" s="21">
        <f>IF($N56="","",$N56*IF($Q56="",1,$Q56)*IF($P56="",1,$P56)*IF($O56="",1,$O56))</f>
        <v/>
      </c>
      <c r="S56" s="22">
        <f>IFERROR(INDEX(CONFIGURACOES!$J$37:$J$300,MATCH($I56,CONFIGURACOES!$B$37:$B$300,0)),"")</f>
        <v/>
      </c>
      <c r="T56" s="22">
        <f>IF(OR($R56="",$S56=""),"",$R56*$S56)</f>
        <v/>
      </c>
      <c r="U56" s="20" t="n"/>
      <c r="V56" s="20" t="n"/>
      <c r="W56" s="20" t="n"/>
      <c r="X56">
        <f>IF($A56="","",$A56&amp;"|"&amp;$C56&amp;"|"&amp;$I56)</f>
        <v/>
      </c>
      <c r="Y56">
        <f>IF(AND($A56=RELATORIO_MEDICAO!$C$5,$C56=RELATORIO_MEDICAO!$F$5,$A56&lt;&gt;""),COUNTIFS($A$3:$A56,RELATORIO_MEDICAO!$C$5,$C$3:$C56,RELATORIO_MEDICAO!$F$5),"")</f>
        <v/>
      </c>
      <c r="Z56">
        <f>IF(OR($A56="",PESQUISA!$C$4=""),0,IF(OR(ISNUMBER(SEARCH(PESQUISA!$C$4,$G56)),ISNUMBER(SEARCH(PESQUISA!$C$4,$K56)),ISNUMBER(SEARCH(PESQUISA!$C$4,$L56))),1,0))</f>
        <v/>
      </c>
      <c r="AA56">
        <f>IF($Z56=1,SUM($Z$3:$Z56),"")</f>
        <v/>
      </c>
      <c r="AB56">
        <f>IF(OR($A56="",PESQUISA!$C$50=""),0,IF(ISNUMBER(SEARCH(PESQUISA!$C$50,$I56)),1,0))</f>
        <v/>
      </c>
      <c r="AC56">
        <f>IF($AB56=1,SUM($AB$3:$AB56),"")</f>
        <v/>
      </c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>
        <f>IFERROR(INDEX(CONFIGURACOES!$G$37:$G$300,MATCH($I57,CONFIGURACOES!$B$37:$B$300,0)),"")</f>
        <v/>
      </c>
      <c r="K57" s="20">
        <f>IFERROR(INDEX(CONFIGURACOES!$H$37:$H$300,MATCH($I57,CONFIGURACOES!$B$37:$B$300,0)),"")</f>
        <v/>
      </c>
      <c r="L57" s="20" t="n"/>
      <c r="M57" s="20">
        <f>IFERROR(INDEX(CONFIGURACOES!$I$37:$I$300,MATCH($I57,CONFIGURACOES!$B$37:$B$300,0)),"")</f>
        <v/>
      </c>
      <c r="N57" s="21" t="n"/>
      <c r="O57" s="21" t="n"/>
      <c r="P57" s="21" t="n"/>
      <c r="Q57" s="21" t="n"/>
      <c r="R57" s="21">
        <f>IF($N57="","",$N57*IF($Q57="",1,$Q57)*IF($P57="",1,$P57)*IF($O57="",1,$O57))</f>
        <v/>
      </c>
      <c r="S57" s="22">
        <f>IFERROR(INDEX(CONFIGURACOES!$J$37:$J$300,MATCH($I57,CONFIGURACOES!$B$37:$B$300,0)),"")</f>
        <v/>
      </c>
      <c r="T57" s="22">
        <f>IF(OR($R57="",$S57=""),"",$R57*$S57)</f>
        <v/>
      </c>
      <c r="U57" s="20" t="n"/>
      <c r="V57" s="20" t="n"/>
      <c r="W57" s="20" t="n"/>
      <c r="X57">
        <f>IF($A57="","",$A57&amp;"|"&amp;$C57&amp;"|"&amp;$I57)</f>
        <v/>
      </c>
      <c r="Y57">
        <f>IF(AND($A57=RELATORIO_MEDICAO!$C$5,$C57=RELATORIO_MEDICAO!$F$5,$A57&lt;&gt;""),COUNTIFS($A$3:$A57,RELATORIO_MEDICAO!$C$5,$C$3:$C57,RELATORIO_MEDICAO!$F$5),"")</f>
        <v/>
      </c>
      <c r="Z57">
        <f>IF(OR($A57="",PESQUISA!$C$4=""),0,IF(OR(ISNUMBER(SEARCH(PESQUISA!$C$4,$G57)),ISNUMBER(SEARCH(PESQUISA!$C$4,$K57)),ISNUMBER(SEARCH(PESQUISA!$C$4,$L57))),1,0))</f>
        <v/>
      </c>
      <c r="AA57">
        <f>IF($Z57=1,SUM($Z$3:$Z57),"")</f>
        <v/>
      </c>
      <c r="AB57">
        <f>IF(OR($A57="",PESQUISA!$C$50=""),0,IF(ISNUMBER(SEARCH(PESQUISA!$C$50,$I57)),1,0))</f>
        <v/>
      </c>
      <c r="AC57">
        <f>IF($AB57=1,SUM($AB$3:$AB57),"")</f>
        <v/>
      </c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>
        <f>IFERROR(INDEX(CONFIGURACOES!$G$37:$G$300,MATCH($I58,CONFIGURACOES!$B$37:$B$300,0)),"")</f>
        <v/>
      </c>
      <c r="K58" s="20">
        <f>IFERROR(INDEX(CONFIGURACOES!$H$37:$H$300,MATCH($I58,CONFIGURACOES!$B$37:$B$300,0)),"")</f>
        <v/>
      </c>
      <c r="L58" s="20" t="n"/>
      <c r="M58" s="20">
        <f>IFERROR(INDEX(CONFIGURACOES!$I$37:$I$300,MATCH($I58,CONFIGURACOES!$B$37:$B$300,0)),"")</f>
        <v/>
      </c>
      <c r="N58" s="21" t="n"/>
      <c r="O58" s="21" t="n"/>
      <c r="P58" s="21" t="n"/>
      <c r="Q58" s="21" t="n"/>
      <c r="R58" s="21">
        <f>IF($N58="","",$N58*IF($Q58="",1,$Q58)*IF($P58="",1,$P58)*IF($O58="",1,$O58))</f>
        <v/>
      </c>
      <c r="S58" s="22">
        <f>IFERROR(INDEX(CONFIGURACOES!$J$37:$J$300,MATCH($I58,CONFIGURACOES!$B$37:$B$300,0)),"")</f>
        <v/>
      </c>
      <c r="T58" s="22">
        <f>IF(OR($R58="",$S58=""),"",$R58*$S58)</f>
        <v/>
      </c>
      <c r="U58" s="20" t="n"/>
      <c r="V58" s="20" t="n"/>
      <c r="W58" s="20" t="n"/>
      <c r="X58">
        <f>IF($A58="","",$A58&amp;"|"&amp;$C58&amp;"|"&amp;$I58)</f>
        <v/>
      </c>
      <c r="Y58">
        <f>IF(AND($A58=RELATORIO_MEDICAO!$C$5,$C58=RELATORIO_MEDICAO!$F$5,$A58&lt;&gt;""),COUNTIFS($A$3:$A58,RELATORIO_MEDICAO!$C$5,$C$3:$C58,RELATORIO_MEDICAO!$F$5),"")</f>
        <v/>
      </c>
      <c r="Z58">
        <f>IF(OR($A58="",PESQUISA!$C$4=""),0,IF(OR(ISNUMBER(SEARCH(PESQUISA!$C$4,$G58)),ISNUMBER(SEARCH(PESQUISA!$C$4,$K58)),ISNUMBER(SEARCH(PESQUISA!$C$4,$L58))),1,0))</f>
        <v/>
      </c>
      <c r="AA58">
        <f>IF($Z58=1,SUM($Z$3:$Z58),"")</f>
        <v/>
      </c>
      <c r="AB58">
        <f>IF(OR($A58="",PESQUISA!$C$50=""),0,IF(ISNUMBER(SEARCH(PESQUISA!$C$50,$I58)),1,0))</f>
        <v/>
      </c>
      <c r="AC58">
        <f>IF($AB58=1,SUM($AB$3:$AB58),"")</f>
        <v/>
      </c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>
        <f>IFERROR(INDEX(CONFIGURACOES!$G$37:$G$300,MATCH($I59,CONFIGURACOES!$B$37:$B$300,0)),"")</f>
        <v/>
      </c>
      <c r="K59" s="20">
        <f>IFERROR(INDEX(CONFIGURACOES!$H$37:$H$300,MATCH($I59,CONFIGURACOES!$B$37:$B$300,0)),"")</f>
        <v/>
      </c>
      <c r="L59" s="20" t="n"/>
      <c r="M59" s="20">
        <f>IFERROR(INDEX(CONFIGURACOES!$I$37:$I$300,MATCH($I59,CONFIGURACOES!$B$37:$B$300,0)),"")</f>
        <v/>
      </c>
      <c r="N59" s="21" t="n"/>
      <c r="O59" s="21" t="n"/>
      <c r="P59" s="21" t="n"/>
      <c r="Q59" s="21" t="n"/>
      <c r="R59" s="21">
        <f>IF($N59="","",$N59*IF($Q59="",1,$Q59)*IF($P59="",1,$P59)*IF($O59="",1,$O59))</f>
        <v/>
      </c>
      <c r="S59" s="22">
        <f>IFERROR(INDEX(CONFIGURACOES!$J$37:$J$300,MATCH($I59,CONFIGURACOES!$B$37:$B$300,0)),"")</f>
        <v/>
      </c>
      <c r="T59" s="22">
        <f>IF(OR($R59="",$S59=""),"",$R59*$S59)</f>
        <v/>
      </c>
      <c r="U59" s="20" t="n"/>
      <c r="V59" s="20" t="n"/>
      <c r="W59" s="20" t="n"/>
      <c r="X59">
        <f>IF($A59="","",$A59&amp;"|"&amp;$C59&amp;"|"&amp;$I59)</f>
        <v/>
      </c>
      <c r="Y59">
        <f>IF(AND($A59=RELATORIO_MEDICAO!$C$5,$C59=RELATORIO_MEDICAO!$F$5,$A59&lt;&gt;""),COUNTIFS($A$3:$A59,RELATORIO_MEDICAO!$C$5,$C$3:$C59,RELATORIO_MEDICAO!$F$5),"")</f>
        <v/>
      </c>
      <c r="Z59">
        <f>IF(OR($A59="",PESQUISA!$C$4=""),0,IF(OR(ISNUMBER(SEARCH(PESQUISA!$C$4,$G59)),ISNUMBER(SEARCH(PESQUISA!$C$4,$K59)),ISNUMBER(SEARCH(PESQUISA!$C$4,$L59))),1,0))</f>
        <v/>
      </c>
      <c r="AA59">
        <f>IF($Z59=1,SUM($Z$3:$Z59),"")</f>
        <v/>
      </c>
      <c r="AB59">
        <f>IF(OR($A59="",PESQUISA!$C$50=""),0,IF(ISNUMBER(SEARCH(PESQUISA!$C$50,$I59)),1,0))</f>
        <v/>
      </c>
      <c r="AC59">
        <f>IF($AB59=1,SUM($AB$3:$AB59),"")</f>
        <v/>
      </c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>
        <f>IFERROR(INDEX(CONFIGURACOES!$G$37:$G$300,MATCH($I60,CONFIGURACOES!$B$37:$B$300,0)),"")</f>
        <v/>
      </c>
      <c r="K60" s="20">
        <f>IFERROR(INDEX(CONFIGURACOES!$H$37:$H$300,MATCH($I60,CONFIGURACOES!$B$37:$B$300,0)),"")</f>
        <v/>
      </c>
      <c r="L60" s="20" t="n"/>
      <c r="M60" s="20">
        <f>IFERROR(INDEX(CONFIGURACOES!$I$37:$I$300,MATCH($I60,CONFIGURACOES!$B$37:$B$300,0)),"")</f>
        <v/>
      </c>
      <c r="N60" s="21" t="n"/>
      <c r="O60" s="21" t="n"/>
      <c r="P60" s="21" t="n"/>
      <c r="Q60" s="21" t="n"/>
      <c r="R60" s="21">
        <f>IF($N60="","",$N60*IF($Q60="",1,$Q60)*IF($P60="",1,$P60)*IF($O60="",1,$O60))</f>
        <v/>
      </c>
      <c r="S60" s="22">
        <f>IFERROR(INDEX(CONFIGURACOES!$J$37:$J$300,MATCH($I60,CONFIGURACOES!$B$37:$B$300,0)),"")</f>
        <v/>
      </c>
      <c r="T60" s="22">
        <f>IF(OR($R60="",$S60=""),"",$R60*$S60)</f>
        <v/>
      </c>
      <c r="U60" s="20" t="n"/>
      <c r="V60" s="20" t="n"/>
      <c r="W60" s="20" t="n"/>
      <c r="X60">
        <f>IF($A60="","",$A60&amp;"|"&amp;$C60&amp;"|"&amp;$I60)</f>
        <v/>
      </c>
      <c r="Y60">
        <f>IF(AND($A60=RELATORIO_MEDICAO!$C$5,$C60=RELATORIO_MEDICAO!$F$5,$A60&lt;&gt;""),COUNTIFS($A$3:$A60,RELATORIO_MEDICAO!$C$5,$C$3:$C60,RELATORIO_MEDICAO!$F$5),"")</f>
        <v/>
      </c>
      <c r="Z60">
        <f>IF(OR($A60="",PESQUISA!$C$4=""),0,IF(OR(ISNUMBER(SEARCH(PESQUISA!$C$4,$G60)),ISNUMBER(SEARCH(PESQUISA!$C$4,$K60)),ISNUMBER(SEARCH(PESQUISA!$C$4,$L60))),1,0))</f>
        <v/>
      </c>
      <c r="AA60">
        <f>IF($Z60=1,SUM($Z$3:$Z60),"")</f>
        <v/>
      </c>
      <c r="AB60">
        <f>IF(OR($A60="",PESQUISA!$C$50=""),0,IF(ISNUMBER(SEARCH(PESQUISA!$C$50,$I60)),1,0))</f>
        <v/>
      </c>
      <c r="AC60">
        <f>IF($AB60=1,SUM($AB$3:$AB60),"")</f>
        <v/>
      </c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>
        <f>IFERROR(INDEX(CONFIGURACOES!$G$37:$G$300,MATCH($I61,CONFIGURACOES!$B$37:$B$300,0)),"")</f>
        <v/>
      </c>
      <c r="K61" s="20">
        <f>IFERROR(INDEX(CONFIGURACOES!$H$37:$H$300,MATCH($I61,CONFIGURACOES!$B$37:$B$300,0)),"")</f>
        <v/>
      </c>
      <c r="L61" s="20" t="n"/>
      <c r="M61" s="20">
        <f>IFERROR(INDEX(CONFIGURACOES!$I$37:$I$300,MATCH($I61,CONFIGURACOES!$B$37:$B$300,0)),"")</f>
        <v/>
      </c>
      <c r="N61" s="21" t="n"/>
      <c r="O61" s="21" t="n"/>
      <c r="P61" s="21" t="n"/>
      <c r="Q61" s="21" t="n"/>
      <c r="R61" s="21">
        <f>IF($N61="","",$N61*IF($Q61="",1,$Q61)*IF($P61="",1,$P61)*IF($O61="",1,$O61))</f>
        <v/>
      </c>
      <c r="S61" s="22">
        <f>IFERROR(INDEX(CONFIGURACOES!$J$37:$J$300,MATCH($I61,CONFIGURACOES!$B$37:$B$300,0)),"")</f>
        <v/>
      </c>
      <c r="T61" s="22">
        <f>IF(OR($R61="",$S61=""),"",$R61*$S61)</f>
        <v/>
      </c>
      <c r="U61" s="20" t="n"/>
      <c r="V61" s="20" t="n"/>
      <c r="W61" s="20" t="n"/>
      <c r="X61">
        <f>IF($A61="","",$A61&amp;"|"&amp;$C61&amp;"|"&amp;$I61)</f>
        <v/>
      </c>
      <c r="Y61">
        <f>IF(AND($A61=RELATORIO_MEDICAO!$C$5,$C61=RELATORIO_MEDICAO!$F$5,$A61&lt;&gt;""),COUNTIFS($A$3:$A61,RELATORIO_MEDICAO!$C$5,$C$3:$C61,RELATORIO_MEDICAO!$F$5),"")</f>
        <v/>
      </c>
      <c r="Z61">
        <f>IF(OR($A61="",PESQUISA!$C$4=""),0,IF(OR(ISNUMBER(SEARCH(PESQUISA!$C$4,$G61)),ISNUMBER(SEARCH(PESQUISA!$C$4,$K61)),ISNUMBER(SEARCH(PESQUISA!$C$4,$L61))),1,0))</f>
        <v/>
      </c>
      <c r="AA61">
        <f>IF($Z61=1,SUM($Z$3:$Z61),"")</f>
        <v/>
      </c>
      <c r="AB61">
        <f>IF(OR($A61="",PESQUISA!$C$50=""),0,IF(ISNUMBER(SEARCH(PESQUISA!$C$50,$I61)),1,0))</f>
        <v/>
      </c>
      <c r="AC61">
        <f>IF($AB61=1,SUM($AB$3:$AB61),"")</f>
        <v/>
      </c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>
        <f>IFERROR(INDEX(CONFIGURACOES!$G$37:$G$300,MATCH($I62,CONFIGURACOES!$B$37:$B$300,0)),"")</f>
        <v/>
      </c>
      <c r="K62" s="20">
        <f>IFERROR(INDEX(CONFIGURACOES!$H$37:$H$300,MATCH($I62,CONFIGURACOES!$B$37:$B$300,0)),"")</f>
        <v/>
      </c>
      <c r="L62" s="20" t="n"/>
      <c r="M62" s="20">
        <f>IFERROR(INDEX(CONFIGURACOES!$I$37:$I$300,MATCH($I62,CONFIGURACOES!$B$37:$B$300,0)),"")</f>
        <v/>
      </c>
      <c r="N62" s="21" t="n"/>
      <c r="O62" s="21" t="n"/>
      <c r="P62" s="21" t="n"/>
      <c r="Q62" s="21" t="n"/>
      <c r="R62" s="21">
        <f>IF($N62="","",$N62*IF($Q62="",1,$Q62)*IF($P62="",1,$P62)*IF($O62="",1,$O62))</f>
        <v/>
      </c>
      <c r="S62" s="22">
        <f>IFERROR(INDEX(CONFIGURACOES!$J$37:$J$300,MATCH($I62,CONFIGURACOES!$B$37:$B$300,0)),"")</f>
        <v/>
      </c>
      <c r="T62" s="22">
        <f>IF(OR($R62="",$S62=""),"",$R62*$S62)</f>
        <v/>
      </c>
      <c r="U62" s="20" t="n"/>
      <c r="V62" s="20" t="n"/>
      <c r="W62" s="20" t="n"/>
      <c r="X62">
        <f>IF($A62="","",$A62&amp;"|"&amp;$C62&amp;"|"&amp;$I62)</f>
        <v/>
      </c>
      <c r="Y62">
        <f>IF(AND($A62=RELATORIO_MEDICAO!$C$5,$C62=RELATORIO_MEDICAO!$F$5,$A62&lt;&gt;""),COUNTIFS($A$3:$A62,RELATORIO_MEDICAO!$C$5,$C$3:$C62,RELATORIO_MEDICAO!$F$5),"")</f>
        <v/>
      </c>
      <c r="Z62">
        <f>IF(OR($A62="",PESQUISA!$C$4=""),0,IF(OR(ISNUMBER(SEARCH(PESQUISA!$C$4,$G62)),ISNUMBER(SEARCH(PESQUISA!$C$4,$K62)),ISNUMBER(SEARCH(PESQUISA!$C$4,$L62))),1,0))</f>
        <v/>
      </c>
      <c r="AA62">
        <f>IF($Z62=1,SUM($Z$3:$Z62),"")</f>
        <v/>
      </c>
      <c r="AB62">
        <f>IF(OR($A62="",PESQUISA!$C$50=""),0,IF(ISNUMBER(SEARCH(PESQUISA!$C$50,$I62)),1,0))</f>
        <v/>
      </c>
      <c r="AC62">
        <f>IF($AB62=1,SUM($AB$3:$AB62),"")</f>
        <v/>
      </c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>
        <f>IFERROR(INDEX(CONFIGURACOES!$G$37:$G$300,MATCH($I63,CONFIGURACOES!$B$37:$B$300,0)),"")</f>
        <v/>
      </c>
      <c r="K63" s="20">
        <f>IFERROR(INDEX(CONFIGURACOES!$H$37:$H$300,MATCH($I63,CONFIGURACOES!$B$37:$B$300,0)),"")</f>
        <v/>
      </c>
      <c r="L63" s="20" t="n"/>
      <c r="M63" s="20">
        <f>IFERROR(INDEX(CONFIGURACOES!$I$37:$I$300,MATCH($I63,CONFIGURACOES!$B$37:$B$300,0)),"")</f>
        <v/>
      </c>
      <c r="N63" s="21" t="n"/>
      <c r="O63" s="21" t="n"/>
      <c r="P63" s="21" t="n"/>
      <c r="Q63" s="21" t="n"/>
      <c r="R63" s="21">
        <f>IF($N63="","",$N63*IF($Q63="",1,$Q63)*IF($P63="",1,$P63)*IF($O63="",1,$O63))</f>
        <v/>
      </c>
      <c r="S63" s="22">
        <f>IFERROR(INDEX(CONFIGURACOES!$J$37:$J$300,MATCH($I63,CONFIGURACOES!$B$37:$B$300,0)),"")</f>
        <v/>
      </c>
      <c r="T63" s="22">
        <f>IF(OR($R63="",$S63=""),"",$R63*$S63)</f>
        <v/>
      </c>
      <c r="U63" s="20" t="n"/>
      <c r="V63" s="20" t="n"/>
      <c r="W63" s="20" t="n"/>
      <c r="X63">
        <f>IF($A63="","",$A63&amp;"|"&amp;$C63&amp;"|"&amp;$I63)</f>
        <v/>
      </c>
      <c r="Y63">
        <f>IF(AND($A63=RELATORIO_MEDICAO!$C$5,$C63=RELATORIO_MEDICAO!$F$5,$A63&lt;&gt;""),COUNTIFS($A$3:$A63,RELATORIO_MEDICAO!$C$5,$C$3:$C63,RELATORIO_MEDICAO!$F$5),"")</f>
        <v/>
      </c>
      <c r="Z63">
        <f>IF(OR($A63="",PESQUISA!$C$4=""),0,IF(OR(ISNUMBER(SEARCH(PESQUISA!$C$4,$G63)),ISNUMBER(SEARCH(PESQUISA!$C$4,$K63)),ISNUMBER(SEARCH(PESQUISA!$C$4,$L63))),1,0))</f>
        <v/>
      </c>
      <c r="AA63">
        <f>IF($Z63=1,SUM($Z$3:$Z63),"")</f>
        <v/>
      </c>
      <c r="AB63">
        <f>IF(OR($A63="",PESQUISA!$C$50=""),0,IF(ISNUMBER(SEARCH(PESQUISA!$C$50,$I63)),1,0))</f>
        <v/>
      </c>
      <c r="AC63">
        <f>IF($AB63=1,SUM($AB$3:$AB63),"")</f>
        <v/>
      </c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>
        <f>IFERROR(INDEX(CONFIGURACOES!$G$37:$G$300,MATCH($I64,CONFIGURACOES!$B$37:$B$300,0)),"")</f>
        <v/>
      </c>
      <c r="K64" s="20">
        <f>IFERROR(INDEX(CONFIGURACOES!$H$37:$H$300,MATCH($I64,CONFIGURACOES!$B$37:$B$300,0)),"")</f>
        <v/>
      </c>
      <c r="L64" s="20" t="n"/>
      <c r="M64" s="20">
        <f>IFERROR(INDEX(CONFIGURACOES!$I$37:$I$300,MATCH($I64,CONFIGURACOES!$B$37:$B$300,0)),"")</f>
        <v/>
      </c>
      <c r="N64" s="21" t="n"/>
      <c r="O64" s="21" t="n"/>
      <c r="P64" s="21" t="n"/>
      <c r="Q64" s="21" t="n"/>
      <c r="R64" s="21">
        <f>IF($N64="","",$N64*IF($Q64="",1,$Q64)*IF($P64="",1,$P64)*IF($O64="",1,$O64))</f>
        <v/>
      </c>
      <c r="S64" s="22">
        <f>IFERROR(INDEX(CONFIGURACOES!$J$37:$J$300,MATCH($I64,CONFIGURACOES!$B$37:$B$300,0)),"")</f>
        <v/>
      </c>
      <c r="T64" s="22">
        <f>IF(OR($R64="",$S64=""),"",$R64*$S64)</f>
        <v/>
      </c>
      <c r="U64" s="20" t="n"/>
      <c r="V64" s="20" t="n"/>
      <c r="W64" s="20" t="n"/>
      <c r="X64">
        <f>IF($A64="","",$A64&amp;"|"&amp;$C64&amp;"|"&amp;$I64)</f>
        <v/>
      </c>
      <c r="Y64">
        <f>IF(AND($A64=RELATORIO_MEDICAO!$C$5,$C64=RELATORIO_MEDICAO!$F$5,$A64&lt;&gt;""),COUNTIFS($A$3:$A64,RELATORIO_MEDICAO!$C$5,$C$3:$C64,RELATORIO_MEDICAO!$F$5),"")</f>
        <v/>
      </c>
      <c r="Z64">
        <f>IF(OR($A64="",PESQUISA!$C$4=""),0,IF(OR(ISNUMBER(SEARCH(PESQUISA!$C$4,$G64)),ISNUMBER(SEARCH(PESQUISA!$C$4,$K64)),ISNUMBER(SEARCH(PESQUISA!$C$4,$L64))),1,0))</f>
        <v/>
      </c>
      <c r="AA64">
        <f>IF($Z64=1,SUM($Z$3:$Z64),"")</f>
        <v/>
      </c>
      <c r="AB64">
        <f>IF(OR($A64="",PESQUISA!$C$50=""),0,IF(ISNUMBER(SEARCH(PESQUISA!$C$50,$I64)),1,0))</f>
        <v/>
      </c>
      <c r="AC64">
        <f>IF($AB64=1,SUM($AB$3:$AB64),"")</f>
        <v/>
      </c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>
        <f>IFERROR(INDEX(CONFIGURACOES!$G$37:$G$300,MATCH($I65,CONFIGURACOES!$B$37:$B$300,0)),"")</f>
        <v/>
      </c>
      <c r="K65" s="20">
        <f>IFERROR(INDEX(CONFIGURACOES!$H$37:$H$300,MATCH($I65,CONFIGURACOES!$B$37:$B$300,0)),"")</f>
        <v/>
      </c>
      <c r="L65" s="20" t="n"/>
      <c r="M65" s="20">
        <f>IFERROR(INDEX(CONFIGURACOES!$I$37:$I$300,MATCH($I65,CONFIGURACOES!$B$37:$B$300,0)),"")</f>
        <v/>
      </c>
      <c r="N65" s="21" t="n"/>
      <c r="O65" s="21" t="n"/>
      <c r="P65" s="21" t="n"/>
      <c r="Q65" s="21" t="n"/>
      <c r="R65" s="21">
        <f>IF($N65="","",$N65*IF($Q65="",1,$Q65)*IF($P65="",1,$P65)*IF($O65="",1,$O65))</f>
        <v/>
      </c>
      <c r="S65" s="22">
        <f>IFERROR(INDEX(CONFIGURACOES!$J$37:$J$300,MATCH($I65,CONFIGURACOES!$B$37:$B$300,0)),"")</f>
        <v/>
      </c>
      <c r="T65" s="22">
        <f>IF(OR($R65="",$S65=""),"",$R65*$S65)</f>
        <v/>
      </c>
      <c r="U65" s="20" t="n"/>
      <c r="V65" s="20" t="n"/>
      <c r="W65" s="20" t="n"/>
      <c r="X65">
        <f>IF($A65="","",$A65&amp;"|"&amp;$C65&amp;"|"&amp;$I65)</f>
        <v/>
      </c>
      <c r="Y65">
        <f>IF(AND($A65=RELATORIO_MEDICAO!$C$5,$C65=RELATORIO_MEDICAO!$F$5,$A65&lt;&gt;""),COUNTIFS($A$3:$A65,RELATORIO_MEDICAO!$C$5,$C$3:$C65,RELATORIO_MEDICAO!$F$5),"")</f>
        <v/>
      </c>
      <c r="Z65">
        <f>IF(OR($A65="",PESQUISA!$C$4=""),0,IF(OR(ISNUMBER(SEARCH(PESQUISA!$C$4,$G65)),ISNUMBER(SEARCH(PESQUISA!$C$4,$K65)),ISNUMBER(SEARCH(PESQUISA!$C$4,$L65))),1,0))</f>
        <v/>
      </c>
      <c r="AA65">
        <f>IF($Z65=1,SUM($Z$3:$Z65),"")</f>
        <v/>
      </c>
      <c r="AB65">
        <f>IF(OR($A65="",PESQUISA!$C$50=""),0,IF(ISNUMBER(SEARCH(PESQUISA!$C$50,$I65)),1,0))</f>
        <v/>
      </c>
      <c r="AC65">
        <f>IF($AB65=1,SUM($AB$3:$AB65),"")</f>
        <v/>
      </c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>
        <f>IFERROR(INDEX(CONFIGURACOES!$G$37:$G$300,MATCH($I66,CONFIGURACOES!$B$37:$B$300,0)),"")</f>
        <v/>
      </c>
      <c r="K66" s="20">
        <f>IFERROR(INDEX(CONFIGURACOES!$H$37:$H$300,MATCH($I66,CONFIGURACOES!$B$37:$B$300,0)),"")</f>
        <v/>
      </c>
      <c r="L66" s="20" t="n"/>
      <c r="M66" s="20">
        <f>IFERROR(INDEX(CONFIGURACOES!$I$37:$I$300,MATCH($I66,CONFIGURACOES!$B$37:$B$300,0)),"")</f>
        <v/>
      </c>
      <c r="N66" s="21" t="n"/>
      <c r="O66" s="21" t="n"/>
      <c r="P66" s="21" t="n"/>
      <c r="Q66" s="21" t="n"/>
      <c r="R66" s="21">
        <f>IF($N66="","",$N66*IF($Q66="",1,$Q66)*IF($P66="",1,$P66)*IF($O66="",1,$O66))</f>
        <v/>
      </c>
      <c r="S66" s="22">
        <f>IFERROR(INDEX(CONFIGURACOES!$J$37:$J$300,MATCH($I66,CONFIGURACOES!$B$37:$B$300,0)),"")</f>
        <v/>
      </c>
      <c r="T66" s="22">
        <f>IF(OR($R66="",$S66=""),"",$R66*$S66)</f>
        <v/>
      </c>
      <c r="U66" s="20" t="n"/>
      <c r="V66" s="20" t="n"/>
      <c r="W66" s="20" t="n"/>
      <c r="X66">
        <f>IF($A66="","",$A66&amp;"|"&amp;$C66&amp;"|"&amp;$I66)</f>
        <v/>
      </c>
      <c r="Y66">
        <f>IF(AND($A66=RELATORIO_MEDICAO!$C$5,$C66=RELATORIO_MEDICAO!$F$5,$A66&lt;&gt;""),COUNTIFS($A$3:$A66,RELATORIO_MEDICAO!$C$5,$C$3:$C66,RELATORIO_MEDICAO!$F$5),"")</f>
        <v/>
      </c>
      <c r="Z66">
        <f>IF(OR($A66="",PESQUISA!$C$4=""),0,IF(OR(ISNUMBER(SEARCH(PESQUISA!$C$4,$G66)),ISNUMBER(SEARCH(PESQUISA!$C$4,$K66)),ISNUMBER(SEARCH(PESQUISA!$C$4,$L66))),1,0))</f>
        <v/>
      </c>
      <c r="AA66">
        <f>IF($Z66=1,SUM($Z$3:$Z66),"")</f>
        <v/>
      </c>
      <c r="AB66">
        <f>IF(OR($A66="",PESQUISA!$C$50=""),0,IF(ISNUMBER(SEARCH(PESQUISA!$C$50,$I66)),1,0))</f>
        <v/>
      </c>
      <c r="AC66">
        <f>IF($AB66=1,SUM($AB$3:$AB66),"")</f>
        <v/>
      </c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>
        <f>IFERROR(INDEX(CONFIGURACOES!$G$37:$G$300,MATCH($I67,CONFIGURACOES!$B$37:$B$300,0)),"")</f>
        <v/>
      </c>
      <c r="K67" s="20">
        <f>IFERROR(INDEX(CONFIGURACOES!$H$37:$H$300,MATCH($I67,CONFIGURACOES!$B$37:$B$300,0)),"")</f>
        <v/>
      </c>
      <c r="L67" s="20" t="n"/>
      <c r="M67" s="20">
        <f>IFERROR(INDEX(CONFIGURACOES!$I$37:$I$300,MATCH($I67,CONFIGURACOES!$B$37:$B$300,0)),"")</f>
        <v/>
      </c>
      <c r="N67" s="21" t="n"/>
      <c r="O67" s="21" t="n"/>
      <c r="P67" s="21" t="n"/>
      <c r="Q67" s="21" t="n"/>
      <c r="R67" s="21">
        <f>IF($N67="","",$N67*IF($Q67="",1,$Q67)*IF($P67="",1,$P67)*IF($O67="",1,$O67))</f>
        <v/>
      </c>
      <c r="S67" s="22">
        <f>IFERROR(INDEX(CONFIGURACOES!$J$37:$J$300,MATCH($I67,CONFIGURACOES!$B$37:$B$300,0)),"")</f>
        <v/>
      </c>
      <c r="T67" s="22">
        <f>IF(OR($R67="",$S67=""),"",$R67*$S67)</f>
        <v/>
      </c>
      <c r="U67" s="20" t="n"/>
      <c r="V67" s="20" t="n"/>
      <c r="W67" s="20" t="n"/>
      <c r="X67">
        <f>IF($A67="","",$A67&amp;"|"&amp;$C67&amp;"|"&amp;$I67)</f>
        <v/>
      </c>
      <c r="Y67">
        <f>IF(AND($A67=RELATORIO_MEDICAO!$C$5,$C67=RELATORIO_MEDICAO!$F$5,$A67&lt;&gt;""),COUNTIFS($A$3:$A67,RELATORIO_MEDICAO!$C$5,$C$3:$C67,RELATORIO_MEDICAO!$F$5),"")</f>
        <v/>
      </c>
      <c r="Z67">
        <f>IF(OR($A67="",PESQUISA!$C$4=""),0,IF(OR(ISNUMBER(SEARCH(PESQUISA!$C$4,$G67)),ISNUMBER(SEARCH(PESQUISA!$C$4,$K67)),ISNUMBER(SEARCH(PESQUISA!$C$4,$L67))),1,0))</f>
        <v/>
      </c>
      <c r="AA67">
        <f>IF($Z67=1,SUM($Z$3:$Z67),"")</f>
        <v/>
      </c>
      <c r="AB67">
        <f>IF(OR($A67="",PESQUISA!$C$50=""),0,IF(ISNUMBER(SEARCH(PESQUISA!$C$50,$I67)),1,0))</f>
        <v/>
      </c>
      <c r="AC67">
        <f>IF($AB67=1,SUM($AB$3:$AB67),"")</f>
        <v/>
      </c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>
        <f>IFERROR(INDEX(CONFIGURACOES!$G$37:$G$300,MATCH($I68,CONFIGURACOES!$B$37:$B$300,0)),"")</f>
        <v/>
      </c>
      <c r="K68" s="20">
        <f>IFERROR(INDEX(CONFIGURACOES!$H$37:$H$300,MATCH($I68,CONFIGURACOES!$B$37:$B$300,0)),"")</f>
        <v/>
      </c>
      <c r="L68" s="20" t="n"/>
      <c r="M68" s="20">
        <f>IFERROR(INDEX(CONFIGURACOES!$I$37:$I$300,MATCH($I68,CONFIGURACOES!$B$37:$B$300,0)),"")</f>
        <v/>
      </c>
      <c r="N68" s="21" t="n"/>
      <c r="O68" s="21" t="n"/>
      <c r="P68" s="21" t="n"/>
      <c r="Q68" s="21" t="n"/>
      <c r="R68" s="21">
        <f>IF($N68="","",$N68*IF($Q68="",1,$Q68)*IF($P68="",1,$P68)*IF($O68="",1,$O68))</f>
        <v/>
      </c>
      <c r="S68" s="22">
        <f>IFERROR(INDEX(CONFIGURACOES!$J$37:$J$300,MATCH($I68,CONFIGURACOES!$B$37:$B$300,0)),"")</f>
        <v/>
      </c>
      <c r="T68" s="22">
        <f>IF(OR($R68="",$S68=""),"",$R68*$S68)</f>
        <v/>
      </c>
      <c r="U68" s="20" t="n"/>
      <c r="V68" s="20" t="n"/>
      <c r="W68" s="20" t="n"/>
      <c r="X68">
        <f>IF($A68="","",$A68&amp;"|"&amp;$C68&amp;"|"&amp;$I68)</f>
        <v/>
      </c>
      <c r="Y68">
        <f>IF(AND($A68=RELATORIO_MEDICAO!$C$5,$C68=RELATORIO_MEDICAO!$F$5,$A68&lt;&gt;""),COUNTIFS($A$3:$A68,RELATORIO_MEDICAO!$C$5,$C$3:$C68,RELATORIO_MEDICAO!$F$5),"")</f>
        <v/>
      </c>
      <c r="Z68">
        <f>IF(OR($A68="",PESQUISA!$C$4=""),0,IF(OR(ISNUMBER(SEARCH(PESQUISA!$C$4,$G68)),ISNUMBER(SEARCH(PESQUISA!$C$4,$K68)),ISNUMBER(SEARCH(PESQUISA!$C$4,$L68))),1,0))</f>
        <v/>
      </c>
      <c r="AA68">
        <f>IF($Z68=1,SUM($Z$3:$Z68),"")</f>
        <v/>
      </c>
      <c r="AB68">
        <f>IF(OR($A68="",PESQUISA!$C$50=""),0,IF(ISNUMBER(SEARCH(PESQUISA!$C$50,$I68)),1,0))</f>
        <v/>
      </c>
      <c r="AC68">
        <f>IF($AB68=1,SUM($AB$3:$AB68),"")</f>
        <v/>
      </c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>
        <f>IFERROR(INDEX(CONFIGURACOES!$G$37:$G$300,MATCH($I69,CONFIGURACOES!$B$37:$B$300,0)),"")</f>
        <v/>
      </c>
      <c r="K69" s="20">
        <f>IFERROR(INDEX(CONFIGURACOES!$H$37:$H$300,MATCH($I69,CONFIGURACOES!$B$37:$B$300,0)),"")</f>
        <v/>
      </c>
      <c r="L69" s="20" t="n"/>
      <c r="M69" s="20">
        <f>IFERROR(INDEX(CONFIGURACOES!$I$37:$I$300,MATCH($I69,CONFIGURACOES!$B$37:$B$300,0)),"")</f>
        <v/>
      </c>
      <c r="N69" s="21" t="n"/>
      <c r="O69" s="21" t="n"/>
      <c r="P69" s="21" t="n"/>
      <c r="Q69" s="21" t="n"/>
      <c r="R69" s="21">
        <f>IF($N69="","",$N69*IF($Q69="",1,$Q69)*IF($P69="",1,$P69)*IF($O69="",1,$O69))</f>
        <v/>
      </c>
      <c r="S69" s="22">
        <f>IFERROR(INDEX(CONFIGURACOES!$J$37:$J$300,MATCH($I69,CONFIGURACOES!$B$37:$B$300,0)),"")</f>
        <v/>
      </c>
      <c r="T69" s="22">
        <f>IF(OR($R69="",$S69=""),"",$R69*$S69)</f>
        <v/>
      </c>
      <c r="U69" s="20" t="n"/>
      <c r="V69" s="20" t="n"/>
      <c r="W69" s="20" t="n"/>
      <c r="X69">
        <f>IF($A69="","",$A69&amp;"|"&amp;$C69&amp;"|"&amp;$I69)</f>
        <v/>
      </c>
      <c r="Y69">
        <f>IF(AND($A69=RELATORIO_MEDICAO!$C$5,$C69=RELATORIO_MEDICAO!$F$5,$A69&lt;&gt;""),COUNTIFS($A$3:$A69,RELATORIO_MEDICAO!$C$5,$C$3:$C69,RELATORIO_MEDICAO!$F$5),"")</f>
        <v/>
      </c>
      <c r="Z69">
        <f>IF(OR($A69="",PESQUISA!$C$4=""),0,IF(OR(ISNUMBER(SEARCH(PESQUISA!$C$4,$G69)),ISNUMBER(SEARCH(PESQUISA!$C$4,$K69)),ISNUMBER(SEARCH(PESQUISA!$C$4,$L69))),1,0))</f>
        <v/>
      </c>
      <c r="AA69">
        <f>IF($Z69=1,SUM($Z$3:$Z69),"")</f>
        <v/>
      </c>
      <c r="AB69">
        <f>IF(OR($A69="",PESQUISA!$C$50=""),0,IF(ISNUMBER(SEARCH(PESQUISA!$C$50,$I69)),1,0))</f>
        <v/>
      </c>
      <c r="AC69">
        <f>IF($AB69=1,SUM($AB$3:$AB69),"")</f>
        <v/>
      </c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>
        <f>IFERROR(INDEX(CONFIGURACOES!$G$37:$G$300,MATCH($I70,CONFIGURACOES!$B$37:$B$300,0)),"")</f>
        <v/>
      </c>
      <c r="K70" s="20">
        <f>IFERROR(INDEX(CONFIGURACOES!$H$37:$H$300,MATCH($I70,CONFIGURACOES!$B$37:$B$300,0)),"")</f>
        <v/>
      </c>
      <c r="L70" s="20" t="n"/>
      <c r="M70" s="20">
        <f>IFERROR(INDEX(CONFIGURACOES!$I$37:$I$300,MATCH($I70,CONFIGURACOES!$B$37:$B$300,0)),"")</f>
        <v/>
      </c>
      <c r="N70" s="21" t="n"/>
      <c r="O70" s="21" t="n"/>
      <c r="P70" s="21" t="n"/>
      <c r="Q70" s="21" t="n"/>
      <c r="R70" s="21">
        <f>IF($N70="","",$N70*IF($Q70="",1,$Q70)*IF($P70="",1,$P70)*IF($O70="",1,$O70))</f>
        <v/>
      </c>
      <c r="S70" s="22">
        <f>IFERROR(INDEX(CONFIGURACOES!$J$37:$J$300,MATCH($I70,CONFIGURACOES!$B$37:$B$300,0)),"")</f>
        <v/>
      </c>
      <c r="T70" s="22">
        <f>IF(OR($R70="",$S70=""),"",$R70*$S70)</f>
        <v/>
      </c>
      <c r="U70" s="20" t="n"/>
      <c r="V70" s="20" t="n"/>
      <c r="W70" s="20" t="n"/>
      <c r="X70">
        <f>IF($A70="","",$A70&amp;"|"&amp;$C70&amp;"|"&amp;$I70)</f>
        <v/>
      </c>
      <c r="Y70">
        <f>IF(AND($A70=RELATORIO_MEDICAO!$C$5,$C70=RELATORIO_MEDICAO!$F$5,$A70&lt;&gt;""),COUNTIFS($A$3:$A70,RELATORIO_MEDICAO!$C$5,$C$3:$C70,RELATORIO_MEDICAO!$F$5),"")</f>
        <v/>
      </c>
      <c r="Z70">
        <f>IF(OR($A70="",PESQUISA!$C$4=""),0,IF(OR(ISNUMBER(SEARCH(PESQUISA!$C$4,$G70)),ISNUMBER(SEARCH(PESQUISA!$C$4,$K70)),ISNUMBER(SEARCH(PESQUISA!$C$4,$L70))),1,0))</f>
        <v/>
      </c>
      <c r="AA70">
        <f>IF($Z70=1,SUM($Z$3:$Z70),"")</f>
        <v/>
      </c>
      <c r="AB70">
        <f>IF(OR($A70="",PESQUISA!$C$50=""),0,IF(ISNUMBER(SEARCH(PESQUISA!$C$50,$I70)),1,0))</f>
        <v/>
      </c>
      <c r="AC70">
        <f>IF($AB70=1,SUM($AB$3:$AB70),"")</f>
        <v/>
      </c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>
        <f>IFERROR(INDEX(CONFIGURACOES!$G$37:$G$300,MATCH($I71,CONFIGURACOES!$B$37:$B$300,0)),"")</f>
        <v/>
      </c>
      <c r="K71" s="20">
        <f>IFERROR(INDEX(CONFIGURACOES!$H$37:$H$300,MATCH($I71,CONFIGURACOES!$B$37:$B$300,0)),"")</f>
        <v/>
      </c>
      <c r="L71" s="20" t="n"/>
      <c r="M71" s="20">
        <f>IFERROR(INDEX(CONFIGURACOES!$I$37:$I$300,MATCH($I71,CONFIGURACOES!$B$37:$B$300,0)),"")</f>
        <v/>
      </c>
      <c r="N71" s="21" t="n"/>
      <c r="O71" s="21" t="n"/>
      <c r="P71" s="21" t="n"/>
      <c r="Q71" s="21" t="n"/>
      <c r="R71" s="21">
        <f>IF($N71="","",$N71*IF($Q71="",1,$Q71)*IF($P71="",1,$P71)*IF($O71="",1,$O71))</f>
        <v/>
      </c>
      <c r="S71" s="22">
        <f>IFERROR(INDEX(CONFIGURACOES!$J$37:$J$300,MATCH($I71,CONFIGURACOES!$B$37:$B$300,0)),"")</f>
        <v/>
      </c>
      <c r="T71" s="22">
        <f>IF(OR($R71="",$S71=""),"",$R71*$S71)</f>
        <v/>
      </c>
      <c r="U71" s="20" t="n"/>
      <c r="V71" s="20" t="n"/>
      <c r="W71" s="20" t="n"/>
      <c r="X71">
        <f>IF($A71="","",$A71&amp;"|"&amp;$C71&amp;"|"&amp;$I71)</f>
        <v/>
      </c>
      <c r="Y71">
        <f>IF(AND($A71=RELATORIO_MEDICAO!$C$5,$C71=RELATORIO_MEDICAO!$F$5,$A71&lt;&gt;""),COUNTIFS($A$3:$A71,RELATORIO_MEDICAO!$C$5,$C$3:$C71,RELATORIO_MEDICAO!$F$5),"")</f>
        <v/>
      </c>
      <c r="Z71">
        <f>IF(OR($A71="",PESQUISA!$C$4=""),0,IF(OR(ISNUMBER(SEARCH(PESQUISA!$C$4,$G71)),ISNUMBER(SEARCH(PESQUISA!$C$4,$K71)),ISNUMBER(SEARCH(PESQUISA!$C$4,$L71))),1,0))</f>
        <v/>
      </c>
      <c r="AA71">
        <f>IF($Z71=1,SUM($Z$3:$Z71),"")</f>
        <v/>
      </c>
      <c r="AB71">
        <f>IF(OR($A71="",PESQUISA!$C$50=""),0,IF(ISNUMBER(SEARCH(PESQUISA!$C$50,$I71)),1,0))</f>
        <v/>
      </c>
      <c r="AC71">
        <f>IF($AB71=1,SUM($AB$3:$AB71),"")</f>
        <v/>
      </c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>
        <f>IFERROR(INDEX(CONFIGURACOES!$G$37:$G$300,MATCH($I72,CONFIGURACOES!$B$37:$B$300,0)),"")</f>
        <v/>
      </c>
      <c r="K72" s="20">
        <f>IFERROR(INDEX(CONFIGURACOES!$H$37:$H$300,MATCH($I72,CONFIGURACOES!$B$37:$B$300,0)),"")</f>
        <v/>
      </c>
      <c r="L72" s="20" t="n"/>
      <c r="M72" s="20">
        <f>IFERROR(INDEX(CONFIGURACOES!$I$37:$I$300,MATCH($I72,CONFIGURACOES!$B$37:$B$300,0)),"")</f>
        <v/>
      </c>
      <c r="N72" s="21" t="n"/>
      <c r="O72" s="21" t="n"/>
      <c r="P72" s="21" t="n"/>
      <c r="Q72" s="21" t="n"/>
      <c r="R72" s="21">
        <f>IF($N72="","",$N72*IF($Q72="",1,$Q72)*IF($P72="",1,$P72)*IF($O72="",1,$O72))</f>
        <v/>
      </c>
      <c r="S72" s="22">
        <f>IFERROR(INDEX(CONFIGURACOES!$J$37:$J$300,MATCH($I72,CONFIGURACOES!$B$37:$B$300,0)),"")</f>
        <v/>
      </c>
      <c r="T72" s="22">
        <f>IF(OR($R72="",$S72=""),"",$R72*$S72)</f>
        <v/>
      </c>
      <c r="U72" s="20" t="n"/>
      <c r="V72" s="20" t="n"/>
      <c r="W72" s="20" t="n"/>
      <c r="X72">
        <f>IF($A72="","",$A72&amp;"|"&amp;$C72&amp;"|"&amp;$I72)</f>
        <v/>
      </c>
      <c r="Y72">
        <f>IF(AND($A72=RELATORIO_MEDICAO!$C$5,$C72=RELATORIO_MEDICAO!$F$5,$A72&lt;&gt;""),COUNTIFS($A$3:$A72,RELATORIO_MEDICAO!$C$5,$C$3:$C72,RELATORIO_MEDICAO!$F$5),"")</f>
        <v/>
      </c>
      <c r="Z72">
        <f>IF(OR($A72="",PESQUISA!$C$4=""),0,IF(OR(ISNUMBER(SEARCH(PESQUISA!$C$4,$G72)),ISNUMBER(SEARCH(PESQUISA!$C$4,$K72)),ISNUMBER(SEARCH(PESQUISA!$C$4,$L72))),1,0))</f>
        <v/>
      </c>
      <c r="AA72">
        <f>IF($Z72=1,SUM($Z$3:$Z72),"")</f>
        <v/>
      </c>
      <c r="AB72">
        <f>IF(OR($A72="",PESQUISA!$C$50=""),0,IF(ISNUMBER(SEARCH(PESQUISA!$C$50,$I72)),1,0))</f>
        <v/>
      </c>
      <c r="AC72">
        <f>IF($AB72=1,SUM($AB$3:$AB72),"")</f>
        <v/>
      </c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>
        <f>IFERROR(INDEX(CONFIGURACOES!$G$37:$G$300,MATCH($I73,CONFIGURACOES!$B$37:$B$300,0)),"")</f>
        <v/>
      </c>
      <c r="K73" s="20">
        <f>IFERROR(INDEX(CONFIGURACOES!$H$37:$H$300,MATCH($I73,CONFIGURACOES!$B$37:$B$300,0)),"")</f>
        <v/>
      </c>
      <c r="L73" s="20" t="n"/>
      <c r="M73" s="20">
        <f>IFERROR(INDEX(CONFIGURACOES!$I$37:$I$300,MATCH($I73,CONFIGURACOES!$B$37:$B$300,0)),"")</f>
        <v/>
      </c>
      <c r="N73" s="21" t="n"/>
      <c r="O73" s="21" t="n"/>
      <c r="P73" s="21" t="n"/>
      <c r="Q73" s="21" t="n"/>
      <c r="R73" s="21">
        <f>IF($N73="","",$N73*IF($Q73="",1,$Q73)*IF($P73="",1,$P73)*IF($O73="",1,$O73))</f>
        <v/>
      </c>
      <c r="S73" s="22">
        <f>IFERROR(INDEX(CONFIGURACOES!$J$37:$J$300,MATCH($I73,CONFIGURACOES!$B$37:$B$300,0)),"")</f>
        <v/>
      </c>
      <c r="T73" s="22">
        <f>IF(OR($R73="",$S73=""),"",$R73*$S73)</f>
        <v/>
      </c>
      <c r="U73" s="20" t="n"/>
      <c r="V73" s="20" t="n"/>
      <c r="W73" s="20" t="n"/>
      <c r="X73">
        <f>IF($A73="","",$A73&amp;"|"&amp;$C73&amp;"|"&amp;$I73)</f>
        <v/>
      </c>
      <c r="Y73">
        <f>IF(AND($A73=RELATORIO_MEDICAO!$C$5,$C73=RELATORIO_MEDICAO!$F$5,$A73&lt;&gt;""),COUNTIFS($A$3:$A73,RELATORIO_MEDICAO!$C$5,$C$3:$C73,RELATORIO_MEDICAO!$F$5),"")</f>
        <v/>
      </c>
      <c r="Z73">
        <f>IF(OR($A73="",PESQUISA!$C$4=""),0,IF(OR(ISNUMBER(SEARCH(PESQUISA!$C$4,$G73)),ISNUMBER(SEARCH(PESQUISA!$C$4,$K73)),ISNUMBER(SEARCH(PESQUISA!$C$4,$L73))),1,0))</f>
        <v/>
      </c>
      <c r="AA73">
        <f>IF($Z73=1,SUM($Z$3:$Z73),"")</f>
        <v/>
      </c>
      <c r="AB73">
        <f>IF(OR($A73="",PESQUISA!$C$50=""),0,IF(ISNUMBER(SEARCH(PESQUISA!$C$50,$I73)),1,0))</f>
        <v/>
      </c>
      <c r="AC73">
        <f>IF($AB73=1,SUM($AB$3:$AB73),"")</f>
        <v/>
      </c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>
        <f>IFERROR(INDEX(CONFIGURACOES!$G$37:$G$300,MATCH($I74,CONFIGURACOES!$B$37:$B$300,0)),"")</f>
        <v/>
      </c>
      <c r="K74" s="20">
        <f>IFERROR(INDEX(CONFIGURACOES!$H$37:$H$300,MATCH($I74,CONFIGURACOES!$B$37:$B$300,0)),"")</f>
        <v/>
      </c>
      <c r="L74" s="20" t="n"/>
      <c r="M74" s="20">
        <f>IFERROR(INDEX(CONFIGURACOES!$I$37:$I$300,MATCH($I74,CONFIGURACOES!$B$37:$B$300,0)),"")</f>
        <v/>
      </c>
      <c r="N74" s="21" t="n"/>
      <c r="O74" s="21" t="n"/>
      <c r="P74" s="21" t="n"/>
      <c r="Q74" s="21" t="n"/>
      <c r="R74" s="21">
        <f>IF($N74="","",$N74*IF($Q74="",1,$Q74)*IF($P74="",1,$P74)*IF($O74="",1,$O74))</f>
        <v/>
      </c>
      <c r="S74" s="22">
        <f>IFERROR(INDEX(CONFIGURACOES!$J$37:$J$300,MATCH($I74,CONFIGURACOES!$B$37:$B$300,0)),"")</f>
        <v/>
      </c>
      <c r="T74" s="22">
        <f>IF(OR($R74="",$S74=""),"",$R74*$S74)</f>
        <v/>
      </c>
      <c r="U74" s="20" t="n"/>
      <c r="V74" s="20" t="n"/>
      <c r="W74" s="20" t="n"/>
      <c r="X74">
        <f>IF($A74="","",$A74&amp;"|"&amp;$C74&amp;"|"&amp;$I74)</f>
        <v/>
      </c>
      <c r="Y74">
        <f>IF(AND($A74=RELATORIO_MEDICAO!$C$5,$C74=RELATORIO_MEDICAO!$F$5,$A74&lt;&gt;""),COUNTIFS($A$3:$A74,RELATORIO_MEDICAO!$C$5,$C$3:$C74,RELATORIO_MEDICAO!$F$5),"")</f>
        <v/>
      </c>
      <c r="Z74">
        <f>IF(OR($A74="",PESQUISA!$C$4=""),0,IF(OR(ISNUMBER(SEARCH(PESQUISA!$C$4,$G74)),ISNUMBER(SEARCH(PESQUISA!$C$4,$K74)),ISNUMBER(SEARCH(PESQUISA!$C$4,$L74))),1,0))</f>
        <v/>
      </c>
      <c r="AA74">
        <f>IF($Z74=1,SUM($Z$3:$Z74),"")</f>
        <v/>
      </c>
      <c r="AB74">
        <f>IF(OR($A74="",PESQUISA!$C$50=""),0,IF(ISNUMBER(SEARCH(PESQUISA!$C$50,$I74)),1,0))</f>
        <v/>
      </c>
      <c r="AC74">
        <f>IF($AB74=1,SUM($AB$3:$AB74),"")</f>
        <v/>
      </c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>
        <f>IFERROR(INDEX(CONFIGURACOES!$G$37:$G$300,MATCH($I75,CONFIGURACOES!$B$37:$B$300,0)),"")</f>
        <v/>
      </c>
      <c r="K75" s="20">
        <f>IFERROR(INDEX(CONFIGURACOES!$H$37:$H$300,MATCH($I75,CONFIGURACOES!$B$37:$B$300,0)),"")</f>
        <v/>
      </c>
      <c r="L75" s="20" t="n"/>
      <c r="M75" s="20">
        <f>IFERROR(INDEX(CONFIGURACOES!$I$37:$I$300,MATCH($I75,CONFIGURACOES!$B$37:$B$300,0)),"")</f>
        <v/>
      </c>
      <c r="N75" s="21" t="n"/>
      <c r="O75" s="21" t="n"/>
      <c r="P75" s="21" t="n"/>
      <c r="Q75" s="21" t="n"/>
      <c r="R75" s="21">
        <f>IF($N75="","",$N75*IF($Q75="",1,$Q75)*IF($P75="",1,$P75)*IF($O75="",1,$O75))</f>
        <v/>
      </c>
      <c r="S75" s="22">
        <f>IFERROR(INDEX(CONFIGURACOES!$J$37:$J$300,MATCH($I75,CONFIGURACOES!$B$37:$B$300,0)),"")</f>
        <v/>
      </c>
      <c r="T75" s="22">
        <f>IF(OR($R75="",$S75=""),"",$R75*$S75)</f>
        <v/>
      </c>
      <c r="U75" s="20" t="n"/>
      <c r="V75" s="20" t="n"/>
      <c r="W75" s="20" t="n"/>
      <c r="X75">
        <f>IF($A75="","",$A75&amp;"|"&amp;$C75&amp;"|"&amp;$I75)</f>
        <v/>
      </c>
      <c r="Y75">
        <f>IF(AND($A75=RELATORIO_MEDICAO!$C$5,$C75=RELATORIO_MEDICAO!$F$5,$A75&lt;&gt;""),COUNTIFS($A$3:$A75,RELATORIO_MEDICAO!$C$5,$C$3:$C75,RELATORIO_MEDICAO!$F$5),"")</f>
        <v/>
      </c>
      <c r="Z75">
        <f>IF(OR($A75="",PESQUISA!$C$4=""),0,IF(OR(ISNUMBER(SEARCH(PESQUISA!$C$4,$G75)),ISNUMBER(SEARCH(PESQUISA!$C$4,$K75)),ISNUMBER(SEARCH(PESQUISA!$C$4,$L75))),1,0))</f>
        <v/>
      </c>
      <c r="AA75">
        <f>IF($Z75=1,SUM($Z$3:$Z75),"")</f>
        <v/>
      </c>
      <c r="AB75">
        <f>IF(OR($A75="",PESQUISA!$C$50=""),0,IF(ISNUMBER(SEARCH(PESQUISA!$C$50,$I75)),1,0))</f>
        <v/>
      </c>
      <c r="AC75">
        <f>IF($AB75=1,SUM($AB$3:$AB75),"")</f>
        <v/>
      </c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>
        <f>IFERROR(INDEX(CONFIGURACOES!$G$37:$G$300,MATCH($I76,CONFIGURACOES!$B$37:$B$300,0)),"")</f>
        <v/>
      </c>
      <c r="K76" s="20">
        <f>IFERROR(INDEX(CONFIGURACOES!$H$37:$H$300,MATCH($I76,CONFIGURACOES!$B$37:$B$300,0)),"")</f>
        <v/>
      </c>
      <c r="L76" s="20" t="n"/>
      <c r="M76" s="20">
        <f>IFERROR(INDEX(CONFIGURACOES!$I$37:$I$300,MATCH($I76,CONFIGURACOES!$B$37:$B$300,0)),"")</f>
        <v/>
      </c>
      <c r="N76" s="21" t="n"/>
      <c r="O76" s="21" t="n"/>
      <c r="P76" s="21" t="n"/>
      <c r="Q76" s="21" t="n"/>
      <c r="R76" s="21">
        <f>IF($N76="","",$N76*IF($Q76="",1,$Q76)*IF($P76="",1,$P76)*IF($O76="",1,$O76))</f>
        <v/>
      </c>
      <c r="S76" s="22">
        <f>IFERROR(INDEX(CONFIGURACOES!$J$37:$J$300,MATCH($I76,CONFIGURACOES!$B$37:$B$300,0)),"")</f>
        <v/>
      </c>
      <c r="T76" s="22">
        <f>IF(OR($R76="",$S76=""),"",$R76*$S76)</f>
        <v/>
      </c>
      <c r="U76" s="20" t="n"/>
      <c r="V76" s="20" t="n"/>
      <c r="W76" s="20" t="n"/>
      <c r="X76">
        <f>IF($A76="","",$A76&amp;"|"&amp;$C76&amp;"|"&amp;$I76)</f>
        <v/>
      </c>
      <c r="Y76">
        <f>IF(AND($A76=RELATORIO_MEDICAO!$C$5,$C76=RELATORIO_MEDICAO!$F$5,$A76&lt;&gt;""),COUNTIFS($A$3:$A76,RELATORIO_MEDICAO!$C$5,$C$3:$C76,RELATORIO_MEDICAO!$F$5),"")</f>
        <v/>
      </c>
      <c r="Z76">
        <f>IF(OR($A76="",PESQUISA!$C$4=""),0,IF(OR(ISNUMBER(SEARCH(PESQUISA!$C$4,$G76)),ISNUMBER(SEARCH(PESQUISA!$C$4,$K76)),ISNUMBER(SEARCH(PESQUISA!$C$4,$L76))),1,0))</f>
        <v/>
      </c>
      <c r="AA76">
        <f>IF($Z76=1,SUM($Z$3:$Z76),"")</f>
        <v/>
      </c>
      <c r="AB76">
        <f>IF(OR($A76="",PESQUISA!$C$50=""),0,IF(ISNUMBER(SEARCH(PESQUISA!$C$50,$I76)),1,0))</f>
        <v/>
      </c>
      <c r="AC76">
        <f>IF($AB76=1,SUM($AB$3:$AB76),"")</f>
        <v/>
      </c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>
        <f>IFERROR(INDEX(CONFIGURACOES!$G$37:$G$300,MATCH($I77,CONFIGURACOES!$B$37:$B$300,0)),"")</f>
        <v/>
      </c>
      <c r="K77" s="20">
        <f>IFERROR(INDEX(CONFIGURACOES!$H$37:$H$300,MATCH($I77,CONFIGURACOES!$B$37:$B$300,0)),"")</f>
        <v/>
      </c>
      <c r="L77" s="20" t="n"/>
      <c r="M77" s="20">
        <f>IFERROR(INDEX(CONFIGURACOES!$I$37:$I$300,MATCH($I77,CONFIGURACOES!$B$37:$B$300,0)),"")</f>
        <v/>
      </c>
      <c r="N77" s="21" t="n"/>
      <c r="O77" s="21" t="n"/>
      <c r="P77" s="21" t="n"/>
      <c r="Q77" s="21" t="n"/>
      <c r="R77" s="21">
        <f>IF($N77="","",$N77*IF($Q77="",1,$Q77)*IF($P77="",1,$P77)*IF($O77="",1,$O77))</f>
        <v/>
      </c>
      <c r="S77" s="22">
        <f>IFERROR(INDEX(CONFIGURACOES!$J$37:$J$300,MATCH($I77,CONFIGURACOES!$B$37:$B$300,0)),"")</f>
        <v/>
      </c>
      <c r="T77" s="22">
        <f>IF(OR($R77="",$S77=""),"",$R77*$S77)</f>
        <v/>
      </c>
      <c r="U77" s="20" t="n"/>
      <c r="V77" s="20" t="n"/>
      <c r="W77" s="20" t="n"/>
      <c r="X77">
        <f>IF($A77="","",$A77&amp;"|"&amp;$C77&amp;"|"&amp;$I77)</f>
        <v/>
      </c>
      <c r="Y77">
        <f>IF(AND($A77=RELATORIO_MEDICAO!$C$5,$C77=RELATORIO_MEDICAO!$F$5,$A77&lt;&gt;""),COUNTIFS($A$3:$A77,RELATORIO_MEDICAO!$C$5,$C$3:$C77,RELATORIO_MEDICAO!$F$5),"")</f>
        <v/>
      </c>
      <c r="Z77">
        <f>IF(OR($A77="",PESQUISA!$C$4=""),0,IF(OR(ISNUMBER(SEARCH(PESQUISA!$C$4,$G77)),ISNUMBER(SEARCH(PESQUISA!$C$4,$K77)),ISNUMBER(SEARCH(PESQUISA!$C$4,$L77))),1,0))</f>
        <v/>
      </c>
      <c r="AA77">
        <f>IF($Z77=1,SUM($Z$3:$Z77),"")</f>
        <v/>
      </c>
      <c r="AB77">
        <f>IF(OR($A77="",PESQUISA!$C$50=""),0,IF(ISNUMBER(SEARCH(PESQUISA!$C$50,$I77)),1,0))</f>
        <v/>
      </c>
      <c r="AC77">
        <f>IF($AB77=1,SUM($AB$3:$AB77),"")</f>
        <v/>
      </c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>
        <f>IFERROR(INDEX(CONFIGURACOES!$G$37:$G$300,MATCH($I78,CONFIGURACOES!$B$37:$B$300,0)),"")</f>
        <v/>
      </c>
      <c r="K78" s="20">
        <f>IFERROR(INDEX(CONFIGURACOES!$H$37:$H$300,MATCH($I78,CONFIGURACOES!$B$37:$B$300,0)),"")</f>
        <v/>
      </c>
      <c r="L78" s="20" t="n"/>
      <c r="M78" s="20">
        <f>IFERROR(INDEX(CONFIGURACOES!$I$37:$I$300,MATCH($I78,CONFIGURACOES!$B$37:$B$300,0)),"")</f>
        <v/>
      </c>
      <c r="N78" s="21" t="n"/>
      <c r="O78" s="21" t="n"/>
      <c r="P78" s="21" t="n"/>
      <c r="Q78" s="21" t="n"/>
      <c r="R78" s="21">
        <f>IF($N78="","",$N78*IF($Q78="",1,$Q78)*IF($P78="",1,$P78)*IF($O78="",1,$O78))</f>
        <v/>
      </c>
      <c r="S78" s="22">
        <f>IFERROR(INDEX(CONFIGURACOES!$J$37:$J$300,MATCH($I78,CONFIGURACOES!$B$37:$B$300,0)),"")</f>
        <v/>
      </c>
      <c r="T78" s="22">
        <f>IF(OR($R78="",$S78=""),"",$R78*$S78)</f>
        <v/>
      </c>
      <c r="U78" s="20" t="n"/>
      <c r="V78" s="20" t="n"/>
      <c r="W78" s="20" t="n"/>
      <c r="X78">
        <f>IF($A78="","",$A78&amp;"|"&amp;$C78&amp;"|"&amp;$I78)</f>
        <v/>
      </c>
      <c r="Y78">
        <f>IF(AND($A78=RELATORIO_MEDICAO!$C$5,$C78=RELATORIO_MEDICAO!$F$5,$A78&lt;&gt;""),COUNTIFS($A$3:$A78,RELATORIO_MEDICAO!$C$5,$C$3:$C78,RELATORIO_MEDICAO!$F$5),"")</f>
        <v/>
      </c>
      <c r="Z78">
        <f>IF(OR($A78="",PESQUISA!$C$4=""),0,IF(OR(ISNUMBER(SEARCH(PESQUISA!$C$4,$G78)),ISNUMBER(SEARCH(PESQUISA!$C$4,$K78)),ISNUMBER(SEARCH(PESQUISA!$C$4,$L78))),1,0))</f>
        <v/>
      </c>
      <c r="AA78">
        <f>IF($Z78=1,SUM($Z$3:$Z78),"")</f>
        <v/>
      </c>
      <c r="AB78">
        <f>IF(OR($A78="",PESQUISA!$C$50=""),0,IF(ISNUMBER(SEARCH(PESQUISA!$C$50,$I78)),1,0))</f>
        <v/>
      </c>
      <c r="AC78">
        <f>IF($AB78=1,SUM($AB$3:$AB78),"")</f>
        <v/>
      </c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>
        <f>IFERROR(INDEX(CONFIGURACOES!$G$37:$G$300,MATCH($I79,CONFIGURACOES!$B$37:$B$300,0)),"")</f>
        <v/>
      </c>
      <c r="K79" s="20">
        <f>IFERROR(INDEX(CONFIGURACOES!$H$37:$H$300,MATCH($I79,CONFIGURACOES!$B$37:$B$300,0)),"")</f>
        <v/>
      </c>
      <c r="L79" s="20" t="n"/>
      <c r="M79" s="20">
        <f>IFERROR(INDEX(CONFIGURACOES!$I$37:$I$300,MATCH($I79,CONFIGURACOES!$B$37:$B$300,0)),"")</f>
        <v/>
      </c>
      <c r="N79" s="21" t="n"/>
      <c r="O79" s="21" t="n"/>
      <c r="P79" s="21" t="n"/>
      <c r="Q79" s="21" t="n"/>
      <c r="R79" s="21">
        <f>IF($N79="","",$N79*IF($Q79="",1,$Q79)*IF($P79="",1,$P79)*IF($O79="",1,$O79))</f>
        <v/>
      </c>
      <c r="S79" s="22">
        <f>IFERROR(INDEX(CONFIGURACOES!$J$37:$J$300,MATCH($I79,CONFIGURACOES!$B$37:$B$300,0)),"")</f>
        <v/>
      </c>
      <c r="T79" s="22">
        <f>IF(OR($R79="",$S79=""),"",$R79*$S79)</f>
        <v/>
      </c>
      <c r="U79" s="20" t="n"/>
      <c r="V79" s="20" t="n"/>
      <c r="W79" s="20" t="n"/>
      <c r="X79">
        <f>IF($A79="","",$A79&amp;"|"&amp;$C79&amp;"|"&amp;$I79)</f>
        <v/>
      </c>
      <c r="Y79">
        <f>IF(AND($A79=RELATORIO_MEDICAO!$C$5,$C79=RELATORIO_MEDICAO!$F$5,$A79&lt;&gt;""),COUNTIFS($A$3:$A79,RELATORIO_MEDICAO!$C$5,$C$3:$C79,RELATORIO_MEDICAO!$F$5),"")</f>
        <v/>
      </c>
      <c r="Z79">
        <f>IF(OR($A79="",PESQUISA!$C$4=""),0,IF(OR(ISNUMBER(SEARCH(PESQUISA!$C$4,$G79)),ISNUMBER(SEARCH(PESQUISA!$C$4,$K79)),ISNUMBER(SEARCH(PESQUISA!$C$4,$L79))),1,0))</f>
        <v/>
      </c>
      <c r="AA79">
        <f>IF($Z79=1,SUM($Z$3:$Z79),"")</f>
        <v/>
      </c>
      <c r="AB79">
        <f>IF(OR($A79="",PESQUISA!$C$50=""),0,IF(ISNUMBER(SEARCH(PESQUISA!$C$50,$I79)),1,0))</f>
        <v/>
      </c>
      <c r="AC79">
        <f>IF($AB79=1,SUM($AB$3:$AB79),"")</f>
        <v/>
      </c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>
        <f>IFERROR(INDEX(CONFIGURACOES!$G$37:$G$300,MATCH($I80,CONFIGURACOES!$B$37:$B$300,0)),"")</f>
        <v/>
      </c>
      <c r="K80" s="20">
        <f>IFERROR(INDEX(CONFIGURACOES!$H$37:$H$300,MATCH($I80,CONFIGURACOES!$B$37:$B$300,0)),"")</f>
        <v/>
      </c>
      <c r="L80" s="20" t="n"/>
      <c r="M80" s="20">
        <f>IFERROR(INDEX(CONFIGURACOES!$I$37:$I$300,MATCH($I80,CONFIGURACOES!$B$37:$B$300,0)),"")</f>
        <v/>
      </c>
      <c r="N80" s="21" t="n"/>
      <c r="O80" s="21" t="n"/>
      <c r="P80" s="21" t="n"/>
      <c r="Q80" s="21" t="n"/>
      <c r="R80" s="21">
        <f>IF($N80="","",$N80*IF($Q80="",1,$Q80)*IF($P80="",1,$P80)*IF($O80="",1,$O80))</f>
        <v/>
      </c>
      <c r="S80" s="22">
        <f>IFERROR(INDEX(CONFIGURACOES!$J$37:$J$300,MATCH($I80,CONFIGURACOES!$B$37:$B$300,0)),"")</f>
        <v/>
      </c>
      <c r="T80" s="22">
        <f>IF(OR($R80="",$S80=""),"",$R80*$S80)</f>
        <v/>
      </c>
      <c r="U80" s="20" t="n"/>
      <c r="V80" s="20" t="n"/>
      <c r="W80" s="20" t="n"/>
      <c r="X80">
        <f>IF($A80="","",$A80&amp;"|"&amp;$C80&amp;"|"&amp;$I80)</f>
        <v/>
      </c>
      <c r="Y80">
        <f>IF(AND($A80=RELATORIO_MEDICAO!$C$5,$C80=RELATORIO_MEDICAO!$F$5,$A80&lt;&gt;""),COUNTIFS($A$3:$A80,RELATORIO_MEDICAO!$C$5,$C$3:$C80,RELATORIO_MEDICAO!$F$5),"")</f>
        <v/>
      </c>
      <c r="Z80">
        <f>IF(OR($A80="",PESQUISA!$C$4=""),0,IF(OR(ISNUMBER(SEARCH(PESQUISA!$C$4,$G80)),ISNUMBER(SEARCH(PESQUISA!$C$4,$K80)),ISNUMBER(SEARCH(PESQUISA!$C$4,$L80))),1,0))</f>
        <v/>
      </c>
      <c r="AA80">
        <f>IF($Z80=1,SUM($Z$3:$Z80),"")</f>
        <v/>
      </c>
      <c r="AB80">
        <f>IF(OR($A80="",PESQUISA!$C$50=""),0,IF(ISNUMBER(SEARCH(PESQUISA!$C$50,$I80)),1,0))</f>
        <v/>
      </c>
      <c r="AC80">
        <f>IF($AB80=1,SUM($AB$3:$AB80),"")</f>
        <v/>
      </c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>
        <f>IFERROR(INDEX(CONFIGURACOES!$G$37:$G$300,MATCH($I81,CONFIGURACOES!$B$37:$B$300,0)),"")</f>
        <v/>
      </c>
      <c r="K81" s="20">
        <f>IFERROR(INDEX(CONFIGURACOES!$H$37:$H$300,MATCH($I81,CONFIGURACOES!$B$37:$B$300,0)),"")</f>
        <v/>
      </c>
      <c r="L81" s="20" t="n"/>
      <c r="M81" s="20">
        <f>IFERROR(INDEX(CONFIGURACOES!$I$37:$I$300,MATCH($I81,CONFIGURACOES!$B$37:$B$300,0)),"")</f>
        <v/>
      </c>
      <c r="N81" s="21" t="n"/>
      <c r="O81" s="21" t="n"/>
      <c r="P81" s="21" t="n"/>
      <c r="Q81" s="21" t="n"/>
      <c r="R81" s="21">
        <f>IF($N81="","",$N81*IF($Q81="",1,$Q81)*IF($P81="",1,$P81)*IF($O81="",1,$O81))</f>
        <v/>
      </c>
      <c r="S81" s="22">
        <f>IFERROR(INDEX(CONFIGURACOES!$J$37:$J$300,MATCH($I81,CONFIGURACOES!$B$37:$B$300,0)),"")</f>
        <v/>
      </c>
      <c r="T81" s="22">
        <f>IF(OR($R81="",$S81=""),"",$R81*$S81)</f>
        <v/>
      </c>
      <c r="U81" s="20" t="n"/>
      <c r="V81" s="20" t="n"/>
      <c r="W81" s="20" t="n"/>
      <c r="X81">
        <f>IF($A81="","",$A81&amp;"|"&amp;$C81&amp;"|"&amp;$I81)</f>
        <v/>
      </c>
      <c r="Y81">
        <f>IF(AND($A81=RELATORIO_MEDICAO!$C$5,$C81=RELATORIO_MEDICAO!$F$5,$A81&lt;&gt;""),COUNTIFS($A$3:$A81,RELATORIO_MEDICAO!$C$5,$C$3:$C81,RELATORIO_MEDICAO!$F$5),"")</f>
        <v/>
      </c>
      <c r="Z81">
        <f>IF(OR($A81="",PESQUISA!$C$4=""),0,IF(OR(ISNUMBER(SEARCH(PESQUISA!$C$4,$G81)),ISNUMBER(SEARCH(PESQUISA!$C$4,$K81)),ISNUMBER(SEARCH(PESQUISA!$C$4,$L81))),1,0))</f>
        <v/>
      </c>
      <c r="AA81">
        <f>IF($Z81=1,SUM($Z$3:$Z81),"")</f>
        <v/>
      </c>
      <c r="AB81">
        <f>IF(OR($A81="",PESQUISA!$C$50=""),0,IF(ISNUMBER(SEARCH(PESQUISA!$C$50,$I81)),1,0))</f>
        <v/>
      </c>
      <c r="AC81">
        <f>IF($AB81=1,SUM($AB$3:$AB81),"")</f>
        <v/>
      </c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>
        <f>IFERROR(INDEX(CONFIGURACOES!$G$37:$G$300,MATCH($I82,CONFIGURACOES!$B$37:$B$300,0)),"")</f>
        <v/>
      </c>
      <c r="K82" s="20">
        <f>IFERROR(INDEX(CONFIGURACOES!$H$37:$H$300,MATCH($I82,CONFIGURACOES!$B$37:$B$300,0)),"")</f>
        <v/>
      </c>
      <c r="L82" s="20" t="n"/>
      <c r="M82" s="20">
        <f>IFERROR(INDEX(CONFIGURACOES!$I$37:$I$300,MATCH($I82,CONFIGURACOES!$B$37:$B$300,0)),"")</f>
        <v/>
      </c>
      <c r="N82" s="21" t="n"/>
      <c r="O82" s="21" t="n"/>
      <c r="P82" s="21" t="n"/>
      <c r="Q82" s="21" t="n"/>
      <c r="R82" s="21">
        <f>IF($N82="","",$N82*IF($Q82="",1,$Q82)*IF($P82="",1,$P82)*IF($O82="",1,$O82))</f>
        <v/>
      </c>
      <c r="S82" s="22">
        <f>IFERROR(INDEX(CONFIGURACOES!$J$37:$J$300,MATCH($I82,CONFIGURACOES!$B$37:$B$300,0)),"")</f>
        <v/>
      </c>
      <c r="T82" s="22">
        <f>IF(OR($R82="",$S82=""),"",$R82*$S82)</f>
        <v/>
      </c>
      <c r="U82" s="20" t="n"/>
      <c r="V82" s="20" t="n"/>
      <c r="W82" s="20" t="n"/>
      <c r="X82">
        <f>IF($A82="","",$A82&amp;"|"&amp;$C82&amp;"|"&amp;$I82)</f>
        <v/>
      </c>
      <c r="Y82">
        <f>IF(AND($A82=RELATORIO_MEDICAO!$C$5,$C82=RELATORIO_MEDICAO!$F$5,$A82&lt;&gt;""),COUNTIFS($A$3:$A82,RELATORIO_MEDICAO!$C$5,$C$3:$C82,RELATORIO_MEDICAO!$F$5),"")</f>
        <v/>
      </c>
      <c r="Z82">
        <f>IF(OR($A82="",PESQUISA!$C$4=""),0,IF(OR(ISNUMBER(SEARCH(PESQUISA!$C$4,$G82)),ISNUMBER(SEARCH(PESQUISA!$C$4,$K82)),ISNUMBER(SEARCH(PESQUISA!$C$4,$L82))),1,0))</f>
        <v/>
      </c>
      <c r="AA82">
        <f>IF($Z82=1,SUM($Z$3:$Z82),"")</f>
        <v/>
      </c>
      <c r="AB82">
        <f>IF(OR($A82="",PESQUISA!$C$50=""),0,IF(ISNUMBER(SEARCH(PESQUISA!$C$50,$I82)),1,0))</f>
        <v/>
      </c>
      <c r="AC82">
        <f>IF($AB82=1,SUM($AB$3:$AB82),"")</f>
        <v/>
      </c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>
        <f>IFERROR(INDEX(CONFIGURACOES!$G$37:$G$300,MATCH($I83,CONFIGURACOES!$B$37:$B$300,0)),"")</f>
        <v/>
      </c>
      <c r="K83" s="20">
        <f>IFERROR(INDEX(CONFIGURACOES!$H$37:$H$300,MATCH($I83,CONFIGURACOES!$B$37:$B$300,0)),"")</f>
        <v/>
      </c>
      <c r="L83" s="20" t="n"/>
      <c r="M83" s="20">
        <f>IFERROR(INDEX(CONFIGURACOES!$I$37:$I$300,MATCH($I83,CONFIGURACOES!$B$37:$B$300,0)),"")</f>
        <v/>
      </c>
      <c r="N83" s="21" t="n"/>
      <c r="O83" s="21" t="n"/>
      <c r="P83" s="21" t="n"/>
      <c r="Q83" s="21" t="n"/>
      <c r="R83" s="21">
        <f>IF($N83="","",$N83*IF($Q83="",1,$Q83)*IF($P83="",1,$P83)*IF($O83="",1,$O83))</f>
        <v/>
      </c>
      <c r="S83" s="22">
        <f>IFERROR(INDEX(CONFIGURACOES!$J$37:$J$300,MATCH($I83,CONFIGURACOES!$B$37:$B$300,0)),"")</f>
        <v/>
      </c>
      <c r="T83" s="22">
        <f>IF(OR($R83="",$S83=""),"",$R83*$S83)</f>
        <v/>
      </c>
      <c r="U83" s="20" t="n"/>
      <c r="V83" s="20" t="n"/>
      <c r="W83" s="20" t="n"/>
      <c r="X83">
        <f>IF($A83="","",$A83&amp;"|"&amp;$C83&amp;"|"&amp;$I83)</f>
        <v/>
      </c>
      <c r="Y83">
        <f>IF(AND($A83=RELATORIO_MEDICAO!$C$5,$C83=RELATORIO_MEDICAO!$F$5,$A83&lt;&gt;""),COUNTIFS($A$3:$A83,RELATORIO_MEDICAO!$C$5,$C$3:$C83,RELATORIO_MEDICAO!$F$5),"")</f>
        <v/>
      </c>
      <c r="Z83">
        <f>IF(OR($A83="",PESQUISA!$C$4=""),0,IF(OR(ISNUMBER(SEARCH(PESQUISA!$C$4,$G83)),ISNUMBER(SEARCH(PESQUISA!$C$4,$K83)),ISNUMBER(SEARCH(PESQUISA!$C$4,$L83))),1,0))</f>
        <v/>
      </c>
      <c r="AA83">
        <f>IF($Z83=1,SUM($Z$3:$Z83),"")</f>
        <v/>
      </c>
      <c r="AB83">
        <f>IF(OR($A83="",PESQUISA!$C$50=""),0,IF(ISNUMBER(SEARCH(PESQUISA!$C$50,$I83)),1,0))</f>
        <v/>
      </c>
      <c r="AC83">
        <f>IF($AB83=1,SUM($AB$3:$AB83),"")</f>
        <v/>
      </c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>
        <f>IFERROR(INDEX(CONFIGURACOES!$G$37:$G$300,MATCH($I84,CONFIGURACOES!$B$37:$B$300,0)),"")</f>
        <v/>
      </c>
      <c r="K84" s="20">
        <f>IFERROR(INDEX(CONFIGURACOES!$H$37:$H$300,MATCH($I84,CONFIGURACOES!$B$37:$B$300,0)),"")</f>
        <v/>
      </c>
      <c r="L84" s="20" t="n"/>
      <c r="M84" s="20">
        <f>IFERROR(INDEX(CONFIGURACOES!$I$37:$I$300,MATCH($I84,CONFIGURACOES!$B$37:$B$300,0)),"")</f>
        <v/>
      </c>
      <c r="N84" s="21" t="n"/>
      <c r="O84" s="21" t="n"/>
      <c r="P84" s="21" t="n"/>
      <c r="Q84" s="21" t="n"/>
      <c r="R84" s="21">
        <f>IF($N84="","",$N84*IF($Q84="",1,$Q84)*IF($P84="",1,$P84)*IF($O84="",1,$O84))</f>
        <v/>
      </c>
      <c r="S84" s="22">
        <f>IFERROR(INDEX(CONFIGURACOES!$J$37:$J$300,MATCH($I84,CONFIGURACOES!$B$37:$B$300,0)),"")</f>
        <v/>
      </c>
      <c r="T84" s="22">
        <f>IF(OR($R84="",$S84=""),"",$R84*$S84)</f>
        <v/>
      </c>
      <c r="U84" s="20" t="n"/>
      <c r="V84" s="20" t="n"/>
      <c r="W84" s="20" t="n"/>
      <c r="X84">
        <f>IF($A84="","",$A84&amp;"|"&amp;$C84&amp;"|"&amp;$I84)</f>
        <v/>
      </c>
      <c r="Y84">
        <f>IF(AND($A84=RELATORIO_MEDICAO!$C$5,$C84=RELATORIO_MEDICAO!$F$5,$A84&lt;&gt;""),COUNTIFS($A$3:$A84,RELATORIO_MEDICAO!$C$5,$C$3:$C84,RELATORIO_MEDICAO!$F$5),"")</f>
        <v/>
      </c>
      <c r="Z84">
        <f>IF(OR($A84="",PESQUISA!$C$4=""),0,IF(OR(ISNUMBER(SEARCH(PESQUISA!$C$4,$G84)),ISNUMBER(SEARCH(PESQUISA!$C$4,$K84)),ISNUMBER(SEARCH(PESQUISA!$C$4,$L84))),1,0))</f>
        <v/>
      </c>
      <c r="AA84">
        <f>IF($Z84=1,SUM($Z$3:$Z84),"")</f>
        <v/>
      </c>
      <c r="AB84">
        <f>IF(OR($A84="",PESQUISA!$C$50=""),0,IF(ISNUMBER(SEARCH(PESQUISA!$C$50,$I84)),1,0))</f>
        <v/>
      </c>
      <c r="AC84">
        <f>IF($AB84=1,SUM($AB$3:$AB84),"")</f>
        <v/>
      </c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>
        <f>IFERROR(INDEX(CONFIGURACOES!$G$37:$G$300,MATCH($I85,CONFIGURACOES!$B$37:$B$300,0)),"")</f>
        <v/>
      </c>
      <c r="K85" s="20">
        <f>IFERROR(INDEX(CONFIGURACOES!$H$37:$H$300,MATCH($I85,CONFIGURACOES!$B$37:$B$300,0)),"")</f>
        <v/>
      </c>
      <c r="L85" s="20" t="n"/>
      <c r="M85" s="20">
        <f>IFERROR(INDEX(CONFIGURACOES!$I$37:$I$300,MATCH($I85,CONFIGURACOES!$B$37:$B$300,0)),"")</f>
        <v/>
      </c>
      <c r="N85" s="21" t="n"/>
      <c r="O85" s="21" t="n"/>
      <c r="P85" s="21" t="n"/>
      <c r="Q85" s="21" t="n"/>
      <c r="R85" s="21">
        <f>IF($N85="","",$N85*IF($Q85="",1,$Q85)*IF($P85="",1,$P85)*IF($O85="",1,$O85))</f>
        <v/>
      </c>
      <c r="S85" s="22">
        <f>IFERROR(INDEX(CONFIGURACOES!$J$37:$J$300,MATCH($I85,CONFIGURACOES!$B$37:$B$300,0)),"")</f>
        <v/>
      </c>
      <c r="T85" s="22">
        <f>IF(OR($R85="",$S85=""),"",$R85*$S85)</f>
        <v/>
      </c>
      <c r="U85" s="20" t="n"/>
      <c r="V85" s="20" t="n"/>
      <c r="W85" s="20" t="n"/>
      <c r="X85">
        <f>IF($A85="","",$A85&amp;"|"&amp;$C85&amp;"|"&amp;$I85)</f>
        <v/>
      </c>
      <c r="Y85">
        <f>IF(AND($A85=RELATORIO_MEDICAO!$C$5,$C85=RELATORIO_MEDICAO!$F$5,$A85&lt;&gt;""),COUNTIFS($A$3:$A85,RELATORIO_MEDICAO!$C$5,$C$3:$C85,RELATORIO_MEDICAO!$F$5),"")</f>
        <v/>
      </c>
      <c r="Z85">
        <f>IF(OR($A85="",PESQUISA!$C$4=""),0,IF(OR(ISNUMBER(SEARCH(PESQUISA!$C$4,$G85)),ISNUMBER(SEARCH(PESQUISA!$C$4,$K85)),ISNUMBER(SEARCH(PESQUISA!$C$4,$L85))),1,0))</f>
        <v/>
      </c>
      <c r="AA85">
        <f>IF($Z85=1,SUM($Z$3:$Z85),"")</f>
        <v/>
      </c>
      <c r="AB85">
        <f>IF(OR($A85="",PESQUISA!$C$50=""),0,IF(ISNUMBER(SEARCH(PESQUISA!$C$50,$I85)),1,0))</f>
        <v/>
      </c>
      <c r="AC85">
        <f>IF($AB85=1,SUM($AB$3:$AB85),"")</f>
        <v/>
      </c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>
        <f>IFERROR(INDEX(CONFIGURACOES!$G$37:$G$300,MATCH($I86,CONFIGURACOES!$B$37:$B$300,0)),"")</f>
        <v/>
      </c>
      <c r="K86" s="20">
        <f>IFERROR(INDEX(CONFIGURACOES!$H$37:$H$300,MATCH($I86,CONFIGURACOES!$B$37:$B$300,0)),"")</f>
        <v/>
      </c>
      <c r="L86" s="20" t="n"/>
      <c r="M86" s="20">
        <f>IFERROR(INDEX(CONFIGURACOES!$I$37:$I$300,MATCH($I86,CONFIGURACOES!$B$37:$B$300,0)),"")</f>
        <v/>
      </c>
      <c r="N86" s="21" t="n"/>
      <c r="O86" s="21" t="n"/>
      <c r="P86" s="21" t="n"/>
      <c r="Q86" s="21" t="n"/>
      <c r="R86" s="21">
        <f>IF($N86="","",$N86*IF($Q86="",1,$Q86)*IF($P86="",1,$P86)*IF($O86="",1,$O86))</f>
        <v/>
      </c>
      <c r="S86" s="22">
        <f>IFERROR(INDEX(CONFIGURACOES!$J$37:$J$300,MATCH($I86,CONFIGURACOES!$B$37:$B$300,0)),"")</f>
        <v/>
      </c>
      <c r="T86" s="22">
        <f>IF(OR($R86="",$S86=""),"",$R86*$S86)</f>
        <v/>
      </c>
      <c r="U86" s="20" t="n"/>
      <c r="V86" s="20" t="n"/>
      <c r="W86" s="20" t="n"/>
      <c r="X86">
        <f>IF($A86="","",$A86&amp;"|"&amp;$C86&amp;"|"&amp;$I86)</f>
        <v/>
      </c>
      <c r="Y86">
        <f>IF(AND($A86=RELATORIO_MEDICAO!$C$5,$C86=RELATORIO_MEDICAO!$F$5,$A86&lt;&gt;""),COUNTIFS($A$3:$A86,RELATORIO_MEDICAO!$C$5,$C$3:$C86,RELATORIO_MEDICAO!$F$5),"")</f>
        <v/>
      </c>
      <c r="Z86">
        <f>IF(OR($A86="",PESQUISA!$C$4=""),0,IF(OR(ISNUMBER(SEARCH(PESQUISA!$C$4,$G86)),ISNUMBER(SEARCH(PESQUISA!$C$4,$K86)),ISNUMBER(SEARCH(PESQUISA!$C$4,$L86))),1,0))</f>
        <v/>
      </c>
      <c r="AA86">
        <f>IF($Z86=1,SUM($Z$3:$Z86),"")</f>
        <v/>
      </c>
      <c r="AB86">
        <f>IF(OR($A86="",PESQUISA!$C$50=""),0,IF(ISNUMBER(SEARCH(PESQUISA!$C$50,$I86)),1,0))</f>
        <v/>
      </c>
      <c r="AC86">
        <f>IF($AB86=1,SUM($AB$3:$AB86),"")</f>
        <v/>
      </c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>
        <f>IFERROR(INDEX(CONFIGURACOES!$G$37:$G$300,MATCH($I87,CONFIGURACOES!$B$37:$B$300,0)),"")</f>
        <v/>
      </c>
      <c r="K87" s="20">
        <f>IFERROR(INDEX(CONFIGURACOES!$H$37:$H$300,MATCH($I87,CONFIGURACOES!$B$37:$B$300,0)),"")</f>
        <v/>
      </c>
      <c r="L87" s="20" t="n"/>
      <c r="M87" s="20">
        <f>IFERROR(INDEX(CONFIGURACOES!$I$37:$I$300,MATCH($I87,CONFIGURACOES!$B$37:$B$300,0)),"")</f>
        <v/>
      </c>
      <c r="N87" s="21" t="n"/>
      <c r="O87" s="21" t="n"/>
      <c r="P87" s="21" t="n"/>
      <c r="Q87" s="21" t="n"/>
      <c r="R87" s="21">
        <f>IF($N87="","",$N87*IF($Q87="",1,$Q87)*IF($P87="",1,$P87)*IF($O87="",1,$O87))</f>
        <v/>
      </c>
      <c r="S87" s="22">
        <f>IFERROR(INDEX(CONFIGURACOES!$J$37:$J$300,MATCH($I87,CONFIGURACOES!$B$37:$B$300,0)),"")</f>
        <v/>
      </c>
      <c r="T87" s="22">
        <f>IF(OR($R87="",$S87=""),"",$R87*$S87)</f>
        <v/>
      </c>
      <c r="U87" s="20" t="n"/>
      <c r="V87" s="20" t="n"/>
      <c r="W87" s="20" t="n"/>
      <c r="X87">
        <f>IF($A87="","",$A87&amp;"|"&amp;$C87&amp;"|"&amp;$I87)</f>
        <v/>
      </c>
      <c r="Y87">
        <f>IF(AND($A87=RELATORIO_MEDICAO!$C$5,$C87=RELATORIO_MEDICAO!$F$5,$A87&lt;&gt;""),COUNTIFS($A$3:$A87,RELATORIO_MEDICAO!$C$5,$C$3:$C87,RELATORIO_MEDICAO!$F$5),"")</f>
        <v/>
      </c>
      <c r="Z87">
        <f>IF(OR($A87="",PESQUISA!$C$4=""),0,IF(OR(ISNUMBER(SEARCH(PESQUISA!$C$4,$G87)),ISNUMBER(SEARCH(PESQUISA!$C$4,$K87)),ISNUMBER(SEARCH(PESQUISA!$C$4,$L87))),1,0))</f>
        <v/>
      </c>
      <c r="AA87">
        <f>IF($Z87=1,SUM($Z$3:$Z87),"")</f>
        <v/>
      </c>
      <c r="AB87">
        <f>IF(OR($A87="",PESQUISA!$C$50=""),0,IF(ISNUMBER(SEARCH(PESQUISA!$C$50,$I87)),1,0))</f>
        <v/>
      </c>
      <c r="AC87">
        <f>IF($AB87=1,SUM($AB$3:$AB87),"")</f>
        <v/>
      </c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>
        <f>IFERROR(INDEX(CONFIGURACOES!$G$37:$G$300,MATCH($I88,CONFIGURACOES!$B$37:$B$300,0)),"")</f>
        <v/>
      </c>
      <c r="K88" s="20">
        <f>IFERROR(INDEX(CONFIGURACOES!$H$37:$H$300,MATCH($I88,CONFIGURACOES!$B$37:$B$300,0)),"")</f>
        <v/>
      </c>
      <c r="L88" s="20" t="n"/>
      <c r="M88" s="20">
        <f>IFERROR(INDEX(CONFIGURACOES!$I$37:$I$300,MATCH($I88,CONFIGURACOES!$B$37:$B$300,0)),"")</f>
        <v/>
      </c>
      <c r="N88" s="21" t="n"/>
      <c r="O88" s="21" t="n"/>
      <c r="P88" s="21" t="n"/>
      <c r="Q88" s="21" t="n"/>
      <c r="R88" s="21">
        <f>IF($N88="","",$N88*IF($Q88="",1,$Q88)*IF($P88="",1,$P88)*IF($O88="",1,$O88))</f>
        <v/>
      </c>
      <c r="S88" s="22">
        <f>IFERROR(INDEX(CONFIGURACOES!$J$37:$J$300,MATCH($I88,CONFIGURACOES!$B$37:$B$300,0)),"")</f>
        <v/>
      </c>
      <c r="T88" s="22">
        <f>IF(OR($R88="",$S88=""),"",$R88*$S88)</f>
        <v/>
      </c>
      <c r="U88" s="20" t="n"/>
      <c r="V88" s="20" t="n"/>
      <c r="W88" s="20" t="n"/>
      <c r="X88">
        <f>IF($A88="","",$A88&amp;"|"&amp;$C88&amp;"|"&amp;$I88)</f>
        <v/>
      </c>
      <c r="Y88">
        <f>IF(AND($A88=RELATORIO_MEDICAO!$C$5,$C88=RELATORIO_MEDICAO!$F$5,$A88&lt;&gt;""),COUNTIFS($A$3:$A88,RELATORIO_MEDICAO!$C$5,$C$3:$C88,RELATORIO_MEDICAO!$F$5),"")</f>
        <v/>
      </c>
      <c r="Z88">
        <f>IF(OR($A88="",PESQUISA!$C$4=""),0,IF(OR(ISNUMBER(SEARCH(PESQUISA!$C$4,$G88)),ISNUMBER(SEARCH(PESQUISA!$C$4,$K88)),ISNUMBER(SEARCH(PESQUISA!$C$4,$L88))),1,0))</f>
        <v/>
      </c>
      <c r="AA88">
        <f>IF($Z88=1,SUM($Z$3:$Z88),"")</f>
        <v/>
      </c>
      <c r="AB88">
        <f>IF(OR($A88="",PESQUISA!$C$50=""),0,IF(ISNUMBER(SEARCH(PESQUISA!$C$50,$I88)),1,0))</f>
        <v/>
      </c>
      <c r="AC88">
        <f>IF($AB88=1,SUM($AB$3:$AB88),"")</f>
        <v/>
      </c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>
        <f>IFERROR(INDEX(CONFIGURACOES!$G$37:$G$300,MATCH($I89,CONFIGURACOES!$B$37:$B$300,0)),"")</f>
        <v/>
      </c>
      <c r="K89" s="20">
        <f>IFERROR(INDEX(CONFIGURACOES!$H$37:$H$300,MATCH($I89,CONFIGURACOES!$B$37:$B$300,0)),"")</f>
        <v/>
      </c>
      <c r="L89" s="20" t="n"/>
      <c r="M89" s="20">
        <f>IFERROR(INDEX(CONFIGURACOES!$I$37:$I$300,MATCH($I89,CONFIGURACOES!$B$37:$B$300,0)),"")</f>
        <v/>
      </c>
      <c r="N89" s="21" t="n"/>
      <c r="O89" s="21" t="n"/>
      <c r="P89" s="21" t="n"/>
      <c r="Q89" s="21" t="n"/>
      <c r="R89" s="21">
        <f>IF($N89="","",$N89*IF($Q89="",1,$Q89)*IF($P89="",1,$P89)*IF($O89="",1,$O89))</f>
        <v/>
      </c>
      <c r="S89" s="22">
        <f>IFERROR(INDEX(CONFIGURACOES!$J$37:$J$300,MATCH($I89,CONFIGURACOES!$B$37:$B$300,0)),"")</f>
        <v/>
      </c>
      <c r="T89" s="22">
        <f>IF(OR($R89="",$S89=""),"",$R89*$S89)</f>
        <v/>
      </c>
      <c r="U89" s="20" t="n"/>
      <c r="V89" s="20" t="n"/>
      <c r="W89" s="20" t="n"/>
      <c r="X89">
        <f>IF($A89="","",$A89&amp;"|"&amp;$C89&amp;"|"&amp;$I89)</f>
        <v/>
      </c>
      <c r="Y89">
        <f>IF(AND($A89=RELATORIO_MEDICAO!$C$5,$C89=RELATORIO_MEDICAO!$F$5,$A89&lt;&gt;""),COUNTIFS($A$3:$A89,RELATORIO_MEDICAO!$C$5,$C$3:$C89,RELATORIO_MEDICAO!$F$5),"")</f>
        <v/>
      </c>
      <c r="Z89">
        <f>IF(OR($A89="",PESQUISA!$C$4=""),0,IF(OR(ISNUMBER(SEARCH(PESQUISA!$C$4,$G89)),ISNUMBER(SEARCH(PESQUISA!$C$4,$K89)),ISNUMBER(SEARCH(PESQUISA!$C$4,$L89))),1,0))</f>
        <v/>
      </c>
      <c r="AA89">
        <f>IF($Z89=1,SUM($Z$3:$Z89),"")</f>
        <v/>
      </c>
      <c r="AB89">
        <f>IF(OR($A89="",PESQUISA!$C$50=""),0,IF(ISNUMBER(SEARCH(PESQUISA!$C$50,$I89)),1,0))</f>
        <v/>
      </c>
      <c r="AC89">
        <f>IF($AB89=1,SUM($AB$3:$AB89),"")</f>
        <v/>
      </c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>
        <f>IFERROR(INDEX(CONFIGURACOES!$G$37:$G$300,MATCH($I90,CONFIGURACOES!$B$37:$B$300,0)),"")</f>
        <v/>
      </c>
      <c r="K90" s="20">
        <f>IFERROR(INDEX(CONFIGURACOES!$H$37:$H$300,MATCH($I90,CONFIGURACOES!$B$37:$B$300,0)),"")</f>
        <v/>
      </c>
      <c r="L90" s="20" t="n"/>
      <c r="M90" s="20">
        <f>IFERROR(INDEX(CONFIGURACOES!$I$37:$I$300,MATCH($I90,CONFIGURACOES!$B$37:$B$300,0)),"")</f>
        <v/>
      </c>
      <c r="N90" s="21" t="n"/>
      <c r="O90" s="21" t="n"/>
      <c r="P90" s="21" t="n"/>
      <c r="Q90" s="21" t="n"/>
      <c r="R90" s="21">
        <f>IF($N90="","",$N90*IF($Q90="",1,$Q90)*IF($P90="",1,$P90)*IF($O90="",1,$O90))</f>
        <v/>
      </c>
      <c r="S90" s="22">
        <f>IFERROR(INDEX(CONFIGURACOES!$J$37:$J$300,MATCH($I90,CONFIGURACOES!$B$37:$B$300,0)),"")</f>
        <v/>
      </c>
      <c r="T90" s="22">
        <f>IF(OR($R90="",$S90=""),"",$R90*$S90)</f>
        <v/>
      </c>
      <c r="U90" s="20" t="n"/>
      <c r="V90" s="20" t="n"/>
      <c r="W90" s="20" t="n"/>
      <c r="X90">
        <f>IF($A90="","",$A90&amp;"|"&amp;$C90&amp;"|"&amp;$I90)</f>
        <v/>
      </c>
      <c r="Y90">
        <f>IF(AND($A90=RELATORIO_MEDICAO!$C$5,$C90=RELATORIO_MEDICAO!$F$5,$A90&lt;&gt;""),COUNTIFS($A$3:$A90,RELATORIO_MEDICAO!$C$5,$C$3:$C90,RELATORIO_MEDICAO!$F$5),"")</f>
        <v/>
      </c>
      <c r="Z90">
        <f>IF(OR($A90="",PESQUISA!$C$4=""),0,IF(OR(ISNUMBER(SEARCH(PESQUISA!$C$4,$G90)),ISNUMBER(SEARCH(PESQUISA!$C$4,$K90)),ISNUMBER(SEARCH(PESQUISA!$C$4,$L90))),1,0))</f>
        <v/>
      </c>
      <c r="AA90">
        <f>IF($Z90=1,SUM($Z$3:$Z90),"")</f>
        <v/>
      </c>
      <c r="AB90">
        <f>IF(OR($A90="",PESQUISA!$C$50=""),0,IF(ISNUMBER(SEARCH(PESQUISA!$C$50,$I90)),1,0))</f>
        <v/>
      </c>
      <c r="AC90">
        <f>IF($AB90=1,SUM($AB$3:$AB90),"")</f>
        <v/>
      </c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>
        <f>IFERROR(INDEX(CONFIGURACOES!$G$37:$G$300,MATCH($I91,CONFIGURACOES!$B$37:$B$300,0)),"")</f>
        <v/>
      </c>
      <c r="K91" s="20">
        <f>IFERROR(INDEX(CONFIGURACOES!$H$37:$H$300,MATCH($I91,CONFIGURACOES!$B$37:$B$300,0)),"")</f>
        <v/>
      </c>
      <c r="L91" s="20" t="n"/>
      <c r="M91" s="20">
        <f>IFERROR(INDEX(CONFIGURACOES!$I$37:$I$300,MATCH($I91,CONFIGURACOES!$B$37:$B$300,0)),"")</f>
        <v/>
      </c>
      <c r="N91" s="21" t="n"/>
      <c r="O91" s="21" t="n"/>
      <c r="P91" s="21" t="n"/>
      <c r="Q91" s="21" t="n"/>
      <c r="R91" s="21">
        <f>IF($N91="","",$N91*IF($Q91="",1,$Q91)*IF($P91="",1,$P91)*IF($O91="",1,$O91))</f>
        <v/>
      </c>
      <c r="S91" s="22">
        <f>IFERROR(INDEX(CONFIGURACOES!$J$37:$J$300,MATCH($I91,CONFIGURACOES!$B$37:$B$300,0)),"")</f>
        <v/>
      </c>
      <c r="T91" s="22">
        <f>IF(OR($R91="",$S91=""),"",$R91*$S91)</f>
        <v/>
      </c>
      <c r="U91" s="20" t="n"/>
      <c r="V91" s="20" t="n"/>
      <c r="W91" s="20" t="n"/>
      <c r="X91">
        <f>IF($A91="","",$A91&amp;"|"&amp;$C91&amp;"|"&amp;$I91)</f>
        <v/>
      </c>
      <c r="Y91">
        <f>IF(AND($A91=RELATORIO_MEDICAO!$C$5,$C91=RELATORIO_MEDICAO!$F$5,$A91&lt;&gt;""),COUNTIFS($A$3:$A91,RELATORIO_MEDICAO!$C$5,$C$3:$C91,RELATORIO_MEDICAO!$F$5),"")</f>
        <v/>
      </c>
      <c r="Z91">
        <f>IF(OR($A91="",PESQUISA!$C$4=""),0,IF(OR(ISNUMBER(SEARCH(PESQUISA!$C$4,$G91)),ISNUMBER(SEARCH(PESQUISA!$C$4,$K91)),ISNUMBER(SEARCH(PESQUISA!$C$4,$L91))),1,0))</f>
        <v/>
      </c>
      <c r="AA91">
        <f>IF($Z91=1,SUM($Z$3:$Z91),"")</f>
        <v/>
      </c>
      <c r="AB91">
        <f>IF(OR($A91="",PESQUISA!$C$50=""),0,IF(ISNUMBER(SEARCH(PESQUISA!$C$50,$I91)),1,0))</f>
        <v/>
      </c>
      <c r="AC91">
        <f>IF($AB91=1,SUM($AB$3:$AB91),"")</f>
        <v/>
      </c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>
        <f>IFERROR(INDEX(CONFIGURACOES!$G$37:$G$300,MATCH($I92,CONFIGURACOES!$B$37:$B$300,0)),"")</f>
        <v/>
      </c>
      <c r="K92" s="20">
        <f>IFERROR(INDEX(CONFIGURACOES!$H$37:$H$300,MATCH($I92,CONFIGURACOES!$B$37:$B$300,0)),"")</f>
        <v/>
      </c>
      <c r="L92" s="20" t="n"/>
      <c r="M92" s="20">
        <f>IFERROR(INDEX(CONFIGURACOES!$I$37:$I$300,MATCH($I92,CONFIGURACOES!$B$37:$B$300,0)),"")</f>
        <v/>
      </c>
      <c r="N92" s="21" t="n"/>
      <c r="O92" s="21" t="n"/>
      <c r="P92" s="21" t="n"/>
      <c r="Q92" s="21" t="n"/>
      <c r="R92" s="21">
        <f>IF($N92="","",$N92*IF($Q92="",1,$Q92)*IF($P92="",1,$P92)*IF($O92="",1,$O92))</f>
        <v/>
      </c>
      <c r="S92" s="22">
        <f>IFERROR(INDEX(CONFIGURACOES!$J$37:$J$300,MATCH($I92,CONFIGURACOES!$B$37:$B$300,0)),"")</f>
        <v/>
      </c>
      <c r="T92" s="22">
        <f>IF(OR($R92="",$S92=""),"",$R92*$S92)</f>
        <v/>
      </c>
      <c r="U92" s="20" t="n"/>
      <c r="V92" s="20" t="n"/>
      <c r="W92" s="20" t="n"/>
      <c r="X92">
        <f>IF($A92="","",$A92&amp;"|"&amp;$C92&amp;"|"&amp;$I92)</f>
        <v/>
      </c>
      <c r="Y92">
        <f>IF(AND($A92=RELATORIO_MEDICAO!$C$5,$C92=RELATORIO_MEDICAO!$F$5,$A92&lt;&gt;""),COUNTIFS($A$3:$A92,RELATORIO_MEDICAO!$C$5,$C$3:$C92,RELATORIO_MEDICAO!$F$5),"")</f>
        <v/>
      </c>
      <c r="Z92">
        <f>IF(OR($A92="",PESQUISA!$C$4=""),0,IF(OR(ISNUMBER(SEARCH(PESQUISA!$C$4,$G92)),ISNUMBER(SEARCH(PESQUISA!$C$4,$K92)),ISNUMBER(SEARCH(PESQUISA!$C$4,$L92))),1,0))</f>
        <v/>
      </c>
      <c r="AA92">
        <f>IF($Z92=1,SUM($Z$3:$Z92),"")</f>
        <v/>
      </c>
      <c r="AB92">
        <f>IF(OR($A92="",PESQUISA!$C$50=""),0,IF(ISNUMBER(SEARCH(PESQUISA!$C$50,$I92)),1,0))</f>
        <v/>
      </c>
      <c r="AC92">
        <f>IF($AB92=1,SUM($AB$3:$AB92),"")</f>
        <v/>
      </c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>
        <f>IFERROR(INDEX(CONFIGURACOES!$G$37:$G$300,MATCH($I93,CONFIGURACOES!$B$37:$B$300,0)),"")</f>
        <v/>
      </c>
      <c r="K93" s="20">
        <f>IFERROR(INDEX(CONFIGURACOES!$H$37:$H$300,MATCH($I93,CONFIGURACOES!$B$37:$B$300,0)),"")</f>
        <v/>
      </c>
      <c r="L93" s="20" t="n"/>
      <c r="M93" s="20">
        <f>IFERROR(INDEX(CONFIGURACOES!$I$37:$I$300,MATCH($I93,CONFIGURACOES!$B$37:$B$300,0)),"")</f>
        <v/>
      </c>
      <c r="N93" s="21" t="n"/>
      <c r="O93" s="21" t="n"/>
      <c r="P93" s="21" t="n"/>
      <c r="Q93" s="21" t="n"/>
      <c r="R93" s="21">
        <f>IF($N93="","",$N93*IF($Q93="",1,$Q93)*IF($P93="",1,$P93)*IF($O93="",1,$O93))</f>
        <v/>
      </c>
      <c r="S93" s="22">
        <f>IFERROR(INDEX(CONFIGURACOES!$J$37:$J$300,MATCH($I93,CONFIGURACOES!$B$37:$B$300,0)),"")</f>
        <v/>
      </c>
      <c r="T93" s="22">
        <f>IF(OR($R93="",$S93=""),"",$R93*$S93)</f>
        <v/>
      </c>
      <c r="U93" s="20" t="n"/>
      <c r="V93" s="20" t="n"/>
      <c r="W93" s="20" t="n"/>
      <c r="X93">
        <f>IF($A93="","",$A93&amp;"|"&amp;$C93&amp;"|"&amp;$I93)</f>
        <v/>
      </c>
      <c r="Y93">
        <f>IF(AND($A93=RELATORIO_MEDICAO!$C$5,$C93=RELATORIO_MEDICAO!$F$5,$A93&lt;&gt;""),COUNTIFS($A$3:$A93,RELATORIO_MEDICAO!$C$5,$C$3:$C93,RELATORIO_MEDICAO!$F$5),"")</f>
        <v/>
      </c>
      <c r="Z93">
        <f>IF(OR($A93="",PESQUISA!$C$4=""),0,IF(OR(ISNUMBER(SEARCH(PESQUISA!$C$4,$G93)),ISNUMBER(SEARCH(PESQUISA!$C$4,$K93)),ISNUMBER(SEARCH(PESQUISA!$C$4,$L93))),1,0))</f>
        <v/>
      </c>
      <c r="AA93">
        <f>IF($Z93=1,SUM($Z$3:$Z93),"")</f>
        <v/>
      </c>
      <c r="AB93">
        <f>IF(OR($A93="",PESQUISA!$C$50=""),0,IF(ISNUMBER(SEARCH(PESQUISA!$C$50,$I93)),1,0))</f>
        <v/>
      </c>
      <c r="AC93">
        <f>IF($AB93=1,SUM($AB$3:$AB93),"")</f>
        <v/>
      </c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>
        <f>IFERROR(INDEX(CONFIGURACOES!$G$37:$G$300,MATCH($I94,CONFIGURACOES!$B$37:$B$300,0)),"")</f>
        <v/>
      </c>
      <c r="K94" s="20">
        <f>IFERROR(INDEX(CONFIGURACOES!$H$37:$H$300,MATCH($I94,CONFIGURACOES!$B$37:$B$300,0)),"")</f>
        <v/>
      </c>
      <c r="L94" s="20" t="n"/>
      <c r="M94" s="20">
        <f>IFERROR(INDEX(CONFIGURACOES!$I$37:$I$300,MATCH($I94,CONFIGURACOES!$B$37:$B$300,0)),"")</f>
        <v/>
      </c>
      <c r="N94" s="21" t="n"/>
      <c r="O94" s="21" t="n"/>
      <c r="P94" s="21" t="n"/>
      <c r="Q94" s="21" t="n"/>
      <c r="R94" s="21">
        <f>IF($N94="","",$N94*IF($Q94="",1,$Q94)*IF($P94="",1,$P94)*IF($O94="",1,$O94))</f>
        <v/>
      </c>
      <c r="S94" s="22">
        <f>IFERROR(INDEX(CONFIGURACOES!$J$37:$J$300,MATCH($I94,CONFIGURACOES!$B$37:$B$300,0)),"")</f>
        <v/>
      </c>
      <c r="T94" s="22">
        <f>IF(OR($R94="",$S94=""),"",$R94*$S94)</f>
        <v/>
      </c>
      <c r="U94" s="20" t="n"/>
      <c r="V94" s="20" t="n"/>
      <c r="W94" s="20" t="n"/>
      <c r="X94">
        <f>IF($A94="","",$A94&amp;"|"&amp;$C94&amp;"|"&amp;$I94)</f>
        <v/>
      </c>
      <c r="Y94">
        <f>IF(AND($A94=RELATORIO_MEDICAO!$C$5,$C94=RELATORIO_MEDICAO!$F$5,$A94&lt;&gt;""),COUNTIFS($A$3:$A94,RELATORIO_MEDICAO!$C$5,$C$3:$C94,RELATORIO_MEDICAO!$F$5),"")</f>
        <v/>
      </c>
      <c r="Z94">
        <f>IF(OR($A94="",PESQUISA!$C$4=""),0,IF(OR(ISNUMBER(SEARCH(PESQUISA!$C$4,$G94)),ISNUMBER(SEARCH(PESQUISA!$C$4,$K94)),ISNUMBER(SEARCH(PESQUISA!$C$4,$L94))),1,0))</f>
        <v/>
      </c>
      <c r="AA94">
        <f>IF($Z94=1,SUM($Z$3:$Z94),"")</f>
        <v/>
      </c>
      <c r="AB94">
        <f>IF(OR($A94="",PESQUISA!$C$50=""),0,IF(ISNUMBER(SEARCH(PESQUISA!$C$50,$I94)),1,0))</f>
        <v/>
      </c>
      <c r="AC94">
        <f>IF($AB94=1,SUM($AB$3:$AB94),"")</f>
        <v/>
      </c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>
        <f>IFERROR(INDEX(CONFIGURACOES!$G$37:$G$300,MATCH($I95,CONFIGURACOES!$B$37:$B$300,0)),"")</f>
        <v/>
      </c>
      <c r="K95" s="20">
        <f>IFERROR(INDEX(CONFIGURACOES!$H$37:$H$300,MATCH($I95,CONFIGURACOES!$B$37:$B$300,0)),"")</f>
        <v/>
      </c>
      <c r="L95" s="20" t="n"/>
      <c r="M95" s="20">
        <f>IFERROR(INDEX(CONFIGURACOES!$I$37:$I$300,MATCH($I95,CONFIGURACOES!$B$37:$B$300,0)),"")</f>
        <v/>
      </c>
      <c r="N95" s="21" t="n"/>
      <c r="O95" s="21" t="n"/>
      <c r="P95" s="21" t="n"/>
      <c r="Q95" s="21" t="n"/>
      <c r="R95" s="21">
        <f>IF($N95="","",$N95*IF($Q95="",1,$Q95)*IF($P95="",1,$P95)*IF($O95="",1,$O95))</f>
        <v/>
      </c>
      <c r="S95" s="22">
        <f>IFERROR(INDEX(CONFIGURACOES!$J$37:$J$300,MATCH($I95,CONFIGURACOES!$B$37:$B$300,0)),"")</f>
        <v/>
      </c>
      <c r="T95" s="22">
        <f>IF(OR($R95="",$S95=""),"",$R95*$S95)</f>
        <v/>
      </c>
      <c r="U95" s="20" t="n"/>
      <c r="V95" s="20" t="n"/>
      <c r="W95" s="20" t="n"/>
      <c r="X95">
        <f>IF($A95="","",$A95&amp;"|"&amp;$C95&amp;"|"&amp;$I95)</f>
        <v/>
      </c>
      <c r="Y95">
        <f>IF(AND($A95=RELATORIO_MEDICAO!$C$5,$C95=RELATORIO_MEDICAO!$F$5,$A95&lt;&gt;""),COUNTIFS($A$3:$A95,RELATORIO_MEDICAO!$C$5,$C$3:$C95,RELATORIO_MEDICAO!$F$5),"")</f>
        <v/>
      </c>
      <c r="Z95">
        <f>IF(OR($A95="",PESQUISA!$C$4=""),0,IF(OR(ISNUMBER(SEARCH(PESQUISA!$C$4,$G95)),ISNUMBER(SEARCH(PESQUISA!$C$4,$K95)),ISNUMBER(SEARCH(PESQUISA!$C$4,$L95))),1,0))</f>
        <v/>
      </c>
      <c r="AA95">
        <f>IF($Z95=1,SUM($Z$3:$Z95),"")</f>
        <v/>
      </c>
      <c r="AB95">
        <f>IF(OR($A95="",PESQUISA!$C$50=""),0,IF(ISNUMBER(SEARCH(PESQUISA!$C$50,$I95)),1,0))</f>
        <v/>
      </c>
      <c r="AC95">
        <f>IF($AB95=1,SUM($AB$3:$AB95),"")</f>
        <v/>
      </c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>
        <f>IFERROR(INDEX(CONFIGURACOES!$G$37:$G$300,MATCH($I96,CONFIGURACOES!$B$37:$B$300,0)),"")</f>
        <v/>
      </c>
      <c r="K96" s="20">
        <f>IFERROR(INDEX(CONFIGURACOES!$H$37:$H$300,MATCH($I96,CONFIGURACOES!$B$37:$B$300,0)),"")</f>
        <v/>
      </c>
      <c r="L96" s="20" t="n"/>
      <c r="M96" s="20">
        <f>IFERROR(INDEX(CONFIGURACOES!$I$37:$I$300,MATCH($I96,CONFIGURACOES!$B$37:$B$300,0)),"")</f>
        <v/>
      </c>
      <c r="N96" s="21" t="n"/>
      <c r="O96" s="21" t="n"/>
      <c r="P96" s="21" t="n"/>
      <c r="Q96" s="21" t="n"/>
      <c r="R96" s="21">
        <f>IF($N96="","",$N96*IF($Q96="",1,$Q96)*IF($P96="",1,$P96)*IF($O96="",1,$O96))</f>
        <v/>
      </c>
      <c r="S96" s="22">
        <f>IFERROR(INDEX(CONFIGURACOES!$J$37:$J$300,MATCH($I96,CONFIGURACOES!$B$37:$B$300,0)),"")</f>
        <v/>
      </c>
      <c r="T96" s="22">
        <f>IF(OR($R96="",$S96=""),"",$R96*$S96)</f>
        <v/>
      </c>
      <c r="U96" s="20" t="n"/>
      <c r="V96" s="20" t="n"/>
      <c r="W96" s="20" t="n"/>
      <c r="X96">
        <f>IF($A96="","",$A96&amp;"|"&amp;$C96&amp;"|"&amp;$I96)</f>
        <v/>
      </c>
      <c r="Y96">
        <f>IF(AND($A96=RELATORIO_MEDICAO!$C$5,$C96=RELATORIO_MEDICAO!$F$5,$A96&lt;&gt;""),COUNTIFS($A$3:$A96,RELATORIO_MEDICAO!$C$5,$C$3:$C96,RELATORIO_MEDICAO!$F$5),"")</f>
        <v/>
      </c>
      <c r="Z96">
        <f>IF(OR($A96="",PESQUISA!$C$4=""),0,IF(OR(ISNUMBER(SEARCH(PESQUISA!$C$4,$G96)),ISNUMBER(SEARCH(PESQUISA!$C$4,$K96)),ISNUMBER(SEARCH(PESQUISA!$C$4,$L96))),1,0))</f>
        <v/>
      </c>
      <c r="AA96">
        <f>IF($Z96=1,SUM($Z$3:$Z96),"")</f>
        <v/>
      </c>
      <c r="AB96">
        <f>IF(OR($A96="",PESQUISA!$C$50=""),0,IF(ISNUMBER(SEARCH(PESQUISA!$C$50,$I96)),1,0))</f>
        <v/>
      </c>
      <c r="AC96">
        <f>IF($AB96=1,SUM($AB$3:$AB96),"")</f>
        <v/>
      </c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>
        <f>IFERROR(INDEX(CONFIGURACOES!$G$37:$G$300,MATCH($I97,CONFIGURACOES!$B$37:$B$300,0)),"")</f>
        <v/>
      </c>
      <c r="K97" s="20">
        <f>IFERROR(INDEX(CONFIGURACOES!$H$37:$H$300,MATCH($I97,CONFIGURACOES!$B$37:$B$300,0)),"")</f>
        <v/>
      </c>
      <c r="L97" s="20" t="n"/>
      <c r="M97" s="20">
        <f>IFERROR(INDEX(CONFIGURACOES!$I$37:$I$300,MATCH($I97,CONFIGURACOES!$B$37:$B$300,0)),"")</f>
        <v/>
      </c>
      <c r="N97" s="21" t="n"/>
      <c r="O97" s="21" t="n"/>
      <c r="P97" s="21" t="n"/>
      <c r="Q97" s="21" t="n"/>
      <c r="R97" s="21">
        <f>IF($N97="","",$N97*IF($Q97="",1,$Q97)*IF($P97="",1,$P97)*IF($O97="",1,$O97))</f>
        <v/>
      </c>
      <c r="S97" s="22">
        <f>IFERROR(INDEX(CONFIGURACOES!$J$37:$J$300,MATCH($I97,CONFIGURACOES!$B$37:$B$300,0)),"")</f>
        <v/>
      </c>
      <c r="T97" s="22">
        <f>IF(OR($R97="",$S97=""),"",$R97*$S97)</f>
        <v/>
      </c>
      <c r="U97" s="20" t="n"/>
      <c r="V97" s="20" t="n"/>
      <c r="W97" s="20" t="n"/>
      <c r="X97">
        <f>IF($A97="","",$A97&amp;"|"&amp;$C97&amp;"|"&amp;$I97)</f>
        <v/>
      </c>
      <c r="Y97">
        <f>IF(AND($A97=RELATORIO_MEDICAO!$C$5,$C97=RELATORIO_MEDICAO!$F$5,$A97&lt;&gt;""),COUNTIFS($A$3:$A97,RELATORIO_MEDICAO!$C$5,$C$3:$C97,RELATORIO_MEDICAO!$F$5),"")</f>
        <v/>
      </c>
      <c r="Z97">
        <f>IF(OR($A97="",PESQUISA!$C$4=""),0,IF(OR(ISNUMBER(SEARCH(PESQUISA!$C$4,$G97)),ISNUMBER(SEARCH(PESQUISA!$C$4,$K97)),ISNUMBER(SEARCH(PESQUISA!$C$4,$L97))),1,0))</f>
        <v/>
      </c>
      <c r="AA97">
        <f>IF($Z97=1,SUM($Z$3:$Z97),"")</f>
        <v/>
      </c>
      <c r="AB97">
        <f>IF(OR($A97="",PESQUISA!$C$50=""),0,IF(ISNUMBER(SEARCH(PESQUISA!$C$50,$I97)),1,0))</f>
        <v/>
      </c>
      <c r="AC97">
        <f>IF($AB97=1,SUM($AB$3:$AB97),"")</f>
        <v/>
      </c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>
        <f>IFERROR(INDEX(CONFIGURACOES!$G$37:$G$300,MATCH($I98,CONFIGURACOES!$B$37:$B$300,0)),"")</f>
        <v/>
      </c>
      <c r="K98" s="20">
        <f>IFERROR(INDEX(CONFIGURACOES!$H$37:$H$300,MATCH($I98,CONFIGURACOES!$B$37:$B$300,0)),"")</f>
        <v/>
      </c>
      <c r="L98" s="20" t="n"/>
      <c r="M98" s="20">
        <f>IFERROR(INDEX(CONFIGURACOES!$I$37:$I$300,MATCH($I98,CONFIGURACOES!$B$37:$B$300,0)),"")</f>
        <v/>
      </c>
      <c r="N98" s="21" t="n"/>
      <c r="O98" s="21" t="n"/>
      <c r="P98" s="21" t="n"/>
      <c r="Q98" s="21" t="n"/>
      <c r="R98" s="21">
        <f>IF($N98="","",$N98*IF($Q98="",1,$Q98)*IF($P98="",1,$P98)*IF($O98="",1,$O98))</f>
        <v/>
      </c>
      <c r="S98" s="22">
        <f>IFERROR(INDEX(CONFIGURACOES!$J$37:$J$300,MATCH($I98,CONFIGURACOES!$B$37:$B$300,0)),"")</f>
        <v/>
      </c>
      <c r="T98" s="22">
        <f>IF(OR($R98="",$S98=""),"",$R98*$S98)</f>
        <v/>
      </c>
      <c r="U98" s="20" t="n"/>
      <c r="V98" s="20" t="n"/>
      <c r="W98" s="20" t="n"/>
      <c r="X98">
        <f>IF($A98="","",$A98&amp;"|"&amp;$C98&amp;"|"&amp;$I98)</f>
        <v/>
      </c>
      <c r="Y98">
        <f>IF(AND($A98=RELATORIO_MEDICAO!$C$5,$C98=RELATORIO_MEDICAO!$F$5,$A98&lt;&gt;""),COUNTIFS($A$3:$A98,RELATORIO_MEDICAO!$C$5,$C$3:$C98,RELATORIO_MEDICAO!$F$5),"")</f>
        <v/>
      </c>
      <c r="Z98">
        <f>IF(OR($A98="",PESQUISA!$C$4=""),0,IF(OR(ISNUMBER(SEARCH(PESQUISA!$C$4,$G98)),ISNUMBER(SEARCH(PESQUISA!$C$4,$K98)),ISNUMBER(SEARCH(PESQUISA!$C$4,$L98))),1,0))</f>
        <v/>
      </c>
      <c r="AA98">
        <f>IF($Z98=1,SUM($Z$3:$Z98),"")</f>
        <v/>
      </c>
      <c r="AB98">
        <f>IF(OR($A98="",PESQUISA!$C$50=""),0,IF(ISNUMBER(SEARCH(PESQUISA!$C$50,$I98)),1,0))</f>
        <v/>
      </c>
      <c r="AC98">
        <f>IF($AB98=1,SUM($AB$3:$AB98),"")</f>
        <v/>
      </c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>
        <f>IFERROR(INDEX(CONFIGURACOES!$G$37:$G$300,MATCH($I99,CONFIGURACOES!$B$37:$B$300,0)),"")</f>
        <v/>
      </c>
      <c r="K99" s="20">
        <f>IFERROR(INDEX(CONFIGURACOES!$H$37:$H$300,MATCH($I99,CONFIGURACOES!$B$37:$B$300,0)),"")</f>
        <v/>
      </c>
      <c r="L99" s="20" t="n"/>
      <c r="M99" s="20">
        <f>IFERROR(INDEX(CONFIGURACOES!$I$37:$I$300,MATCH($I99,CONFIGURACOES!$B$37:$B$300,0)),"")</f>
        <v/>
      </c>
      <c r="N99" s="21" t="n"/>
      <c r="O99" s="21" t="n"/>
      <c r="P99" s="21" t="n"/>
      <c r="Q99" s="21" t="n"/>
      <c r="R99" s="21">
        <f>IF($N99="","",$N99*IF($Q99="",1,$Q99)*IF($P99="",1,$P99)*IF($O99="",1,$O99))</f>
        <v/>
      </c>
      <c r="S99" s="22">
        <f>IFERROR(INDEX(CONFIGURACOES!$J$37:$J$300,MATCH($I99,CONFIGURACOES!$B$37:$B$300,0)),"")</f>
        <v/>
      </c>
      <c r="T99" s="22">
        <f>IF(OR($R99="",$S99=""),"",$R99*$S99)</f>
        <v/>
      </c>
      <c r="U99" s="20" t="n"/>
      <c r="V99" s="20" t="n"/>
      <c r="W99" s="20" t="n"/>
      <c r="X99">
        <f>IF($A99="","",$A99&amp;"|"&amp;$C99&amp;"|"&amp;$I99)</f>
        <v/>
      </c>
      <c r="Y99">
        <f>IF(AND($A99=RELATORIO_MEDICAO!$C$5,$C99=RELATORIO_MEDICAO!$F$5,$A99&lt;&gt;""),COUNTIFS($A$3:$A99,RELATORIO_MEDICAO!$C$5,$C$3:$C99,RELATORIO_MEDICAO!$F$5),"")</f>
        <v/>
      </c>
      <c r="Z99">
        <f>IF(OR($A99="",PESQUISA!$C$4=""),0,IF(OR(ISNUMBER(SEARCH(PESQUISA!$C$4,$G99)),ISNUMBER(SEARCH(PESQUISA!$C$4,$K99)),ISNUMBER(SEARCH(PESQUISA!$C$4,$L99))),1,0))</f>
        <v/>
      </c>
      <c r="AA99">
        <f>IF($Z99=1,SUM($Z$3:$Z99),"")</f>
        <v/>
      </c>
      <c r="AB99">
        <f>IF(OR($A99="",PESQUISA!$C$50=""),0,IF(ISNUMBER(SEARCH(PESQUISA!$C$50,$I99)),1,0))</f>
        <v/>
      </c>
      <c r="AC99">
        <f>IF($AB99=1,SUM($AB$3:$AB99),"")</f>
        <v/>
      </c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>
        <f>IFERROR(INDEX(CONFIGURACOES!$G$37:$G$300,MATCH($I100,CONFIGURACOES!$B$37:$B$300,0)),"")</f>
        <v/>
      </c>
      <c r="K100" s="20">
        <f>IFERROR(INDEX(CONFIGURACOES!$H$37:$H$300,MATCH($I100,CONFIGURACOES!$B$37:$B$300,0)),"")</f>
        <v/>
      </c>
      <c r="L100" s="20" t="n"/>
      <c r="M100" s="20">
        <f>IFERROR(INDEX(CONFIGURACOES!$I$37:$I$300,MATCH($I100,CONFIGURACOES!$B$37:$B$300,0)),"")</f>
        <v/>
      </c>
      <c r="N100" s="21" t="n"/>
      <c r="O100" s="21" t="n"/>
      <c r="P100" s="21" t="n"/>
      <c r="Q100" s="21" t="n"/>
      <c r="R100" s="21">
        <f>IF($N100="","",$N100*IF($Q100="",1,$Q100)*IF($P100="",1,$P100)*IF($O100="",1,$O100))</f>
        <v/>
      </c>
      <c r="S100" s="22">
        <f>IFERROR(INDEX(CONFIGURACOES!$J$37:$J$300,MATCH($I100,CONFIGURACOES!$B$37:$B$300,0)),"")</f>
        <v/>
      </c>
      <c r="T100" s="22">
        <f>IF(OR($R100="",$S100=""),"",$R100*$S100)</f>
        <v/>
      </c>
      <c r="U100" s="20" t="n"/>
      <c r="V100" s="20" t="n"/>
      <c r="W100" s="20" t="n"/>
      <c r="X100">
        <f>IF($A100="","",$A100&amp;"|"&amp;$C100&amp;"|"&amp;$I100)</f>
        <v/>
      </c>
      <c r="Y100">
        <f>IF(AND($A100=RELATORIO_MEDICAO!$C$5,$C100=RELATORIO_MEDICAO!$F$5,$A100&lt;&gt;""),COUNTIFS($A$3:$A100,RELATORIO_MEDICAO!$C$5,$C$3:$C100,RELATORIO_MEDICAO!$F$5),"")</f>
        <v/>
      </c>
      <c r="Z100">
        <f>IF(OR($A100="",PESQUISA!$C$4=""),0,IF(OR(ISNUMBER(SEARCH(PESQUISA!$C$4,$G100)),ISNUMBER(SEARCH(PESQUISA!$C$4,$K100)),ISNUMBER(SEARCH(PESQUISA!$C$4,$L100))),1,0))</f>
        <v/>
      </c>
      <c r="AA100">
        <f>IF($Z100=1,SUM($Z$3:$Z100),"")</f>
        <v/>
      </c>
      <c r="AB100">
        <f>IF(OR($A100="",PESQUISA!$C$50=""),0,IF(ISNUMBER(SEARCH(PESQUISA!$C$50,$I100)),1,0))</f>
        <v/>
      </c>
      <c r="AC100">
        <f>IF($AB100=1,SUM($AB$3:$AB100),"")</f>
        <v/>
      </c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>
        <f>IFERROR(INDEX(CONFIGURACOES!$G$37:$G$300,MATCH($I101,CONFIGURACOES!$B$37:$B$300,0)),"")</f>
        <v/>
      </c>
      <c r="K101" s="20">
        <f>IFERROR(INDEX(CONFIGURACOES!$H$37:$H$300,MATCH($I101,CONFIGURACOES!$B$37:$B$300,0)),"")</f>
        <v/>
      </c>
      <c r="L101" s="20" t="n"/>
      <c r="M101" s="20">
        <f>IFERROR(INDEX(CONFIGURACOES!$I$37:$I$300,MATCH($I101,CONFIGURACOES!$B$37:$B$300,0)),"")</f>
        <v/>
      </c>
      <c r="N101" s="21" t="n"/>
      <c r="O101" s="21" t="n"/>
      <c r="P101" s="21" t="n"/>
      <c r="Q101" s="21" t="n"/>
      <c r="R101" s="21">
        <f>IF($N101="","",$N101*IF($Q101="",1,$Q101)*IF($P101="",1,$P101)*IF($O101="",1,$O101))</f>
        <v/>
      </c>
      <c r="S101" s="22">
        <f>IFERROR(INDEX(CONFIGURACOES!$J$37:$J$300,MATCH($I101,CONFIGURACOES!$B$37:$B$300,0)),"")</f>
        <v/>
      </c>
      <c r="T101" s="22">
        <f>IF(OR($R101="",$S101=""),"",$R101*$S101)</f>
        <v/>
      </c>
      <c r="U101" s="20" t="n"/>
      <c r="V101" s="20" t="n"/>
      <c r="W101" s="20" t="n"/>
      <c r="X101">
        <f>IF($A101="","",$A101&amp;"|"&amp;$C101&amp;"|"&amp;$I101)</f>
        <v/>
      </c>
      <c r="Y101">
        <f>IF(AND($A101=RELATORIO_MEDICAO!$C$5,$C101=RELATORIO_MEDICAO!$F$5,$A101&lt;&gt;""),COUNTIFS($A$3:$A101,RELATORIO_MEDICAO!$C$5,$C$3:$C101,RELATORIO_MEDICAO!$F$5),"")</f>
        <v/>
      </c>
      <c r="Z101">
        <f>IF(OR($A101="",PESQUISA!$C$4=""),0,IF(OR(ISNUMBER(SEARCH(PESQUISA!$C$4,$G101)),ISNUMBER(SEARCH(PESQUISA!$C$4,$K101)),ISNUMBER(SEARCH(PESQUISA!$C$4,$L101))),1,0))</f>
        <v/>
      </c>
      <c r="AA101">
        <f>IF($Z101=1,SUM($Z$3:$Z101),"")</f>
        <v/>
      </c>
      <c r="AB101">
        <f>IF(OR($A101="",PESQUISA!$C$50=""),0,IF(ISNUMBER(SEARCH(PESQUISA!$C$50,$I101)),1,0))</f>
        <v/>
      </c>
      <c r="AC101">
        <f>IF($AB101=1,SUM($AB$3:$AB101),"")</f>
        <v/>
      </c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>
        <f>IFERROR(INDEX(CONFIGURACOES!$G$37:$G$300,MATCH($I102,CONFIGURACOES!$B$37:$B$300,0)),"")</f>
        <v/>
      </c>
      <c r="K102" s="20">
        <f>IFERROR(INDEX(CONFIGURACOES!$H$37:$H$300,MATCH($I102,CONFIGURACOES!$B$37:$B$300,0)),"")</f>
        <v/>
      </c>
      <c r="L102" s="20" t="n"/>
      <c r="M102" s="20">
        <f>IFERROR(INDEX(CONFIGURACOES!$I$37:$I$300,MATCH($I102,CONFIGURACOES!$B$37:$B$300,0)),"")</f>
        <v/>
      </c>
      <c r="N102" s="21" t="n"/>
      <c r="O102" s="21" t="n"/>
      <c r="P102" s="21" t="n"/>
      <c r="Q102" s="21" t="n"/>
      <c r="R102" s="21">
        <f>IF($N102="","",$N102*IF($Q102="",1,$Q102)*IF($P102="",1,$P102)*IF($O102="",1,$O102))</f>
        <v/>
      </c>
      <c r="S102" s="22">
        <f>IFERROR(INDEX(CONFIGURACOES!$J$37:$J$300,MATCH($I102,CONFIGURACOES!$B$37:$B$300,0)),"")</f>
        <v/>
      </c>
      <c r="T102" s="22">
        <f>IF(OR($R102="",$S102=""),"",$R102*$S102)</f>
        <v/>
      </c>
      <c r="U102" s="20" t="n"/>
      <c r="V102" s="20" t="n"/>
      <c r="W102" s="20" t="n"/>
      <c r="X102">
        <f>IF($A102="","",$A102&amp;"|"&amp;$C102&amp;"|"&amp;$I102)</f>
        <v/>
      </c>
      <c r="Y102">
        <f>IF(AND($A102=RELATORIO_MEDICAO!$C$5,$C102=RELATORIO_MEDICAO!$F$5,$A102&lt;&gt;""),COUNTIFS($A$3:$A102,RELATORIO_MEDICAO!$C$5,$C$3:$C102,RELATORIO_MEDICAO!$F$5),"")</f>
        <v/>
      </c>
      <c r="Z102">
        <f>IF(OR($A102="",PESQUISA!$C$4=""),0,IF(OR(ISNUMBER(SEARCH(PESQUISA!$C$4,$G102)),ISNUMBER(SEARCH(PESQUISA!$C$4,$K102)),ISNUMBER(SEARCH(PESQUISA!$C$4,$L102))),1,0))</f>
        <v/>
      </c>
      <c r="AA102">
        <f>IF($Z102=1,SUM($Z$3:$Z102),"")</f>
        <v/>
      </c>
      <c r="AB102">
        <f>IF(OR($A102="",PESQUISA!$C$50=""),0,IF(ISNUMBER(SEARCH(PESQUISA!$C$50,$I102)),1,0))</f>
        <v/>
      </c>
      <c r="AC102">
        <f>IF($AB102=1,SUM($AB$3:$AB102),"")</f>
        <v/>
      </c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>
        <f>IFERROR(INDEX(CONFIGURACOES!$G$37:$G$300,MATCH($I103,CONFIGURACOES!$B$37:$B$300,0)),"")</f>
        <v/>
      </c>
      <c r="K103" s="20">
        <f>IFERROR(INDEX(CONFIGURACOES!$H$37:$H$300,MATCH($I103,CONFIGURACOES!$B$37:$B$300,0)),"")</f>
        <v/>
      </c>
      <c r="L103" s="20" t="n"/>
      <c r="M103" s="20">
        <f>IFERROR(INDEX(CONFIGURACOES!$I$37:$I$300,MATCH($I103,CONFIGURACOES!$B$37:$B$300,0)),"")</f>
        <v/>
      </c>
      <c r="N103" s="21" t="n"/>
      <c r="O103" s="21" t="n"/>
      <c r="P103" s="21" t="n"/>
      <c r="Q103" s="21" t="n"/>
      <c r="R103" s="21">
        <f>IF($N103="","",$N103*IF($Q103="",1,$Q103)*IF($P103="",1,$P103)*IF($O103="",1,$O103))</f>
        <v/>
      </c>
      <c r="S103" s="22">
        <f>IFERROR(INDEX(CONFIGURACOES!$J$37:$J$300,MATCH($I103,CONFIGURACOES!$B$37:$B$300,0)),"")</f>
        <v/>
      </c>
      <c r="T103" s="22">
        <f>IF(OR($R103="",$S103=""),"",$R103*$S103)</f>
        <v/>
      </c>
      <c r="U103" s="20" t="n"/>
      <c r="V103" s="20" t="n"/>
      <c r="W103" s="20" t="n"/>
      <c r="X103">
        <f>IF($A103="","",$A103&amp;"|"&amp;$C103&amp;"|"&amp;$I103)</f>
        <v/>
      </c>
      <c r="Y103">
        <f>IF(AND($A103=RELATORIO_MEDICAO!$C$5,$C103=RELATORIO_MEDICAO!$F$5,$A103&lt;&gt;""),COUNTIFS($A$3:$A103,RELATORIO_MEDICAO!$C$5,$C$3:$C103,RELATORIO_MEDICAO!$F$5),"")</f>
        <v/>
      </c>
      <c r="Z103">
        <f>IF(OR($A103="",PESQUISA!$C$4=""),0,IF(OR(ISNUMBER(SEARCH(PESQUISA!$C$4,$G103)),ISNUMBER(SEARCH(PESQUISA!$C$4,$K103)),ISNUMBER(SEARCH(PESQUISA!$C$4,$L103))),1,0))</f>
        <v/>
      </c>
      <c r="AA103">
        <f>IF($Z103=1,SUM($Z$3:$Z103),"")</f>
        <v/>
      </c>
      <c r="AB103">
        <f>IF(OR($A103="",PESQUISA!$C$50=""),0,IF(ISNUMBER(SEARCH(PESQUISA!$C$50,$I103)),1,0))</f>
        <v/>
      </c>
      <c r="AC103">
        <f>IF($AB103=1,SUM($AB$3:$AB103),"")</f>
        <v/>
      </c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>
        <f>IFERROR(INDEX(CONFIGURACOES!$G$37:$G$300,MATCH($I104,CONFIGURACOES!$B$37:$B$300,0)),"")</f>
        <v/>
      </c>
      <c r="K104" s="20">
        <f>IFERROR(INDEX(CONFIGURACOES!$H$37:$H$300,MATCH($I104,CONFIGURACOES!$B$37:$B$300,0)),"")</f>
        <v/>
      </c>
      <c r="L104" s="20" t="n"/>
      <c r="M104" s="20">
        <f>IFERROR(INDEX(CONFIGURACOES!$I$37:$I$300,MATCH($I104,CONFIGURACOES!$B$37:$B$300,0)),"")</f>
        <v/>
      </c>
      <c r="N104" s="21" t="n"/>
      <c r="O104" s="21" t="n"/>
      <c r="P104" s="21" t="n"/>
      <c r="Q104" s="21" t="n"/>
      <c r="R104" s="21">
        <f>IF($N104="","",$N104*IF($Q104="",1,$Q104)*IF($P104="",1,$P104)*IF($O104="",1,$O104))</f>
        <v/>
      </c>
      <c r="S104" s="22">
        <f>IFERROR(INDEX(CONFIGURACOES!$J$37:$J$300,MATCH($I104,CONFIGURACOES!$B$37:$B$300,0)),"")</f>
        <v/>
      </c>
      <c r="T104" s="22">
        <f>IF(OR($R104="",$S104=""),"",$R104*$S104)</f>
        <v/>
      </c>
      <c r="U104" s="20" t="n"/>
      <c r="V104" s="20" t="n"/>
      <c r="W104" s="20" t="n"/>
      <c r="X104">
        <f>IF($A104="","",$A104&amp;"|"&amp;$C104&amp;"|"&amp;$I104)</f>
        <v/>
      </c>
      <c r="Y104">
        <f>IF(AND($A104=RELATORIO_MEDICAO!$C$5,$C104=RELATORIO_MEDICAO!$F$5,$A104&lt;&gt;""),COUNTIFS($A$3:$A104,RELATORIO_MEDICAO!$C$5,$C$3:$C104,RELATORIO_MEDICAO!$F$5),"")</f>
        <v/>
      </c>
      <c r="Z104">
        <f>IF(OR($A104="",PESQUISA!$C$4=""),0,IF(OR(ISNUMBER(SEARCH(PESQUISA!$C$4,$G104)),ISNUMBER(SEARCH(PESQUISA!$C$4,$K104)),ISNUMBER(SEARCH(PESQUISA!$C$4,$L104))),1,0))</f>
        <v/>
      </c>
      <c r="AA104">
        <f>IF($Z104=1,SUM($Z$3:$Z104),"")</f>
        <v/>
      </c>
      <c r="AB104">
        <f>IF(OR($A104="",PESQUISA!$C$50=""),0,IF(ISNUMBER(SEARCH(PESQUISA!$C$50,$I104)),1,0))</f>
        <v/>
      </c>
      <c r="AC104">
        <f>IF($AB104=1,SUM($AB$3:$AB104),"")</f>
        <v/>
      </c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>
        <f>IFERROR(INDEX(CONFIGURACOES!$G$37:$G$300,MATCH($I105,CONFIGURACOES!$B$37:$B$300,0)),"")</f>
        <v/>
      </c>
      <c r="K105" s="20">
        <f>IFERROR(INDEX(CONFIGURACOES!$H$37:$H$300,MATCH($I105,CONFIGURACOES!$B$37:$B$300,0)),"")</f>
        <v/>
      </c>
      <c r="L105" s="20" t="n"/>
      <c r="M105" s="20">
        <f>IFERROR(INDEX(CONFIGURACOES!$I$37:$I$300,MATCH($I105,CONFIGURACOES!$B$37:$B$300,0)),"")</f>
        <v/>
      </c>
      <c r="N105" s="21" t="n"/>
      <c r="O105" s="21" t="n"/>
      <c r="P105" s="21" t="n"/>
      <c r="Q105" s="21" t="n"/>
      <c r="R105" s="21">
        <f>IF($N105="","",$N105*IF($Q105="",1,$Q105)*IF($P105="",1,$P105)*IF($O105="",1,$O105))</f>
        <v/>
      </c>
      <c r="S105" s="22">
        <f>IFERROR(INDEX(CONFIGURACOES!$J$37:$J$300,MATCH($I105,CONFIGURACOES!$B$37:$B$300,0)),"")</f>
        <v/>
      </c>
      <c r="T105" s="22">
        <f>IF(OR($R105="",$S105=""),"",$R105*$S105)</f>
        <v/>
      </c>
      <c r="U105" s="20" t="n"/>
      <c r="V105" s="20" t="n"/>
      <c r="W105" s="20" t="n"/>
      <c r="X105">
        <f>IF($A105="","",$A105&amp;"|"&amp;$C105&amp;"|"&amp;$I105)</f>
        <v/>
      </c>
      <c r="Y105">
        <f>IF(AND($A105=RELATORIO_MEDICAO!$C$5,$C105=RELATORIO_MEDICAO!$F$5,$A105&lt;&gt;""),COUNTIFS($A$3:$A105,RELATORIO_MEDICAO!$C$5,$C$3:$C105,RELATORIO_MEDICAO!$F$5),"")</f>
        <v/>
      </c>
      <c r="Z105">
        <f>IF(OR($A105="",PESQUISA!$C$4=""),0,IF(OR(ISNUMBER(SEARCH(PESQUISA!$C$4,$G105)),ISNUMBER(SEARCH(PESQUISA!$C$4,$K105)),ISNUMBER(SEARCH(PESQUISA!$C$4,$L105))),1,0))</f>
        <v/>
      </c>
      <c r="AA105">
        <f>IF($Z105=1,SUM($Z$3:$Z105),"")</f>
        <v/>
      </c>
      <c r="AB105">
        <f>IF(OR($A105="",PESQUISA!$C$50=""),0,IF(ISNUMBER(SEARCH(PESQUISA!$C$50,$I105)),1,0))</f>
        <v/>
      </c>
      <c r="AC105">
        <f>IF($AB105=1,SUM($AB$3:$AB105),"")</f>
        <v/>
      </c>
    </row>
    <row r="106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>
        <f>IFERROR(INDEX(CONFIGURACOES!$G$37:$G$300,MATCH($I106,CONFIGURACOES!$B$37:$B$300,0)),"")</f>
        <v/>
      </c>
      <c r="K106" s="20">
        <f>IFERROR(INDEX(CONFIGURACOES!$H$37:$H$300,MATCH($I106,CONFIGURACOES!$B$37:$B$300,0)),"")</f>
        <v/>
      </c>
      <c r="L106" s="20" t="n"/>
      <c r="M106" s="20">
        <f>IFERROR(INDEX(CONFIGURACOES!$I$37:$I$300,MATCH($I106,CONFIGURACOES!$B$37:$B$300,0)),"")</f>
        <v/>
      </c>
      <c r="N106" s="21" t="n"/>
      <c r="O106" s="21" t="n"/>
      <c r="P106" s="21" t="n"/>
      <c r="Q106" s="21" t="n"/>
      <c r="R106" s="21">
        <f>IF($N106="","",$N106*IF($Q106="",1,$Q106)*IF($P106="",1,$P106)*IF($O106="",1,$O106))</f>
        <v/>
      </c>
      <c r="S106" s="22">
        <f>IFERROR(INDEX(CONFIGURACOES!$J$37:$J$300,MATCH($I106,CONFIGURACOES!$B$37:$B$300,0)),"")</f>
        <v/>
      </c>
      <c r="T106" s="22">
        <f>IF(OR($R106="",$S106=""),"",$R106*$S106)</f>
        <v/>
      </c>
      <c r="U106" s="20" t="n"/>
      <c r="V106" s="20" t="n"/>
      <c r="W106" s="20" t="n"/>
      <c r="X106">
        <f>IF($A106="","",$A106&amp;"|"&amp;$C106&amp;"|"&amp;$I106)</f>
        <v/>
      </c>
      <c r="Y106">
        <f>IF(AND($A106=RELATORIO_MEDICAO!$C$5,$C106=RELATORIO_MEDICAO!$F$5,$A106&lt;&gt;""),COUNTIFS($A$3:$A106,RELATORIO_MEDICAO!$C$5,$C$3:$C106,RELATORIO_MEDICAO!$F$5),"")</f>
        <v/>
      </c>
      <c r="Z106">
        <f>IF(OR($A106="",PESQUISA!$C$4=""),0,IF(OR(ISNUMBER(SEARCH(PESQUISA!$C$4,$G106)),ISNUMBER(SEARCH(PESQUISA!$C$4,$K106)),ISNUMBER(SEARCH(PESQUISA!$C$4,$L106))),1,0))</f>
        <v/>
      </c>
      <c r="AA106">
        <f>IF($Z106=1,SUM($Z$3:$Z106),"")</f>
        <v/>
      </c>
      <c r="AB106">
        <f>IF(OR($A106="",PESQUISA!$C$50=""),0,IF(ISNUMBER(SEARCH(PESQUISA!$C$50,$I106)),1,0))</f>
        <v/>
      </c>
      <c r="AC106">
        <f>IF($AB106=1,SUM($AB$3:$AB106),"")</f>
        <v/>
      </c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>
        <f>IFERROR(INDEX(CONFIGURACOES!$G$37:$G$300,MATCH($I107,CONFIGURACOES!$B$37:$B$300,0)),"")</f>
        <v/>
      </c>
      <c r="K107" s="20">
        <f>IFERROR(INDEX(CONFIGURACOES!$H$37:$H$300,MATCH($I107,CONFIGURACOES!$B$37:$B$300,0)),"")</f>
        <v/>
      </c>
      <c r="L107" s="20" t="n"/>
      <c r="M107" s="20">
        <f>IFERROR(INDEX(CONFIGURACOES!$I$37:$I$300,MATCH($I107,CONFIGURACOES!$B$37:$B$300,0)),"")</f>
        <v/>
      </c>
      <c r="N107" s="21" t="n"/>
      <c r="O107" s="21" t="n"/>
      <c r="P107" s="21" t="n"/>
      <c r="Q107" s="21" t="n"/>
      <c r="R107" s="21">
        <f>IF($N107="","",$N107*IF($Q107="",1,$Q107)*IF($P107="",1,$P107)*IF($O107="",1,$O107))</f>
        <v/>
      </c>
      <c r="S107" s="22">
        <f>IFERROR(INDEX(CONFIGURACOES!$J$37:$J$300,MATCH($I107,CONFIGURACOES!$B$37:$B$300,0)),"")</f>
        <v/>
      </c>
      <c r="T107" s="22">
        <f>IF(OR($R107="",$S107=""),"",$R107*$S107)</f>
        <v/>
      </c>
      <c r="U107" s="20" t="n"/>
      <c r="V107" s="20" t="n"/>
      <c r="W107" s="20" t="n"/>
      <c r="X107">
        <f>IF($A107="","",$A107&amp;"|"&amp;$C107&amp;"|"&amp;$I107)</f>
        <v/>
      </c>
      <c r="Y107">
        <f>IF(AND($A107=RELATORIO_MEDICAO!$C$5,$C107=RELATORIO_MEDICAO!$F$5,$A107&lt;&gt;""),COUNTIFS($A$3:$A107,RELATORIO_MEDICAO!$C$5,$C$3:$C107,RELATORIO_MEDICAO!$F$5),"")</f>
        <v/>
      </c>
      <c r="Z107">
        <f>IF(OR($A107="",PESQUISA!$C$4=""),0,IF(OR(ISNUMBER(SEARCH(PESQUISA!$C$4,$G107)),ISNUMBER(SEARCH(PESQUISA!$C$4,$K107)),ISNUMBER(SEARCH(PESQUISA!$C$4,$L107))),1,0))</f>
        <v/>
      </c>
      <c r="AA107">
        <f>IF($Z107=1,SUM($Z$3:$Z107),"")</f>
        <v/>
      </c>
      <c r="AB107">
        <f>IF(OR($A107="",PESQUISA!$C$50=""),0,IF(ISNUMBER(SEARCH(PESQUISA!$C$50,$I107)),1,0))</f>
        <v/>
      </c>
      <c r="AC107">
        <f>IF($AB107=1,SUM($AB$3:$AB107),"")</f>
        <v/>
      </c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>
        <f>IFERROR(INDEX(CONFIGURACOES!$G$37:$G$300,MATCH($I108,CONFIGURACOES!$B$37:$B$300,0)),"")</f>
        <v/>
      </c>
      <c r="K108" s="20">
        <f>IFERROR(INDEX(CONFIGURACOES!$H$37:$H$300,MATCH($I108,CONFIGURACOES!$B$37:$B$300,0)),"")</f>
        <v/>
      </c>
      <c r="L108" s="20" t="n"/>
      <c r="M108" s="20">
        <f>IFERROR(INDEX(CONFIGURACOES!$I$37:$I$300,MATCH($I108,CONFIGURACOES!$B$37:$B$300,0)),"")</f>
        <v/>
      </c>
      <c r="N108" s="21" t="n"/>
      <c r="O108" s="21" t="n"/>
      <c r="P108" s="21" t="n"/>
      <c r="Q108" s="21" t="n"/>
      <c r="R108" s="21">
        <f>IF($N108="","",$N108*IF($Q108="",1,$Q108)*IF($P108="",1,$P108)*IF($O108="",1,$O108))</f>
        <v/>
      </c>
      <c r="S108" s="22">
        <f>IFERROR(INDEX(CONFIGURACOES!$J$37:$J$300,MATCH($I108,CONFIGURACOES!$B$37:$B$300,0)),"")</f>
        <v/>
      </c>
      <c r="T108" s="22">
        <f>IF(OR($R108="",$S108=""),"",$R108*$S108)</f>
        <v/>
      </c>
      <c r="U108" s="20" t="n"/>
      <c r="V108" s="20" t="n"/>
      <c r="W108" s="20" t="n"/>
      <c r="X108">
        <f>IF($A108="","",$A108&amp;"|"&amp;$C108&amp;"|"&amp;$I108)</f>
        <v/>
      </c>
      <c r="Y108">
        <f>IF(AND($A108=RELATORIO_MEDICAO!$C$5,$C108=RELATORIO_MEDICAO!$F$5,$A108&lt;&gt;""),COUNTIFS($A$3:$A108,RELATORIO_MEDICAO!$C$5,$C$3:$C108,RELATORIO_MEDICAO!$F$5),"")</f>
        <v/>
      </c>
      <c r="Z108">
        <f>IF(OR($A108="",PESQUISA!$C$4=""),0,IF(OR(ISNUMBER(SEARCH(PESQUISA!$C$4,$G108)),ISNUMBER(SEARCH(PESQUISA!$C$4,$K108)),ISNUMBER(SEARCH(PESQUISA!$C$4,$L108))),1,0))</f>
        <v/>
      </c>
      <c r="AA108">
        <f>IF($Z108=1,SUM($Z$3:$Z108),"")</f>
        <v/>
      </c>
      <c r="AB108">
        <f>IF(OR($A108="",PESQUISA!$C$50=""),0,IF(ISNUMBER(SEARCH(PESQUISA!$C$50,$I108)),1,0))</f>
        <v/>
      </c>
      <c r="AC108">
        <f>IF($AB108=1,SUM($AB$3:$AB108),"")</f>
        <v/>
      </c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>
        <f>IFERROR(INDEX(CONFIGURACOES!$G$37:$G$300,MATCH($I109,CONFIGURACOES!$B$37:$B$300,0)),"")</f>
        <v/>
      </c>
      <c r="K109" s="20">
        <f>IFERROR(INDEX(CONFIGURACOES!$H$37:$H$300,MATCH($I109,CONFIGURACOES!$B$37:$B$300,0)),"")</f>
        <v/>
      </c>
      <c r="L109" s="20" t="n"/>
      <c r="M109" s="20">
        <f>IFERROR(INDEX(CONFIGURACOES!$I$37:$I$300,MATCH($I109,CONFIGURACOES!$B$37:$B$300,0)),"")</f>
        <v/>
      </c>
      <c r="N109" s="21" t="n"/>
      <c r="O109" s="21" t="n"/>
      <c r="P109" s="21" t="n"/>
      <c r="Q109" s="21" t="n"/>
      <c r="R109" s="21">
        <f>IF($N109="","",$N109*IF($Q109="",1,$Q109)*IF($P109="",1,$P109)*IF($O109="",1,$O109))</f>
        <v/>
      </c>
      <c r="S109" s="22">
        <f>IFERROR(INDEX(CONFIGURACOES!$J$37:$J$300,MATCH($I109,CONFIGURACOES!$B$37:$B$300,0)),"")</f>
        <v/>
      </c>
      <c r="T109" s="22">
        <f>IF(OR($R109="",$S109=""),"",$R109*$S109)</f>
        <v/>
      </c>
      <c r="U109" s="20" t="n"/>
      <c r="V109" s="20" t="n"/>
      <c r="W109" s="20" t="n"/>
      <c r="X109">
        <f>IF($A109="","",$A109&amp;"|"&amp;$C109&amp;"|"&amp;$I109)</f>
        <v/>
      </c>
      <c r="Y109">
        <f>IF(AND($A109=RELATORIO_MEDICAO!$C$5,$C109=RELATORIO_MEDICAO!$F$5,$A109&lt;&gt;""),COUNTIFS($A$3:$A109,RELATORIO_MEDICAO!$C$5,$C$3:$C109,RELATORIO_MEDICAO!$F$5),"")</f>
        <v/>
      </c>
      <c r="Z109">
        <f>IF(OR($A109="",PESQUISA!$C$4=""),0,IF(OR(ISNUMBER(SEARCH(PESQUISA!$C$4,$G109)),ISNUMBER(SEARCH(PESQUISA!$C$4,$K109)),ISNUMBER(SEARCH(PESQUISA!$C$4,$L109))),1,0))</f>
        <v/>
      </c>
      <c r="AA109">
        <f>IF($Z109=1,SUM($Z$3:$Z109),"")</f>
        <v/>
      </c>
      <c r="AB109">
        <f>IF(OR($A109="",PESQUISA!$C$50=""),0,IF(ISNUMBER(SEARCH(PESQUISA!$C$50,$I109)),1,0))</f>
        <v/>
      </c>
      <c r="AC109">
        <f>IF($AB109=1,SUM($AB$3:$AB109),"")</f>
        <v/>
      </c>
    </row>
    <row r="110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>
        <f>IFERROR(INDEX(CONFIGURACOES!$G$37:$G$300,MATCH($I110,CONFIGURACOES!$B$37:$B$300,0)),"")</f>
        <v/>
      </c>
      <c r="K110" s="20">
        <f>IFERROR(INDEX(CONFIGURACOES!$H$37:$H$300,MATCH($I110,CONFIGURACOES!$B$37:$B$300,0)),"")</f>
        <v/>
      </c>
      <c r="L110" s="20" t="n"/>
      <c r="M110" s="20">
        <f>IFERROR(INDEX(CONFIGURACOES!$I$37:$I$300,MATCH($I110,CONFIGURACOES!$B$37:$B$300,0)),"")</f>
        <v/>
      </c>
      <c r="N110" s="21" t="n"/>
      <c r="O110" s="21" t="n"/>
      <c r="P110" s="21" t="n"/>
      <c r="Q110" s="21" t="n"/>
      <c r="R110" s="21">
        <f>IF($N110="","",$N110*IF($Q110="",1,$Q110)*IF($P110="",1,$P110)*IF($O110="",1,$O110))</f>
        <v/>
      </c>
      <c r="S110" s="22">
        <f>IFERROR(INDEX(CONFIGURACOES!$J$37:$J$300,MATCH($I110,CONFIGURACOES!$B$37:$B$300,0)),"")</f>
        <v/>
      </c>
      <c r="T110" s="22">
        <f>IF(OR($R110="",$S110=""),"",$R110*$S110)</f>
        <v/>
      </c>
      <c r="U110" s="20" t="n"/>
      <c r="V110" s="20" t="n"/>
      <c r="W110" s="20" t="n"/>
      <c r="X110">
        <f>IF($A110="","",$A110&amp;"|"&amp;$C110&amp;"|"&amp;$I110)</f>
        <v/>
      </c>
      <c r="Y110">
        <f>IF(AND($A110=RELATORIO_MEDICAO!$C$5,$C110=RELATORIO_MEDICAO!$F$5,$A110&lt;&gt;""),COUNTIFS($A$3:$A110,RELATORIO_MEDICAO!$C$5,$C$3:$C110,RELATORIO_MEDICAO!$F$5),"")</f>
        <v/>
      </c>
      <c r="Z110">
        <f>IF(OR($A110="",PESQUISA!$C$4=""),0,IF(OR(ISNUMBER(SEARCH(PESQUISA!$C$4,$G110)),ISNUMBER(SEARCH(PESQUISA!$C$4,$K110)),ISNUMBER(SEARCH(PESQUISA!$C$4,$L110))),1,0))</f>
        <v/>
      </c>
      <c r="AA110">
        <f>IF($Z110=1,SUM($Z$3:$Z110),"")</f>
        <v/>
      </c>
      <c r="AB110">
        <f>IF(OR($A110="",PESQUISA!$C$50=""),0,IF(ISNUMBER(SEARCH(PESQUISA!$C$50,$I110)),1,0))</f>
        <v/>
      </c>
      <c r="AC110">
        <f>IF($AB110=1,SUM($AB$3:$AB110),"")</f>
        <v/>
      </c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>
        <f>IFERROR(INDEX(CONFIGURACOES!$G$37:$G$300,MATCH($I111,CONFIGURACOES!$B$37:$B$300,0)),"")</f>
        <v/>
      </c>
      <c r="K111" s="20">
        <f>IFERROR(INDEX(CONFIGURACOES!$H$37:$H$300,MATCH($I111,CONFIGURACOES!$B$37:$B$300,0)),"")</f>
        <v/>
      </c>
      <c r="L111" s="20" t="n"/>
      <c r="M111" s="20">
        <f>IFERROR(INDEX(CONFIGURACOES!$I$37:$I$300,MATCH($I111,CONFIGURACOES!$B$37:$B$300,0)),"")</f>
        <v/>
      </c>
      <c r="N111" s="21" t="n"/>
      <c r="O111" s="21" t="n"/>
      <c r="P111" s="21" t="n"/>
      <c r="Q111" s="21" t="n"/>
      <c r="R111" s="21">
        <f>IF($N111="","",$N111*IF($Q111="",1,$Q111)*IF($P111="",1,$P111)*IF($O111="",1,$O111))</f>
        <v/>
      </c>
      <c r="S111" s="22">
        <f>IFERROR(INDEX(CONFIGURACOES!$J$37:$J$300,MATCH($I111,CONFIGURACOES!$B$37:$B$300,0)),"")</f>
        <v/>
      </c>
      <c r="T111" s="22">
        <f>IF(OR($R111="",$S111=""),"",$R111*$S111)</f>
        <v/>
      </c>
      <c r="U111" s="20" t="n"/>
      <c r="V111" s="20" t="n"/>
      <c r="W111" s="20" t="n"/>
      <c r="X111">
        <f>IF($A111="","",$A111&amp;"|"&amp;$C111&amp;"|"&amp;$I111)</f>
        <v/>
      </c>
      <c r="Y111">
        <f>IF(AND($A111=RELATORIO_MEDICAO!$C$5,$C111=RELATORIO_MEDICAO!$F$5,$A111&lt;&gt;""),COUNTIFS($A$3:$A111,RELATORIO_MEDICAO!$C$5,$C$3:$C111,RELATORIO_MEDICAO!$F$5),"")</f>
        <v/>
      </c>
      <c r="Z111">
        <f>IF(OR($A111="",PESQUISA!$C$4=""),0,IF(OR(ISNUMBER(SEARCH(PESQUISA!$C$4,$G111)),ISNUMBER(SEARCH(PESQUISA!$C$4,$K111)),ISNUMBER(SEARCH(PESQUISA!$C$4,$L111))),1,0))</f>
        <v/>
      </c>
      <c r="AA111">
        <f>IF($Z111=1,SUM($Z$3:$Z111),"")</f>
        <v/>
      </c>
      <c r="AB111">
        <f>IF(OR($A111="",PESQUISA!$C$50=""),0,IF(ISNUMBER(SEARCH(PESQUISA!$C$50,$I111)),1,0))</f>
        <v/>
      </c>
      <c r="AC111">
        <f>IF($AB111=1,SUM($AB$3:$AB111),"")</f>
        <v/>
      </c>
    </row>
    <row r="112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>
        <f>IFERROR(INDEX(CONFIGURACOES!$G$37:$G$300,MATCH($I112,CONFIGURACOES!$B$37:$B$300,0)),"")</f>
        <v/>
      </c>
      <c r="K112" s="20">
        <f>IFERROR(INDEX(CONFIGURACOES!$H$37:$H$300,MATCH($I112,CONFIGURACOES!$B$37:$B$300,0)),"")</f>
        <v/>
      </c>
      <c r="L112" s="20" t="n"/>
      <c r="M112" s="20">
        <f>IFERROR(INDEX(CONFIGURACOES!$I$37:$I$300,MATCH($I112,CONFIGURACOES!$B$37:$B$300,0)),"")</f>
        <v/>
      </c>
      <c r="N112" s="21" t="n"/>
      <c r="O112" s="21" t="n"/>
      <c r="P112" s="21" t="n"/>
      <c r="Q112" s="21" t="n"/>
      <c r="R112" s="21">
        <f>IF($N112="","",$N112*IF($Q112="",1,$Q112)*IF($P112="",1,$P112)*IF($O112="",1,$O112))</f>
        <v/>
      </c>
      <c r="S112" s="22">
        <f>IFERROR(INDEX(CONFIGURACOES!$J$37:$J$300,MATCH($I112,CONFIGURACOES!$B$37:$B$300,0)),"")</f>
        <v/>
      </c>
      <c r="T112" s="22">
        <f>IF(OR($R112="",$S112=""),"",$R112*$S112)</f>
        <v/>
      </c>
      <c r="U112" s="20" t="n"/>
      <c r="V112" s="20" t="n"/>
      <c r="W112" s="20" t="n"/>
      <c r="X112">
        <f>IF($A112="","",$A112&amp;"|"&amp;$C112&amp;"|"&amp;$I112)</f>
        <v/>
      </c>
      <c r="Y112">
        <f>IF(AND($A112=RELATORIO_MEDICAO!$C$5,$C112=RELATORIO_MEDICAO!$F$5,$A112&lt;&gt;""),COUNTIFS($A$3:$A112,RELATORIO_MEDICAO!$C$5,$C$3:$C112,RELATORIO_MEDICAO!$F$5),"")</f>
        <v/>
      </c>
      <c r="Z112">
        <f>IF(OR($A112="",PESQUISA!$C$4=""),0,IF(OR(ISNUMBER(SEARCH(PESQUISA!$C$4,$G112)),ISNUMBER(SEARCH(PESQUISA!$C$4,$K112)),ISNUMBER(SEARCH(PESQUISA!$C$4,$L112))),1,0))</f>
        <v/>
      </c>
      <c r="AA112">
        <f>IF($Z112=1,SUM($Z$3:$Z112),"")</f>
        <v/>
      </c>
      <c r="AB112">
        <f>IF(OR($A112="",PESQUISA!$C$50=""),0,IF(ISNUMBER(SEARCH(PESQUISA!$C$50,$I112)),1,0))</f>
        <v/>
      </c>
      <c r="AC112">
        <f>IF($AB112=1,SUM($AB$3:$AB112),"")</f>
        <v/>
      </c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>
        <f>IFERROR(INDEX(CONFIGURACOES!$G$37:$G$300,MATCH($I113,CONFIGURACOES!$B$37:$B$300,0)),"")</f>
        <v/>
      </c>
      <c r="K113" s="20">
        <f>IFERROR(INDEX(CONFIGURACOES!$H$37:$H$300,MATCH($I113,CONFIGURACOES!$B$37:$B$300,0)),"")</f>
        <v/>
      </c>
      <c r="L113" s="20" t="n"/>
      <c r="M113" s="20">
        <f>IFERROR(INDEX(CONFIGURACOES!$I$37:$I$300,MATCH($I113,CONFIGURACOES!$B$37:$B$300,0)),"")</f>
        <v/>
      </c>
      <c r="N113" s="21" t="n"/>
      <c r="O113" s="21" t="n"/>
      <c r="P113" s="21" t="n"/>
      <c r="Q113" s="21" t="n"/>
      <c r="R113" s="21">
        <f>IF($N113="","",$N113*IF($Q113="",1,$Q113)*IF($P113="",1,$P113)*IF($O113="",1,$O113))</f>
        <v/>
      </c>
      <c r="S113" s="22">
        <f>IFERROR(INDEX(CONFIGURACOES!$J$37:$J$300,MATCH($I113,CONFIGURACOES!$B$37:$B$300,0)),"")</f>
        <v/>
      </c>
      <c r="T113" s="22">
        <f>IF(OR($R113="",$S113=""),"",$R113*$S113)</f>
        <v/>
      </c>
      <c r="U113" s="20" t="n"/>
      <c r="V113" s="20" t="n"/>
      <c r="W113" s="20" t="n"/>
      <c r="X113">
        <f>IF($A113="","",$A113&amp;"|"&amp;$C113&amp;"|"&amp;$I113)</f>
        <v/>
      </c>
      <c r="Y113">
        <f>IF(AND($A113=RELATORIO_MEDICAO!$C$5,$C113=RELATORIO_MEDICAO!$F$5,$A113&lt;&gt;""),COUNTIFS($A$3:$A113,RELATORIO_MEDICAO!$C$5,$C$3:$C113,RELATORIO_MEDICAO!$F$5),"")</f>
        <v/>
      </c>
      <c r="Z113">
        <f>IF(OR($A113="",PESQUISA!$C$4=""),0,IF(OR(ISNUMBER(SEARCH(PESQUISA!$C$4,$G113)),ISNUMBER(SEARCH(PESQUISA!$C$4,$K113)),ISNUMBER(SEARCH(PESQUISA!$C$4,$L113))),1,0))</f>
        <v/>
      </c>
      <c r="AA113">
        <f>IF($Z113=1,SUM($Z$3:$Z113),"")</f>
        <v/>
      </c>
      <c r="AB113">
        <f>IF(OR($A113="",PESQUISA!$C$50=""),0,IF(ISNUMBER(SEARCH(PESQUISA!$C$50,$I113)),1,0))</f>
        <v/>
      </c>
      <c r="AC113">
        <f>IF($AB113=1,SUM($AB$3:$AB113),"")</f>
        <v/>
      </c>
    </row>
    <row r="114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>
        <f>IFERROR(INDEX(CONFIGURACOES!$G$37:$G$300,MATCH($I114,CONFIGURACOES!$B$37:$B$300,0)),"")</f>
        <v/>
      </c>
      <c r="K114" s="20">
        <f>IFERROR(INDEX(CONFIGURACOES!$H$37:$H$300,MATCH($I114,CONFIGURACOES!$B$37:$B$300,0)),"")</f>
        <v/>
      </c>
      <c r="L114" s="20" t="n"/>
      <c r="M114" s="20">
        <f>IFERROR(INDEX(CONFIGURACOES!$I$37:$I$300,MATCH($I114,CONFIGURACOES!$B$37:$B$300,0)),"")</f>
        <v/>
      </c>
      <c r="N114" s="21" t="n"/>
      <c r="O114" s="21" t="n"/>
      <c r="P114" s="21" t="n"/>
      <c r="Q114" s="21" t="n"/>
      <c r="R114" s="21">
        <f>IF($N114="","",$N114*IF($Q114="",1,$Q114)*IF($P114="",1,$P114)*IF($O114="",1,$O114))</f>
        <v/>
      </c>
      <c r="S114" s="22">
        <f>IFERROR(INDEX(CONFIGURACOES!$J$37:$J$300,MATCH($I114,CONFIGURACOES!$B$37:$B$300,0)),"")</f>
        <v/>
      </c>
      <c r="T114" s="22">
        <f>IF(OR($R114="",$S114=""),"",$R114*$S114)</f>
        <v/>
      </c>
      <c r="U114" s="20" t="n"/>
      <c r="V114" s="20" t="n"/>
      <c r="W114" s="20" t="n"/>
      <c r="X114">
        <f>IF($A114="","",$A114&amp;"|"&amp;$C114&amp;"|"&amp;$I114)</f>
        <v/>
      </c>
      <c r="Y114">
        <f>IF(AND($A114=RELATORIO_MEDICAO!$C$5,$C114=RELATORIO_MEDICAO!$F$5,$A114&lt;&gt;""),COUNTIFS($A$3:$A114,RELATORIO_MEDICAO!$C$5,$C$3:$C114,RELATORIO_MEDICAO!$F$5),"")</f>
        <v/>
      </c>
      <c r="Z114">
        <f>IF(OR($A114="",PESQUISA!$C$4=""),0,IF(OR(ISNUMBER(SEARCH(PESQUISA!$C$4,$G114)),ISNUMBER(SEARCH(PESQUISA!$C$4,$K114)),ISNUMBER(SEARCH(PESQUISA!$C$4,$L114))),1,0))</f>
        <v/>
      </c>
      <c r="AA114">
        <f>IF($Z114=1,SUM($Z$3:$Z114),"")</f>
        <v/>
      </c>
      <c r="AB114">
        <f>IF(OR($A114="",PESQUISA!$C$50=""),0,IF(ISNUMBER(SEARCH(PESQUISA!$C$50,$I114)),1,0))</f>
        <v/>
      </c>
      <c r="AC114">
        <f>IF($AB114=1,SUM($AB$3:$AB114),"")</f>
        <v/>
      </c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>
        <f>IFERROR(INDEX(CONFIGURACOES!$G$37:$G$300,MATCH($I115,CONFIGURACOES!$B$37:$B$300,0)),"")</f>
        <v/>
      </c>
      <c r="K115" s="20">
        <f>IFERROR(INDEX(CONFIGURACOES!$H$37:$H$300,MATCH($I115,CONFIGURACOES!$B$37:$B$300,0)),"")</f>
        <v/>
      </c>
      <c r="L115" s="20" t="n"/>
      <c r="M115" s="20">
        <f>IFERROR(INDEX(CONFIGURACOES!$I$37:$I$300,MATCH($I115,CONFIGURACOES!$B$37:$B$300,0)),"")</f>
        <v/>
      </c>
      <c r="N115" s="21" t="n"/>
      <c r="O115" s="21" t="n"/>
      <c r="P115" s="21" t="n"/>
      <c r="Q115" s="21" t="n"/>
      <c r="R115" s="21">
        <f>IF($N115="","",$N115*IF($Q115="",1,$Q115)*IF($P115="",1,$P115)*IF($O115="",1,$O115))</f>
        <v/>
      </c>
      <c r="S115" s="22">
        <f>IFERROR(INDEX(CONFIGURACOES!$J$37:$J$300,MATCH($I115,CONFIGURACOES!$B$37:$B$300,0)),"")</f>
        <v/>
      </c>
      <c r="T115" s="22">
        <f>IF(OR($R115="",$S115=""),"",$R115*$S115)</f>
        <v/>
      </c>
      <c r="U115" s="20" t="n"/>
      <c r="V115" s="20" t="n"/>
      <c r="W115" s="20" t="n"/>
      <c r="X115">
        <f>IF($A115="","",$A115&amp;"|"&amp;$C115&amp;"|"&amp;$I115)</f>
        <v/>
      </c>
      <c r="Y115">
        <f>IF(AND($A115=RELATORIO_MEDICAO!$C$5,$C115=RELATORIO_MEDICAO!$F$5,$A115&lt;&gt;""),COUNTIFS($A$3:$A115,RELATORIO_MEDICAO!$C$5,$C$3:$C115,RELATORIO_MEDICAO!$F$5),"")</f>
        <v/>
      </c>
      <c r="Z115">
        <f>IF(OR($A115="",PESQUISA!$C$4=""),0,IF(OR(ISNUMBER(SEARCH(PESQUISA!$C$4,$G115)),ISNUMBER(SEARCH(PESQUISA!$C$4,$K115)),ISNUMBER(SEARCH(PESQUISA!$C$4,$L115))),1,0))</f>
        <v/>
      </c>
      <c r="AA115">
        <f>IF($Z115=1,SUM($Z$3:$Z115),"")</f>
        <v/>
      </c>
      <c r="AB115">
        <f>IF(OR($A115="",PESQUISA!$C$50=""),0,IF(ISNUMBER(SEARCH(PESQUISA!$C$50,$I115)),1,0))</f>
        <v/>
      </c>
      <c r="AC115">
        <f>IF($AB115=1,SUM($AB$3:$AB115),"")</f>
        <v/>
      </c>
    </row>
    <row r="116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>
        <f>IFERROR(INDEX(CONFIGURACOES!$G$37:$G$300,MATCH($I116,CONFIGURACOES!$B$37:$B$300,0)),"")</f>
        <v/>
      </c>
      <c r="K116" s="20">
        <f>IFERROR(INDEX(CONFIGURACOES!$H$37:$H$300,MATCH($I116,CONFIGURACOES!$B$37:$B$300,0)),"")</f>
        <v/>
      </c>
      <c r="L116" s="20" t="n"/>
      <c r="M116" s="20">
        <f>IFERROR(INDEX(CONFIGURACOES!$I$37:$I$300,MATCH($I116,CONFIGURACOES!$B$37:$B$300,0)),"")</f>
        <v/>
      </c>
      <c r="N116" s="21" t="n"/>
      <c r="O116" s="21" t="n"/>
      <c r="P116" s="21" t="n"/>
      <c r="Q116" s="21" t="n"/>
      <c r="R116" s="21">
        <f>IF($N116="","",$N116*IF($Q116="",1,$Q116)*IF($P116="",1,$P116)*IF($O116="",1,$O116))</f>
        <v/>
      </c>
      <c r="S116" s="22">
        <f>IFERROR(INDEX(CONFIGURACOES!$J$37:$J$300,MATCH($I116,CONFIGURACOES!$B$37:$B$300,0)),"")</f>
        <v/>
      </c>
      <c r="T116" s="22">
        <f>IF(OR($R116="",$S116=""),"",$R116*$S116)</f>
        <v/>
      </c>
      <c r="U116" s="20" t="n"/>
      <c r="V116" s="20" t="n"/>
      <c r="W116" s="20" t="n"/>
      <c r="X116">
        <f>IF($A116="","",$A116&amp;"|"&amp;$C116&amp;"|"&amp;$I116)</f>
        <v/>
      </c>
      <c r="Y116">
        <f>IF(AND($A116=RELATORIO_MEDICAO!$C$5,$C116=RELATORIO_MEDICAO!$F$5,$A116&lt;&gt;""),COUNTIFS($A$3:$A116,RELATORIO_MEDICAO!$C$5,$C$3:$C116,RELATORIO_MEDICAO!$F$5),"")</f>
        <v/>
      </c>
      <c r="Z116">
        <f>IF(OR($A116="",PESQUISA!$C$4=""),0,IF(OR(ISNUMBER(SEARCH(PESQUISA!$C$4,$G116)),ISNUMBER(SEARCH(PESQUISA!$C$4,$K116)),ISNUMBER(SEARCH(PESQUISA!$C$4,$L116))),1,0))</f>
        <v/>
      </c>
      <c r="AA116">
        <f>IF($Z116=1,SUM($Z$3:$Z116),"")</f>
        <v/>
      </c>
      <c r="AB116">
        <f>IF(OR($A116="",PESQUISA!$C$50=""),0,IF(ISNUMBER(SEARCH(PESQUISA!$C$50,$I116)),1,0))</f>
        <v/>
      </c>
      <c r="AC116">
        <f>IF($AB116=1,SUM($AB$3:$AB116),"")</f>
        <v/>
      </c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>
        <f>IFERROR(INDEX(CONFIGURACOES!$G$37:$G$300,MATCH($I117,CONFIGURACOES!$B$37:$B$300,0)),"")</f>
        <v/>
      </c>
      <c r="K117" s="20">
        <f>IFERROR(INDEX(CONFIGURACOES!$H$37:$H$300,MATCH($I117,CONFIGURACOES!$B$37:$B$300,0)),"")</f>
        <v/>
      </c>
      <c r="L117" s="20" t="n"/>
      <c r="M117" s="20">
        <f>IFERROR(INDEX(CONFIGURACOES!$I$37:$I$300,MATCH($I117,CONFIGURACOES!$B$37:$B$300,0)),"")</f>
        <v/>
      </c>
      <c r="N117" s="21" t="n"/>
      <c r="O117" s="21" t="n"/>
      <c r="P117" s="21" t="n"/>
      <c r="Q117" s="21" t="n"/>
      <c r="R117" s="21">
        <f>IF($N117="","",$N117*IF($Q117="",1,$Q117)*IF($P117="",1,$P117)*IF($O117="",1,$O117))</f>
        <v/>
      </c>
      <c r="S117" s="22">
        <f>IFERROR(INDEX(CONFIGURACOES!$J$37:$J$300,MATCH($I117,CONFIGURACOES!$B$37:$B$300,0)),"")</f>
        <v/>
      </c>
      <c r="T117" s="22">
        <f>IF(OR($R117="",$S117=""),"",$R117*$S117)</f>
        <v/>
      </c>
      <c r="U117" s="20" t="n"/>
      <c r="V117" s="20" t="n"/>
      <c r="W117" s="20" t="n"/>
      <c r="X117">
        <f>IF($A117="","",$A117&amp;"|"&amp;$C117&amp;"|"&amp;$I117)</f>
        <v/>
      </c>
      <c r="Y117">
        <f>IF(AND($A117=RELATORIO_MEDICAO!$C$5,$C117=RELATORIO_MEDICAO!$F$5,$A117&lt;&gt;""),COUNTIFS($A$3:$A117,RELATORIO_MEDICAO!$C$5,$C$3:$C117,RELATORIO_MEDICAO!$F$5),"")</f>
        <v/>
      </c>
      <c r="Z117">
        <f>IF(OR($A117="",PESQUISA!$C$4=""),0,IF(OR(ISNUMBER(SEARCH(PESQUISA!$C$4,$G117)),ISNUMBER(SEARCH(PESQUISA!$C$4,$K117)),ISNUMBER(SEARCH(PESQUISA!$C$4,$L117))),1,0))</f>
        <v/>
      </c>
      <c r="AA117">
        <f>IF($Z117=1,SUM($Z$3:$Z117),"")</f>
        <v/>
      </c>
      <c r="AB117">
        <f>IF(OR($A117="",PESQUISA!$C$50=""),0,IF(ISNUMBER(SEARCH(PESQUISA!$C$50,$I117)),1,0))</f>
        <v/>
      </c>
      <c r="AC117">
        <f>IF($AB117=1,SUM($AB$3:$AB117),"")</f>
        <v/>
      </c>
    </row>
    <row r="1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>
        <f>IFERROR(INDEX(CONFIGURACOES!$G$37:$G$300,MATCH($I118,CONFIGURACOES!$B$37:$B$300,0)),"")</f>
        <v/>
      </c>
      <c r="K118" s="20">
        <f>IFERROR(INDEX(CONFIGURACOES!$H$37:$H$300,MATCH($I118,CONFIGURACOES!$B$37:$B$300,0)),"")</f>
        <v/>
      </c>
      <c r="L118" s="20" t="n"/>
      <c r="M118" s="20">
        <f>IFERROR(INDEX(CONFIGURACOES!$I$37:$I$300,MATCH($I118,CONFIGURACOES!$B$37:$B$300,0)),"")</f>
        <v/>
      </c>
      <c r="N118" s="21" t="n"/>
      <c r="O118" s="21" t="n"/>
      <c r="P118" s="21" t="n"/>
      <c r="Q118" s="21" t="n"/>
      <c r="R118" s="21">
        <f>IF($N118="","",$N118*IF($Q118="",1,$Q118)*IF($P118="",1,$P118)*IF($O118="",1,$O118))</f>
        <v/>
      </c>
      <c r="S118" s="22">
        <f>IFERROR(INDEX(CONFIGURACOES!$J$37:$J$300,MATCH($I118,CONFIGURACOES!$B$37:$B$300,0)),"")</f>
        <v/>
      </c>
      <c r="T118" s="22">
        <f>IF(OR($R118="",$S118=""),"",$R118*$S118)</f>
        <v/>
      </c>
      <c r="U118" s="20" t="n"/>
      <c r="V118" s="20" t="n"/>
      <c r="W118" s="20" t="n"/>
      <c r="X118">
        <f>IF($A118="","",$A118&amp;"|"&amp;$C118&amp;"|"&amp;$I118)</f>
        <v/>
      </c>
      <c r="Y118">
        <f>IF(AND($A118=RELATORIO_MEDICAO!$C$5,$C118=RELATORIO_MEDICAO!$F$5,$A118&lt;&gt;""),COUNTIFS($A$3:$A118,RELATORIO_MEDICAO!$C$5,$C$3:$C118,RELATORIO_MEDICAO!$F$5),"")</f>
        <v/>
      </c>
      <c r="Z118">
        <f>IF(OR($A118="",PESQUISA!$C$4=""),0,IF(OR(ISNUMBER(SEARCH(PESQUISA!$C$4,$G118)),ISNUMBER(SEARCH(PESQUISA!$C$4,$K118)),ISNUMBER(SEARCH(PESQUISA!$C$4,$L118))),1,0))</f>
        <v/>
      </c>
      <c r="AA118">
        <f>IF($Z118=1,SUM($Z$3:$Z118),"")</f>
        <v/>
      </c>
      <c r="AB118">
        <f>IF(OR($A118="",PESQUISA!$C$50=""),0,IF(ISNUMBER(SEARCH(PESQUISA!$C$50,$I118)),1,0))</f>
        <v/>
      </c>
      <c r="AC118">
        <f>IF($AB118=1,SUM($AB$3:$AB118),"")</f>
        <v/>
      </c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>
        <f>IFERROR(INDEX(CONFIGURACOES!$G$37:$G$300,MATCH($I119,CONFIGURACOES!$B$37:$B$300,0)),"")</f>
        <v/>
      </c>
      <c r="K119" s="20">
        <f>IFERROR(INDEX(CONFIGURACOES!$H$37:$H$300,MATCH($I119,CONFIGURACOES!$B$37:$B$300,0)),"")</f>
        <v/>
      </c>
      <c r="L119" s="20" t="n"/>
      <c r="M119" s="20">
        <f>IFERROR(INDEX(CONFIGURACOES!$I$37:$I$300,MATCH($I119,CONFIGURACOES!$B$37:$B$300,0)),"")</f>
        <v/>
      </c>
      <c r="N119" s="21" t="n"/>
      <c r="O119" s="21" t="n"/>
      <c r="P119" s="21" t="n"/>
      <c r="Q119" s="21" t="n"/>
      <c r="R119" s="21">
        <f>IF($N119="","",$N119*IF($Q119="",1,$Q119)*IF($P119="",1,$P119)*IF($O119="",1,$O119))</f>
        <v/>
      </c>
      <c r="S119" s="22">
        <f>IFERROR(INDEX(CONFIGURACOES!$J$37:$J$300,MATCH($I119,CONFIGURACOES!$B$37:$B$300,0)),"")</f>
        <v/>
      </c>
      <c r="T119" s="22">
        <f>IF(OR($R119="",$S119=""),"",$R119*$S119)</f>
        <v/>
      </c>
      <c r="U119" s="20" t="n"/>
      <c r="V119" s="20" t="n"/>
      <c r="W119" s="20" t="n"/>
      <c r="X119">
        <f>IF($A119="","",$A119&amp;"|"&amp;$C119&amp;"|"&amp;$I119)</f>
        <v/>
      </c>
      <c r="Y119">
        <f>IF(AND($A119=RELATORIO_MEDICAO!$C$5,$C119=RELATORIO_MEDICAO!$F$5,$A119&lt;&gt;""),COUNTIFS($A$3:$A119,RELATORIO_MEDICAO!$C$5,$C$3:$C119,RELATORIO_MEDICAO!$F$5),"")</f>
        <v/>
      </c>
      <c r="Z119">
        <f>IF(OR($A119="",PESQUISA!$C$4=""),0,IF(OR(ISNUMBER(SEARCH(PESQUISA!$C$4,$G119)),ISNUMBER(SEARCH(PESQUISA!$C$4,$K119)),ISNUMBER(SEARCH(PESQUISA!$C$4,$L119))),1,0))</f>
        <v/>
      </c>
      <c r="AA119">
        <f>IF($Z119=1,SUM($Z$3:$Z119),"")</f>
        <v/>
      </c>
      <c r="AB119">
        <f>IF(OR($A119="",PESQUISA!$C$50=""),0,IF(ISNUMBER(SEARCH(PESQUISA!$C$50,$I119)),1,0))</f>
        <v/>
      </c>
      <c r="AC119">
        <f>IF($AB119=1,SUM($AB$3:$AB119),"")</f>
        <v/>
      </c>
    </row>
    <row r="120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>
        <f>IFERROR(INDEX(CONFIGURACOES!$G$37:$G$300,MATCH($I120,CONFIGURACOES!$B$37:$B$300,0)),"")</f>
        <v/>
      </c>
      <c r="K120" s="20">
        <f>IFERROR(INDEX(CONFIGURACOES!$H$37:$H$300,MATCH($I120,CONFIGURACOES!$B$37:$B$300,0)),"")</f>
        <v/>
      </c>
      <c r="L120" s="20" t="n"/>
      <c r="M120" s="20">
        <f>IFERROR(INDEX(CONFIGURACOES!$I$37:$I$300,MATCH($I120,CONFIGURACOES!$B$37:$B$300,0)),"")</f>
        <v/>
      </c>
      <c r="N120" s="21" t="n"/>
      <c r="O120" s="21" t="n"/>
      <c r="P120" s="21" t="n"/>
      <c r="Q120" s="21" t="n"/>
      <c r="R120" s="21">
        <f>IF($N120="","",$N120*IF($Q120="",1,$Q120)*IF($P120="",1,$P120)*IF($O120="",1,$O120))</f>
        <v/>
      </c>
      <c r="S120" s="22">
        <f>IFERROR(INDEX(CONFIGURACOES!$J$37:$J$300,MATCH($I120,CONFIGURACOES!$B$37:$B$300,0)),"")</f>
        <v/>
      </c>
      <c r="T120" s="22">
        <f>IF(OR($R120="",$S120=""),"",$R120*$S120)</f>
        <v/>
      </c>
      <c r="U120" s="20" t="n"/>
      <c r="V120" s="20" t="n"/>
      <c r="W120" s="20" t="n"/>
      <c r="X120">
        <f>IF($A120="","",$A120&amp;"|"&amp;$C120&amp;"|"&amp;$I120)</f>
        <v/>
      </c>
      <c r="Y120">
        <f>IF(AND($A120=RELATORIO_MEDICAO!$C$5,$C120=RELATORIO_MEDICAO!$F$5,$A120&lt;&gt;""),COUNTIFS($A$3:$A120,RELATORIO_MEDICAO!$C$5,$C$3:$C120,RELATORIO_MEDICAO!$F$5),"")</f>
        <v/>
      </c>
      <c r="Z120">
        <f>IF(OR($A120="",PESQUISA!$C$4=""),0,IF(OR(ISNUMBER(SEARCH(PESQUISA!$C$4,$G120)),ISNUMBER(SEARCH(PESQUISA!$C$4,$K120)),ISNUMBER(SEARCH(PESQUISA!$C$4,$L120))),1,0))</f>
        <v/>
      </c>
      <c r="AA120">
        <f>IF($Z120=1,SUM($Z$3:$Z120),"")</f>
        <v/>
      </c>
      <c r="AB120">
        <f>IF(OR($A120="",PESQUISA!$C$50=""),0,IF(ISNUMBER(SEARCH(PESQUISA!$C$50,$I120)),1,0))</f>
        <v/>
      </c>
      <c r="AC120">
        <f>IF($AB120=1,SUM($AB$3:$AB120),"")</f>
        <v/>
      </c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>
        <f>IFERROR(INDEX(CONFIGURACOES!$G$37:$G$300,MATCH($I121,CONFIGURACOES!$B$37:$B$300,0)),"")</f>
        <v/>
      </c>
      <c r="K121" s="20">
        <f>IFERROR(INDEX(CONFIGURACOES!$H$37:$H$300,MATCH($I121,CONFIGURACOES!$B$37:$B$300,0)),"")</f>
        <v/>
      </c>
      <c r="L121" s="20" t="n"/>
      <c r="M121" s="20">
        <f>IFERROR(INDEX(CONFIGURACOES!$I$37:$I$300,MATCH($I121,CONFIGURACOES!$B$37:$B$300,0)),"")</f>
        <v/>
      </c>
      <c r="N121" s="21" t="n"/>
      <c r="O121" s="21" t="n"/>
      <c r="P121" s="21" t="n"/>
      <c r="Q121" s="21" t="n"/>
      <c r="R121" s="21">
        <f>IF($N121="","",$N121*IF($Q121="",1,$Q121)*IF($P121="",1,$P121)*IF($O121="",1,$O121))</f>
        <v/>
      </c>
      <c r="S121" s="22">
        <f>IFERROR(INDEX(CONFIGURACOES!$J$37:$J$300,MATCH($I121,CONFIGURACOES!$B$37:$B$300,0)),"")</f>
        <v/>
      </c>
      <c r="T121" s="22">
        <f>IF(OR($R121="",$S121=""),"",$R121*$S121)</f>
        <v/>
      </c>
      <c r="U121" s="20" t="n"/>
      <c r="V121" s="20" t="n"/>
      <c r="W121" s="20" t="n"/>
      <c r="X121">
        <f>IF($A121="","",$A121&amp;"|"&amp;$C121&amp;"|"&amp;$I121)</f>
        <v/>
      </c>
      <c r="Y121">
        <f>IF(AND($A121=RELATORIO_MEDICAO!$C$5,$C121=RELATORIO_MEDICAO!$F$5,$A121&lt;&gt;""),COUNTIFS($A$3:$A121,RELATORIO_MEDICAO!$C$5,$C$3:$C121,RELATORIO_MEDICAO!$F$5),"")</f>
        <v/>
      </c>
      <c r="Z121">
        <f>IF(OR($A121="",PESQUISA!$C$4=""),0,IF(OR(ISNUMBER(SEARCH(PESQUISA!$C$4,$G121)),ISNUMBER(SEARCH(PESQUISA!$C$4,$K121)),ISNUMBER(SEARCH(PESQUISA!$C$4,$L121))),1,0))</f>
        <v/>
      </c>
      <c r="AA121">
        <f>IF($Z121=1,SUM($Z$3:$Z121),"")</f>
        <v/>
      </c>
      <c r="AB121">
        <f>IF(OR($A121="",PESQUISA!$C$50=""),0,IF(ISNUMBER(SEARCH(PESQUISA!$C$50,$I121)),1,0))</f>
        <v/>
      </c>
      <c r="AC121">
        <f>IF($AB121=1,SUM($AB$3:$AB121),"")</f>
        <v/>
      </c>
    </row>
    <row r="122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>
        <f>IFERROR(INDEX(CONFIGURACOES!$G$37:$G$300,MATCH($I122,CONFIGURACOES!$B$37:$B$300,0)),"")</f>
        <v/>
      </c>
      <c r="K122" s="20">
        <f>IFERROR(INDEX(CONFIGURACOES!$H$37:$H$300,MATCH($I122,CONFIGURACOES!$B$37:$B$300,0)),"")</f>
        <v/>
      </c>
      <c r="L122" s="20" t="n"/>
      <c r="M122" s="20">
        <f>IFERROR(INDEX(CONFIGURACOES!$I$37:$I$300,MATCH($I122,CONFIGURACOES!$B$37:$B$300,0)),"")</f>
        <v/>
      </c>
      <c r="N122" s="21" t="n"/>
      <c r="O122" s="21" t="n"/>
      <c r="P122" s="21" t="n"/>
      <c r="Q122" s="21" t="n"/>
      <c r="R122" s="21">
        <f>IF($N122="","",$N122*IF($Q122="",1,$Q122)*IF($P122="",1,$P122)*IF($O122="",1,$O122))</f>
        <v/>
      </c>
      <c r="S122" s="22">
        <f>IFERROR(INDEX(CONFIGURACOES!$J$37:$J$300,MATCH($I122,CONFIGURACOES!$B$37:$B$300,0)),"")</f>
        <v/>
      </c>
      <c r="T122" s="22">
        <f>IF(OR($R122="",$S122=""),"",$R122*$S122)</f>
        <v/>
      </c>
      <c r="U122" s="20" t="n"/>
      <c r="V122" s="20" t="n"/>
      <c r="W122" s="20" t="n"/>
      <c r="X122">
        <f>IF($A122="","",$A122&amp;"|"&amp;$C122&amp;"|"&amp;$I122)</f>
        <v/>
      </c>
      <c r="Y122">
        <f>IF(AND($A122=RELATORIO_MEDICAO!$C$5,$C122=RELATORIO_MEDICAO!$F$5,$A122&lt;&gt;""),COUNTIFS($A$3:$A122,RELATORIO_MEDICAO!$C$5,$C$3:$C122,RELATORIO_MEDICAO!$F$5),"")</f>
        <v/>
      </c>
      <c r="Z122">
        <f>IF(OR($A122="",PESQUISA!$C$4=""),0,IF(OR(ISNUMBER(SEARCH(PESQUISA!$C$4,$G122)),ISNUMBER(SEARCH(PESQUISA!$C$4,$K122)),ISNUMBER(SEARCH(PESQUISA!$C$4,$L122))),1,0))</f>
        <v/>
      </c>
      <c r="AA122">
        <f>IF($Z122=1,SUM($Z$3:$Z122),"")</f>
        <v/>
      </c>
      <c r="AB122">
        <f>IF(OR($A122="",PESQUISA!$C$50=""),0,IF(ISNUMBER(SEARCH(PESQUISA!$C$50,$I122)),1,0))</f>
        <v/>
      </c>
      <c r="AC122">
        <f>IF($AB122=1,SUM($AB$3:$AB122),"")</f>
        <v/>
      </c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>
        <f>IFERROR(INDEX(CONFIGURACOES!$G$37:$G$300,MATCH($I123,CONFIGURACOES!$B$37:$B$300,0)),"")</f>
        <v/>
      </c>
      <c r="K123" s="20">
        <f>IFERROR(INDEX(CONFIGURACOES!$H$37:$H$300,MATCH($I123,CONFIGURACOES!$B$37:$B$300,0)),"")</f>
        <v/>
      </c>
      <c r="L123" s="20" t="n"/>
      <c r="M123" s="20">
        <f>IFERROR(INDEX(CONFIGURACOES!$I$37:$I$300,MATCH($I123,CONFIGURACOES!$B$37:$B$300,0)),"")</f>
        <v/>
      </c>
      <c r="N123" s="21" t="n"/>
      <c r="O123" s="21" t="n"/>
      <c r="P123" s="21" t="n"/>
      <c r="Q123" s="21" t="n"/>
      <c r="R123" s="21">
        <f>IF($N123="","",$N123*IF($Q123="",1,$Q123)*IF($P123="",1,$P123)*IF($O123="",1,$O123))</f>
        <v/>
      </c>
      <c r="S123" s="22">
        <f>IFERROR(INDEX(CONFIGURACOES!$J$37:$J$300,MATCH($I123,CONFIGURACOES!$B$37:$B$300,0)),"")</f>
        <v/>
      </c>
      <c r="T123" s="22">
        <f>IF(OR($R123="",$S123=""),"",$R123*$S123)</f>
        <v/>
      </c>
      <c r="U123" s="20" t="n"/>
      <c r="V123" s="20" t="n"/>
      <c r="W123" s="20" t="n"/>
      <c r="X123">
        <f>IF($A123="","",$A123&amp;"|"&amp;$C123&amp;"|"&amp;$I123)</f>
        <v/>
      </c>
      <c r="Y123">
        <f>IF(AND($A123=RELATORIO_MEDICAO!$C$5,$C123=RELATORIO_MEDICAO!$F$5,$A123&lt;&gt;""),COUNTIFS($A$3:$A123,RELATORIO_MEDICAO!$C$5,$C$3:$C123,RELATORIO_MEDICAO!$F$5),"")</f>
        <v/>
      </c>
      <c r="Z123">
        <f>IF(OR($A123="",PESQUISA!$C$4=""),0,IF(OR(ISNUMBER(SEARCH(PESQUISA!$C$4,$G123)),ISNUMBER(SEARCH(PESQUISA!$C$4,$K123)),ISNUMBER(SEARCH(PESQUISA!$C$4,$L123))),1,0))</f>
        <v/>
      </c>
      <c r="AA123">
        <f>IF($Z123=1,SUM($Z$3:$Z123),"")</f>
        <v/>
      </c>
      <c r="AB123">
        <f>IF(OR($A123="",PESQUISA!$C$50=""),0,IF(ISNUMBER(SEARCH(PESQUISA!$C$50,$I123)),1,0))</f>
        <v/>
      </c>
      <c r="AC123">
        <f>IF($AB123=1,SUM($AB$3:$AB123),"")</f>
        <v/>
      </c>
    </row>
    <row r="124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>
        <f>IFERROR(INDEX(CONFIGURACOES!$G$37:$G$300,MATCH($I124,CONFIGURACOES!$B$37:$B$300,0)),"")</f>
        <v/>
      </c>
      <c r="K124" s="20">
        <f>IFERROR(INDEX(CONFIGURACOES!$H$37:$H$300,MATCH($I124,CONFIGURACOES!$B$37:$B$300,0)),"")</f>
        <v/>
      </c>
      <c r="L124" s="20" t="n"/>
      <c r="M124" s="20">
        <f>IFERROR(INDEX(CONFIGURACOES!$I$37:$I$300,MATCH($I124,CONFIGURACOES!$B$37:$B$300,0)),"")</f>
        <v/>
      </c>
      <c r="N124" s="21" t="n"/>
      <c r="O124" s="21" t="n"/>
      <c r="P124" s="21" t="n"/>
      <c r="Q124" s="21" t="n"/>
      <c r="R124" s="21">
        <f>IF($N124="","",$N124*IF($Q124="",1,$Q124)*IF($P124="",1,$P124)*IF($O124="",1,$O124))</f>
        <v/>
      </c>
      <c r="S124" s="22">
        <f>IFERROR(INDEX(CONFIGURACOES!$J$37:$J$300,MATCH($I124,CONFIGURACOES!$B$37:$B$300,0)),"")</f>
        <v/>
      </c>
      <c r="T124" s="22">
        <f>IF(OR($R124="",$S124=""),"",$R124*$S124)</f>
        <v/>
      </c>
      <c r="U124" s="20" t="n"/>
      <c r="V124" s="20" t="n"/>
      <c r="W124" s="20" t="n"/>
      <c r="X124">
        <f>IF($A124="","",$A124&amp;"|"&amp;$C124&amp;"|"&amp;$I124)</f>
        <v/>
      </c>
      <c r="Y124">
        <f>IF(AND($A124=RELATORIO_MEDICAO!$C$5,$C124=RELATORIO_MEDICAO!$F$5,$A124&lt;&gt;""),COUNTIFS($A$3:$A124,RELATORIO_MEDICAO!$C$5,$C$3:$C124,RELATORIO_MEDICAO!$F$5),"")</f>
        <v/>
      </c>
      <c r="Z124">
        <f>IF(OR($A124="",PESQUISA!$C$4=""),0,IF(OR(ISNUMBER(SEARCH(PESQUISA!$C$4,$G124)),ISNUMBER(SEARCH(PESQUISA!$C$4,$K124)),ISNUMBER(SEARCH(PESQUISA!$C$4,$L124))),1,0))</f>
        <v/>
      </c>
      <c r="AA124">
        <f>IF($Z124=1,SUM($Z$3:$Z124),"")</f>
        <v/>
      </c>
      <c r="AB124">
        <f>IF(OR($A124="",PESQUISA!$C$50=""),0,IF(ISNUMBER(SEARCH(PESQUISA!$C$50,$I124)),1,0))</f>
        <v/>
      </c>
      <c r="AC124">
        <f>IF($AB124=1,SUM($AB$3:$AB124),"")</f>
        <v/>
      </c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>
        <f>IFERROR(INDEX(CONFIGURACOES!$G$37:$G$300,MATCH($I125,CONFIGURACOES!$B$37:$B$300,0)),"")</f>
        <v/>
      </c>
      <c r="K125" s="20">
        <f>IFERROR(INDEX(CONFIGURACOES!$H$37:$H$300,MATCH($I125,CONFIGURACOES!$B$37:$B$300,0)),"")</f>
        <v/>
      </c>
      <c r="L125" s="20" t="n"/>
      <c r="M125" s="20">
        <f>IFERROR(INDEX(CONFIGURACOES!$I$37:$I$300,MATCH($I125,CONFIGURACOES!$B$37:$B$300,0)),"")</f>
        <v/>
      </c>
      <c r="N125" s="21" t="n"/>
      <c r="O125" s="21" t="n"/>
      <c r="P125" s="21" t="n"/>
      <c r="Q125" s="21" t="n"/>
      <c r="R125" s="21">
        <f>IF($N125="","",$N125*IF($Q125="",1,$Q125)*IF($P125="",1,$P125)*IF($O125="",1,$O125))</f>
        <v/>
      </c>
      <c r="S125" s="22">
        <f>IFERROR(INDEX(CONFIGURACOES!$J$37:$J$300,MATCH($I125,CONFIGURACOES!$B$37:$B$300,0)),"")</f>
        <v/>
      </c>
      <c r="T125" s="22">
        <f>IF(OR($R125="",$S125=""),"",$R125*$S125)</f>
        <v/>
      </c>
      <c r="U125" s="20" t="n"/>
      <c r="V125" s="20" t="n"/>
      <c r="W125" s="20" t="n"/>
      <c r="X125">
        <f>IF($A125="","",$A125&amp;"|"&amp;$C125&amp;"|"&amp;$I125)</f>
        <v/>
      </c>
      <c r="Y125">
        <f>IF(AND($A125=RELATORIO_MEDICAO!$C$5,$C125=RELATORIO_MEDICAO!$F$5,$A125&lt;&gt;""),COUNTIFS($A$3:$A125,RELATORIO_MEDICAO!$C$5,$C$3:$C125,RELATORIO_MEDICAO!$F$5),"")</f>
        <v/>
      </c>
      <c r="Z125">
        <f>IF(OR($A125="",PESQUISA!$C$4=""),0,IF(OR(ISNUMBER(SEARCH(PESQUISA!$C$4,$G125)),ISNUMBER(SEARCH(PESQUISA!$C$4,$K125)),ISNUMBER(SEARCH(PESQUISA!$C$4,$L125))),1,0))</f>
        <v/>
      </c>
      <c r="AA125">
        <f>IF($Z125=1,SUM($Z$3:$Z125),"")</f>
        <v/>
      </c>
      <c r="AB125">
        <f>IF(OR($A125="",PESQUISA!$C$50=""),0,IF(ISNUMBER(SEARCH(PESQUISA!$C$50,$I125)),1,0))</f>
        <v/>
      </c>
      <c r="AC125">
        <f>IF($AB125=1,SUM($AB$3:$AB125),"")</f>
        <v/>
      </c>
    </row>
    <row r="126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>
        <f>IFERROR(INDEX(CONFIGURACOES!$G$37:$G$300,MATCH($I126,CONFIGURACOES!$B$37:$B$300,0)),"")</f>
        <v/>
      </c>
      <c r="K126" s="20">
        <f>IFERROR(INDEX(CONFIGURACOES!$H$37:$H$300,MATCH($I126,CONFIGURACOES!$B$37:$B$300,0)),"")</f>
        <v/>
      </c>
      <c r="L126" s="20" t="n"/>
      <c r="M126" s="20">
        <f>IFERROR(INDEX(CONFIGURACOES!$I$37:$I$300,MATCH($I126,CONFIGURACOES!$B$37:$B$300,0)),"")</f>
        <v/>
      </c>
      <c r="N126" s="21" t="n"/>
      <c r="O126" s="21" t="n"/>
      <c r="P126" s="21" t="n"/>
      <c r="Q126" s="21" t="n"/>
      <c r="R126" s="21">
        <f>IF($N126="","",$N126*IF($Q126="",1,$Q126)*IF($P126="",1,$P126)*IF($O126="",1,$O126))</f>
        <v/>
      </c>
      <c r="S126" s="22">
        <f>IFERROR(INDEX(CONFIGURACOES!$J$37:$J$300,MATCH($I126,CONFIGURACOES!$B$37:$B$300,0)),"")</f>
        <v/>
      </c>
      <c r="T126" s="22">
        <f>IF(OR($R126="",$S126=""),"",$R126*$S126)</f>
        <v/>
      </c>
      <c r="U126" s="20" t="n"/>
      <c r="V126" s="20" t="n"/>
      <c r="W126" s="20" t="n"/>
      <c r="X126">
        <f>IF($A126="","",$A126&amp;"|"&amp;$C126&amp;"|"&amp;$I126)</f>
        <v/>
      </c>
      <c r="Y126">
        <f>IF(AND($A126=RELATORIO_MEDICAO!$C$5,$C126=RELATORIO_MEDICAO!$F$5,$A126&lt;&gt;""),COUNTIFS($A$3:$A126,RELATORIO_MEDICAO!$C$5,$C$3:$C126,RELATORIO_MEDICAO!$F$5),"")</f>
        <v/>
      </c>
      <c r="Z126">
        <f>IF(OR($A126="",PESQUISA!$C$4=""),0,IF(OR(ISNUMBER(SEARCH(PESQUISA!$C$4,$G126)),ISNUMBER(SEARCH(PESQUISA!$C$4,$K126)),ISNUMBER(SEARCH(PESQUISA!$C$4,$L126))),1,0))</f>
        <v/>
      </c>
      <c r="AA126">
        <f>IF($Z126=1,SUM($Z$3:$Z126),"")</f>
        <v/>
      </c>
      <c r="AB126">
        <f>IF(OR($A126="",PESQUISA!$C$50=""),0,IF(ISNUMBER(SEARCH(PESQUISA!$C$50,$I126)),1,0))</f>
        <v/>
      </c>
      <c r="AC126">
        <f>IF($AB126=1,SUM($AB$3:$AB126),"")</f>
        <v/>
      </c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>
        <f>IFERROR(INDEX(CONFIGURACOES!$G$37:$G$300,MATCH($I127,CONFIGURACOES!$B$37:$B$300,0)),"")</f>
        <v/>
      </c>
      <c r="K127" s="20">
        <f>IFERROR(INDEX(CONFIGURACOES!$H$37:$H$300,MATCH($I127,CONFIGURACOES!$B$37:$B$300,0)),"")</f>
        <v/>
      </c>
      <c r="L127" s="20" t="n"/>
      <c r="M127" s="20">
        <f>IFERROR(INDEX(CONFIGURACOES!$I$37:$I$300,MATCH($I127,CONFIGURACOES!$B$37:$B$300,0)),"")</f>
        <v/>
      </c>
      <c r="N127" s="21" t="n"/>
      <c r="O127" s="21" t="n"/>
      <c r="P127" s="21" t="n"/>
      <c r="Q127" s="21" t="n"/>
      <c r="R127" s="21">
        <f>IF($N127="","",$N127*IF($Q127="",1,$Q127)*IF($P127="",1,$P127)*IF($O127="",1,$O127))</f>
        <v/>
      </c>
      <c r="S127" s="22">
        <f>IFERROR(INDEX(CONFIGURACOES!$J$37:$J$300,MATCH($I127,CONFIGURACOES!$B$37:$B$300,0)),"")</f>
        <v/>
      </c>
      <c r="T127" s="22">
        <f>IF(OR($R127="",$S127=""),"",$R127*$S127)</f>
        <v/>
      </c>
      <c r="U127" s="20" t="n"/>
      <c r="V127" s="20" t="n"/>
      <c r="W127" s="20" t="n"/>
      <c r="X127">
        <f>IF($A127="","",$A127&amp;"|"&amp;$C127&amp;"|"&amp;$I127)</f>
        <v/>
      </c>
      <c r="Y127">
        <f>IF(AND($A127=RELATORIO_MEDICAO!$C$5,$C127=RELATORIO_MEDICAO!$F$5,$A127&lt;&gt;""),COUNTIFS($A$3:$A127,RELATORIO_MEDICAO!$C$5,$C$3:$C127,RELATORIO_MEDICAO!$F$5),"")</f>
        <v/>
      </c>
      <c r="Z127">
        <f>IF(OR($A127="",PESQUISA!$C$4=""),0,IF(OR(ISNUMBER(SEARCH(PESQUISA!$C$4,$G127)),ISNUMBER(SEARCH(PESQUISA!$C$4,$K127)),ISNUMBER(SEARCH(PESQUISA!$C$4,$L127))),1,0))</f>
        <v/>
      </c>
      <c r="AA127">
        <f>IF($Z127=1,SUM($Z$3:$Z127),"")</f>
        <v/>
      </c>
      <c r="AB127">
        <f>IF(OR($A127="",PESQUISA!$C$50=""),0,IF(ISNUMBER(SEARCH(PESQUISA!$C$50,$I127)),1,0))</f>
        <v/>
      </c>
      <c r="AC127">
        <f>IF($AB127=1,SUM($AB$3:$AB127),"")</f>
        <v/>
      </c>
    </row>
    <row r="12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>
        <f>IFERROR(INDEX(CONFIGURACOES!$G$37:$G$300,MATCH($I128,CONFIGURACOES!$B$37:$B$300,0)),"")</f>
        <v/>
      </c>
      <c r="K128" s="20">
        <f>IFERROR(INDEX(CONFIGURACOES!$H$37:$H$300,MATCH($I128,CONFIGURACOES!$B$37:$B$300,0)),"")</f>
        <v/>
      </c>
      <c r="L128" s="20" t="n"/>
      <c r="M128" s="20">
        <f>IFERROR(INDEX(CONFIGURACOES!$I$37:$I$300,MATCH($I128,CONFIGURACOES!$B$37:$B$300,0)),"")</f>
        <v/>
      </c>
      <c r="N128" s="21" t="n"/>
      <c r="O128" s="21" t="n"/>
      <c r="P128" s="21" t="n"/>
      <c r="Q128" s="21" t="n"/>
      <c r="R128" s="21">
        <f>IF($N128="","",$N128*IF($Q128="",1,$Q128)*IF($P128="",1,$P128)*IF($O128="",1,$O128))</f>
        <v/>
      </c>
      <c r="S128" s="22">
        <f>IFERROR(INDEX(CONFIGURACOES!$J$37:$J$300,MATCH($I128,CONFIGURACOES!$B$37:$B$300,0)),"")</f>
        <v/>
      </c>
      <c r="T128" s="22">
        <f>IF(OR($R128="",$S128=""),"",$R128*$S128)</f>
        <v/>
      </c>
      <c r="U128" s="20" t="n"/>
      <c r="V128" s="20" t="n"/>
      <c r="W128" s="20" t="n"/>
      <c r="X128">
        <f>IF($A128="","",$A128&amp;"|"&amp;$C128&amp;"|"&amp;$I128)</f>
        <v/>
      </c>
      <c r="Y128">
        <f>IF(AND($A128=RELATORIO_MEDICAO!$C$5,$C128=RELATORIO_MEDICAO!$F$5,$A128&lt;&gt;""),COUNTIFS($A$3:$A128,RELATORIO_MEDICAO!$C$5,$C$3:$C128,RELATORIO_MEDICAO!$F$5),"")</f>
        <v/>
      </c>
      <c r="Z128">
        <f>IF(OR($A128="",PESQUISA!$C$4=""),0,IF(OR(ISNUMBER(SEARCH(PESQUISA!$C$4,$G128)),ISNUMBER(SEARCH(PESQUISA!$C$4,$K128)),ISNUMBER(SEARCH(PESQUISA!$C$4,$L128))),1,0))</f>
        <v/>
      </c>
      <c r="AA128">
        <f>IF($Z128=1,SUM($Z$3:$Z128),"")</f>
        <v/>
      </c>
      <c r="AB128">
        <f>IF(OR($A128="",PESQUISA!$C$50=""),0,IF(ISNUMBER(SEARCH(PESQUISA!$C$50,$I128)),1,0))</f>
        <v/>
      </c>
      <c r="AC128">
        <f>IF($AB128=1,SUM($AB$3:$AB128),"")</f>
        <v/>
      </c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>
        <f>IFERROR(INDEX(CONFIGURACOES!$G$37:$G$300,MATCH($I129,CONFIGURACOES!$B$37:$B$300,0)),"")</f>
        <v/>
      </c>
      <c r="K129" s="20">
        <f>IFERROR(INDEX(CONFIGURACOES!$H$37:$H$300,MATCH($I129,CONFIGURACOES!$B$37:$B$300,0)),"")</f>
        <v/>
      </c>
      <c r="L129" s="20" t="n"/>
      <c r="M129" s="20">
        <f>IFERROR(INDEX(CONFIGURACOES!$I$37:$I$300,MATCH($I129,CONFIGURACOES!$B$37:$B$300,0)),"")</f>
        <v/>
      </c>
      <c r="N129" s="21" t="n"/>
      <c r="O129" s="21" t="n"/>
      <c r="P129" s="21" t="n"/>
      <c r="Q129" s="21" t="n"/>
      <c r="R129" s="21">
        <f>IF($N129="","",$N129*IF($Q129="",1,$Q129)*IF($P129="",1,$P129)*IF($O129="",1,$O129))</f>
        <v/>
      </c>
      <c r="S129" s="22">
        <f>IFERROR(INDEX(CONFIGURACOES!$J$37:$J$300,MATCH($I129,CONFIGURACOES!$B$37:$B$300,0)),"")</f>
        <v/>
      </c>
      <c r="T129" s="22">
        <f>IF(OR($R129="",$S129=""),"",$R129*$S129)</f>
        <v/>
      </c>
      <c r="U129" s="20" t="n"/>
      <c r="V129" s="20" t="n"/>
      <c r="W129" s="20" t="n"/>
      <c r="X129">
        <f>IF($A129="","",$A129&amp;"|"&amp;$C129&amp;"|"&amp;$I129)</f>
        <v/>
      </c>
      <c r="Y129">
        <f>IF(AND($A129=RELATORIO_MEDICAO!$C$5,$C129=RELATORIO_MEDICAO!$F$5,$A129&lt;&gt;""),COUNTIFS($A$3:$A129,RELATORIO_MEDICAO!$C$5,$C$3:$C129,RELATORIO_MEDICAO!$F$5),"")</f>
        <v/>
      </c>
      <c r="Z129">
        <f>IF(OR($A129="",PESQUISA!$C$4=""),0,IF(OR(ISNUMBER(SEARCH(PESQUISA!$C$4,$G129)),ISNUMBER(SEARCH(PESQUISA!$C$4,$K129)),ISNUMBER(SEARCH(PESQUISA!$C$4,$L129))),1,0))</f>
        <v/>
      </c>
      <c r="AA129">
        <f>IF($Z129=1,SUM($Z$3:$Z129),"")</f>
        <v/>
      </c>
      <c r="AB129">
        <f>IF(OR($A129="",PESQUISA!$C$50=""),0,IF(ISNUMBER(SEARCH(PESQUISA!$C$50,$I129)),1,0))</f>
        <v/>
      </c>
      <c r="AC129">
        <f>IF($AB129=1,SUM($AB$3:$AB129),"")</f>
        <v/>
      </c>
    </row>
    <row r="130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>
        <f>IFERROR(INDEX(CONFIGURACOES!$G$37:$G$300,MATCH($I130,CONFIGURACOES!$B$37:$B$300,0)),"")</f>
        <v/>
      </c>
      <c r="K130" s="20">
        <f>IFERROR(INDEX(CONFIGURACOES!$H$37:$H$300,MATCH($I130,CONFIGURACOES!$B$37:$B$300,0)),"")</f>
        <v/>
      </c>
      <c r="L130" s="20" t="n"/>
      <c r="M130" s="20">
        <f>IFERROR(INDEX(CONFIGURACOES!$I$37:$I$300,MATCH($I130,CONFIGURACOES!$B$37:$B$300,0)),"")</f>
        <v/>
      </c>
      <c r="N130" s="21" t="n"/>
      <c r="O130" s="21" t="n"/>
      <c r="P130" s="21" t="n"/>
      <c r="Q130" s="21" t="n"/>
      <c r="R130" s="21">
        <f>IF($N130="","",$N130*IF($Q130="",1,$Q130)*IF($P130="",1,$P130)*IF($O130="",1,$O130))</f>
        <v/>
      </c>
      <c r="S130" s="22">
        <f>IFERROR(INDEX(CONFIGURACOES!$J$37:$J$300,MATCH($I130,CONFIGURACOES!$B$37:$B$300,0)),"")</f>
        <v/>
      </c>
      <c r="T130" s="22">
        <f>IF(OR($R130="",$S130=""),"",$R130*$S130)</f>
        <v/>
      </c>
      <c r="U130" s="20" t="n"/>
      <c r="V130" s="20" t="n"/>
      <c r="W130" s="20" t="n"/>
      <c r="X130">
        <f>IF($A130="","",$A130&amp;"|"&amp;$C130&amp;"|"&amp;$I130)</f>
        <v/>
      </c>
      <c r="Y130">
        <f>IF(AND($A130=RELATORIO_MEDICAO!$C$5,$C130=RELATORIO_MEDICAO!$F$5,$A130&lt;&gt;""),COUNTIFS($A$3:$A130,RELATORIO_MEDICAO!$C$5,$C$3:$C130,RELATORIO_MEDICAO!$F$5),"")</f>
        <v/>
      </c>
      <c r="Z130">
        <f>IF(OR($A130="",PESQUISA!$C$4=""),0,IF(OR(ISNUMBER(SEARCH(PESQUISA!$C$4,$G130)),ISNUMBER(SEARCH(PESQUISA!$C$4,$K130)),ISNUMBER(SEARCH(PESQUISA!$C$4,$L130))),1,0))</f>
        <v/>
      </c>
      <c r="AA130">
        <f>IF($Z130=1,SUM($Z$3:$Z130),"")</f>
        <v/>
      </c>
      <c r="AB130">
        <f>IF(OR($A130="",PESQUISA!$C$50=""),0,IF(ISNUMBER(SEARCH(PESQUISA!$C$50,$I130)),1,0))</f>
        <v/>
      </c>
      <c r="AC130">
        <f>IF($AB130=1,SUM($AB$3:$AB130),"")</f>
        <v/>
      </c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>
        <f>IFERROR(INDEX(CONFIGURACOES!$G$37:$G$300,MATCH($I131,CONFIGURACOES!$B$37:$B$300,0)),"")</f>
        <v/>
      </c>
      <c r="K131" s="20">
        <f>IFERROR(INDEX(CONFIGURACOES!$H$37:$H$300,MATCH($I131,CONFIGURACOES!$B$37:$B$300,0)),"")</f>
        <v/>
      </c>
      <c r="L131" s="20" t="n"/>
      <c r="M131" s="20">
        <f>IFERROR(INDEX(CONFIGURACOES!$I$37:$I$300,MATCH($I131,CONFIGURACOES!$B$37:$B$300,0)),"")</f>
        <v/>
      </c>
      <c r="N131" s="21" t="n"/>
      <c r="O131" s="21" t="n"/>
      <c r="P131" s="21" t="n"/>
      <c r="Q131" s="21" t="n"/>
      <c r="R131" s="21">
        <f>IF($N131="","",$N131*IF($Q131="",1,$Q131)*IF($P131="",1,$P131)*IF($O131="",1,$O131))</f>
        <v/>
      </c>
      <c r="S131" s="22">
        <f>IFERROR(INDEX(CONFIGURACOES!$J$37:$J$300,MATCH($I131,CONFIGURACOES!$B$37:$B$300,0)),"")</f>
        <v/>
      </c>
      <c r="T131" s="22">
        <f>IF(OR($R131="",$S131=""),"",$R131*$S131)</f>
        <v/>
      </c>
      <c r="U131" s="20" t="n"/>
      <c r="V131" s="20" t="n"/>
      <c r="W131" s="20" t="n"/>
      <c r="X131">
        <f>IF($A131="","",$A131&amp;"|"&amp;$C131&amp;"|"&amp;$I131)</f>
        <v/>
      </c>
      <c r="Y131">
        <f>IF(AND($A131=RELATORIO_MEDICAO!$C$5,$C131=RELATORIO_MEDICAO!$F$5,$A131&lt;&gt;""),COUNTIFS($A$3:$A131,RELATORIO_MEDICAO!$C$5,$C$3:$C131,RELATORIO_MEDICAO!$F$5),"")</f>
        <v/>
      </c>
      <c r="Z131">
        <f>IF(OR($A131="",PESQUISA!$C$4=""),0,IF(OR(ISNUMBER(SEARCH(PESQUISA!$C$4,$G131)),ISNUMBER(SEARCH(PESQUISA!$C$4,$K131)),ISNUMBER(SEARCH(PESQUISA!$C$4,$L131))),1,0))</f>
        <v/>
      </c>
      <c r="AA131">
        <f>IF($Z131=1,SUM($Z$3:$Z131),"")</f>
        <v/>
      </c>
      <c r="AB131">
        <f>IF(OR($A131="",PESQUISA!$C$50=""),0,IF(ISNUMBER(SEARCH(PESQUISA!$C$50,$I131)),1,0))</f>
        <v/>
      </c>
      <c r="AC131">
        <f>IF($AB131=1,SUM($AB$3:$AB131),"")</f>
        <v/>
      </c>
    </row>
    <row r="132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>
        <f>IFERROR(INDEX(CONFIGURACOES!$G$37:$G$300,MATCH($I132,CONFIGURACOES!$B$37:$B$300,0)),"")</f>
        <v/>
      </c>
      <c r="K132" s="20">
        <f>IFERROR(INDEX(CONFIGURACOES!$H$37:$H$300,MATCH($I132,CONFIGURACOES!$B$37:$B$300,0)),"")</f>
        <v/>
      </c>
      <c r="L132" s="20" t="n"/>
      <c r="M132" s="20">
        <f>IFERROR(INDEX(CONFIGURACOES!$I$37:$I$300,MATCH($I132,CONFIGURACOES!$B$37:$B$300,0)),"")</f>
        <v/>
      </c>
      <c r="N132" s="21" t="n"/>
      <c r="O132" s="21" t="n"/>
      <c r="P132" s="21" t="n"/>
      <c r="Q132" s="21" t="n"/>
      <c r="R132" s="21">
        <f>IF($N132="","",$N132*IF($Q132="",1,$Q132)*IF($P132="",1,$P132)*IF($O132="",1,$O132))</f>
        <v/>
      </c>
      <c r="S132" s="22">
        <f>IFERROR(INDEX(CONFIGURACOES!$J$37:$J$300,MATCH($I132,CONFIGURACOES!$B$37:$B$300,0)),"")</f>
        <v/>
      </c>
      <c r="T132" s="22">
        <f>IF(OR($R132="",$S132=""),"",$R132*$S132)</f>
        <v/>
      </c>
      <c r="U132" s="20" t="n"/>
      <c r="V132" s="20" t="n"/>
      <c r="W132" s="20" t="n"/>
      <c r="X132">
        <f>IF($A132="","",$A132&amp;"|"&amp;$C132&amp;"|"&amp;$I132)</f>
        <v/>
      </c>
      <c r="Y132">
        <f>IF(AND($A132=RELATORIO_MEDICAO!$C$5,$C132=RELATORIO_MEDICAO!$F$5,$A132&lt;&gt;""),COUNTIFS($A$3:$A132,RELATORIO_MEDICAO!$C$5,$C$3:$C132,RELATORIO_MEDICAO!$F$5),"")</f>
        <v/>
      </c>
      <c r="Z132">
        <f>IF(OR($A132="",PESQUISA!$C$4=""),0,IF(OR(ISNUMBER(SEARCH(PESQUISA!$C$4,$G132)),ISNUMBER(SEARCH(PESQUISA!$C$4,$K132)),ISNUMBER(SEARCH(PESQUISA!$C$4,$L132))),1,0))</f>
        <v/>
      </c>
      <c r="AA132">
        <f>IF($Z132=1,SUM($Z$3:$Z132),"")</f>
        <v/>
      </c>
      <c r="AB132">
        <f>IF(OR($A132="",PESQUISA!$C$50=""),0,IF(ISNUMBER(SEARCH(PESQUISA!$C$50,$I132)),1,0))</f>
        <v/>
      </c>
      <c r="AC132">
        <f>IF($AB132=1,SUM($AB$3:$AB132),"")</f>
        <v/>
      </c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>
        <f>IFERROR(INDEX(CONFIGURACOES!$G$37:$G$300,MATCH($I133,CONFIGURACOES!$B$37:$B$300,0)),"")</f>
        <v/>
      </c>
      <c r="K133" s="20">
        <f>IFERROR(INDEX(CONFIGURACOES!$H$37:$H$300,MATCH($I133,CONFIGURACOES!$B$37:$B$300,0)),"")</f>
        <v/>
      </c>
      <c r="L133" s="20" t="n"/>
      <c r="M133" s="20">
        <f>IFERROR(INDEX(CONFIGURACOES!$I$37:$I$300,MATCH($I133,CONFIGURACOES!$B$37:$B$300,0)),"")</f>
        <v/>
      </c>
      <c r="N133" s="21" t="n"/>
      <c r="O133" s="21" t="n"/>
      <c r="P133" s="21" t="n"/>
      <c r="Q133" s="21" t="n"/>
      <c r="R133" s="21">
        <f>IF($N133="","",$N133*IF($Q133="",1,$Q133)*IF($P133="",1,$P133)*IF($O133="",1,$O133))</f>
        <v/>
      </c>
      <c r="S133" s="22">
        <f>IFERROR(INDEX(CONFIGURACOES!$J$37:$J$300,MATCH($I133,CONFIGURACOES!$B$37:$B$300,0)),"")</f>
        <v/>
      </c>
      <c r="T133" s="22">
        <f>IF(OR($R133="",$S133=""),"",$R133*$S133)</f>
        <v/>
      </c>
      <c r="U133" s="20" t="n"/>
      <c r="V133" s="20" t="n"/>
      <c r="W133" s="20" t="n"/>
      <c r="X133">
        <f>IF($A133="","",$A133&amp;"|"&amp;$C133&amp;"|"&amp;$I133)</f>
        <v/>
      </c>
      <c r="Y133">
        <f>IF(AND($A133=RELATORIO_MEDICAO!$C$5,$C133=RELATORIO_MEDICAO!$F$5,$A133&lt;&gt;""),COUNTIFS($A$3:$A133,RELATORIO_MEDICAO!$C$5,$C$3:$C133,RELATORIO_MEDICAO!$F$5),"")</f>
        <v/>
      </c>
      <c r="Z133">
        <f>IF(OR($A133="",PESQUISA!$C$4=""),0,IF(OR(ISNUMBER(SEARCH(PESQUISA!$C$4,$G133)),ISNUMBER(SEARCH(PESQUISA!$C$4,$K133)),ISNUMBER(SEARCH(PESQUISA!$C$4,$L133))),1,0))</f>
        <v/>
      </c>
      <c r="AA133">
        <f>IF($Z133=1,SUM($Z$3:$Z133),"")</f>
        <v/>
      </c>
      <c r="AB133">
        <f>IF(OR($A133="",PESQUISA!$C$50=""),0,IF(ISNUMBER(SEARCH(PESQUISA!$C$50,$I133)),1,0))</f>
        <v/>
      </c>
      <c r="AC133">
        <f>IF($AB133=1,SUM($AB$3:$AB133),"")</f>
        <v/>
      </c>
    </row>
    <row r="134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>
        <f>IFERROR(INDEX(CONFIGURACOES!$G$37:$G$300,MATCH($I134,CONFIGURACOES!$B$37:$B$300,0)),"")</f>
        <v/>
      </c>
      <c r="K134" s="20">
        <f>IFERROR(INDEX(CONFIGURACOES!$H$37:$H$300,MATCH($I134,CONFIGURACOES!$B$37:$B$300,0)),"")</f>
        <v/>
      </c>
      <c r="L134" s="20" t="n"/>
      <c r="M134" s="20">
        <f>IFERROR(INDEX(CONFIGURACOES!$I$37:$I$300,MATCH($I134,CONFIGURACOES!$B$37:$B$300,0)),"")</f>
        <v/>
      </c>
      <c r="N134" s="21" t="n"/>
      <c r="O134" s="21" t="n"/>
      <c r="P134" s="21" t="n"/>
      <c r="Q134" s="21" t="n"/>
      <c r="R134" s="21">
        <f>IF($N134="","",$N134*IF($Q134="",1,$Q134)*IF($P134="",1,$P134)*IF($O134="",1,$O134))</f>
        <v/>
      </c>
      <c r="S134" s="22">
        <f>IFERROR(INDEX(CONFIGURACOES!$J$37:$J$300,MATCH($I134,CONFIGURACOES!$B$37:$B$300,0)),"")</f>
        <v/>
      </c>
      <c r="T134" s="22">
        <f>IF(OR($R134="",$S134=""),"",$R134*$S134)</f>
        <v/>
      </c>
      <c r="U134" s="20" t="n"/>
      <c r="V134" s="20" t="n"/>
      <c r="W134" s="20" t="n"/>
      <c r="X134">
        <f>IF($A134="","",$A134&amp;"|"&amp;$C134&amp;"|"&amp;$I134)</f>
        <v/>
      </c>
      <c r="Y134">
        <f>IF(AND($A134=RELATORIO_MEDICAO!$C$5,$C134=RELATORIO_MEDICAO!$F$5,$A134&lt;&gt;""),COUNTIFS($A$3:$A134,RELATORIO_MEDICAO!$C$5,$C$3:$C134,RELATORIO_MEDICAO!$F$5),"")</f>
        <v/>
      </c>
      <c r="Z134">
        <f>IF(OR($A134="",PESQUISA!$C$4=""),0,IF(OR(ISNUMBER(SEARCH(PESQUISA!$C$4,$G134)),ISNUMBER(SEARCH(PESQUISA!$C$4,$K134)),ISNUMBER(SEARCH(PESQUISA!$C$4,$L134))),1,0))</f>
        <v/>
      </c>
      <c r="AA134">
        <f>IF($Z134=1,SUM($Z$3:$Z134),"")</f>
        <v/>
      </c>
      <c r="AB134">
        <f>IF(OR($A134="",PESQUISA!$C$50=""),0,IF(ISNUMBER(SEARCH(PESQUISA!$C$50,$I134)),1,0))</f>
        <v/>
      </c>
      <c r="AC134">
        <f>IF($AB134=1,SUM($AB$3:$AB134),"")</f>
        <v/>
      </c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>
        <f>IFERROR(INDEX(CONFIGURACOES!$G$37:$G$300,MATCH($I135,CONFIGURACOES!$B$37:$B$300,0)),"")</f>
        <v/>
      </c>
      <c r="K135" s="20">
        <f>IFERROR(INDEX(CONFIGURACOES!$H$37:$H$300,MATCH($I135,CONFIGURACOES!$B$37:$B$300,0)),"")</f>
        <v/>
      </c>
      <c r="L135" s="20" t="n"/>
      <c r="M135" s="20">
        <f>IFERROR(INDEX(CONFIGURACOES!$I$37:$I$300,MATCH($I135,CONFIGURACOES!$B$37:$B$300,0)),"")</f>
        <v/>
      </c>
      <c r="N135" s="21" t="n"/>
      <c r="O135" s="21" t="n"/>
      <c r="P135" s="21" t="n"/>
      <c r="Q135" s="21" t="n"/>
      <c r="R135" s="21">
        <f>IF($N135="","",$N135*IF($Q135="",1,$Q135)*IF($P135="",1,$P135)*IF($O135="",1,$O135))</f>
        <v/>
      </c>
      <c r="S135" s="22">
        <f>IFERROR(INDEX(CONFIGURACOES!$J$37:$J$300,MATCH($I135,CONFIGURACOES!$B$37:$B$300,0)),"")</f>
        <v/>
      </c>
      <c r="T135" s="22">
        <f>IF(OR($R135="",$S135=""),"",$R135*$S135)</f>
        <v/>
      </c>
      <c r="U135" s="20" t="n"/>
      <c r="V135" s="20" t="n"/>
      <c r="W135" s="20" t="n"/>
      <c r="X135">
        <f>IF($A135="","",$A135&amp;"|"&amp;$C135&amp;"|"&amp;$I135)</f>
        <v/>
      </c>
      <c r="Y135">
        <f>IF(AND($A135=RELATORIO_MEDICAO!$C$5,$C135=RELATORIO_MEDICAO!$F$5,$A135&lt;&gt;""),COUNTIFS($A$3:$A135,RELATORIO_MEDICAO!$C$5,$C$3:$C135,RELATORIO_MEDICAO!$F$5),"")</f>
        <v/>
      </c>
      <c r="Z135">
        <f>IF(OR($A135="",PESQUISA!$C$4=""),0,IF(OR(ISNUMBER(SEARCH(PESQUISA!$C$4,$G135)),ISNUMBER(SEARCH(PESQUISA!$C$4,$K135)),ISNUMBER(SEARCH(PESQUISA!$C$4,$L135))),1,0))</f>
        <v/>
      </c>
      <c r="AA135">
        <f>IF($Z135=1,SUM($Z$3:$Z135),"")</f>
        <v/>
      </c>
      <c r="AB135">
        <f>IF(OR($A135="",PESQUISA!$C$50=""),0,IF(ISNUMBER(SEARCH(PESQUISA!$C$50,$I135)),1,0))</f>
        <v/>
      </c>
      <c r="AC135">
        <f>IF($AB135=1,SUM($AB$3:$AB135),"")</f>
        <v/>
      </c>
    </row>
    <row r="136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>
        <f>IFERROR(INDEX(CONFIGURACOES!$G$37:$G$300,MATCH($I136,CONFIGURACOES!$B$37:$B$300,0)),"")</f>
        <v/>
      </c>
      <c r="K136" s="20">
        <f>IFERROR(INDEX(CONFIGURACOES!$H$37:$H$300,MATCH($I136,CONFIGURACOES!$B$37:$B$300,0)),"")</f>
        <v/>
      </c>
      <c r="L136" s="20" t="n"/>
      <c r="M136" s="20">
        <f>IFERROR(INDEX(CONFIGURACOES!$I$37:$I$300,MATCH($I136,CONFIGURACOES!$B$37:$B$300,0)),"")</f>
        <v/>
      </c>
      <c r="N136" s="21" t="n"/>
      <c r="O136" s="21" t="n"/>
      <c r="P136" s="21" t="n"/>
      <c r="Q136" s="21" t="n"/>
      <c r="R136" s="21">
        <f>IF($N136="","",$N136*IF($Q136="",1,$Q136)*IF($P136="",1,$P136)*IF($O136="",1,$O136))</f>
        <v/>
      </c>
      <c r="S136" s="22">
        <f>IFERROR(INDEX(CONFIGURACOES!$J$37:$J$300,MATCH($I136,CONFIGURACOES!$B$37:$B$300,0)),"")</f>
        <v/>
      </c>
      <c r="T136" s="22">
        <f>IF(OR($R136="",$S136=""),"",$R136*$S136)</f>
        <v/>
      </c>
      <c r="U136" s="20" t="n"/>
      <c r="V136" s="20" t="n"/>
      <c r="W136" s="20" t="n"/>
      <c r="X136">
        <f>IF($A136="","",$A136&amp;"|"&amp;$C136&amp;"|"&amp;$I136)</f>
        <v/>
      </c>
      <c r="Y136">
        <f>IF(AND($A136=RELATORIO_MEDICAO!$C$5,$C136=RELATORIO_MEDICAO!$F$5,$A136&lt;&gt;""),COUNTIFS($A$3:$A136,RELATORIO_MEDICAO!$C$5,$C$3:$C136,RELATORIO_MEDICAO!$F$5),"")</f>
        <v/>
      </c>
      <c r="Z136">
        <f>IF(OR($A136="",PESQUISA!$C$4=""),0,IF(OR(ISNUMBER(SEARCH(PESQUISA!$C$4,$G136)),ISNUMBER(SEARCH(PESQUISA!$C$4,$K136)),ISNUMBER(SEARCH(PESQUISA!$C$4,$L136))),1,0))</f>
        <v/>
      </c>
      <c r="AA136">
        <f>IF($Z136=1,SUM($Z$3:$Z136),"")</f>
        <v/>
      </c>
      <c r="AB136">
        <f>IF(OR($A136="",PESQUISA!$C$50=""),0,IF(ISNUMBER(SEARCH(PESQUISA!$C$50,$I136)),1,0))</f>
        <v/>
      </c>
      <c r="AC136">
        <f>IF($AB136=1,SUM($AB$3:$AB136),"")</f>
        <v/>
      </c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>
        <f>IFERROR(INDEX(CONFIGURACOES!$G$37:$G$300,MATCH($I137,CONFIGURACOES!$B$37:$B$300,0)),"")</f>
        <v/>
      </c>
      <c r="K137" s="20">
        <f>IFERROR(INDEX(CONFIGURACOES!$H$37:$H$300,MATCH($I137,CONFIGURACOES!$B$37:$B$300,0)),"")</f>
        <v/>
      </c>
      <c r="L137" s="20" t="n"/>
      <c r="M137" s="20">
        <f>IFERROR(INDEX(CONFIGURACOES!$I$37:$I$300,MATCH($I137,CONFIGURACOES!$B$37:$B$300,0)),"")</f>
        <v/>
      </c>
      <c r="N137" s="21" t="n"/>
      <c r="O137" s="21" t="n"/>
      <c r="P137" s="21" t="n"/>
      <c r="Q137" s="21" t="n"/>
      <c r="R137" s="21">
        <f>IF($N137="","",$N137*IF($Q137="",1,$Q137)*IF($P137="",1,$P137)*IF($O137="",1,$O137))</f>
        <v/>
      </c>
      <c r="S137" s="22">
        <f>IFERROR(INDEX(CONFIGURACOES!$J$37:$J$300,MATCH($I137,CONFIGURACOES!$B$37:$B$300,0)),"")</f>
        <v/>
      </c>
      <c r="T137" s="22">
        <f>IF(OR($R137="",$S137=""),"",$R137*$S137)</f>
        <v/>
      </c>
      <c r="U137" s="20" t="n"/>
      <c r="V137" s="20" t="n"/>
      <c r="W137" s="20" t="n"/>
      <c r="X137">
        <f>IF($A137="","",$A137&amp;"|"&amp;$C137&amp;"|"&amp;$I137)</f>
        <v/>
      </c>
      <c r="Y137">
        <f>IF(AND($A137=RELATORIO_MEDICAO!$C$5,$C137=RELATORIO_MEDICAO!$F$5,$A137&lt;&gt;""),COUNTIFS($A$3:$A137,RELATORIO_MEDICAO!$C$5,$C$3:$C137,RELATORIO_MEDICAO!$F$5),"")</f>
        <v/>
      </c>
      <c r="Z137">
        <f>IF(OR($A137="",PESQUISA!$C$4=""),0,IF(OR(ISNUMBER(SEARCH(PESQUISA!$C$4,$G137)),ISNUMBER(SEARCH(PESQUISA!$C$4,$K137)),ISNUMBER(SEARCH(PESQUISA!$C$4,$L137))),1,0))</f>
        <v/>
      </c>
      <c r="AA137">
        <f>IF($Z137=1,SUM($Z$3:$Z137),"")</f>
        <v/>
      </c>
      <c r="AB137">
        <f>IF(OR($A137="",PESQUISA!$C$50=""),0,IF(ISNUMBER(SEARCH(PESQUISA!$C$50,$I137)),1,0))</f>
        <v/>
      </c>
      <c r="AC137">
        <f>IF($AB137=1,SUM($AB$3:$AB137),"")</f>
        <v/>
      </c>
    </row>
    <row r="13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>
        <f>IFERROR(INDEX(CONFIGURACOES!$G$37:$G$300,MATCH($I138,CONFIGURACOES!$B$37:$B$300,0)),"")</f>
        <v/>
      </c>
      <c r="K138" s="20">
        <f>IFERROR(INDEX(CONFIGURACOES!$H$37:$H$300,MATCH($I138,CONFIGURACOES!$B$37:$B$300,0)),"")</f>
        <v/>
      </c>
      <c r="L138" s="20" t="n"/>
      <c r="M138" s="20">
        <f>IFERROR(INDEX(CONFIGURACOES!$I$37:$I$300,MATCH($I138,CONFIGURACOES!$B$37:$B$300,0)),"")</f>
        <v/>
      </c>
      <c r="N138" s="21" t="n"/>
      <c r="O138" s="21" t="n"/>
      <c r="P138" s="21" t="n"/>
      <c r="Q138" s="21" t="n"/>
      <c r="R138" s="21">
        <f>IF($N138="","",$N138*IF($Q138="",1,$Q138)*IF($P138="",1,$P138)*IF($O138="",1,$O138))</f>
        <v/>
      </c>
      <c r="S138" s="22">
        <f>IFERROR(INDEX(CONFIGURACOES!$J$37:$J$300,MATCH($I138,CONFIGURACOES!$B$37:$B$300,0)),"")</f>
        <v/>
      </c>
      <c r="T138" s="22">
        <f>IF(OR($R138="",$S138=""),"",$R138*$S138)</f>
        <v/>
      </c>
      <c r="U138" s="20" t="n"/>
      <c r="V138" s="20" t="n"/>
      <c r="W138" s="20" t="n"/>
      <c r="X138">
        <f>IF($A138="","",$A138&amp;"|"&amp;$C138&amp;"|"&amp;$I138)</f>
        <v/>
      </c>
      <c r="Y138">
        <f>IF(AND($A138=RELATORIO_MEDICAO!$C$5,$C138=RELATORIO_MEDICAO!$F$5,$A138&lt;&gt;""),COUNTIFS($A$3:$A138,RELATORIO_MEDICAO!$C$5,$C$3:$C138,RELATORIO_MEDICAO!$F$5),"")</f>
        <v/>
      </c>
      <c r="Z138">
        <f>IF(OR($A138="",PESQUISA!$C$4=""),0,IF(OR(ISNUMBER(SEARCH(PESQUISA!$C$4,$G138)),ISNUMBER(SEARCH(PESQUISA!$C$4,$K138)),ISNUMBER(SEARCH(PESQUISA!$C$4,$L138))),1,0))</f>
        <v/>
      </c>
      <c r="AA138">
        <f>IF($Z138=1,SUM($Z$3:$Z138),"")</f>
        <v/>
      </c>
      <c r="AB138">
        <f>IF(OR($A138="",PESQUISA!$C$50=""),0,IF(ISNUMBER(SEARCH(PESQUISA!$C$50,$I138)),1,0))</f>
        <v/>
      </c>
      <c r="AC138">
        <f>IF($AB138=1,SUM($AB$3:$AB138),"")</f>
        <v/>
      </c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>
        <f>IFERROR(INDEX(CONFIGURACOES!$G$37:$G$300,MATCH($I139,CONFIGURACOES!$B$37:$B$300,0)),"")</f>
        <v/>
      </c>
      <c r="K139" s="20">
        <f>IFERROR(INDEX(CONFIGURACOES!$H$37:$H$300,MATCH($I139,CONFIGURACOES!$B$37:$B$300,0)),"")</f>
        <v/>
      </c>
      <c r="L139" s="20" t="n"/>
      <c r="M139" s="20">
        <f>IFERROR(INDEX(CONFIGURACOES!$I$37:$I$300,MATCH($I139,CONFIGURACOES!$B$37:$B$300,0)),"")</f>
        <v/>
      </c>
      <c r="N139" s="21" t="n"/>
      <c r="O139" s="21" t="n"/>
      <c r="P139" s="21" t="n"/>
      <c r="Q139" s="21" t="n"/>
      <c r="R139" s="21">
        <f>IF($N139="","",$N139*IF($Q139="",1,$Q139)*IF($P139="",1,$P139)*IF($O139="",1,$O139))</f>
        <v/>
      </c>
      <c r="S139" s="22">
        <f>IFERROR(INDEX(CONFIGURACOES!$J$37:$J$300,MATCH($I139,CONFIGURACOES!$B$37:$B$300,0)),"")</f>
        <v/>
      </c>
      <c r="T139" s="22">
        <f>IF(OR($R139="",$S139=""),"",$R139*$S139)</f>
        <v/>
      </c>
      <c r="U139" s="20" t="n"/>
      <c r="V139" s="20" t="n"/>
      <c r="W139" s="20" t="n"/>
      <c r="X139">
        <f>IF($A139="","",$A139&amp;"|"&amp;$C139&amp;"|"&amp;$I139)</f>
        <v/>
      </c>
      <c r="Y139">
        <f>IF(AND($A139=RELATORIO_MEDICAO!$C$5,$C139=RELATORIO_MEDICAO!$F$5,$A139&lt;&gt;""),COUNTIFS($A$3:$A139,RELATORIO_MEDICAO!$C$5,$C$3:$C139,RELATORIO_MEDICAO!$F$5),"")</f>
        <v/>
      </c>
      <c r="Z139">
        <f>IF(OR($A139="",PESQUISA!$C$4=""),0,IF(OR(ISNUMBER(SEARCH(PESQUISA!$C$4,$G139)),ISNUMBER(SEARCH(PESQUISA!$C$4,$K139)),ISNUMBER(SEARCH(PESQUISA!$C$4,$L139))),1,0))</f>
        <v/>
      </c>
      <c r="AA139">
        <f>IF($Z139=1,SUM($Z$3:$Z139),"")</f>
        <v/>
      </c>
      <c r="AB139">
        <f>IF(OR($A139="",PESQUISA!$C$50=""),0,IF(ISNUMBER(SEARCH(PESQUISA!$C$50,$I139)),1,0))</f>
        <v/>
      </c>
      <c r="AC139">
        <f>IF($AB139=1,SUM($AB$3:$AB139),"")</f>
        <v/>
      </c>
    </row>
    <row r="140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>
        <f>IFERROR(INDEX(CONFIGURACOES!$G$37:$G$300,MATCH($I140,CONFIGURACOES!$B$37:$B$300,0)),"")</f>
        <v/>
      </c>
      <c r="K140" s="20">
        <f>IFERROR(INDEX(CONFIGURACOES!$H$37:$H$300,MATCH($I140,CONFIGURACOES!$B$37:$B$300,0)),"")</f>
        <v/>
      </c>
      <c r="L140" s="20" t="n"/>
      <c r="M140" s="20">
        <f>IFERROR(INDEX(CONFIGURACOES!$I$37:$I$300,MATCH($I140,CONFIGURACOES!$B$37:$B$300,0)),"")</f>
        <v/>
      </c>
      <c r="N140" s="21" t="n"/>
      <c r="O140" s="21" t="n"/>
      <c r="P140" s="21" t="n"/>
      <c r="Q140" s="21" t="n"/>
      <c r="R140" s="21">
        <f>IF($N140="","",$N140*IF($Q140="",1,$Q140)*IF($P140="",1,$P140)*IF($O140="",1,$O140))</f>
        <v/>
      </c>
      <c r="S140" s="22">
        <f>IFERROR(INDEX(CONFIGURACOES!$J$37:$J$300,MATCH($I140,CONFIGURACOES!$B$37:$B$300,0)),"")</f>
        <v/>
      </c>
      <c r="T140" s="22">
        <f>IF(OR($R140="",$S140=""),"",$R140*$S140)</f>
        <v/>
      </c>
      <c r="U140" s="20" t="n"/>
      <c r="V140" s="20" t="n"/>
      <c r="W140" s="20" t="n"/>
      <c r="X140">
        <f>IF($A140="","",$A140&amp;"|"&amp;$C140&amp;"|"&amp;$I140)</f>
        <v/>
      </c>
      <c r="Y140">
        <f>IF(AND($A140=RELATORIO_MEDICAO!$C$5,$C140=RELATORIO_MEDICAO!$F$5,$A140&lt;&gt;""),COUNTIFS($A$3:$A140,RELATORIO_MEDICAO!$C$5,$C$3:$C140,RELATORIO_MEDICAO!$F$5),"")</f>
        <v/>
      </c>
      <c r="Z140">
        <f>IF(OR($A140="",PESQUISA!$C$4=""),0,IF(OR(ISNUMBER(SEARCH(PESQUISA!$C$4,$G140)),ISNUMBER(SEARCH(PESQUISA!$C$4,$K140)),ISNUMBER(SEARCH(PESQUISA!$C$4,$L140))),1,0))</f>
        <v/>
      </c>
      <c r="AA140">
        <f>IF($Z140=1,SUM($Z$3:$Z140),"")</f>
        <v/>
      </c>
      <c r="AB140">
        <f>IF(OR($A140="",PESQUISA!$C$50=""),0,IF(ISNUMBER(SEARCH(PESQUISA!$C$50,$I140)),1,0))</f>
        <v/>
      </c>
      <c r="AC140">
        <f>IF($AB140=1,SUM($AB$3:$AB140),"")</f>
        <v/>
      </c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>
        <f>IFERROR(INDEX(CONFIGURACOES!$G$37:$G$300,MATCH($I141,CONFIGURACOES!$B$37:$B$300,0)),"")</f>
        <v/>
      </c>
      <c r="K141" s="20">
        <f>IFERROR(INDEX(CONFIGURACOES!$H$37:$H$300,MATCH($I141,CONFIGURACOES!$B$37:$B$300,0)),"")</f>
        <v/>
      </c>
      <c r="L141" s="20" t="n"/>
      <c r="M141" s="20">
        <f>IFERROR(INDEX(CONFIGURACOES!$I$37:$I$300,MATCH($I141,CONFIGURACOES!$B$37:$B$300,0)),"")</f>
        <v/>
      </c>
      <c r="N141" s="21" t="n"/>
      <c r="O141" s="21" t="n"/>
      <c r="P141" s="21" t="n"/>
      <c r="Q141" s="21" t="n"/>
      <c r="R141" s="21">
        <f>IF($N141="","",$N141*IF($Q141="",1,$Q141)*IF($P141="",1,$P141)*IF($O141="",1,$O141))</f>
        <v/>
      </c>
      <c r="S141" s="22">
        <f>IFERROR(INDEX(CONFIGURACOES!$J$37:$J$300,MATCH($I141,CONFIGURACOES!$B$37:$B$300,0)),"")</f>
        <v/>
      </c>
      <c r="T141" s="22">
        <f>IF(OR($R141="",$S141=""),"",$R141*$S141)</f>
        <v/>
      </c>
      <c r="U141" s="20" t="n"/>
      <c r="V141" s="20" t="n"/>
      <c r="W141" s="20" t="n"/>
      <c r="X141">
        <f>IF($A141="","",$A141&amp;"|"&amp;$C141&amp;"|"&amp;$I141)</f>
        <v/>
      </c>
      <c r="Y141">
        <f>IF(AND($A141=RELATORIO_MEDICAO!$C$5,$C141=RELATORIO_MEDICAO!$F$5,$A141&lt;&gt;""),COUNTIFS($A$3:$A141,RELATORIO_MEDICAO!$C$5,$C$3:$C141,RELATORIO_MEDICAO!$F$5),"")</f>
        <v/>
      </c>
      <c r="Z141">
        <f>IF(OR($A141="",PESQUISA!$C$4=""),0,IF(OR(ISNUMBER(SEARCH(PESQUISA!$C$4,$G141)),ISNUMBER(SEARCH(PESQUISA!$C$4,$K141)),ISNUMBER(SEARCH(PESQUISA!$C$4,$L141))),1,0))</f>
        <v/>
      </c>
      <c r="AA141">
        <f>IF($Z141=1,SUM($Z$3:$Z141),"")</f>
        <v/>
      </c>
      <c r="AB141">
        <f>IF(OR($A141="",PESQUISA!$C$50=""),0,IF(ISNUMBER(SEARCH(PESQUISA!$C$50,$I141)),1,0))</f>
        <v/>
      </c>
      <c r="AC141">
        <f>IF($AB141=1,SUM($AB$3:$AB141),"")</f>
        <v/>
      </c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>
        <f>IFERROR(INDEX(CONFIGURACOES!$G$37:$G$300,MATCH($I142,CONFIGURACOES!$B$37:$B$300,0)),"")</f>
        <v/>
      </c>
      <c r="K142" s="20">
        <f>IFERROR(INDEX(CONFIGURACOES!$H$37:$H$300,MATCH($I142,CONFIGURACOES!$B$37:$B$300,0)),"")</f>
        <v/>
      </c>
      <c r="L142" s="20" t="n"/>
      <c r="M142" s="20">
        <f>IFERROR(INDEX(CONFIGURACOES!$I$37:$I$300,MATCH($I142,CONFIGURACOES!$B$37:$B$300,0)),"")</f>
        <v/>
      </c>
      <c r="N142" s="21" t="n"/>
      <c r="O142" s="21" t="n"/>
      <c r="P142" s="21" t="n"/>
      <c r="Q142" s="21" t="n"/>
      <c r="R142" s="21">
        <f>IF($N142="","",$N142*IF($Q142="",1,$Q142)*IF($P142="",1,$P142)*IF($O142="",1,$O142))</f>
        <v/>
      </c>
      <c r="S142" s="22">
        <f>IFERROR(INDEX(CONFIGURACOES!$J$37:$J$300,MATCH($I142,CONFIGURACOES!$B$37:$B$300,0)),"")</f>
        <v/>
      </c>
      <c r="T142" s="22">
        <f>IF(OR($R142="",$S142=""),"",$R142*$S142)</f>
        <v/>
      </c>
      <c r="U142" s="20" t="n"/>
      <c r="V142" s="20" t="n"/>
      <c r="W142" s="20" t="n"/>
      <c r="X142">
        <f>IF($A142="","",$A142&amp;"|"&amp;$C142&amp;"|"&amp;$I142)</f>
        <v/>
      </c>
      <c r="Y142">
        <f>IF(AND($A142=RELATORIO_MEDICAO!$C$5,$C142=RELATORIO_MEDICAO!$F$5,$A142&lt;&gt;""),COUNTIFS($A$3:$A142,RELATORIO_MEDICAO!$C$5,$C$3:$C142,RELATORIO_MEDICAO!$F$5),"")</f>
        <v/>
      </c>
      <c r="Z142">
        <f>IF(OR($A142="",PESQUISA!$C$4=""),0,IF(OR(ISNUMBER(SEARCH(PESQUISA!$C$4,$G142)),ISNUMBER(SEARCH(PESQUISA!$C$4,$K142)),ISNUMBER(SEARCH(PESQUISA!$C$4,$L142))),1,0))</f>
        <v/>
      </c>
      <c r="AA142">
        <f>IF($Z142=1,SUM($Z$3:$Z142),"")</f>
        <v/>
      </c>
      <c r="AB142">
        <f>IF(OR($A142="",PESQUISA!$C$50=""),0,IF(ISNUMBER(SEARCH(PESQUISA!$C$50,$I142)),1,0))</f>
        <v/>
      </c>
      <c r="AC142">
        <f>IF($AB142=1,SUM($AB$3:$AB142),"")</f>
        <v/>
      </c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>
        <f>IFERROR(INDEX(CONFIGURACOES!$G$37:$G$300,MATCH($I143,CONFIGURACOES!$B$37:$B$300,0)),"")</f>
        <v/>
      </c>
      <c r="K143" s="20">
        <f>IFERROR(INDEX(CONFIGURACOES!$H$37:$H$300,MATCH($I143,CONFIGURACOES!$B$37:$B$300,0)),"")</f>
        <v/>
      </c>
      <c r="L143" s="20" t="n"/>
      <c r="M143" s="20">
        <f>IFERROR(INDEX(CONFIGURACOES!$I$37:$I$300,MATCH($I143,CONFIGURACOES!$B$37:$B$300,0)),"")</f>
        <v/>
      </c>
      <c r="N143" s="21" t="n"/>
      <c r="O143" s="21" t="n"/>
      <c r="P143" s="21" t="n"/>
      <c r="Q143" s="21" t="n"/>
      <c r="R143" s="21">
        <f>IF($N143="","",$N143*IF($Q143="",1,$Q143)*IF($P143="",1,$P143)*IF($O143="",1,$O143))</f>
        <v/>
      </c>
      <c r="S143" s="22">
        <f>IFERROR(INDEX(CONFIGURACOES!$J$37:$J$300,MATCH($I143,CONFIGURACOES!$B$37:$B$300,0)),"")</f>
        <v/>
      </c>
      <c r="T143" s="22">
        <f>IF(OR($R143="",$S143=""),"",$R143*$S143)</f>
        <v/>
      </c>
      <c r="U143" s="20" t="n"/>
      <c r="V143" s="20" t="n"/>
      <c r="W143" s="20" t="n"/>
      <c r="X143">
        <f>IF($A143="","",$A143&amp;"|"&amp;$C143&amp;"|"&amp;$I143)</f>
        <v/>
      </c>
      <c r="Y143">
        <f>IF(AND($A143=RELATORIO_MEDICAO!$C$5,$C143=RELATORIO_MEDICAO!$F$5,$A143&lt;&gt;""),COUNTIFS($A$3:$A143,RELATORIO_MEDICAO!$C$5,$C$3:$C143,RELATORIO_MEDICAO!$F$5),"")</f>
        <v/>
      </c>
      <c r="Z143">
        <f>IF(OR($A143="",PESQUISA!$C$4=""),0,IF(OR(ISNUMBER(SEARCH(PESQUISA!$C$4,$G143)),ISNUMBER(SEARCH(PESQUISA!$C$4,$K143)),ISNUMBER(SEARCH(PESQUISA!$C$4,$L143))),1,0))</f>
        <v/>
      </c>
      <c r="AA143">
        <f>IF($Z143=1,SUM($Z$3:$Z143),"")</f>
        <v/>
      </c>
      <c r="AB143">
        <f>IF(OR($A143="",PESQUISA!$C$50=""),0,IF(ISNUMBER(SEARCH(PESQUISA!$C$50,$I143)),1,0))</f>
        <v/>
      </c>
      <c r="AC143">
        <f>IF($AB143=1,SUM($AB$3:$AB143),"")</f>
        <v/>
      </c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>
        <f>IFERROR(INDEX(CONFIGURACOES!$G$37:$G$300,MATCH($I144,CONFIGURACOES!$B$37:$B$300,0)),"")</f>
        <v/>
      </c>
      <c r="K144" s="20">
        <f>IFERROR(INDEX(CONFIGURACOES!$H$37:$H$300,MATCH($I144,CONFIGURACOES!$B$37:$B$300,0)),"")</f>
        <v/>
      </c>
      <c r="L144" s="20" t="n"/>
      <c r="M144" s="20">
        <f>IFERROR(INDEX(CONFIGURACOES!$I$37:$I$300,MATCH($I144,CONFIGURACOES!$B$37:$B$300,0)),"")</f>
        <v/>
      </c>
      <c r="N144" s="21" t="n"/>
      <c r="O144" s="21" t="n"/>
      <c r="P144" s="21" t="n"/>
      <c r="Q144" s="21" t="n"/>
      <c r="R144" s="21">
        <f>IF($N144="","",$N144*IF($Q144="",1,$Q144)*IF($P144="",1,$P144)*IF($O144="",1,$O144))</f>
        <v/>
      </c>
      <c r="S144" s="22">
        <f>IFERROR(INDEX(CONFIGURACOES!$J$37:$J$300,MATCH($I144,CONFIGURACOES!$B$37:$B$300,0)),"")</f>
        <v/>
      </c>
      <c r="T144" s="22">
        <f>IF(OR($R144="",$S144=""),"",$R144*$S144)</f>
        <v/>
      </c>
      <c r="U144" s="20" t="n"/>
      <c r="V144" s="20" t="n"/>
      <c r="W144" s="20" t="n"/>
      <c r="X144">
        <f>IF($A144="","",$A144&amp;"|"&amp;$C144&amp;"|"&amp;$I144)</f>
        <v/>
      </c>
      <c r="Y144">
        <f>IF(AND($A144=RELATORIO_MEDICAO!$C$5,$C144=RELATORIO_MEDICAO!$F$5,$A144&lt;&gt;""),COUNTIFS($A$3:$A144,RELATORIO_MEDICAO!$C$5,$C$3:$C144,RELATORIO_MEDICAO!$F$5),"")</f>
        <v/>
      </c>
      <c r="Z144">
        <f>IF(OR($A144="",PESQUISA!$C$4=""),0,IF(OR(ISNUMBER(SEARCH(PESQUISA!$C$4,$G144)),ISNUMBER(SEARCH(PESQUISA!$C$4,$K144)),ISNUMBER(SEARCH(PESQUISA!$C$4,$L144))),1,0))</f>
        <v/>
      </c>
      <c r="AA144">
        <f>IF($Z144=1,SUM($Z$3:$Z144),"")</f>
        <v/>
      </c>
      <c r="AB144">
        <f>IF(OR($A144="",PESQUISA!$C$50=""),0,IF(ISNUMBER(SEARCH(PESQUISA!$C$50,$I144)),1,0))</f>
        <v/>
      </c>
      <c r="AC144">
        <f>IF($AB144=1,SUM($AB$3:$AB144),"")</f>
        <v/>
      </c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>
        <f>IFERROR(INDEX(CONFIGURACOES!$G$37:$G$300,MATCH($I145,CONFIGURACOES!$B$37:$B$300,0)),"")</f>
        <v/>
      </c>
      <c r="K145" s="20">
        <f>IFERROR(INDEX(CONFIGURACOES!$H$37:$H$300,MATCH($I145,CONFIGURACOES!$B$37:$B$300,0)),"")</f>
        <v/>
      </c>
      <c r="L145" s="20" t="n"/>
      <c r="M145" s="20">
        <f>IFERROR(INDEX(CONFIGURACOES!$I$37:$I$300,MATCH($I145,CONFIGURACOES!$B$37:$B$300,0)),"")</f>
        <v/>
      </c>
      <c r="N145" s="21" t="n"/>
      <c r="O145" s="21" t="n"/>
      <c r="P145" s="21" t="n"/>
      <c r="Q145" s="21" t="n"/>
      <c r="R145" s="21">
        <f>IF($N145="","",$N145*IF($Q145="",1,$Q145)*IF($P145="",1,$P145)*IF($O145="",1,$O145))</f>
        <v/>
      </c>
      <c r="S145" s="22">
        <f>IFERROR(INDEX(CONFIGURACOES!$J$37:$J$300,MATCH($I145,CONFIGURACOES!$B$37:$B$300,0)),"")</f>
        <v/>
      </c>
      <c r="T145" s="22">
        <f>IF(OR($R145="",$S145=""),"",$R145*$S145)</f>
        <v/>
      </c>
      <c r="U145" s="20" t="n"/>
      <c r="V145" s="20" t="n"/>
      <c r="W145" s="20" t="n"/>
      <c r="X145">
        <f>IF($A145="","",$A145&amp;"|"&amp;$C145&amp;"|"&amp;$I145)</f>
        <v/>
      </c>
      <c r="Y145">
        <f>IF(AND($A145=RELATORIO_MEDICAO!$C$5,$C145=RELATORIO_MEDICAO!$F$5,$A145&lt;&gt;""),COUNTIFS($A$3:$A145,RELATORIO_MEDICAO!$C$5,$C$3:$C145,RELATORIO_MEDICAO!$F$5),"")</f>
        <v/>
      </c>
      <c r="Z145">
        <f>IF(OR($A145="",PESQUISA!$C$4=""),0,IF(OR(ISNUMBER(SEARCH(PESQUISA!$C$4,$G145)),ISNUMBER(SEARCH(PESQUISA!$C$4,$K145)),ISNUMBER(SEARCH(PESQUISA!$C$4,$L145))),1,0))</f>
        <v/>
      </c>
      <c r="AA145">
        <f>IF($Z145=1,SUM($Z$3:$Z145),"")</f>
        <v/>
      </c>
      <c r="AB145">
        <f>IF(OR($A145="",PESQUISA!$C$50=""),0,IF(ISNUMBER(SEARCH(PESQUISA!$C$50,$I145)),1,0))</f>
        <v/>
      </c>
      <c r="AC145">
        <f>IF($AB145=1,SUM($AB$3:$AB145),"")</f>
        <v/>
      </c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>
        <f>IFERROR(INDEX(CONFIGURACOES!$G$37:$G$300,MATCH($I146,CONFIGURACOES!$B$37:$B$300,0)),"")</f>
        <v/>
      </c>
      <c r="K146" s="20">
        <f>IFERROR(INDEX(CONFIGURACOES!$H$37:$H$300,MATCH($I146,CONFIGURACOES!$B$37:$B$300,0)),"")</f>
        <v/>
      </c>
      <c r="L146" s="20" t="n"/>
      <c r="M146" s="20">
        <f>IFERROR(INDEX(CONFIGURACOES!$I$37:$I$300,MATCH($I146,CONFIGURACOES!$B$37:$B$300,0)),"")</f>
        <v/>
      </c>
      <c r="N146" s="21" t="n"/>
      <c r="O146" s="21" t="n"/>
      <c r="P146" s="21" t="n"/>
      <c r="Q146" s="21" t="n"/>
      <c r="R146" s="21">
        <f>IF($N146="","",$N146*IF($Q146="",1,$Q146)*IF($P146="",1,$P146)*IF($O146="",1,$O146))</f>
        <v/>
      </c>
      <c r="S146" s="22">
        <f>IFERROR(INDEX(CONFIGURACOES!$J$37:$J$300,MATCH($I146,CONFIGURACOES!$B$37:$B$300,0)),"")</f>
        <v/>
      </c>
      <c r="T146" s="22">
        <f>IF(OR($R146="",$S146=""),"",$R146*$S146)</f>
        <v/>
      </c>
      <c r="U146" s="20" t="n"/>
      <c r="V146" s="20" t="n"/>
      <c r="W146" s="20" t="n"/>
      <c r="X146">
        <f>IF($A146="","",$A146&amp;"|"&amp;$C146&amp;"|"&amp;$I146)</f>
        <v/>
      </c>
      <c r="Y146">
        <f>IF(AND($A146=RELATORIO_MEDICAO!$C$5,$C146=RELATORIO_MEDICAO!$F$5,$A146&lt;&gt;""),COUNTIFS($A$3:$A146,RELATORIO_MEDICAO!$C$5,$C$3:$C146,RELATORIO_MEDICAO!$F$5),"")</f>
        <v/>
      </c>
      <c r="Z146">
        <f>IF(OR($A146="",PESQUISA!$C$4=""),0,IF(OR(ISNUMBER(SEARCH(PESQUISA!$C$4,$G146)),ISNUMBER(SEARCH(PESQUISA!$C$4,$K146)),ISNUMBER(SEARCH(PESQUISA!$C$4,$L146))),1,0))</f>
        <v/>
      </c>
      <c r="AA146">
        <f>IF($Z146=1,SUM($Z$3:$Z146),"")</f>
        <v/>
      </c>
      <c r="AB146">
        <f>IF(OR($A146="",PESQUISA!$C$50=""),0,IF(ISNUMBER(SEARCH(PESQUISA!$C$50,$I146)),1,0))</f>
        <v/>
      </c>
      <c r="AC146">
        <f>IF($AB146=1,SUM($AB$3:$AB146),"")</f>
        <v/>
      </c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>
        <f>IFERROR(INDEX(CONFIGURACOES!$G$37:$G$300,MATCH($I147,CONFIGURACOES!$B$37:$B$300,0)),"")</f>
        <v/>
      </c>
      <c r="K147" s="20">
        <f>IFERROR(INDEX(CONFIGURACOES!$H$37:$H$300,MATCH($I147,CONFIGURACOES!$B$37:$B$300,0)),"")</f>
        <v/>
      </c>
      <c r="L147" s="20" t="n"/>
      <c r="M147" s="20">
        <f>IFERROR(INDEX(CONFIGURACOES!$I$37:$I$300,MATCH($I147,CONFIGURACOES!$B$37:$B$300,0)),"")</f>
        <v/>
      </c>
      <c r="N147" s="21" t="n"/>
      <c r="O147" s="21" t="n"/>
      <c r="P147" s="21" t="n"/>
      <c r="Q147" s="21" t="n"/>
      <c r="R147" s="21">
        <f>IF($N147="","",$N147*IF($Q147="",1,$Q147)*IF($P147="",1,$P147)*IF($O147="",1,$O147))</f>
        <v/>
      </c>
      <c r="S147" s="22">
        <f>IFERROR(INDEX(CONFIGURACOES!$J$37:$J$300,MATCH($I147,CONFIGURACOES!$B$37:$B$300,0)),"")</f>
        <v/>
      </c>
      <c r="T147" s="22">
        <f>IF(OR($R147="",$S147=""),"",$R147*$S147)</f>
        <v/>
      </c>
      <c r="U147" s="20" t="n"/>
      <c r="V147" s="20" t="n"/>
      <c r="W147" s="20" t="n"/>
      <c r="X147">
        <f>IF($A147="","",$A147&amp;"|"&amp;$C147&amp;"|"&amp;$I147)</f>
        <v/>
      </c>
      <c r="Y147">
        <f>IF(AND($A147=RELATORIO_MEDICAO!$C$5,$C147=RELATORIO_MEDICAO!$F$5,$A147&lt;&gt;""),COUNTIFS($A$3:$A147,RELATORIO_MEDICAO!$C$5,$C$3:$C147,RELATORIO_MEDICAO!$F$5),"")</f>
        <v/>
      </c>
      <c r="Z147">
        <f>IF(OR($A147="",PESQUISA!$C$4=""),0,IF(OR(ISNUMBER(SEARCH(PESQUISA!$C$4,$G147)),ISNUMBER(SEARCH(PESQUISA!$C$4,$K147)),ISNUMBER(SEARCH(PESQUISA!$C$4,$L147))),1,0))</f>
        <v/>
      </c>
      <c r="AA147">
        <f>IF($Z147=1,SUM($Z$3:$Z147),"")</f>
        <v/>
      </c>
      <c r="AB147">
        <f>IF(OR($A147="",PESQUISA!$C$50=""),0,IF(ISNUMBER(SEARCH(PESQUISA!$C$50,$I147)),1,0))</f>
        <v/>
      </c>
      <c r="AC147">
        <f>IF($AB147=1,SUM($AB$3:$AB147),"")</f>
        <v/>
      </c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>
        <f>IFERROR(INDEX(CONFIGURACOES!$G$37:$G$300,MATCH($I148,CONFIGURACOES!$B$37:$B$300,0)),"")</f>
        <v/>
      </c>
      <c r="K148" s="20">
        <f>IFERROR(INDEX(CONFIGURACOES!$H$37:$H$300,MATCH($I148,CONFIGURACOES!$B$37:$B$300,0)),"")</f>
        <v/>
      </c>
      <c r="L148" s="20" t="n"/>
      <c r="M148" s="20">
        <f>IFERROR(INDEX(CONFIGURACOES!$I$37:$I$300,MATCH($I148,CONFIGURACOES!$B$37:$B$300,0)),"")</f>
        <v/>
      </c>
      <c r="N148" s="21" t="n"/>
      <c r="O148" s="21" t="n"/>
      <c r="P148" s="21" t="n"/>
      <c r="Q148" s="21" t="n"/>
      <c r="R148" s="21">
        <f>IF($N148="","",$N148*IF($Q148="",1,$Q148)*IF($P148="",1,$P148)*IF($O148="",1,$O148))</f>
        <v/>
      </c>
      <c r="S148" s="22">
        <f>IFERROR(INDEX(CONFIGURACOES!$J$37:$J$300,MATCH($I148,CONFIGURACOES!$B$37:$B$300,0)),"")</f>
        <v/>
      </c>
      <c r="T148" s="22">
        <f>IF(OR($R148="",$S148=""),"",$R148*$S148)</f>
        <v/>
      </c>
      <c r="U148" s="20" t="n"/>
      <c r="V148" s="20" t="n"/>
      <c r="W148" s="20" t="n"/>
      <c r="X148">
        <f>IF($A148="","",$A148&amp;"|"&amp;$C148&amp;"|"&amp;$I148)</f>
        <v/>
      </c>
      <c r="Y148">
        <f>IF(AND($A148=RELATORIO_MEDICAO!$C$5,$C148=RELATORIO_MEDICAO!$F$5,$A148&lt;&gt;""),COUNTIFS($A$3:$A148,RELATORIO_MEDICAO!$C$5,$C$3:$C148,RELATORIO_MEDICAO!$F$5),"")</f>
        <v/>
      </c>
      <c r="Z148">
        <f>IF(OR($A148="",PESQUISA!$C$4=""),0,IF(OR(ISNUMBER(SEARCH(PESQUISA!$C$4,$G148)),ISNUMBER(SEARCH(PESQUISA!$C$4,$K148)),ISNUMBER(SEARCH(PESQUISA!$C$4,$L148))),1,0))</f>
        <v/>
      </c>
      <c r="AA148">
        <f>IF($Z148=1,SUM($Z$3:$Z148),"")</f>
        <v/>
      </c>
      <c r="AB148">
        <f>IF(OR($A148="",PESQUISA!$C$50=""),0,IF(ISNUMBER(SEARCH(PESQUISA!$C$50,$I148)),1,0))</f>
        <v/>
      </c>
      <c r="AC148">
        <f>IF($AB148=1,SUM($AB$3:$AB148),"")</f>
        <v/>
      </c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>
        <f>IFERROR(INDEX(CONFIGURACOES!$G$37:$G$300,MATCH($I149,CONFIGURACOES!$B$37:$B$300,0)),"")</f>
        <v/>
      </c>
      <c r="K149" s="20">
        <f>IFERROR(INDEX(CONFIGURACOES!$H$37:$H$300,MATCH($I149,CONFIGURACOES!$B$37:$B$300,0)),"")</f>
        <v/>
      </c>
      <c r="L149" s="20" t="n"/>
      <c r="M149" s="20">
        <f>IFERROR(INDEX(CONFIGURACOES!$I$37:$I$300,MATCH($I149,CONFIGURACOES!$B$37:$B$300,0)),"")</f>
        <v/>
      </c>
      <c r="N149" s="21" t="n"/>
      <c r="O149" s="21" t="n"/>
      <c r="P149" s="21" t="n"/>
      <c r="Q149" s="21" t="n"/>
      <c r="R149" s="21">
        <f>IF($N149="","",$N149*IF($Q149="",1,$Q149)*IF($P149="",1,$P149)*IF($O149="",1,$O149))</f>
        <v/>
      </c>
      <c r="S149" s="22">
        <f>IFERROR(INDEX(CONFIGURACOES!$J$37:$J$300,MATCH($I149,CONFIGURACOES!$B$37:$B$300,0)),"")</f>
        <v/>
      </c>
      <c r="T149" s="22">
        <f>IF(OR($R149="",$S149=""),"",$R149*$S149)</f>
        <v/>
      </c>
      <c r="U149" s="20" t="n"/>
      <c r="V149" s="20" t="n"/>
      <c r="W149" s="20" t="n"/>
      <c r="X149">
        <f>IF($A149="","",$A149&amp;"|"&amp;$C149&amp;"|"&amp;$I149)</f>
        <v/>
      </c>
      <c r="Y149">
        <f>IF(AND($A149=RELATORIO_MEDICAO!$C$5,$C149=RELATORIO_MEDICAO!$F$5,$A149&lt;&gt;""),COUNTIFS($A$3:$A149,RELATORIO_MEDICAO!$C$5,$C$3:$C149,RELATORIO_MEDICAO!$F$5),"")</f>
        <v/>
      </c>
      <c r="Z149">
        <f>IF(OR($A149="",PESQUISA!$C$4=""),0,IF(OR(ISNUMBER(SEARCH(PESQUISA!$C$4,$G149)),ISNUMBER(SEARCH(PESQUISA!$C$4,$K149)),ISNUMBER(SEARCH(PESQUISA!$C$4,$L149))),1,0))</f>
        <v/>
      </c>
      <c r="AA149">
        <f>IF($Z149=1,SUM($Z$3:$Z149),"")</f>
        <v/>
      </c>
      <c r="AB149">
        <f>IF(OR($A149="",PESQUISA!$C$50=""),0,IF(ISNUMBER(SEARCH(PESQUISA!$C$50,$I149)),1,0))</f>
        <v/>
      </c>
      <c r="AC149">
        <f>IF($AB149=1,SUM($AB$3:$AB149),"")</f>
        <v/>
      </c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>
        <f>IFERROR(INDEX(CONFIGURACOES!$G$37:$G$300,MATCH($I150,CONFIGURACOES!$B$37:$B$300,0)),"")</f>
        <v/>
      </c>
      <c r="K150" s="20">
        <f>IFERROR(INDEX(CONFIGURACOES!$H$37:$H$300,MATCH($I150,CONFIGURACOES!$B$37:$B$300,0)),"")</f>
        <v/>
      </c>
      <c r="L150" s="20" t="n"/>
      <c r="M150" s="20">
        <f>IFERROR(INDEX(CONFIGURACOES!$I$37:$I$300,MATCH($I150,CONFIGURACOES!$B$37:$B$300,0)),"")</f>
        <v/>
      </c>
      <c r="N150" s="21" t="n"/>
      <c r="O150" s="21" t="n"/>
      <c r="P150" s="21" t="n"/>
      <c r="Q150" s="21" t="n"/>
      <c r="R150" s="21">
        <f>IF($N150="","",$N150*IF($Q150="",1,$Q150)*IF($P150="",1,$P150)*IF($O150="",1,$O150))</f>
        <v/>
      </c>
      <c r="S150" s="22">
        <f>IFERROR(INDEX(CONFIGURACOES!$J$37:$J$300,MATCH($I150,CONFIGURACOES!$B$37:$B$300,0)),"")</f>
        <v/>
      </c>
      <c r="T150" s="22">
        <f>IF(OR($R150="",$S150=""),"",$R150*$S150)</f>
        <v/>
      </c>
      <c r="U150" s="20" t="n"/>
      <c r="V150" s="20" t="n"/>
      <c r="W150" s="20" t="n"/>
      <c r="X150">
        <f>IF($A150="","",$A150&amp;"|"&amp;$C150&amp;"|"&amp;$I150)</f>
        <v/>
      </c>
      <c r="Y150">
        <f>IF(AND($A150=RELATORIO_MEDICAO!$C$5,$C150=RELATORIO_MEDICAO!$F$5,$A150&lt;&gt;""),COUNTIFS($A$3:$A150,RELATORIO_MEDICAO!$C$5,$C$3:$C150,RELATORIO_MEDICAO!$F$5),"")</f>
        <v/>
      </c>
      <c r="Z150">
        <f>IF(OR($A150="",PESQUISA!$C$4=""),0,IF(OR(ISNUMBER(SEARCH(PESQUISA!$C$4,$G150)),ISNUMBER(SEARCH(PESQUISA!$C$4,$K150)),ISNUMBER(SEARCH(PESQUISA!$C$4,$L150))),1,0))</f>
        <v/>
      </c>
      <c r="AA150">
        <f>IF($Z150=1,SUM($Z$3:$Z150),"")</f>
        <v/>
      </c>
      <c r="AB150">
        <f>IF(OR($A150="",PESQUISA!$C$50=""),0,IF(ISNUMBER(SEARCH(PESQUISA!$C$50,$I150)),1,0))</f>
        <v/>
      </c>
      <c r="AC150">
        <f>IF($AB150=1,SUM($AB$3:$AB150),"")</f>
        <v/>
      </c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>
        <f>IFERROR(INDEX(CONFIGURACOES!$G$37:$G$300,MATCH($I151,CONFIGURACOES!$B$37:$B$300,0)),"")</f>
        <v/>
      </c>
      <c r="K151" s="20">
        <f>IFERROR(INDEX(CONFIGURACOES!$H$37:$H$300,MATCH($I151,CONFIGURACOES!$B$37:$B$300,0)),"")</f>
        <v/>
      </c>
      <c r="L151" s="20" t="n"/>
      <c r="M151" s="20">
        <f>IFERROR(INDEX(CONFIGURACOES!$I$37:$I$300,MATCH($I151,CONFIGURACOES!$B$37:$B$300,0)),"")</f>
        <v/>
      </c>
      <c r="N151" s="21" t="n"/>
      <c r="O151" s="21" t="n"/>
      <c r="P151" s="21" t="n"/>
      <c r="Q151" s="21" t="n"/>
      <c r="R151" s="21">
        <f>IF($N151="","",$N151*IF($Q151="",1,$Q151)*IF($P151="",1,$P151)*IF($O151="",1,$O151))</f>
        <v/>
      </c>
      <c r="S151" s="22">
        <f>IFERROR(INDEX(CONFIGURACOES!$J$37:$J$300,MATCH($I151,CONFIGURACOES!$B$37:$B$300,0)),"")</f>
        <v/>
      </c>
      <c r="T151" s="22">
        <f>IF(OR($R151="",$S151=""),"",$R151*$S151)</f>
        <v/>
      </c>
      <c r="U151" s="20" t="n"/>
      <c r="V151" s="20" t="n"/>
      <c r="W151" s="20" t="n"/>
      <c r="X151">
        <f>IF($A151="","",$A151&amp;"|"&amp;$C151&amp;"|"&amp;$I151)</f>
        <v/>
      </c>
      <c r="Y151">
        <f>IF(AND($A151=RELATORIO_MEDICAO!$C$5,$C151=RELATORIO_MEDICAO!$F$5,$A151&lt;&gt;""),COUNTIFS($A$3:$A151,RELATORIO_MEDICAO!$C$5,$C$3:$C151,RELATORIO_MEDICAO!$F$5),"")</f>
        <v/>
      </c>
      <c r="Z151">
        <f>IF(OR($A151="",PESQUISA!$C$4=""),0,IF(OR(ISNUMBER(SEARCH(PESQUISA!$C$4,$G151)),ISNUMBER(SEARCH(PESQUISA!$C$4,$K151)),ISNUMBER(SEARCH(PESQUISA!$C$4,$L151))),1,0))</f>
        <v/>
      </c>
      <c r="AA151">
        <f>IF($Z151=1,SUM($Z$3:$Z151),"")</f>
        <v/>
      </c>
      <c r="AB151">
        <f>IF(OR($A151="",PESQUISA!$C$50=""),0,IF(ISNUMBER(SEARCH(PESQUISA!$C$50,$I151)),1,0))</f>
        <v/>
      </c>
      <c r="AC151">
        <f>IF($AB151=1,SUM($AB$3:$AB151),"")</f>
        <v/>
      </c>
    </row>
    <row r="152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>
        <f>IFERROR(INDEX(CONFIGURACOES!$G$37:$G$300,MATCH($I152,CONFIGURACOES!$B$37:$B$300,0)),"")</f>
        <v/>
      </c>
      <c r="K152" s="20">
        <f>IFERROR(INDEX(CONFIGURACOES!$H$37:$H$300,MATCH($I152,CONFIGURACOES!$B$37:$B$300,0)),"")</f>
        <v/>
      </c>
      <c r="L152" s="20" t="n"/>
      <c r="M152" s="20">
        <f>IFERROR(INDEX(CONFIGURACOES!$I$37:$I$300,MATCH($I152,CONFIGURACOES!$B$37:$B$300,0)),"")</f>
        <v/>
      </c>
      <c r="N152" s="21" t="n"/>
      <c r="O152" s="21" t="n"/>
      <c r="P152" s="21" t="n"/>
      <c r="Q152" s="21" t="n"/>
      <c r="R152" s="21">
        <f>IF($N152="","",$N152*IF($Q152="",1,$Q152)*IF($P152="",1,$P152)*IF($O152="",1,$O152))</f>
        <v/>
      </c>
      <c r="S152" s="22">
        <f>IFERROR(INDEX(CONFIGURACOES!$J$37:$J$300,MATCH($I152,CONFIGURACOES!$B$37:$B$300,0)),"")</f>
        <v/>
      </c>
      <c r="T152" s="22">
        <f>IF(OR($R152="",$S152=""),"",$R152*$S152)</f>
        <v/>
      </c>
      <c r="U152" s="20" t="n"/>
      <c r="V152" s="20" t="n"/>
      <c r="W152" s="20" t="n"/>
      <c r="X152">
        <f>IF($A152="","",$A152&amp;"|"&amp;$C152&amp;"|"&amp;$I152)</f>
        <v/>
      </c>
      <c r="Y152">
        <f>IF(AND($A152=RELATORIO_MEDICAO!$C$5,$C152=RELATORIO_MEDICAO!$F$5,$A152&lt;&gt;""),COUNTIFS($A$3:$A152,RELATORIO_MEDICAO!$C$5,$C$3:$C152,RELATORIO_MEDICAO!$F$5),"")</f>
        <v/>
      </c>
      <c r="Z152">
        <f>IF(OR($A152="",PESQUISA!$C$4=""),0,IF(OR(ISNUMBER(SEARCH(PESQUISA!$C$4,$G152)),ISNUMBER(SEARCH(PESQUISA!$C$4,$K152)),ISNUMBER(SEARCH(PESQUISA!$C$4,$L152))),1,0))</f>
        <v/>
      </c>
      <c r="AA152">
        <f>IF($Z152=1,SUM($Z$3:$Z152),"")</f>
        <v/>
      </c>
      <c r="AB152">
        <f>IF(OR($A152="",PESQUISA!$C$50=""),0,IF(ISNUMBER(SEARCH(PESQUISA!$C$50,$I152)),1,0))</f>
        <v/>
      </c>
      <c r="AC152">
        <f>IF($AB152=1,SUM($AB$3:$AB152),"")</f>
        <v/>
      </c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>
        <f>IFERROR(INDEX(CONFIGURACOES!$G$37:$G$300,MATCH($I153,CONFIGURACOES!$B$37:$B$300,0)),"")</f>
        <v/>
      </c>
      <c r="K153" s="20">
        <f>IFERROR(INDEX(CONFIGURACOES!$H$37:$H$300,MATCH($I153,CONFIGURACOES!$B$37:$B$300,0)),"")</f>
        <v/>
      </c>
      <c r="L153" s="20" t="n"/>
      <c r="M153" s="20">
        <f>IFERROR(INDEX(CONFIGURACOES!$I$37:$I$300,MATCH($I153,CONFIGURACOES!$B$37:$B$300,0)),"")</f>
        <v/>
      </c>
      <c r="N153" s="21" t="n"/>
      <c r="O153" s="21" t="n"/>
      <c r="P153" s="21" t="n"/>
      <c r="Q153" s="21" t="n"/>
      <c r="R153" s="21">
        <f>IF($N153="","",$N153*IF($Q153="",1,$Q153)*IF($P153="",1,$P153)*IF($O153="",1,$O153))</f>
        <v/>
      </c>
      <c r="S153" s="22">
        <f>IFERROR(INDEX(CONFIGURACOES!$J$37:$J$300,MATCH($I153,CONFIGURACOES!$B$37:$B$300,0)),"")</f>
        <v/>
      </c>
      <c r="T153" s="22">
        <f>IF(OR($R153="",$S153=""),"",$R153*$S153)</f>
        <v/>
      </c>
      <c r="U153" s="20" t="n"/>
      <c r="V153" s="20" t="n"/>
      <c r="W153" s="20" t="n"/>
      <c r="X153">
        <f>IF($A153="","",$A153&amp;"|"&amp;$C153&amp;"|"&amp;$I153)</f>
        <v/>
      </c>
      <c r="Y153">
        <f>IF(AND($A153=RELATORIO_MEDICAO!$C$5,$C153=RELATORIO_MEDICAO!$F$5,$A153&lt;&gt;""),COUNTIFS($A$3:$A153,RELATORIO_MEDICAO!$C$5,$C$3:$C153,RELATORIO_MEDICAO!$F$5),"")</f>
        <v/>
      </c>
      <c r="Z153">
        <f>IF(OR($A153="",PESQUISA!$C$4=""),0,IF(OR(ISNUMBER(SEARCH(PESQUISA!$C$4,$G153)),ISNUMBER(SEARCH(PESQUISA!$C$4,$K153)),ISNUMBER(SEARCH(PESQUISA!$C$4,$L153))),1,0))</f>
        <v/>
      </c>
      <c r="AA153">
        <f>IF($Z153=1,SUM($Z$3:$Z153),"")</f>
        <v/>
      </c>
      <c r="AB153">
        <f>IF(OR($A153="",PESQUISA!$C$50=""),0,IF(ISNUMBER(SEARCH(PESQUISA!$C$50,$I153)),1,0))</f>
        <v/>
      </c>
      <c r="AC153">
        <f>IF($AB153=1,SUM($AB$3:$AB153),"")</f>
        <v/>
      </c>
    </row>
    <row r="154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>
        <f>IFERROR(INDEX(CONFIGURACOES!$G$37:$G$300,MATCH($I154,CONFIGURACOES!$B$37:$B$300,0)),"")</f>
        <v/>
      </c>
      <c r="K154" s="20">
        <f>IFERROR(INDEX(CONFIGURACOES!$H$37:$H$300,MATCH($I154,CONFIGURACOES!$B$37:$B$300,0)),"")</f>
        <v/>
      </c>
      <c r="L154" s="20" t="n"/>
      <c r="M154" s="20">
        <f>IFERROR(INDEX(CONFIGURACOES!$I$37:$I$300,MATCH($I154,CONFIGURACOES!$B$37:$B$300,0)),"")</f>
        <v/>
      </c>
      <c r="N154" s="21" t="n"/>
      <c r="O154" s="21" t="n"/>
      <c r="P154" s="21" t="n"/>
      <c r="Q154" s="21" t="n"/>
      <c r="R154" s="21">
        <f>IF($N154="","",$N154*IF($Q154="",1,$Q154)*IF($P154="",1,$P154)*IF($O154="",1,$O154))</f>
        <v/>
      </c>
      <c r="S154" s="22">
        <f>IFERROR(INDEX(CONFIGURACOES!$J$37:$J$300,MATCH($I154,CONFIGURACOES!$B$37:$B$300,0)),"")</f>
        <v/>
      </c>
      <c r="T154" s="22">
        <f>IF(OR($R154="",$S154=""),"",$R154*$S154)</f>
        <v/>
      </c>
      <c r="U154" s="20" t="n"/>
      <c r="V154" s="20" t="n"/>
      <c r="W154" s="20" t="n"/>
      <c r="X154">
        <f>IF($A154="","",$A154&amp;"|"&amp;$C154&amp;"|"&amp;$I154)</f>
        <v/>
      </c>
      <c r="Y154">
        <f>IF(AND($A154=RELATORIO_MEDICAO!$C$5,$C154=RELATORIO_MEDICAO!$F$5,$A154&lt;&gt;""),COUNTIFS($A$3:$A154,RELATORIO_MEDICAO!$C$5,$C$3:$C154,RELATORIO_MEDICAO!$F$5),"")</f>
        <v/>
      </c>
      <c r="Z154">
        <f>IF(OR($A154="",PESQUISA!$C$4=""),0,IF(OR(ISNUMBER(SEARCH(PESQUISA!$C$4,$G154)),ISNUMBER(SEARCH(PESQUISA!$C$4,$K154)),ISNUMBER(SEARCH(PESQUISA!$C$4,$L154))),1,0))</f>
        <v/>
      </c>
      <c r="AA154">
        <f>IF($Z154=1,SUM($Z$3:$Z154),"")</f>
        <v/>
      </c>
      <c r="AB154">
        <f>IF(OR($A154="",PESQUISA!$C$50=""),0,IF(ISNUMBER(SEARCH(PESQUISA!$C$50,$I154)),1,0))</f>
        <v/>
      </c>
      <c r="AC154">
        <f>IF($AB154=1,SUM($AB$3:$AB154),"")</f>
        <v/>
      </c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>
        <f>IFERROR(INDEX(CONFIGURACOES!$G$37:$G$300,MATCH($I155,CONFIGURACOES!$B$37:$B$300,0)),"")</f>
        <v/>
      </c>
      <c r="K155" s="20">
        <f>IFERROR(INDEX(CONFIGURACOES!$H$37:$H$300,MATCH($I155,CONFIGURACOES!$B$37:$B$300,0)),"")</f>
        <v/>
      </c>
      <c r="L155" s="20" t="n"/>
      <c r="M155" s="20">
        <f>IFERROR(INDEX(CONFIGURACOES!$I$37:$I$300,MATCH($I155,CONFIGURACOES!$B$37:$B$300,0)),"")</f>
        <v/>
      </c>
      <c r="N155" s="21" t="n"/>
      <c r="O155" s="21" t="n"/>
      <c r="P155" s="21" t="n"/>
      <c r="Q155" s="21" t="n"/>
      <c r="R155" s="21">
        <f>IF($N155="","",$N155*IF($Q155="",1,$Q155)*IF($P155="",1,$P155)*IF($O155="",1,$O155))</f>
        <v/>
      </c>
      <c r="S155" s="22">
        <f>IFERROR(INDEX(CONFIGURACOES!$J$37:$J$300,MATCH($I155,CONFIGURACOES!$B$37:$B$300,0)),"")</f>
        <v/>
      </c>
      <c r="T155" s="22">
        <f>IF(OR($R155="",$S155=""),"",$R155*$S155)</f>
        <v/>
      </c>
      <c r="U155" s="20" t="n"/>
      <c r="V155" s="20" t="n"/>
      <c r="W155" s="20" t="n"/>
      <c r="X155">
        <f>IF($A155="","",$A155&amp;"|"&amp;$C155&amp;"|"&amp;$I155)</f>
        <v/>
      </c>
      <c r="Y155">
        <f>IF(AND($A155=RELATORIO_MEDICAO!$C$5,$C155=RELATORIO_MEDICAO!$F$5,$A155&lt;&gt;""),COUNTIFS($A$3:$A155,RELATORIO_MEDICAO!$C$5,$C$3:$C155,RELATORIO_MEDICAO!$F$5),"")</f>
        <v/>
      </c>
      <c r="Z155">
        <f>IF(OR($A155="",PESQUISA!$C$4=""),0,IF(OR(ISNUMBER(SEARCH(PESQUISA!$C$4,$G155)),ISNUMBER(SEARCH(PESQUISA!$C$4,$K155)),ISNUMBER(SEARCH(PESQUISA!$C$4,$L155))),1,0))</f>
        <v/>
      </c>
      <c r="AA155">
        <f>IF($Z155=1,SUM($Z$3:$Z155),"")</f>
        <v/>
      </c>
      <c r="AB155">
        <f>IF(OR($A155="",PESQUISA!$C$50=""),0,IF(ISNUMBER(SEARCH(PESQUISA!$C$50,$I155)),1,0))</f>
        <v/>
      </c>
      <c r="AC155">
        <f>IF($AB155=1,SUM($AB$3:$AB155),"")</f>
        <v/>
      </c>
    </row>
    <row r="156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>
        <f>IFERROR(INDEX(CONFIGURACOES!$G$37:$G$300,MATCH($I156,CONFIGURACOES!$B$37:$B$300,0)),"")</f>
        <v/>
      </c>
      <c r="K156" s="20">
        <f>IFERROR(INDEX(CONFIGURACOES!$H$37:$H$300,MATCH($I156,CONFIGURACOES!$B$37:$B$300,0)),"")</f>
        <v/>
      </c>
      <c r="L156" s="20" t="n"/>
      <c r="M156" s="20">
        <f>IFERROR(INDEX(CONFIGURACOES!$I$37:$I$300,MATCH($I156,CONFIGURACOES!$B$37:$B$300,0)),"")</f>
        <v/>
      </c>
      <c r="N156" s="21" t="n"/>
      <c r="O156" s="21" t="n"/>
      <c r="P156" s="21" t="n"/>
      <c r="Q156" s="21" t="n"/>
      <c r="R156" s="21">
        <f>IF($N156="","",$N156*IF($Q156="",1,$Q156)*IF($P156="",1,$P156)*IF($O156="",1,$O156))</f>
        <v/>
      </c>
      <c r="S156" s="22">
        <f>IFERROR(INDEX(CONFIGURACOES!$J$37:$J$300,MATCH($I156,CONFIGURACOES!$B$37:$B$300,0)),"")</f>
        <v/>
      </c>
      <c r="T156" s="22">
        <f>IF(OR($R156="",$S156=""),"",$R156*$S156)</f>
        <v/>
      </c>
      <c r="U156" s="20" t="n"/>
      <c r="V156" s="20" t="n"/>
      <c r="W156" s="20" t="n"/>
      <c r="X156">
        <f>IF($A156="","",$A156&amp;"|"&amp;$C156&amp;"|"&amp;$I156)</f>
        <v/>
      </c>
      <c r="Y156">
        <f>IF(AND($A156=RELATORIO_MEDICAO!$C$5,$C156=RELATORIO_MEDICAO!$F$5,$A156&lt;&gt;""),COUNTIFS($A$3:$A156,RELATORIO_MEDICAO!$C$5,$C$3:$C156,RELATORIO_MEDICAO!$F$5),"")</f>
        <v/>
      </c>
      <c r="Z156">
        <f>IF(OR($A156="",PESQUISA!$C$4=""),0,IF(OR(ISNUMBER(SEARCH(PESQUISA!$C$4,$G156)),ISNUMBER(SEARCH(PESQUISA!$C$4,$K156)),ISNUMBER(SEARCH(PESQUISA!$C$4,$L156))),1,0))</f>
        <v/>
      </c>
      <c r="AA156">
        <f>IF($Z156=1,SUM($Z$3:$Z156),"")</f>
        <v/>
      </c>
      <c r="AB156">
        <f>IF(OR($A156="",PESQUISA!$C$50=""),0,IF(ISNUMBER(SEARCH(PESQUISA!$C$50,$I156)),1,0))</f>
        <v/>
      </c>
      <c r="AC156">
        <f>IF($AB156=1,SUM($AB$3:$AB156),"")</f>
        <v/>
      </c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>
        <f>IFERROR(INDEX(CONFIGURACOES!$G$37:$G$300,MATCH($I157,CONFIGURACOES!$B$37:$B$300,0)),"")</f>
        <v/>
      </c>
      <c r="K157" s="20">
        <f>IFERROR(INDEX(CONFIGURACOES!$H$37:$H$300,MATCH($I157,CONFIGURACOES!$B$37:$B$300,0)),"")</f>
        <v/>
      </c>
      <c r="L157" s="20" t="n"/>
      <c r="M157" s="20">
        <f>IFERROR(INDEX(CONFIGURACOES!$I$37:$I$300,MATCH($I157,CONFIGURACOES!$B$37:$B$300,0)),"")</f>
        <v/>
      </c>
      <c r="N157" s="21" t="n"/>
      <c r="O157" s="21" t="n"/>
      <c r="P157" s="21" t="n"/>
      <c r="Q157" s="21" t="n"/>
      <c r="R157" s="21">
        <f>IF($N157="","",$N157*IF($Q157="",1,$Q157)*IF($P157="",1,$P157)*IF($O157="",1,$O157))</f>
        <v/>
      </c>
      <c r="S157" s="22">
        <f>IFERROR(INDEX(CONFIGURACOES!$J$37:$J$300,MATCH($I157,CONFIGURACOES!$B$37:$B$300,0)),"")</f>
        <v/>
      </c>
      <c r="T157" s="22">
        <f>IF(OR($R157="",$S157=""),"",$R157*$S157)</f>
        <v/>
      </c>
      <c r="U157" s="20" t="n"/>
      <c r="V157" s="20" t="n"/>
      <c r="W157" s="20" t="n"/>
      <c r="X157">
        <f>IF($A157="","",$A157&amp;"|"&amp;$C157&amp;"|"&amp;$I157)</f>
        <v/>
      </c>
      <c r="Y157">
        <f>IF(AND($A157=RELATORIO_MEDICAO!$C$5,$C157=RELATORIO_MEDICAO!$F$5,$A157&lt;&gt;""),COUNTIFS($A$3:$A157,RELATORIO_MEDICAO!$C$5,$C$3:$C157,RELATORIO_MEDICAO!$F$5),"")</f>
        <v/>
      </c>
      <c r="Z157">
        <f>IF(OR($A157="",PESQUISA!$C$4=""),0,IF(OR(ISNUMBER(SEARCH(PESQUISA!$C$4,$G157)),ISNUMBER(SEARCH(PESQUISA!$C$4,$K157)),ISNUMBER(SEARCH(PESQUISA!$C$4,$L157))),1,0))</f>
        <v/>
      </c>
      <c r="AA157">
        <f>IF($Z157=1,SUM($Z$3:$Z157),"")</f>
        <v/>
      </c>
      <c r="AB157">
        <f>IF(OR($A157="",PESQUISA!$C$50=""),0,IF(ISNUMBER(SEARCH(PESQUISA!$C$50,$I157)),1,0))</f>
        <v/>
      </c>
      <c r="AC157">
        <f>IF($AB157=1,SUM($AB$3:$AB157),"")</f>
        <v/>
      </c>
    </row>
    <row r="15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>
        <f>IFERROR(INDEX(CONFIGURACOES!$G$37:$G$300,MATCH($I158,CONFIGURACOES!$B$37:$B$300,0)),"")</f>
        <v/>
      </c>
      <c r="K158" s="20">
        <f>IFERROR(INDEX(CONFIGURACOES!$H$37:$H$300,MATCH($I158,CONFIGURACOES!$B$37:$B$300,0)),"")</f>
        <v/>
      </c>
      <c r="L158" s="20" t="n"/>
      <c r="M158" s="20">
        <f>IFERROR(INDEX(CONFIGURACOES!$I$37:$I$300,MATCH($I158,CONFIGURACOES!$B$37:$B$300,0)),"")</f>
        <v/>
      </c>
      <c r="N158" s="21" t="n"/>
      <c r="O158" s="21" t="n"/>
      <c r="P158" s="21" t="n"/>
      <c r="Q158" s="21" t="n"/>
      <c r="R158" s="21">
        <f>IF($N158="","",$N158*IF($Q158="",1,$Q158)*IF($P158="",1,$P158)*IF($O158="",1,$O158))</f>
        <v/>
      </c>
      <c r="S158" s="22">
        <f>IFERROR(INDEX(CONFIGURACOES!$J$37:$J$300,MATCH($I158,CONFIGURACOES!$B$37:$B$300,0)),"")</f>
        <v/>
      </c>
      <c r="T158" s="22">
        <f>IF(OR($R158="",$S158=""),"",$R158*$S158)</f>
        <v/>
      </c>
      <c r="U158" s="20" t="n"/>
      <c r="V158" s="20" t="n"/>
      <c r="W158" s="20" t="n"/>
      <c r="X158">
        <f>IF($A158="","",$A158&amp;"|"&amp;$C158&amp;"|"&amp;$I158)</f>
        <v/>
      </c>
      <c r="Y158">
        <f>IF(AND($A158=RELATORIO_MEDICAO!$C$5,$C158=RELATORIO_MEDICAO!$F$5,$A158&lt;&gt;""),COUNTIFS($A$3:$A158,RELATORIO_MEDICAO!$C$5,$C$3:$C158,RELATORIO_MEDICAO!$F$5),"")</f>
        <v/>
      </c>
      <c r="Z158">
        <f>IF(OR($A158="",PESQUISA!$C$4=""),0,IF(OR(ISNUMBER(SEARCH(PESQUISA!$C$4,$G158)),ISNUMBER(SEARCH(PESQUISA!$C$4,$K158)),ISNUMBER(SEARCH(PESQUISA!$C$4,$L158))),1,0))</f>
        <v/>
      </c>
      <c r="AA158">
        <f>IF($Z158=1,SUM($Z$3:$Z158),"")</f>
        <v/>
      </c>
      <c r="AB158">
        <f>IF(OR($A158="",PESQUISA!$C$50=""),0,IF(ISNUMBER(SEARCH(PESQUISA!$C$50,$I158)),1,0))</f>
        <v/>
      </c>
      <c r="AC158">
        <f>IF($AB158=1,SUM($AB$3:$AB158),"")</f>
        <v/>
      </c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>
        <f>IFERROR(INDEX(CONFIGURACOES!$G$37:$G$300,MATCH($I159,CONFIGURACOES!$B$37:$B$300,0)),"")</f>
        <v/>
      </c>
      <c r="K159" s="20">
        <f>IFERROR(INDEX(CONFIGURACOES!$H$37:$H$300,MATCH($I159,CONFIGURACOES!$B$37:$B$300,0)),"")</f>
        <v/>
      </c>
      <c r="L159" s="20" t="n"/>
      <c r="M159" s="20">
        <f>IFERROR(INDEX(CONFIGURACOES!$I$37:$I$300,MATCH($I159,CONFIGURACOES!$B$37:$B$300,0)),"")</f>
        <v/>
      </c>
      <c r="N159" s="21" t="n"/>
      <c r="O159" s="21" t="n"/>
      <c r="P159" s="21" t="n"/>
      <c r="Q159" s="21" t="n"/>
      <c r="R159" s="21">
        <f>IF($N159="","",$N159*IF($Q159="",1,$Q159)*IF($P159="",1,$P159)*IF($O159="",1,$O159))</f>
        <v/>
      </c>
      <c r="S159" s="22">
        <f>IFERROR(INDEX(CONFIGURACOES!$J$37:$J$300,MATCH($I159,CONFIGURACOES!$B$37:$B$300,0)),"")</f>
        <v/>
      </c>
      <c r="T159" s="22">
        <f>IF(OR($R159="",$S159=""),"",$R159*$S159)</f>
        <v/>
      </c>
      <c r="U159" s="20" t="n"/>
      <c r="V159" s="20" t="n"/>
      <c r="W159" s="20" t="n"/>
      <c r="X159">
        <f>IF($A159="","",$A159&amp;"|"&amp;$C159&amp;"|"&amp;$I159)</f>
        <v/>
      </c>
      <c r="Y159">
        <f>IF(AND($A159=RELATORIO_MEDICAO!$C$5,$C159=RELATORIO_MEDICAO!$F$5,$A159&lt;&gt;""),COUNTIFS($A$3:$A159,RELATORIO_MEDICAO!$C$5,$C$3:$C159,RELATORIO_MEDICAO!$F$5),"")</f>
        <v/>
      </c>
      <c r="Z159">
        <f>IF(OR($A159="",PESQUISA!$C$4=""),0,IF(OR(ISNUMBER(SEARCH(PESQUISA!$C$4,$G159)),ISNUMBER(SEARCH(PESQUISA!$C$4,$K159)),ISNUMBER(SEARCH(PESQUISA!$C$4,$L159))),1,0))</f>
        <v/>
      </c>
      <c r="AA159">
        <f>IF($Z159=1,SUM($Z$3:$Z159),"")</f>
        <v/>
      </c>
      <c r="AB159">
        <f>IF(OR($A159="",PESQUISA!$C$50=""),0,IF(ISNUMBER(SEARCH(PESQUISA!$C$50,$I159)),1,0))</f>
        <v/>
      </c>
      <c r="AC159">
        <f>IF($AB159=1,SUM($AB$3:$AB159),"")</f>
        <v/>
      </c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>
        <f>IFERROR(INDEX(CONFIGURACOES!$G$37:$G$300,MATCH($I160,CONFIGURACOES!$B$37:$B$300,0)),"")</f>
        <v/>
      </c>
      <c r="K160" s="20">
        <f>IFERROR(INDEX(CONFIGURACOES!$H$37:$H$300,MATCH($I160,CONFIGURACOES!$B$37:$B$300,0)),"")</f>
        <v/>
      </c>
      <c r="L160" s="20" t="n"/>
      <c r="M160" s="20">
        <f>IFERROR(INDEX(CONFIGURACOES!$I$37:$I$300,MATCH($I160,CONFIGURACOES!$B$37:$B$300,0)),"")</f>
        <v/>
      </c>
      <c r="N160" s="21" t="n"/>
      <c r="O160" s="21" t="n"/>
      <c r="P160" s="21" t="n"/>
      <c r="Q160" s="21" t="n"/>
      <c r="R160" s="21">
        <f>IF($N160="","",$N160*IF($Q160="",1,$Q160)*IF($P160="",1,$P160)*IF($O160="",1,$O160))</f>
        <v/>
      </c>
      <c r="S160" s="22">
        <f>IFERROR(INDEX(CONFIGURACOES!$J$37:$J$300,MATCH($I160,CONFIGURACOES!$B$37:$B$300,0)),"")</f>
        <v/>
      </c>
      <c r="T160" s="22">
        <f>IF(OR($R160="",$S160=""),"",$R160*$S160)</f>
        <v/>
      </c>
      <c r="U160" s="20" t="n"/>
      <c r="V160" s="20" t="n"/>
      <c r="W160" s="20" t="n"/>
      <c r="X160">
        <f>IF($A160="","",$A160&amp;"|"&amp;$C160&amp;"|"&amp;$I160)</f>
        <v/>
      </c>
      <c r="Y160">
        <f>IF(AND($A160=RELATORIO_MEDICAO!$C$5,$C160=RELATORIO_MEDICAO!$F$5,$A160&lt;&gt;""),COUNTIFS($A$3:$A160,RELATORIO_MEDICAO!$C$5,$C$3:$C160,RELATORIO_MEDICAO!$F$5),"")</f>
        <v/>
      </c>
      <c r="Z160">
        <f>IF(OR($A160="",PESQUISA!$C$4=""),0,IF(OR(ISNUMBER(SEARCH(PESQUISA!$C$4,$G160)),ISNUMBER(SEARCH(PESQUISA!$C$4,$K160)),ISNUMBER(SEARCH(PESQUISA!$C$4,$L160))),1,0))</f>
        <v/>
      </c>
      <c r="AA160">
        <f>IF($Z160=1,SUM($Z$3:$Z160),"")</f>
        <v/>
      </c>
      <c r="AB160">
        <f>IF(OR($A160="",PESQUISA!$C$50=""),0,IF(ISNUMBER(SEARCH(PESQUISA!$C$50,$I160)),1,0))</f>
        <v/>
      </c>
      <c r="AC160">
        <f>IF($AB160=1,SUM($AB$3:$AB160),"")</f>
        <v/>
      </c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>
        <f>IFERROR(INDEX(CONFIGURACOES!$G$37:$G$300,MATCH($I161,CONFIGURACOES!$B$37:$B$300,0)),"")</f>
        <v/>
      </c>
      <c r="K161" s="20">
        <f>IFERROR(INDEX(CONFIGURACOES!$H$37:$H$300,MATCH($I161,CONFIGURACOES!$B$37:$B$300,0)),"")</f>
        <v/>
      </c>
      <c r="L161" s="20" t="n"/>
      <c r="M161" s="20">
        <f>IFERROR(INDEX(CONFIGURACOES!$I$37:$I$300,MATCH($I161,CONFIGURACOES!$B$37:$B$300,0)),"")</f>
        <v/>
      </c>
      <c r="N161" s="21" t="n"/>
      <c r="O161" s="21" t="n"/>
      <c r="P161" s="21" t="n"/>
      <c r="Q161" s="21" t="n"/>
      <c r="R161" s="21">
        <f>IF($N161="","",$N161*IF($Q161="",1,$Q161)*IF($P161="",1,$P161)*IF($O161="",1,$O161))</f>
        <v/>
      </c>
      <c r="S161" s="22">
        <f>IFERROR(INDEX(CONFIGURACOES!$J$37:$J$300,MATCH($I161,CONFIGURACOES!$B$37:$B$300,0)),"")</f>
        <v/>
      </c>
      <c r="T161" s="22">
        <f>IF(OR($R161="",$S161=""),"",$R161*$S161)</f>
        <v/>
      </c>
      <c r="U161" s="20" t="n"/>
      <c r="V161" s="20" t="n"/>
      <c r="W161" s="20" t="n"/>
      <c r="X161">
        <f>IF($A161="","",$A161&amp;"|"&amp;$C161&amp;"|"&amp;$I161)</f>
        <v/>
      </c>
      <c r="Y161">
        <f>IF(AND($A161=RELATORIO_MEDICAO!$C$5,$C161=RELATORIO_MEDICAO!$F$5,$A161&lt;&gt;""),COUNTIFS($A$3:$A161,RELATORIO_MEDICAO!$C$5,$C$3:$C161,RELATORIO_MEDICAO!$F$5),"")</f>
        <v/>
      </c>
      <c r="Z161">
        <f>IF(OR($A161="",PESQUISA!$C$4=""),0,IF(OR(ISNUMBER(SEARCH(PESQUISA!$C$4,$G161)),ISNUMBER(SEARCH(PESQUISA!$C$4,$K161)),ISNUMBER(SEARCH(PESQUISA!$C$4,$L161))),1,0))</f>
        <v/>
      </c>
      <c r="AA161">
        <f>IF($Z161=1,SUM($Z$3:$Z161),"")</f>
        <v/>
      </c>
      <c r="AB161">
        <f>IF(OR($A161="",PESQUISA!$C$50=""),0,IF(ISNUMBER(SEARCH(PESQUISA!$C$50,$I161)),1,0))</f>
        <v/>
      </c>
      <c r="AC161">
        <f>IF($AB161=1,SUM($AB$3:$AB161),"")</f>
        <v/>
      </c>
    </row>
    <row r="162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>
        <f>IFERROR(INDEX(CONFIGURACOES!$G$37:$G$300,MATCH($I162,CONFIGURACOES!$B$37:$B$300,0)),"")</f>
        <v/>
      </c>
      <c r="K162" s="20">
        <f>IFERROR(INDEX(CONFIGURACOES!$H$37:$H$300,MATCH($I162,CONFIGURACOES!$B$37:$B$300,0)),"")</f>
        <v/>
      </c>
      <c r="L162" s="20" t="n"/>
      <c r="M162" s="20">
        <f>IFERROR(INDEX(CONFIGURACOES!$I$37:$I$300,MATCH($I162,CONFIGURACOES!$B$37:$B$300,0)),"")</f>
        <v/>
      </c>
      <c r="N162" s="21" t="n"/>
      <c r="O162" s="21" t="n"/>
      <c r="P162" s="21" t="n"/>
      <c r="Q162" s="21" t="n"/>
      <c r="R162" s="21">
        <f>IF($N162="","",$N162*IF($Q162="",1,$Q162)*IF($P162="",1,$P162)*IF($O162="",1,$O162))</f>
        <v/>
      </c>
      <c r="S162" s="22">
        <f>IFERROR(INDEX(CONFIGURACOES!$J$37:$J$300,MATCH($I162,CONFIGURACOES!$B$37:$B$300,0)),"")</f>
        <v/>
      </c>
      <c r="T162" s="22">
        <f>IF(OR($R162="",$S162=""),"",$R162*$S162)</f>
        <v/>
      </c>
      <c r="U162" s="20" t="n"/>
      <c r="V162" s="20" t="n"/>
      <c r="W162" s="20" t="n"/>
      <c r="X162">
        <f>IF($A162="","",$A162&amp;"|"&amp;$C162&amp;"|"&amp;$I162)</f>
        <v/>
      </c>
      <c r="Y162">
        <f>IF(AND($A162=RELATORIO_MEDICAO!$C$5,$C162=RELATORIO_MEDICAO!$F$5,$A162&lt;&gt;""),COUNTIFS($A$3:$A162,RELATORIO_MEDICAO!$C$5,$C$3:$C162,RELATORIO_MEDICAO!$F$5),"")</f>
        <v/>
      </c>
      <c r="Z162">
        <f>IF(OR($A162="",PESQUISA!$C$4=""),0,IF(OR(ISNUMBER(SEARCH(PESQUISA!$C$4,$G162)),ISNUMBER(SEARCH(PESQUISA!$C$4,$K162)),ISNUMBER(SEARCH(PESQUISA!$C$4,$L162))),1,0))</f>
        <v/>
      </c>
      <c r="AA162">
        <f>IF($Z162=1,SUM($Z$3:$Z162),"")</f>
        <v/>
      </c>
      <c r="AB162">
        <f>IF(OR($A162="",PESQUISA!$C$50=""),0,IF(ISNUMBER(SEARCH(PESQUISA!$C$50,$I162)),1,0))</f>
        <v/>
      </c>
      <c r="AC162">
        <f>IF($AB162=1,SUM($AB$3:$AB162),"")</f>
        <v/>
      </c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>
        <f>IFERROR(INDEX(CONFIGURACOES!$G$37:$G$300,MATCH($I163,CONFIGURACOES!$B$37:$B$300,0)),"")</f>
        <v/>
      </c>
      <c r="K163" s="20">
        <f>IFERROR(INDEX(CONFIGURACOES!$H$37:$H$300,MATCH($I163,CONFIGURACOES!$B$37:$B$300,0)),"")</f>
        <v/>
      </c>
      <c r="L163" s="20" t="n"/>
      <c r="M163" s="20">
        <f>IFERROR(INDEX(CONFIGURACOES!$I$37:$I$300,MATCH($I163,CONFIGURACOES!$B$37:$B$300,0)),"")</f>
        <v/>
      </c>
      <c r="N163" s="21" t="n"/>
      <c r="O163" s="21" t="n"/>
      <c r="P163" s="21" t="n"/>
      <c r="Q163" s="21" t="n"/>
      <c r="R163" s="21">
        <f>IF($N163="","",$N163*IF($Q163="",1,$Q163)*IF($P163="",1,$P163)*IF($O163="",1,$O163))</f>
        <v/>
      </c>
      <c r="S163" s="22">
        <f>IFERROR(INDEX(CONFIGURACOES!$J$37:$J$300,MATCH($I163,CONFIGURACOES!$B$37:$B$300,0)),"")</f>
        <v/>
      </c>
      <c r="T163" s="22">
        <f>IF(OR($R163="",$S163=""),"",$R163*$S163)</f>
        <v/>
      </c>
      <c r="U163" s="20" t="n"/>
      <c r="V163" s="20" t="n"/>
      <c r="W163" s="20" t="n"/>
      <c r="X163">
        <f>IF($A163="","",$A163&amp;"|"&amp;$C163&amp;"|"&amp;$I163)</f>
        <v/>
      </c>
      <c r="Y163">
        <f>IF(AND($A163=RELATORIO_MEDICAO!$C$5,$C163=RELATORIO_MEDICAO!$F$5,$A163&lt;&gt;""),COUNTIFS($A$3:$A163,RELATORIO_MEDICAO!$C$5,$C$3:$C163,RELATORIO_MEDICAO!$F$5),"")</f>
        <v/>
      </c>
      <c r="Z163">
        <f>IF(OR($A163="",PESQUISA!$C$4=""),0,IF(OR(ISNUMBER(SEARCH(PESQUISA!$C$4,$G163)),ISNUMBER(SEARCH(PESQUISA!$C$4,$K163)),ISNUMBER(SEARCH(PESQUISA!$C$4,$L163))),1,0))</f>
        <v/>
      </c>
      <c r="AA163">
        <f>IF($Z163=1,SUM($Z$3:$Z163),"")</f>
        <v/>
      </c>
      <c r="AB163">
        <f>IF(OR($A163="",PESQUISA!$C$50=""),0,IF(ISNUMBER(SEARCH(PESQUISA!$C$50,$I163)),1,0))</f>
        <v/>
      </c>
      <c r="AC163">
        <f>IF($AB163=1,SUM($AB$3:$AB163),"")</f>
        <v/>
      </c>
    </row>
    <row r="164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>
        <f>IFERROR(INDEX(CONFIGURACOES!$G$37:$G$300,MATCH($I164,CONFIGURACOES!$B$37:$B$300,0)),"")</f>
        <v/>
      </c>
      <c r="K164" s="20">
        <f>IFERROR(INDEX(CONFIGURACOES!$H$37:$H$300,MATCH($I164,CONFIGURACOES!$B$37:$B$300,0)),"")</f>
        <v/>
      </c>
      <c r="L164" s="20" t="n"/>
      <c r="M164" s="20">
        <f>IFERROR(INDEX(CONFIGURACOES!$I$37:$I$300,MATCH($I164,CONFIGURACOES!$B$37:$B$300,0)),"")</f>
        <v/>
      </c>
      <c r="N164" s="21" t="n"/>
      <c r="O164" s="21" t="n"/>
      <c r="P164" s="21" t="n"/>
      <c r="Q164" s="21" t="n"/>
      <c r="R164" s="21">
        <f>IF($N164="","",$N164*IF($Q164="",1,$Q164)*IF($P164="",1,$P164)*IF($O164="",1,$O164))</f>
        <v/>
      </c>
      <c r="S164" s="22">
        <f>IFERROR(INDEX(CONFIGURACOES!$J$37:$J$300,MATCH($I164,CONFIGURACOES!$B$37:$B$300,0)),"")</f>
        <v/>
      </c>
      <c r="T164" s="22">
        <f>IF(OR($R164="",$S164=""),"",$R164*$S164)</f>
        <v/>
      </c>
      <c r="U164" s="20" t="n"/>
      <c r="V164" s="20" t="n"/>
      <c r="W164" s="20" t="n"/>
      <c r="X164">
        <f>IF($A164="","",$A164&amp;"|"&amp;$C164&amp;"|"&amp;$I164)</f>
        <v/>
      </c>
      <c r="Y164">
        <f>IF(AND($A164=RELATORIO_MEDICAO!$C$5,$C164=RELATORIO_MEDICAO!$F$5,$A164&lt;&gt;""),COUNTIFS($A$3:$A164,RELATORIO_MEDICAO!$C$5,$C$3:$C164,RELATORIO_MEDICAO!$F$5),"")</f>
        <v/>
      </c>
      <c r="Z164">
        <f>IF(OR($A164="",PESQUISA!$C$4=""),0,IF(OR(ISNUMBER(SEARCH(PESQUISA!$C$4,$G164)),ISNUMBER(SEARCH(PESQUISA!$C$4,$K164)),ISNUMBER(SEARCH(PESQUISA!$C$4,$L164))),1,0))</f>
        <v/>
      </c>
      <c r="AA164">
        <f>IF($Z164=1,SUM($Z$3:$Z164),"")</f>
        <v/>
      </c>
      <c r="AB164">
        <f>IF(OR($A164="",PESQUISA!$C$50=""),0,IF(ISNUMBER(SEARCH(PESQUISA!$C$50,$I164)),1,0))</f>
        <v/>
      </c>
      <c r="AC164">
        <f>IF($AB164=1,SUM($AB$3:$AB164),"")</f>
        <v/>
      </c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>
        <f>IFERROR(INDEX(CONFIGURACOES!$G$37:$G$300,MATCH($I165,CONFIGURACOES!$B$37:$B$300,0)),"")</f>
        <v/>
      </c>
      <c r="K165" s="20">
        <f>IFERROR(INDEX(CONFIGURACOES!$H$37:$H$300,MATCH($I165,CONFIGURACOES!$B$37:$B$300,0)),"")</f>
        <v/>
      </c>
      <c r="L165" s="20" t="n"/>
      <c r="M165" s="20">
        <f>IFERROR(INDEX(CONFIGURACOES!$I$37:$I$300,MATCH($I165,CONFIGURACOES!$B$37:$B$300,0)),"")</f>
        <v/>
      </c>
      <c r="N165" s="21" t="n"/>
      <c r="O165" s="21" t="n"/>
      <c r="P165" s="21" t="n"/>
      <c r="Q165" s="21" t="n"/>
      <c r="R165" s="21">
        <f>IF($N165="","",$N165*IF($Q165="",1,$Q165)*IF($P165="",1,$P165)*IF($O165="",1,$O165))</f>
        <v/>
      </c>
      <c r="S165" s="22">
        <f>IFERROR(INDEX(CONFIGURACOES!$J$37:$J$300,MATCH($I165,CONFIGURACOES!$B$37:$B$300,0)),"")</f>
        <v/>
      </c>
      <c r="T165" s="22">
        <f>IF(OR($R165="",$S165=""),"",$R165*$S165)</f>
        <v/>
      </c>
      <c r="U165" s="20" t="n"/>
      <c r="V165" s="20" t="n"/>
      <c r="W165" s="20" t="n"/>
      <c r="X165">
        <f>IF($A165="","",$A165&amp;"|"&amp;$C165&amp;"|"&amp;$I165)</f>
        <v/>
      </c>
      <c r="Y165">
        <f>IF(AND($A165=RELATORIO_MEDICAO!$C$5,$C165=RELATORIO_MEDICAO!$F$5,$A165&lt;&gt;""),COUNTIFS($A$3:$A165,RELATORIO_MEDICAO!$C$5,$C$3:$C165,RELATORIO_MEDICAO!$F$5),"")</f>
        <v/>
      </c>
      <c r="Z165">
        <f>IF(OR($A165="",PESQUISA!$C$4=""),0,IF(OR(ISNUMBER(SEARCH(PESQUISA!$C$4,$G165)),ISNUMBER(SEARCH(PESQUISA!$C$4,$K165)),ISNUMBER(SEARCH(PESQUISA!$C$4,$L165))),1,0))</f>
        <v/>
      </c>
      <c r="AA165">
        <f>IF($Z165=1,SUM($Z$3:$Z165),"")</f>
        <v/>
      </c>
      <c r="AB165">
        <f>IF(OR($A165="",PESQUISA!$C$50=""),0,IF(ISNUMBER(SEARCH(PESQUISA!$C$50,$I165)),1,0))</f>
        <v/>
      </c>
      <c r="AC165">
        <f>IF($AB165=1,SUM($AB$3:$AB165),"")</f>
        <v/>
      </c>
    </row>
    <row r="166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>
        <f>IFERROR(INDEX(CONFIGURACOES!$G$37:$G$300,MATCH($I166,CONFIGURACOES!$B$37:$B$300,0)),"")</f>
        <v/>
      </c>
      <c r="K166" s="20">
        <f>IFERROR(INDEX(CONFIGURACOES!$H$37:$H$300,MATCH($I166,CONFIGURACOES!$B$37:$B$300,0)),"")</f>
        <v/>
      </c>
      <c r="L166" s="20" t="n"/>
      <c r="M166" s="20">
        <f>IFERROR(INDEX(CONFIGURACOES!$I$37:$I$300,MATCH($I166,CONFIGURACOES!$B$37:$B$300,0)),"")</f>
        <v/>
      </c>
      <c r="N166" s="21" t="n"/>
      <c r="O166" s="21" t="n"/>
      <c r="P166" s="21" t="n"/>
      <c r="Q166" s="21" t="n"/>
      <c r="R166" s="21">
        <f>IF($N166="","",$N166*IF($Q166="",1,$Q166)*IF($P166="",1,$P166)*IF($O166="",1,$O166))</f>
        <v/>
      </c>
      <c r="S166" s="22">
        <f>IFERROR(INDEX(CONFIGURACOES!$J$37:$J$300,MATCH($I166,CONFIGURACOES!$B$37:$B$300,0)),"")</f>
        <v/>
      </c>
      <c r="T166" s="22">
        <f>IF(OR($R166="",$S166=""),"",$R166*$S166)</f>
        <v/>
      </c>
      <c r="U166" s="20" t="n"/>
      <c r="V166" s="20" t="n"/>
      <c r="W166" s="20" t="n"/>
      <c r="X166">
        <f>IF($A166="","",$A166&amp;"|"&amp;$C166&amp;"|"&amp;$I166)</f>
        <v/>
      </c>
      <c r="Y166">
        <f>IF(AND($A166=RELATORIO_MEDICAO!$C$5,$C166=RELATORIO_MEDICAO!$F$5,$A166&lt;&gt;""),COUNTIFS($A$3:$A166,RELATORIO_MEDICAO!$C$5,$C$3:$C166,RELATORIO_MEDICAO!$F$5),"")</f>
        <v/>
      </c>
      <c r="Z166">
        <f>IF(OR($A166="",PESQUISA!$C$4=""),0,IF(OR(ISNUMBER(SEARCH(PESQUISA!$C$4,$G166)),ISNUMBER(SEARCH(PESQUISA!$C$4,$K166)),ISNUMBER(SEARCH(PESQUISA!$C$4,$L166))),1,0))</f>
        <v/>
      </c>
      <c r="AA166">
        <f>IF($Z166=1,SUM($Z$3:$Z166),"")</f>
        <v/>
      </c>
      <c r="AB166">
        <f>IF(OR($A166="",PESQUISA!$C$50=""),0,IF(ISNUMBER(SEARCH(PESQUISA!$C$50,$I166)),1,0))</f>
        <v/>
      </c>
      <c r="AC166">
        <f>IF($AB166=1,SUM($AB$3:$AB166),"")</f>
        <v/>
      </c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>
        <f>IFERROR(INDEX(CONFIGURACOES!$G$37:$G$300,MATCH($I167,CONFIGURACOES!$B$37:$B$300,0)),"")</f>
        <v/>
      </c>
      <c r="K167" s="20">
        <f>IFERROR(INDEX(CONFIGURACOES!$H$37:$H$300,MATCH($I167,CONFIGURACOES!$B$37:$B$300,0)),"")</f>
        <v/>
      </c>
      <c r="L167" s="20" t="n"/>
      <c r="M167" s="20">
        <f>IFERROR(INDEX(CONFIGURACOES!$I$37:$I$300,MATCH($I167,CONFIGURACOES!$B$37:$B$300,0)),"")</f>
        <v/>
      </c>
      <c r="N167" s="21" t="n"/>
      <c r="O167" s="21" t="n"/>
      <c r="P167" s="21" t="n"/>
      <c r="Q167" s="21" t="n"/>
      <c r="R167" s="21">
        <f>IF($N167="","",$N167*IF($Q167="",1,$Q167)*IF($P167="",1,$P167)*IF($O167="",1,$O167))</f>
        <v/>
      </c>
      <c r="S167" s="22">
        <f>IFERROR(INDEX(CONFIGURACOES!$J$37:$J$300,MATCH($I167,CONFIGURACOES!$B$37:$B$300,0)),"")</f>
        <v/>
      </c>
      <c r="T167" s="22">
        <f>IF(OR($R167="",$S167=""),"",$R167*$S167)</f>
        <v/>
      </c>
      <c r="U167" s="20" t="n"/>
      <c r="V167" s="20" t="n"/>
      <c r="W167" s="20" t="n"/>
      <c r="X167">
        <f>IF($A167="","",$A167&amp;"|"&amp;$C167&amp;"|"&amp;$I167)</f>
        <v/>
      </c>
      <c r="Y167">
        <f>IF(AND($A167=RELATORIO_MEDICAO!$C$5,$C167=RELATORIO_MEDICAO!$F$5,$A167&lt;&gt;""),COUNTIFS($A$3:$A167,RELATORIO_MEDICAO!$C$5,$C$3:$C167,RELATORIO_MEDICAO!$F$5),"")</f>
        <v/>
      </c>
      <c r="Z167">
        <f>IF(OR($A167="",PESQUISA!$C$4=""),0,IF(OR(ISNUMBER(SEARCH(PESQUISA!$C$4,$G167)),ISNUMBER(SEARCH(PESQUISA!$C$4,$K167)),ISNUMBER(SEARCH(PESQUISA!$C$4,$L167))),1,0))</f>
        <v/>
      </c>
      <c r="AA167">
        <f>IF($Z167=1,SUM($Z$3:$Z167),"")</f>
        <v/>
      </c>
      <c r="AB167">
        <f>IF(OR($A167="",PESQUISA!$C$50=""),0,IF(ISNUMBER(SEARCH(PESQUISA!$C$50,$I167)),1,0))</f>
        <v/>
      </c>
      <c r="AC167">
        <f>IF($AB167=1,SUM($AB$3:$AB167),"")</f>
        <v/>
      </c>
    </row>
    <row r="16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>
        <f>IFERROR(INDEX(CONFIGURACOES!$G$37:$G$300,MATCH($I168,CONFIGURACOES!$B$37:$B$300,0)),"")</f>
        <v/>
      </c>
      <c r="K168" s="20">
        <f>IFERROR(INDEX(CONFIGURACOES!$H$37:$H$300,MATCH($I168,CONFIGURACOES!$B$37:$B$300,0)),"")</f>
        <v/>
      </c>
      <c r="L168" s="20" t="n"/>
      <c r="M168" s="20">
        <f>IFERROR(INDEX(CONFIGURACOES!$I$37:$I$300,MATCH($I168,CONFIGURACOES!$B$37:$B$300,0)),"")</f>
        <v/>
      </c>
      <c r="N168" s="21" t="n"/>
      <c r="O168" s="21" t="n"/>
      <c r="P168" s="21" t="n"/>
      <c r="Q168" s="21" t="n"/>
      <c r="R168" s="21">
        <f>IF($N168="","",$N168*IF($Q168="",1,$Q168)*IF($P168="",1,$P168)*IF($O168="",1,$O168))</f>
        <v/>
      </c>
      <c r="S168" s="22">
        <f>IFERROR(INDEX(CONFIGURACOES!$J$37:$J$300,MATCH($I168,CONFIGURACOES!$B$37:$B$300,0)),"")</f>
        <v/>
      </c>
      <c r="T168" s="22">
        <f>IF(OR($R168="",$S168=""),"",$R168*$S168)</f>
        <v/>
      </c>
      <c r="U168" s="20" t="n"/>
      <c r="V168" s="20" t="n"/>
      <c r="W168" s="20" t="n"/>
      <c r="X168">
        <f>IF($A168="","",$A168&amp;"|"&amp;$C168&amp;"|"&amp;$I168)</f>
        <v/>
      </c>
      <c r="Y168">
        <f>IF(AND($A168=RELATORIO_MEDICAO!$C$5,$C168=RELATORIO_MEDICAO!$F$5,$A168&lt;&gt;""),COUNTIFS($A$3:$A168,RELATORIO_MEDICAO!$C$5,$C$3:$C168,RELATORIO_MEDICAO!$F$5),"")</f>
        <v/>
      </c>
      <c r="Z168">
        <f>IF(OR($A168="",PESQUISA!$C$4=""),0,IF(OR(ISNUMBER(SEARCH(PESQUISA!$C$4,$G168)),ISNUMBER(SEARCH(PESQUISA!$C$4,$K168)),ISNUMBER(SEARCH(PESQUISA!$C$4,$L168))),1,0))</f>
        <v/>
      </c>
      <c r="AA168">
        <f>IF($Z168=1,SUM($Z$3:$Z168),"")</f>
        <v/>
      </c>
      <c r="AB168">
        <f>IF(OR($A168="",PESQUISA!$C$50=""),0,IF(ISNUMBER(SEARCH(PESQUISA!$C$50,$I168)),1,0))</f>
        <v/>
      </c>
      <c r="AC168">
        <f>IF($AB168=1,SUM($AB$3:$AB168),"")</f>
        <v/>
      </c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>
        <f>IFERROR(INDEX(CONFIGURACOES!$G$37:$G$300,MATCH($I169,CONFIGURACOES!$B$37:$B$300,0)),"")</f>
        <v/>
      </c>
      <c r="K169" s="20">
        <f>IFERROR(INDEX(CONFIGURACOES!$H$37:$H$300,MATCH($I169,CONFIGURACOES!$B$37:$B$300,0)),"")</f>
        <v/>
      </c>
      <c r="L169" s="20" t="n"/>
      <c r="M169" s="20">
        <f>IFERROR(INDEX(CONFIGURACOES!$I$37:$I$300,MATCH($I169,CONFIGURACOES!$B$37:$B$300,0)),"")</f>
        <v/>
      </c>
      <c r="N169" s="21" t="n"/>
      <c r="O169" s="21" t="n"/>
      <c r="P169" s="21" t="n"/>
      <c r="Q169" s="21" t="n"/>
      <c r="R169" s="21">
        <f>IF($N169="","",$N169*IF($Q169="",1,$Q169)*IF($P169="",1,$P169)*IF($O169="",1,$O169))</f>
        <v/>
      </c>
      <c r="S169" s="22">
        <f>IFERROR(INDEX(CONFIGURACOES!$J$37:$J$300,MATCH($I169,CONFIGURACOES!$B$37:$B$300,0)),"")</f>
        <v/>
      </c>
      <c r="T169" s="22">
        <f>IF(OR($R169="",$S169=""),"",$R169*$S169)</f>
        <v/>
      </c>
      <c r="U169" s="20" t="n"/>
      <c r="V169" s="20" t="n"/>
      <c r="W169" s="20" t="n"/>
      <c r="X169">
        <f>IF($A169="","",$A169&amp;"|"&amp;$C169&amp;"|"&amp;$I169)</f>
        <v/>
      </c>
      <c r="Y169">
        <f>IF(AND($A169=RELATORIO_MEDICAO!$C$5,$C169=RELATORIO_MEDICAO!$F$5,$A169&lt;&gt;""),COUNTIFS($A$3:$A169,RELATORIO_MEDICAO!$C$5,$C$3:$C169,RELATORIO_MEDICAO!$F$5),"")</f>
        <v/>
      </c>
      <c r="Z169">
        <f>IF(OR($A169="",PESQUISA!$C$4=""),0,IF(OR(ISNUMBER(SEARCH(PESQUISA!$C$4,$G169)),ISNUMBER(SEARCH(PESQUISA!$C$4,$K169)),ISNUMBER(SEARCH(PESQUISA!$C$4,$L169))),1,0))</f>
        <v/>
      </c>
      <c r="AA169">
        <f>IF($Z169=1,SUM($Z$3:$Z169),"")</f>
        <v/>
      </c>
      <c r="AB169">
        <f>IF(OR($A169="",PESQUISA!$C$50=""),0,IF(ISNUMBER(SEARCH(PESQUISA!$C$50,$I169)),1,0))</f>
        <v/>
      </c>
      <c r="AC169">
        <f>IF($AB169=1,SUM($AB$3:$AB169),"")</f>
        <v/>
      </c>
    </row>
    <row r="170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>
        <f>IFERROR(INDEX(CONFIGURACOES!$G$37:$G$300,MATCH($I170,CONFIGURACOES!$B$37:$B$300,0)),"")</f>
        <v/>
      </c>
      <c r="K170" s="20">
        <f>IFERROR(INDEX(CONFIGURACOES!$H$37:$H$300,MATCH($I170,CONFIGURACOES!$B$37:$B$300,0)),"")</f>
        <v/>
      </c>
      <c r="L170" s="20" t="n"/>
      <c r="M170" s="20">
        <f>IFERROR(INDEX(CONFIGURACOES!$I$37:$I$300,MATCH($I170,CONFIGURACOES!$B$37:$B$300,0)),"")</f>
        <v/>
      </c>
      <c r="N170" s="21" t="n"/>
      <c r="O170" s="21" t="n"/>
      <c r="P170" s="21" t="n"/>
      <c r="Q170" s="21" t="n"/>
      <c r="R170" s="21">
        <f>IF($N170="","",$N170*IF($Q170="",1,$Q170)*IF($P170="",1,$P170)*IF($O170="",1,$O170))</f>
        <v/>
      </c>
      <c r="S170" s="22">
        <f>IFERROR(INDEX(CONFIGURACOES!$J$37:$J$300,MATCH($I170,CONFIGURACOES!$B$37:$B$300,0)),"")</f>
        <v/>
      </c>
      <c r="T170" s="22">
        <f>IF(OR($R170="",$S170=""),"",$R170*$S170)</f>
        <v/>
      </c>
      <c r="U170" s="20" t="n"/>
      <c r="V170" s="20" t="n"/>
      <c r="W170" s="20" t="n"/>
      <c r="X170">
        <f>IF($A170="","",$A170&amp;"|"&amp;$C170&amp;"|"&amp;$I170)</f>
        <v/>
      </c>
      <c r="Y170">
        <f>IF(AND($A170=RELATORIO_MEDICAO!$C$5,$C170=RELATORIO_MEDICAO!$F$5,$A170&lt;&gt;""),COUNTIFS($A$3:$A170,RELATORIO_MEDICAO!$C$5,$C$3:$C170,RELATORIO_MEDICAO!$F$5),"")</f>
        <v/>
      </c>
      <c r="Z170">
        <f>IF(OR($A170="",PESQUISA!$C$4=""),0,IF(OR(ISNUMBER(SEARCH(PESQUISA!$C$4,$G170)),ISNUMBER(SEARCH(PESQUISA!$C$4,$K170)),ISNUMBER(SEARCH(PESQUISA!$C$4,$L170))),1,0))</f>
        <v/>
      </c>
      <c r="AA170">
        <f>IF($Z170=1,SUM($Z$3:$Z170),"")</f>
        <v/>
      </c>
      <c r="AB170">
        <f>IF(OR($A170="",PESQUISA!$C$50=""),0,IF(ISNUMBER(SEARCH(PESQUISA!$C$50,$I170)),1,0))</f>
        <v/>
      </c>
      <c r="AC170">
        <f>IF($AB170=1,SUM($AB$3:$AB170),"")</f>
        <v/>
      </c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>
        <f>IFERROR(INDEX(CONFIGURACOES!$G$37:$G$300,MATCH($I171,CONFIGURACOES!$B$37:$B$300,0)),"")</f>
        <v/>
      </c>
      <c r="K171" s="20">
        <f>IFERROR(INDEX(CONFIGURACOES!$H$37:$H$300,MATCH($I171,CONFIGURACOES!$B$37:$B$300,0)),"")</f>
        <v/>
      </c>
      <c r="L171" s="20" t="n"/>
      <c r="M171" s="20">
        <f>IFERROR(INDEX(CONFIGURACOES!$I$37:$I$300,MATCH($I171,CONFIGURACOES!$B$37:$B$300,0)),"")</f>
        <v/>
      </c>
      <c r="N171" s="21" t="n"/>
      <c r="O171" s="21" t="n"/>
      <c r="P171" s="21" t="n"/>
      <c r="Q171" s="21" t="n"/>
      <c r="R171" s="21">
        <f>IF($N171="","",$N171*IF($Q171="",1,$Q171)*IF($P171="",1,$P171)*IF($O171="",1,$O171))</f>
        <v/>
      </c>
      <c r="S171" s="22">
        <f>IFERROR(INDEX(CONFIGURACOES!$J$37:$J$300,MATCH($I171,CONFIGURACOES!$B$37:$B$300,0)),"")</f>
        <v/>
      </c>
      <c r="T171" s="22">
        <f>IF(OR($R171="",$S171=""),"",$R171*$S171)</f>
        <v/>
      </c>
      <c r="U171" s="20" t="n"/>
      <c r="V171" s="20" t="n"/>
      <c r="W171" s="20" t="n"/>
      <c r="X171">
        <f>IF($A171="","",$A171&amp;"|"&amp;$C171&amp;"|"&amp;$I171)</f>
        <v/>
      </c>
      <c r="Y171">
        <f>IF(AND($A171=RELATORIO_MEDICAO!$C$5,$C171=RELATORIO_MEDICAO!$F$5,$A171&lt;&gt;""),COUNTIFS($A$3:$A171,RELATORIO_MEDICAO!$C$5,$C$3:$C171,RELATORIO_MEDICAO!$F$5),"")</f>
        <v/>
      </c>
      <c r="Z171">
        <f>IF(OR($A171="",PESQUISA!$C$4=""),0,IF(OR(ISNUMBER(SEARCH(PESQUISA!$C$4,$G171)),ISNUMBER(SEARCH(PESQUISA!$C$4,$K171)),ISNUMBER(SEARCH(PESQUISA!$C$4,$L171))),1,0))</f>
        <v/>
      </c>
      <c r="AA171">
        <f>IF($Z171=1,SUM($Z$3:$Z171),"")</f>
        <v/>
      </c>
      <c r="AB171">
        <f>IF(OR($A171="",PESQUISA!$C$50=""),0,IF(ISNUMBER(SEARCH(PESQUISA!$C$50,$I171)),1,0))</f>
        <v/>
      </c>
      <c r="AC171">
        <f>IF($AB171=1,SUM($AB$3:$AB171),"")</f>
        <v/>
      </c>
    </row>
    <row r="172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>
        <f>IFERROR(INDEX(CONFIGURACOES!$G$37:$G$300,MATCH($I172,CONFIGURACOES!$B$37:$B$300,0)),"")</f>
        <v/>
      </c>
      <c r="K172" s="20">
        <f>IFERROR(INDEX(CONFIGURACOES!$H$37:$H$300,MATCH($I172,CONFIGURACOES!$B$37:$B$300,0)),"")</f>
        <v/>
      </c>
      <c r="L172" s="20" t="n"/>
      <c r="M172" s="20">
        <f>IFERROR(INDEX(CONFIGURACOES!$I$37:$I$300,MATCH($I172,CONFIGURACOES!$B$37:$B$300,0)),"")</f>
        <v/>
      </c>
      <c r="N172" s="21" t="n"/>
      <c r="O172" s="21" t="n"/>
      <c r="P172" s="21" t="n"/>
      <c r="Q172" s="21" t="n"/>
      <c r="R172" s="21">
        <f>IF($N172="","",$N172*IF($Q172="",1,$Q172)*IF($P172="",1,$P172)*IF($O172="",1,$O172))</f>
        <v/>
      </c>
      <c r="S172" s="22">
        <f>IFERROR(INDEX(CONFIGURACOES!$J$37:$J$300,MATCH($I172,CONFIGURACOES!$B$37:$B$300,0)),"")</f>
        <v/>
      </c>
      <c r="T172" s="22">
        <f>IF(OR($R172="",$S172=""),"",$R172*$S172)</f>
        <v/>
      </c>
      <c r="U172" s="20" t="n"/>
      <c r="V172" s="20" t="n"/>
      <c r="W172" s="20" t="n"/>
      <c r="X172">
        <f>IF($A172="","",$A172&amp;"|"&amp;$C172&amp;"|"&amp;$I172)</f>
        <v/>
      </c>
      <c r="Y172">
        <f>IF(AND($A172=RELATORIO_MEDICAO!$C$5,$C172=RELATORIO_MEDICAO!$F$5,$A172&lt;&gt;""),COUNTIFS($A$3:$A172,RELATORIO_MEDICAO!$C$5,$C$3:$C172,RELATORIO_MEDICAO!$F$5),"")</f>
        <v/>
      </c>
      <c r="Z172">
        <f>IF(OR($A172="",PESQUISA!$C$4=""),0,IF(OR(ISNUMBER(SEARCH(PESQUISA!$C$4,$G172)),ISNUMBER(SEARCH(PESQUISA!$C$4,$K172)),ISNUMBER(SEARCH(PESQUISA!$C$4,$L172))),1,0))</f>
        <v/>
      </c>
      <c r="AA172">
        <f>IF($Z172=1,SUM($Z$3:$Z172),"")</f>
        <v/>
      </c>
      <c r="AB172">
        <f>IF(OR($A172="",PESQUISA!$C$50=""),0,IF(ISNUMBER(SEARCH(PESQUISA!$C$50,$I172)),1,0))</f>
        <v/>
      </c>
      <c r="AC172">
        <f>IF($AB172=1,SUM($AB$3:$AB172),"")</f>
        <v/>
      </c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>
        <f>IFERROR(INDEX(CONFIGURACOES!$G$37:$G$300,MATCH($I173,CONFIGURACOES!$B$37:$B$300,0)),"")</f>
        <v/>
      </c>
      <c r="K173" s="20">
        <f>IFERROR(INDEX(CONFIGURACOES!$H$37:$H$300,MATCH($I173,CONFIGURACOES!$B$37:$B$300,0)),"")</f>
        <v/>
      </c>
      <c r="L173" s="20" t="n"/>
      <c r="M173" s="20">
        <f>IFERROR(INDEX(CONFIGURACOES!$I$37:$I$300,MATCH($I173,CONFIGURACOES!$B$37:$B$300,0)),"")</f>
        <v/>
      </c>
      <c r="N173" s="21" t="n"/>
      <c r="O173" s="21" t="n"/>
      <c r="P173" s="21" t="n"/>
      <c r="Q173" s="21" t="n"/>
      <c r="R173" s="21">
        <f>IF($N173="","",$N173*IF($Q173="",1,$Q173)*IF($P173="",1,$P173)*IF($O173="",1,$O173))</f>
        <v/>
      </c>
      <c r="S173" s="22">
        <f>IFERROR(INDEX(CONFIGURACOES!$J$37:$J$300,MATCH($I173,CONFIGURACOES!$B$37:$B$300,0)),"")</f>
        <v/>
      </c>
      <c r="T173" s="22">
        <f>IF(OR($R173="",$S173=""),"",$R173*$S173)</f>
        <v/>
      </c>
      <c r="U173" s="20" t="n"/>
      <c r="V173" s="20" t="n"/>
      <c r="W173" s="20" t="n"/>
      <c r="X173">
        <f>IF($A173="","",$A173&amp;"|"&amp;$C173&amp;"|"&amp;$I173)</f>
        <v/>
      </c>
      <c r="Y173">
        <f>IF(AND($A173=RELATORIO_MEDICAO!$C$5,$C173=RELATORIO_MEDICAO!$F$5,$A173&lt;&gt;""),COUNTIFS($A$3:$A173,RELATORIO_MEDICAO!$C$5,$C$3:$C173,RELATORIO_MEDICAO!$F$5),"")</f>
        <v/>
      </c>
      <c r="Z173">
        <f>IF(OR($A173="",PESQUISA!$C$4=""),0,IF(OR(ISNUMBER(SEARCH(PESQUISA!$C$4,$G173)),ISNUMBER(SEARCH(PESQUISA!$C$4,$K173)),ISNUMBER(SEARCH(PESQUISA!$C$4,$L173))),1,0))</f>
        <v/>
      </c>
      <c r="AA173">
        <f>IF($Z173=1,SUM($Z$3:$Z173),"")</f>
        <v/>
      </c>
      <c r="AB173">
        <f>IF(OR($A173="",PESQUISA!$C$50=""),0,IF(ISNUMBER(SEARCH(PESQUISA!$C$50,$I173)),1,0))</f>
        <v/>
      </c>
      <c r="AC173">
        <f>IF($AB173=1,SUM($AB$3:$AB173),"")</f>
        <v/>
      </c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>
        <f>IFERROR(INDEX(CONFIGURACOES!$G$37:$G$300,MATCH($I174,CONFIGURACOES!$B$37:$B$300,0)),"")</f>
        <v/>
      </c>
      <c r="K174" s="20">
        <f>IFERROR(INDEX(CONFIGURACOES!$H$37:$H$300,MATCH($I174,CONFIGURACOES!$B$37:$B$300,0)),"")</f>
        <v/>
      </c>
      <c r="L174" s="20" t="n"/>
      <c r="M174" s="20">
        <f>IFERROR(INDEX(CONFIGURACOES!$I$37:$I$300,MATCH($I174,CONFIGURACOES!$B$37:$B$300,0)),"")</f>
        <v/>
      </c>
      <c r="N174" s="21" t="n"/>
      <c r="O174" s="21" t="n"/>
      <c r="P174" s="21" t="n"/>
      <c r="Q174" s="21" t="n"/>
      <c r="R174" s="21">
        <f>IF($N174="","",$N174*IF($Q174="",1,$Q174)*IF($P174="",1,$P174)*IF($O174="",1,$O174))</f>
        <v/>
      </c>
      <c r="S174" s="22">
        <f>IFERROR(INDEX(CONFIGURACOES!$J$37:$J$300,MATCH($I174,CONFIGURACOES!$B$37:$B$300,0)),"")</f>
        <v/>
      </c>
      <c r="T174" s="22">
        <f>IF(OR($R174="",$S174=""),"",$R174*$S174)</f>
        <v/>
      </c>
      <c r="U174" s="20" t="n"/>
      <c r="V174" s="20" t="n"/>
      <c r="W174" s="20" t="n"/>
      <c r="X174">
        <f>IF($A174="","",$A174&amp;"|"&amp;$C174&amp;"|"&amp;$I174)</f>
        <v/>
      </c>
      <c r="Y174">
        <f>IF(AND($A174=RELATORIO_MEDICAO!$C$5,$C174=RELATORIO_MEDICAO!$F$5,$A174&lt;&gt;""),COUNTIFS($A$3:$A174,RELATORIO_MEDICAO!$C$5,$C$3:$C174,RELATORIO_MEDICAO!$F$5),"")</f>
        <v/>
      </c>
      <c r="Z174">
        <f>IF(OR($A174="",PESQUISA!$C$4=""),0,IF(OR(ISNUMBER(SEARCH(PESQUISA!$C$4,$G174)),ISNUMBER(SEARCH(PESQUISA!$C$4,$K174)),ISNUMBER(SEARCH(PESQUISA!$C$4,$L174))),1,0))</f>
        <v/>
      </c>
      <c r="AA174">
        <f>IF($Z174=1,SUM($Z$3:$Z174),"")</f>
        <v/>
      </c>
      <c r="AB174">
        <f>IF(OR($A174="",PESQUISA!$C$50=""),0,IF(ISNUMBER(SEARCH(PESQUISA!$C$50,$I174)),1,0))</f>
        <v/>
      </c>
      <c r="AC174">
        <f>IF($AB174=1,SUM($AB$3:$AB174),"")</f>
        <v/>
      </c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>
        <f>IFERROR(INDEX(CONFIGURACOES!$G$37:$G$300,MATCH($I175,CONFIGURACOES!$B$37:$B$300,0)),"")</f>
        <v/>
      </c>
      <c r="K175" s="20">
        <f>IFERROR(INDEX(CONFIGURACOES!$H$37:$H$300,MATCH($I175,CONFIGURACOES!$B$37:$B$300,0)),"")</f>
        <v/>
      </c>
      <c r="L175" s="20" t="n"/>
      <c r="M175" s="20">
        <f>IFERROR(INDEX(CONFIGURACOES!$I$37:$I$300,MATCH($I175,CONFIGURACOES!$B$37:$B$300,0)),"")</f>
        <v/>
      </c>
      <c r="N175" s="21" t="n"/>
      <c r="O175" s="21" t="n"/>
      <c r="P175" s="21" t="n"/>
      <c r="Q175" s="21" t="n"/>
      <c r="R175" s="21">
        <f>IF($N175="","",$N175*IF($Q175="",1,$Q175)*IF($P175="",1,$P175)*IF($O175="",1,$O175))</f>
        <v/>
      </c>
      <c r="S175" s="22">
        <f>IFERROR(INDEX(CONFIGURACOES!$J$37:$J$300,MATCH($I175,CONFIGURACOES!$B$37:$B$300,0)),"")</f>
        <v/>
      </c>
      <c r="T175" s="22">
        <f>IF(OR($R175="",$S175=""),"",$R175*$S175)</f>
        <v/>
      </c>
      <c r="U175" s="20" t="n"/>
      <c r="V175" s="20" t="n"/>
      <c r="W175" s="20" t="n"/>
      <c r="X175">
        <f>IF($A175="","",$A175&amp;"|"&amp;$C175&amp;"|"&amp;$I175)</f>
        <v/>
      </c>
      <c r="Y175">
        <f>IF(AND($A175=RELATORIO_MEDICAO!$C$5,$C175=RELATORIO_MEDICAO!$F$5,$A175&lt;&gt;""),COUNTIFS($A$3:$A175,RELATORIO_MEDICAO!$C$5,$C$3:$C175,RELATORIO_MEDICAO!$F$5),"")</f>
        <v/>
      </c>
      <c r="Z175">
        <f>IF(OR($A175="",PESQUISA!$C$4=""),0,IF(OR(ISNUMBER(SEARCH(PESQUISA!$C$4,$G175)),ISNUMBER(SEARCH(PESQUISA!$C$4,$K175)),ISNUMBER(SEARCH(PESQUISA!$C$4,$L175))),1,0))</f>
        <v/>
      </c>
      <c r="AA175">
        <f>IF($Z175=1,SUM($Z$3:$Z175),"")</f>
        <v/>
      </c>
      <c r="AB175">
        <f>IF(OR($A175="",PESQUISA!$C$50=""),0,IF(ISNUMBER(SEARCH(PESQUISA!$C$50,$I175)),1,0))</f>
        <v/>
      </c>
      <c r="AC175">
        <f>IF($AB175=1,SUM($AB$3:$AB175),"")</f>
        <v/>
      </c>
    </row>
    <row r="176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>
        <f>IFERROR(INDEX(CONFIGURACOES!$G$37:$G$300,MATCH($I176,CONFIGURACOES!$B$37:$B$300,0)),"")</f>
        <v/>
      </c>
      <c r="K176" s="20">
        <f>IFERROR(INDEX(CONFIGURACOES!$H$37:$H$300,MATCH($I176,CONFIGURACOES!$B$37:$B$300,0)),"")</f>
        <v/>
      </c>
      <c r="L176" s="20" t="n"/>
      <c r="M176" s="20">
        <f>IFERROR(INDEX(CONFIGURACOES!$I$37:$I$300,MATCH($I176,CONFIGURACOES!$B$37:$B$300,0)),"")</f>
        <v/>
      </c>
      <c r="N176" s="21" t="n"/>
      <c r="O176" s="21" t="n"/>
      <c r="P176" s="21" t="n"/>
      <c r="Q176" s="21" t="n"/>
      <c r="R176" s="21">
        <f>IF($N176="","",$N176*IF($Q176="",1,$Q176)*IF($P176="",1,$P176)*IF($O176="",1,$O176))</f>
        <v/>
      </c>
      <c r="S176" s="22">
        <f>IFERROR(INDEX(CONFIGURACOES!$J$37:$J$300,MATCH($I176,CONFIGURACOES!$B$37:$B$300,0)),"")</f>
        <v/>
      </c>
      <c r="T176" s="22">
        <f>IF(OR($R176="",$S176=""),"",$R176*$S176)</f>
        <v/>
      </c>
      <c r="U176" s="20" t="n"/>
      <c r="V176" s="20" t="n"/>
      <c r="W176" s="20" t="n"/>
      <c r="X176">
        <f>IF($A176="","",$A176&amp;"|"&amp;$C176&amp;"|"&amp;$I176)</f>
        <v/>
      </c>
      <c r="Y176">
        <f>IF(AND($A176=RELATORIO_MEDICAO!$C$5,$C176=RELATORIO_MEDICAO!$F$5,$A176&lt;&gt;""),COUNTIFS($A$3:$A176,RELATORIO_MEDICAO!$C$5,$C$3:$C176,RELATORIO_MEDICAO!$F$5),"")</f>
        <v/>
      </c>
      <c r="Z176">
        <f>IF(OR($A176="",PESQUISA!$C$4=""),0,IF(OR(ISNUMBER(SEARCH(PESQUISA!$C$4,$G176)),ISNUMBER(SEARCH(PESQUISA!$C$4,$K176)),ISNUMBER(SEARCH(PESQUISA!$C$4,$L176))),1,0))</f>
        <v/>
      </c>
      <c r="AA176">
        <f>IF($Z176=1,SUM($Z$3:$Z176),"")</f>
        <v/>
      </c>
      <c r="AB176">
        <f>IF(OR($A176="",PESQUISA!$C$50=""),0,IF(ISNUMBER(SEARCH(PESQUISA!$C$50,$I176)),1,0))</f>
        <v/>
      </c>
      <c r="AC176">
        <f>IF($AB176=1,SUM($AB$3:$AB176),"")</f>
        <v/>
      </c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>
        <f>IFERROR(INDEX(CONFIGURACOES!$G$37:$G$300,MATCH($I177,CONFIGURACOES!$B$37:$B$300,0)),"")</f>
        <v/>
      </c>
      <c r="K177" s="20">
        <f>IFERROR(INDEX(CONFIGURACOES!$H$37:$H$300,MATCH($I177,CONFIGURACOES!$B$37:$B$300,0)),"")</f>
        <v/>
      </c>
      <c r="L177" s="20" t="n"/>
      <c r="M177" s="20">
        <f>IFERROR(INDEX(CONFIGURACOES!$I$37:$I$300,MATCH($I177,CONFIGURACOES!$B$37:$B$300,0)),"")</f>
        <v/>
      </c>
      <c r="N177" s="21" t="n"/>
      <c r="O177" s="21" t="n"/>
      <c r="P177" s="21" t="n"/>
      <c r="Q177" s="21" t="n"/>
      <c r="R177" s="21">
        <f>IF($N177="","",$N177*IF($Q177="",1,$Q177)*IF($P177="",1,$P177)*IF($O177="",1,$O177))</f>
        <v/>
      </c>
      <c r="S177" s="22">
        <f>IFERROR(INDEX(CONFIGURACOES!$J$37:$J$300,MATCH($I177,CONFIGURACOES!$B$37:$B$300,0)),"")</f>
        <v/>
      </c>
      <c r="T177" s="22">
        <f>IF(OR($R177="",$S177=""),"",$R177*$S177)</f>
        <v/>
      </c>
      <c r="U177" s="20" t="n"/>
      <c r="V177" s="20" t="n"/>
      <c r="W177" s="20" t="n"/>
      <c r="X177">
        <f>IF($A177="","",$A177&amp;"|"&amp;$C177&amp;"|"&amp;$I177)</f>
        <v/>
      </c>
      <c r="Y177">
        <f>IF(AND($A177=RELATORIO_MEDICAO!$C$5,$C177=RELATORIO_MEDICAO!$F$5,$A177&lt;&gt;""),COUNTIFS($A$3:$A177,RELATORIO_MEDICAO!$C$5,$C$3:$C177,RELATORIO_MEDICAO!$F$5),"")</f>
        <v/>
      </c>
      <c r="Z177">
        <f>IF(OR($A177="",PESQUISA!$C$4=""),0,IF(OR(ISNUMBER(SEARCH(PESQUISA!$C$4,$G177)),ISNUMBER(SEARCH(PESQUISA!$C$4,$K177)),ISNUMBER(SEARCH(PESQUISA!$C$4,$L177))),1,0))</f>
        <v/>
      </c>
      <c r="AA177">
        <f>IF($Z177=1,SUM($Z$3:$Z177),"")</f>
        <v/>
      </c>
      <c r="AB177">
        <f>IF(OR($A177="",PESQUISA!$C$50=""),0,IF(ISNUMBER(SEARCH(PESQUISA!$C$50,$I177)),1,0))</f>
        <v/>
      </c>
      <c r="AC177">
        <f>IF($AB177=1,SUM($AB$3:$AB177),"")</f>
        <v/>
      </c>
    </row>
    <row r="17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>
        <f>IFERROR(INDEX(CONFIGURACOES!$G$37:$G$300,MATCH($I178,CONFIGURACOES!$B$37:$B$300,0)),"")</f>
        <v/>
      </c>
      <c r="K178" s="20">
        <f>IFERROR(INDEX(CONFIGURACOES!$H$37:$H$300,MATCH($I178,CONFIGURACOES!$B$37:$B$300,0)),"")</f>
        <v/>
      </c>
      <c r="L178" s="20" t="n"/>
      <c r="M178" s="20">
        <f>IFERROR(INDEX(CONFIGURACOES!$I$37:$I$300,MATCH($I178,CONFIGURACOES!$B$37:$B$300,0)),"")</f>
        <v/>
      </c>
      <c r="N178" s="21" t="n"/>
      <c r="O178" s="21" t="n"/>
      <c r="P178" s="21" t="n"/>
      <c r="Q178" s="21" t="n"/>
      <c r="R178" s="21">
        <f>IF($N178="","",$N178*IF($Q178="",1,$Q178)*IF($P178="",1,$P178)*IF($O178="",1,$O178))</f>
        <v/>
      </c>
      <c r="S178" s="22">
        <f>IFERROR(INDEX(CONFIGURACOES!$J$37:$J$300,MATCH($I178,CONFIGURACOES!$B$37:$B$300,0)),"")</f>
        <v/>
      </c>
      <c r="T178" s="22">
        <f>IF(OR($R178="",$S178=""),"",$R178*$S178)</f>
        <v/>
      </c>
      <c r="U178" s="20" t="n"/>
      <c r="V178" s="20" t="n"/>
      <c r="W178" s="20" t="n"/>
      <c r="X178">
        <f>IF($A178="","",$A178&amp;"|"&amp;$C178&amp;"|"&amp;$I178)</f>
        <v/>
      </c>
      <c r="Y178">
        <f>IF(AND($A178=RELATORIO_MEDICAO!$C$5,$C178=RELATORIO_MEDICAO!$F$5,$A178&lt;&gt;""),COUNTIFS($A$3:$A178,RELATORIO_MEDICAO!$C$5,$C$3:$C178,RELATORIO_MEDICAO!$F$5),"")</f>
        <v/>
      </c>
      <c r="Z178">
        <f>IF(OR($A178="",PESQUISA!$C$4=""),0,IF(OR(ISNUMBER(SEARCH(PESQUISA!$C$4,$G178)),ISNUMBER(SEARCH(PESQUISA!$C$4,$K178)),ISNUMBER(SEARCH(PESQUISA!$C$4,$L178))),1,0))</f>
        <v/>
      </c>
      <c r="AA178">
        <f>IF($Z178=1,SUM($Z$3:$Z178),"")</f>
        <v/>
      </c>
      <c r="AB178">
        <f>IF(OR($A178="",PESQUISA!$C$50=""),0,IF(ISNUMBER(SEARCH(PESQUISA!$C$50,$I178)),1,0))</f>
        <v/>
      </c>
      <c r="AC178">
        <f>IF($AB178=1,SUM($AB$3:$AB178),"")</f>
        <v/>
      </c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>
        <f>IFERROR(INDEX(CONFIGURACOES!$G$37:$G$300,MATCH($I179,CONFIGURACOES!$B$37:$B$300,0)),"")</f>
        <v/>
      </c>
      <c r="K179" s="20">
        <f>IFERROR(INDEX(CONFIGURACOES!$H$37:$H$300,MATCH($I179,CONFIGURACOES!$B$37:$B$300,0)),"")</f>
        <v/>
      </c>
      <c r="L179" s="20" t="n"/>
      <c r="M179" s="20">
        <f>IFERROR(INDEX(CONFIGURACOES!$I$37:$I$300,MATCH($I179,CONFIGURACOES!$B$37:$B$300,0)),"")</f>
        <v/>
      </c>
      <c r="N179" s="21" t="n"/>
      <c r="O179" s="21" t="n"/>
      <c r="P179" s="21" t="n"/>
      <c r="Q179" s="21" t="n"/>
      <c r="R179" s="21">
        <f>IF($N179="","",$N179*IF($Q179="",1,$Q179)*IF($P179="",1,$P179)*IF($O179="",1,$O179))</f>
        <v/>
      </c>
      <c r="S179" s="22">
        <f>IFERROR(INDEX(CONFIGURACOES!$J$37:$J$300,MATCH($I179,CONFIGURACOES!$B$37:$B$300,0)),"")</f>
        <v/>
      </c>
      <c r="T179" s="22">
        <f>IF(OR($R179="",$S179=""),"",$R179*$S179)</f>
        <v/>
      </c>
      <c r="U179" s="20" t="n"/>
      <c r="V179" s="20" t="n"/>
      <c r="W179" s="20" t="n"/>
      <c r="X179">
        <f>IF($A179="","",$A179&amp;"|"&amp;$C179&amp;"|"&amp;$I179)</f>
        <v/>
      </c>
      <c r="Y179">
        <f>IF(AND($A179=RELATORIO_MEDICAO!$C$5,$C179=RELATORIO_MEDICAO!$F$5,$A179&lt;&gt;""),COUNTIFS($A$3:$A179,RELATORIO_MEDICAO!$C$5,$C$3:$C179,RELATORIO_MEDICAO!$F$5),"")</f>
        <v/>
      </c>
      <c r="Z179">
        <f>IF(OR($A179="",PESQUISA!$C$4=""),0,IF(OR(ISNUMBER(SEARCH(PESQUISA!$C$4,$G179)),ISNUMBER(SEARCH(PESQUISA!$C$4,$K179)),ISNUMBER(SEARCH(PESQUISA!$C$4,$L179))),1,0))</f>
        <v/>
      </c>
      <c r="AA179">
        <f>IF($Z179=1,SUM($Z$3:$Z179),"")</f>
        <v/>
      </c>
      <c r="AB179">
        <f>IF(OR($A179="",PESQUISA!$C$50=""),0,IF(ISNUMBER(SEARCH(PESQUISA!$C$50,$I179)),1,0))</f>
        <v/>
      </c>
      <c r="AC179">
        <f>IF($AB179=1,SUM($AB$3:$AB179),"")</f>
        <v/>
      </c>
    </row>
    <row r="180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>
        <f>IFERROR(INDEX(CONFIGURACOES!$G$37:$G$300,MATCH($I180,CONFIGURACOES!$B$37:$B$300,0)),"")</f>
        <v/>
      </c>
      <c r="K180" s="20">
        <f>IFERROR(INDEX(CONFIGURACOES!$H$37:$H$300,MATCH($I180,CONFIGURACOES!$B$37:$B$300,0)),"")</f>
        <v/>
      </c>
      <c r="L180" s="20" t="n"/>
      <c r="M180" s="20">
        <f>IFERROR(INDEX(CONFIGURACOES!$I$37:$I$300,MATCH($I180,CONFIGURACOES!$B$37:$B$300,0)),"")</f>
        <v/>
      </c>
      <c r="N180" s="21" t="n"/>
      <c r="O180" s="21" t="n"/>
      <c r="P180" s="21" t="n"/>
      <c r="Q180" s="21" t="n"/>
      <c r="R180" s="21">
        <f>IF($N180="","",$N180*IF($Q180="",1,$Q180)*IF($P180="",1,$P180)*IF($O180="",1,$O180))</f>
        <v/>
      </c>
      <c r="S180" s="22">
        <f>IFERROR(INDEX(CONFIGURACOES!$J$37:$J$300,MATCH($I180,CONFIGURACOES!$B$37:$B$300,0)),"")</f>
        <v/>
      </c>
      <c r="T180" s="22">
        <f>IF(OR($R180="",$S180=""),"",$R180*$S180)</f>
        <v/>
      </c>
      <c r="U180" s="20" t="n"/>
      <c r="V180" s="20" t="n"/>
      <c r="W180" s="20" t="n"/>
      <c r="X180">
        <f>IF($A180="","",$A180&amp;"|"&amp;$C180&amp;"|"&amp;$I180)</f>
        <v/>
      </c>
      <c r="Y180">
        <f>IF(AND($A180=RELATORIO_MEDICAO!$C$5,$C180=RELATORIO_MEDICAO!$F$5,$A180&lt;&gt;""),COUNTIFS($A$3:$A180,RELATORIO_MEDICAO!$C$5,$C$3:$C180,RELATORIO_MEDICAO!$F$5),"")</f>
        <v/>
      </c>
      <c r="Z180">
        <f>IF(OR($A180="",PESQUISA!$C$4=""),0,IF(OR(ISNUMBER(SEARCH(PESQUISA!$C$4,$G180)),ISNUMBER(SEARCH(PESQUISA!$C$4,$K180)),ISNUMBER(SEARCH(PESQUISA!$C$4,$L180))),1,0))</f>
        <v/>
      </c>
      <c r="AA180">
        <f>IF($Z180=1,SUM($Z$3:$Z180),"")</f>
        <v/>
      </c>
      <c r="AB180">
        <f>IF(OR($A180="",PESQUISA!$C$50=""),0,IF(ISNUMBER(SEARCH(PESQUISA!$C$50,$I180)),1,0))</f>
        <v/>
      </c>
      <c r="AC180">
        <f>IF($AB180=1,SUM($AB$3:$AB180),"")</f>
        <v/>
      </c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>
        <f>IFERROR(INDEX(CONFIGURACOES!$G$37:$G$300,MATCH($I181,CONFIGURACOES!$B$37:$B$300,0)),"")</f>
        <v/>
      </c>
      <c r="K181" s="20">
        <f>IFERROR(INDEX(CONFIGURACOES!$H$37:$H$300,MATCH($I181,CONFIGURACOES!$B$37:$B$300,0)),"")</f>
        <v/>
      </c>
      <c r="L181" s="20" t="n"/>
      <c r="M181" s="20">
        <f>IFERROR(INDEX(CONFIGURACOES!$I$37:$I$300,MATCH($I181,CONFIGURACOES!$B$37:$B$300,0)),"")</f>
        <v/>
      </c>
      <c r="N181" s="21" t="n"/>
      <c r="O181" s="21" t="n"/>
      <c r="P181" s="21" t="n"/>
      <c r="Q181" s="21" t="n"/>
      <c r="R181" s="21">
        <f>IF($N181="","",$N181*IF($Q181="",1,$Q181)*IF($P181="",1,$P181)*IF($O181="",1,$O181))</f>
        <v/>
      </c>
      <c r="S181" s="22">
        <f>IFERROR(INDEX(CONFIGURACOES!$J$37:$J$300,MATCH($I181,CONFIGURACOES!$B$37:$B$300,0)),"")</f>
        <v/>
      </c>
      <c r="T181" s="22">
        <f>IF(OR($R181="",$S181=""),"",$R181*$S181)</f>
        <v/>
      </c>
      <c r="U181" s="20" t="n"/>
      <c r="V181" s="20" t="n"/>
      <c r="W181" s="20" t="n"/>
      <c r="X181">
        <f>IF($A181="","",$A181&amp;"|"&amp;$C181&amp;"|"&amp;$I181)</f>
        <v/>
      </c>
      <c r="Y181">
        <f>IF(AND($A181=RELATORIO_MEDICAO!$C$5,$C181=RELATORIO_MEDICAO!$F$5,$A181&lt;&gt;""),COUNTIFS($A$3:$A181,RELATORIO_MEDICAO!$C$5,$C$3:$C181,RELATORIO_MEDICAO!$F$5),"")</f>
        <v/>
      </c>
      <c r="Z181">
        <f>IF(OR($A181="",PESQUISA!$C$4=""),0,IF(OR(ISNUMBER(SEARCH(PESQUISA!$C$4,$G181)),ISNUMBER(SEARCH(PESQUISA!$C$4,$K181)),ISNUMBER(SEARCH(PESQUISA!$C$4,$L181))),1,0))</f>
        <v/>
      </c>
      <c r="AA181">
        <f>IF($Z181=1,SUM($Z$3:$Z181),"")</f>
        <v/>
      </c>
      <c r="AB181">
        <f>IF(OR($A181="",PESQUISA!$C$50=""),0,IF(ISNUMBER(SEARCH(PESQUISA!$C$50,$I181)),1,0))</f>
        <v/>
      </c>
      <c r="AC181">
        <f>IF($AB181=1,SUM($AB$3:$AB181),"")</f>
        <v/>
      </c>
    </row>
    <row r="182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>
        <f>IFERROR(INDEX(CONFIGURACOES!$G$37:$G$300,MATCH($I182,CONFIGURACOES!$B$37:$B$300,0)),"")</f>
        <v/>
      </c>
      <c r="K182" s="20">
        <f>IFERROR(INDEX(CONFIGURACOES!$H$37:$H$300,MATCH($I182,CONFIGURACOES!$B$37:$B$300,0)),"")</f>
        <v/>
      </c>
      <c r="L182" s="20" t="n"/>
      <c r="M182" s="20">
        <f>IFERROR(INDEX(CONFIGURACOES!$I$37:$I$300,MATCH($I182,CONFIGURACOES!$B$37:$B$300,0)),"")</f>
        <v/>
      </c>
      <c r="N182" s="21" t="n"/>
      <c r="O182" s="21" t="n"/>
      <c r="P182" s="21" t="n"/>
      <c r="Q182" s="21" t="n"/>
      <c r="R182" s="21">
        <f>IF($N182="","",$N182*IF($Q182="",1,$Q182)*IF($P182="",1,$P182)*IF($O182="",1,$O182))</f>
        <v/>
      </c>
      <c r="S182" s="22">
        <f>IFERROR(INDEX(CONFIGURACOES!$J$37:$J$300,MATCH($I182,CONFIGURACOES!$B$37:$B$300,0)),"")</f>
        <v/>
      </c>
      <c r="T182" s="22">
        <f>IF(OR($R182="",$S182=""),"",$R182*$S182)</f>
        <v/>
      </c>
      <c r="U182" s="20" t="n"/>
      <c r="V182" s="20" t="n"/>
      <c r="W182" s="20" t="n"/>
      <c r="X182">
        <f>IF($A182="","",$A182&amp;"|"&amp;$C182&amp;"|"&amp;$I182)</f>
        <v/>
      </c>
      <c r="Y182">
        <f>IF(AND($A182=RELATORIO_MEDICAO!$C$5,$C182=RELATORIO_MEDICAO!$F$5,$A182&lt;&gt;""),COUNTIFS($A$3:$A182,RELATORIO_MEDICAO!$C$5,$C$3:$C182,RELATORIO_MEDICAO!$F$5),"")</f>
        <v/>
      </c>
      <c r="Z182">
        <f>IF(OR($A182="",PESQUISA!$C$4=""),0,IF(OR(ISNUMBER(SEARCH(PESQUISA!$C$4,$G182)),ISNUMBER(SEARCH(PESQUISA!$C$4,$K182)),ISNUMBER(SEARCH(PESQUISA!$C$4,$L182))),1,0))</f>
        <v/>
      </c>
      <c r="AA182">
        <f>IF($Z182=1,SUM($Z$3:$Z182),"")</f>
        <v/>
      </c>
      <c r="AB182">
        <f>IF(OR($A182="",PESQUISA!$C$50=""),0,IF(ISNUMBER(SEARCH(PESQUISA!$C$50,$I182)),1,0))</f>
        <v/>
      </c>
      <c r="AC182">
        <f>IF($AB182=1,SUM($AB$3:$AB182),"")</f>
        <v/>
      </c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>
        <f>IFERROR(INDEX(CONFIGURACOES!$G$37:$G$300,MATCH($I183,CONFIGURACOES!$B$37:$B$300,0)),"")</f>
        <v/>
      </c>
      <c r="K183" s="20">
        <f>IFERROR(INDEX(CONFIGURACOES!$H$37:$H$300,MATCH($I183,CONFIGURACOES!$B$37:$B$300,0)),"")</f>
        <v/>
      </c>
      <c r="L183" s="20" t="n"/>
      <c r="M183" s="20">
        <f>IFERROR(INDEX(CONFIGURACOES!$I$37:$I$300,MATCH($I183,CONFIGURACOES!$B$37:$B$300,0)),"")</f>
        <v/>
      </c>
      <c r="N183" s="21" t="n"/>
      <c r="O183" s="21" t="n"/>
      <c r="P183" s="21" t="n"/>
      <c r="Q183" s="21" t="n"/>
      <c r="R183" s="21">
        <f>IF($N183="","",$N183*IF($Q183="",1,$Q183)*IF($P183="",1,$P183)*IF($O183="",1,$O183))</f>
        <v/>
      </c>
      <c r="S183" s="22">
        <f>IFERROR(INDEX(CONFIGURACOES!$J$37:$J$300,MATCH($I183,CONFIGURACOES!$B$37:$B$300,0)),"")</f>
        <v/>
      </c>
      <c r="T183" s="22">
        <f>IF(OR($R183="",$S183=""),"",$R183*$S183)</f>
        <v/>
      </c>
      <c r="U183" s="20" t="n"/>
      <c r="V183" s="20" t="n"/>
      <c r="W183" s="20" t="n"/>
      <c r="X183">
        <f>IF($A183="","",$A183&amp;"|"&amp;$C183&amp;"|"&amp;$I183)</f>
        <v/>
      </c>
      <c r="Y183">
        <f>IF(AND($A183=RELATORIO_MEDICAO!$C$5,$C183=RELATORIO_MEDICAO!$F$5,$A183&lt;&gt;""),COUNTIFS($A$3:$A183,RELATORIO_MEDICAO!$C$5,$C$3:$C183,RELATORIO_MEDICAO!$F$5),"")</f>
        <v/>
      </c>
      <c r="Z183">
        <f>IF(OR($A183="",PESQUISA!$C$4=""),0,IF(OR(ISNUMBER(SEARCH(PESQUISA!$C$4,$G183)),ISNUMBER(SEARCH(PESQUISA!$C$4,$K183)),ISNUMBER(SEARCH(PESQUISA!$C$4,$L183))),1,0))</f>
        <v/>
      </c>
      <c r="AA183">
        <f>IF($Z183=1,SUM($Z$3:$Z183),"")</f>
        <v/>
      </c>
      <c r="AB183">
        <f>IF(OR($A183="",PESQUISA!$C$50=""),0,IF(ISNUMBER(SEARCH(PESQUISA!$C$50,$I183)),1,0))</f>
        <v/>
      </c>
      <c r="AC183">
        <f>IF($AB183=1,SUM($AB$3:$AB183),"")</f>
        <v/>
      </c>
    </row>
    <row r="184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>
        <f>IFERROR(INDEX(CONFIGURACOES!$G$37:$G$300,MATCH($I184,CONFIGURACOES!$B$37:$B$300,0)),"")</f>
        <v/>
      </c>
      <c r="K184" s="20">
        <f>IFERROR(INDEX(CONFIGURACOES!$H$37:$H$300,MATCH($I184,CONFIGURACOES!$B$37:$B$300,0)),"")</f>
        <v/>
      </c>
      <c r="L184" s="20" t="n"/>
      <c r="M184" s="20">
        <f>IFERROR(INDEX(CONFIGURACOES!$I$37:$I$300,MATCH($I184,CONFIGURACOES!$B$37:$B$300,0)),"")</f>
        <v/>
      </c>
      <c r="N184" s="21" t="n"/>
      <c r="O184" s="21" t="n"/>
      <c r="P184" s="21" t="n"/>
      <c r="Q184" s="21" t="n"/>
      <c r="R184" s="21">
        <f>IF($N184="","",$N184*IF($Q184="",1,$Q184)*IF($P184="",1,$P184)*IF($O184="",1,$O184))</f>
        <v/>
      </c>
      <c r="S184" s="22">
        <f>IFERROR(INDEX(CONFIGURACOES!$J$37:$J$300,MATCH($I184,CONFIGURACOES!$B$37:$B$300,0)),"")</f>
        <v/>
      </c>
      <c r="T184" s="22">
        <f>IF(OR($R184="",$S184=""),"",$R184*$S184)</f>
        <v/>
      </c>
      <c r="U184" s="20" t="n"/>
      <c r="V184" s="20" t="n"/>
      <c r="W184" s="20" t="n"/>
      <c r="X184">
        <f>IF($A184="","",$A184&amp;"|"&amp;$C184&amp;"|"&amp;$I184)</f>
        <v/>
      </c>
      <c r="Y184">
        <f>IF(AND($A184=RELATORIO_MEDICAO!$C$5,$C184=RELATORIO_MEDICAO!$F$5,$A184&lt;&gt;""),COUNTIFS($A$3:$A184,RELATORIO_MEDICAO!$C$5,$C$3:$C184,RELATORIO_MEDICAO!$F$5),"")</f>
        <v/>
      </c>
      <c r="Z184">
        <f>IF(OR($A184="",PESQUISA!$C$4=""),0,IF(OR(ISNUMBER(SEARCH(PESQUISA!$C$4,$G184)),ISNUMBER(SEARCH(PESQUISA!$C$4,$K184)),ISNUMBER(SEARCH(PESQUISA!$C$4,$L184))),1,0))</f>
        <v/>
      </c>
      <c r="AA184">
        <f>IF($Z184=1,SUM($Z$3:$Z184),"")</f>
        <v/>
      </c>
      <c r="AB184">
        <f>IF(OR($A184="",PESQUISA!$C$50=""),0,IF(ISNUMBER(SEARCH(PESQUISA!$C$50,$I184)),1,0))</f>
        <v/>
      </c>
      <c r="AC184">
        <f>IF($AB184=1,SUM($AB$3:$AB184),"")</f>
        <v/>
      </c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>
        <f>IFERROR(INDEX(CONFIGURACOES!$G$37:$G$300,MATCH($I185,CONFIGURACOES!$B$37:$B$300,0)),"")</f>
        <v/>
      </c>
      <c r="K185" s="20">
        <f>IFERROR(INDEX(CONFIGURACOES!$H$37:$H$300,MATCH($I185,CONFIGURACOES!$B$37:$B$300,0)),"")</f>
        <v/>
      </c>
      <c r="L185" s="20" t="n"/>
      <c r="M185" s="20">
        <f>IFERROR(INDEX(CONFIGURACOES!$I$37:$I$300,MATCH($I185,CONFIGURACOES!$B$37:$B$300,0)),"")</f>
        <v/>
      </c>
      <c r="N185" s="21" t="n"/>
      <c r="O185" s="21" t="n"/>
      <c r="P185" s="21" t="n"/>
      <c r="Q185" s="21" t="n"/>
      <c r="R185" s="21">
        <f>IF($N185="","",$N185*IF($Q185="",1,$Q185)*IF($P185="",1,$P185)*IF($O185="",1,$O185))</f>
        <v/>
      </c>
      <c r="S185" s="22">
        <f>IFERROR(INDEX(CONFIGURACOES!$J$37:$J$300,MATCH($I185,CONFIGURACOES!$B$37:$B$300,0)),"")</f>
        <v/>
      </c>
      <c r="T185" s="22">
        <f>IF(OR($R185="",$S185=""),"",$R185*$S185)</f>
        <v/>
      </c>
      <c r="U185" s="20" t="n"/>
      <c r="V185" s="20" t="n"/>
      <c r="W185" s="20" t="n"/>
      <c r="X185">
        <f>IF($A185="","",$A185&amp;"|"&amp;$C185&amp;"|"&amp;$I185)</f>
        <v/>
      </c>
      <c r="Y185">
        <f>IF(AND($A185=RELATORIO_MEDICAO!$C$5,$C185=RELATORIO_MEDICAO!$F$5,$A185&lt;&gt;""),COUNTIFS($A$3:$A185,RELATORIO_MEDICAO!$C$5,$C$3:$C185,RELATORIO_MEDICAO!$F$5),"")</f>
        <v/>
      </c>
      <c r="Z185">
        <f>IF(OR($A185="",PESQUISA!$C$4=""),0,IF(OR(ISNUMBER(SEARCH(PESQUISA!$C$4,$G185)),ISNUMBER(SEARCH(PESQUISA!$C$4,$K185)),ISNUMBER(SEARCH(PESQUISA!$C$4,$L185))),1,0))</f>
        <v/>
      </c>
      <c r="AA185">
        <f>IF($Z185=1,SUM($Z$3:$Z185),"")</f>
        <v/>
      </c>
      <c r="AB185">
        <f>IF(OR($A185="",PESQUISA!$C$50=""),0,IF(ISNUMBER(SEARCH(PESQUISA!$C$50,$I185)),1,0))</f>
        <v/>
      </c>
      <c r="AC185">
        <f>IF($AB185=1,SUM($AB$3:$AB185),"")</f>
        <v/>
      </c>
    </row>
    <row r="186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>
        <f>IFERROR(INDEX(CONFIGURACOES!$G$37:$G$300,MATCH($I186,CONFIGURACOES!$B$37:$B$300,0)),"")</f>
        <v/>
      </c>
      <c r="K186" s="20">
        <f>IFERROR(INDEX(CONFIGURACOES!$H$37:$H$300,MATCH($I186,CONFIGURACOES!$B$37:$B$300,0)),"")</f>
        <v/>
      </c>
      <c r="L186" s="20" t="n"/>
      <c r="M186" s="20">
        <f>IFERROR(INDEX(CONFIGURACOES!$I$37:$I$300,MATCH($I186,CONFIGURACOES!$B$37:$B$300,0)),"")</f>
        <v/>
      </c>
      <c r="N186" s="21" t="n"/>
      <c r="O186" s="21" t="n"/>
      <c r="P186" s="21" t="n"/>
      <c r="Q186" s="21" t="n"/>
      <c r="R186" s="21">
        <f>IF($N186="","",$N186*IF($Q186="",1,$Q186)*IF($P186="",1,$P186)*IF($O186="",1,$O186))</f>
        <v/>
      </c>
      <c r="S186" s="22">
        <f>IFERROR(INDEX(CONFIGURACOES!$J$37:$J$300,MATCH($I186,CONFIGURACOES!$B$37:$B$300,0)),"")</f>
        <v/>
      </c>
      <c r="T186" s="22">
        <f>IF(OR($R186="",$S186=""),"",$R186*$S186)</f>
        <v/>
      </c>
      <c r="U186" s="20" t="n"/>
      <c r="V186" s="20" t="n"/>
      <c r="W186" s="20" t="n"/>
      <c r="X186">
        <f>IF($A186="","",$A186&amp;"|"&amp;$C186&amp;"|"&amp;$I186)</f>
        <v/>
      </c>
      <c r="Y186">
        <f>IF(AND($A186=RELATORIO_MEDICAO!$C$5,$C186=RELATORIO_MEDICAO!$F$5,$A186&lt;&gt;""),COUNTIFS($A$3:$A186,RELATORIO_MEDICAO!$C$5,$C$3:$C186,RELATORIO_MEDICAO!$F$5),"")</f>
        <v/>
      </c>
      <c r="Z186">
        <f>IF(OR($A186="",PESQUISA!$C$4=""),0,IF(OR(ISNUMBER(SEARCH(PESQUISA!$C$4,$G186)),ISNUMBER(SEARCH(PESQUISA!$C$4,$K186)),ISNUMBER(SEARCH(PESQUISA!$C$4,$L186))),1,0))</f>
        <v/>
      </c>
      <c r="AA186">
        <f>IF($Z186=1,SUM($Z$3:$Z186),"")</f>
        <v/>
      </c>
      <c r="AB186">
        <f>IF(OR($A186="",PESQUISA!$C$50=""),0,IF(ISNUMBER(SEARCH(PESQUISA!$C$50,$I186)),1,0))</f>
        <v/>
      </c>
      <c r="AC186">
        <f>IF($AB186=1,SUM($AB$3:$AB186),"")</f>
        <v/>
      </c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>
        <f>IFERROR(INDEX(CONFIGURACOES!$G$37:$G$300,MATCH($I187,CONFIGURACOES!$B$37:$B$300,0)),"")</f>
        <v/>
      </c>
      <c r="K187" s="20">
        <f>IFERROR(INDEX(CONFIGURACOES!$H$37:$H$300,MATCH($I187,CONFIGURACOES!$B$37:$B$300,0)),"")</f>
        <v/>
      </c>
      <c r="L187" s="20" t="n"/>
      <c r="M187" s="20">
        <f>IFERROR(INDEX(CONFIGURACOES!$I$37:$I$300,MATCH($I187,CONFIGURACOES!$B$37:$B$300,0)),"")</f>
        <v/>
      </c>
      <c r="N187" s="21" t="n"/>
      <c r="O187" s="21" t="n"/>
      <c r="P187" s="21" t="n"/>
      <c r="Q187" s="21" t="n"/>
      <c r="R187" s="21">
        <f>IF($N187="","",$N187*IF($Q187="",1,$Q187)*IF($P187="",1,$P187)*IF($O187="",1,$O187))</f>
        <v/>
      </c>
      <c r="S187" s="22">
        <f>IFERROR(INDEX(CONFIGURACOES!$J$37:$J$300,MATCH($I187,CONFIGURACOES!$B$37:$B$300,0)),"")</f>
        <v/>
      </c>
      <c r="T187" s="22">
        <f>IF(OR($R187="",$S187=""),"",$R187*$S187)</f>
        <v/>
      </c>
      <c r="U187" s="20" t="n"/>
      <c r="V187" s="20" t="n"/>
      <c r="W187" s="20" t="n"/>
      <c r="X187">
        <f>IF($A187="","",$A187&amp;"|"&amp;$C187&amp;"|"&amp;$I187)</f>
        <v/>
      </c>
      <c r="Y187">
        <f>IF(AND($A187=RELATORIO_MEDICAO!$C$5,$C187=RELATORIO_MEDICAO!$F$5,$A187&lt;&gt;""),COUNTIFS($A$3:$A187,RELATORIO_MEDICAO!$C$5,$C$3:$C187,RELATORIO_MEDICAO!$F$5),"")</f>
        <v/>
      </c>
      <c r="Z187">
        <f>IF(OR($A187="",PESQUISA!$C$4=""),0,IF(OR(ISNUMBER(SEARCH(PESQUISA!$C$4,$G187)),ISNUMBER(SEARCH(PESQUISA!$C$4,$K187)),ISNUMBER(SEARCH(PESQUISA!$C$4,$L187))),1,0))</f>
        <v/>
      </c>
      <c r="AA187">
        <f>IF($Z187=1,SUM($Z$3:$Z187),"")</f>
        <v/>
      </c>
      <c r="AB187">
        <f>IF(OR($A187="",PESQUISA!$C$50=""),0,IF(ISNUMBER(SEARCH(PESQUISA!$C$50,$I187)),1,0))</f>
        <v/>
      </c>
      <c r="AC187">
        <f>IF($AB187=1,SUM($AB$3:$AB187),"")</f>
        <v/>
      </c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>
        <f>IFERROR(INDEX(CONFIGURACOES!$G$37:$G$300,MATCH($I188,CONFIGURACOES!$B$37:$B$300,0)),"")</f>
        <v/>
      </c>
      <c r="K188" s="20">
        <f>IFERROR(INDEX(CONFIGURACOES!$H$37:$H$300,MATCH($I188,CONFIGURACOES!$B$37:$B$300,0)),"")</f>
        <v/>
      </c>
      <c r="L188" s="20" t="n"/>
      <c r="M188" s="20">
        <f>IFERROR(INDEX(CONFIGURACOES!$I$37:$I$300,MATCH($I188,CONFIGURACOES!$B$37:$B$300,0)),"")</f>
        <v/>
      </c>
      <c r="N188" s="21" t="n"/>
      <c r="O188" s="21" t="n"/>
      <c r="P188" s="21" t="n"/>
      <c r="Q188" s="21" t="n"/>
      <c r="R188" s="21">
        <f>IF($N188="","",$N188*IF($Q188="",1,$Q188)*IF($P188="",1,$P188)*IF($O188="",1,$O188))</f>
        <v/>
      </c>
      <c r="S188" s="22">
        <f>IFERROR(INDEX(CONFIGURACOES!$J$37:$J$300,MATCH($I188,CONFIGURACOES!$B$37:$B$300,0)),"")</f>
        <v/>
      </c>
      <c r="T188" s="22">
        <f>IF(OR($R188="",$S188=""),"",$R188*$S188)</f>
        <v/>
      </c>
      <c r="U188" s="20" t="n"/>
      <c r="V188" s="20" t="n"/>
      <c r="W188" s="20" t="n"/>
      <c r="X188">
        <f>IF($A188="","",$A188&amp;"|"&amp;$C188&amp;"|"&amp;$I188)</f>
        <v/>
      </c>
      <c r="Y188">
        <f>IF(AND($A188=RELATORIO_MEDICAO!$C$5,$C188=RELATORIO_MEDICAO!$F$5,$A188&lt;&gt;""),COUNTIFS($A$3:$A188,RELATORIO_MEDICAO!$C$5,$C$3:$C188,RELATORIO_MEDICAO!$F$5),"")</f>
        <v/>
      </c>
      <c r="Z188">
        <f>IF(OR($A188="",PESQUISA!$C$4=""),0,IF(OR(ISNUMBER(SEARCH(PESQUISA!$C$4,$G188)),ISNUMBER(SEARCH(PESQUISA!$C$4,$K188)),ISNUMBER(SEARCH(PESQUISA!$C$4,$L188))),1,0))</f>
        <v/>
      </c>
      <c r="AA188">
        <f>IF($Z188=1,SUM($Z$3:$Z188),"")</f>
        <v/>
      </c>
      <c r="AB188">
        <f>IF(OR($A188="",PESQUISA!$C$50=""),0,IF(ISNUMBER(SEARCH(PESQUISA!$C$50,$I188)),1,0))</f>
        <v/>
      </c>
      <c r="AC188">
        <f>IF($AB188=1,SUM($AB$3:$AB188),"")</f>
        <v/>
      </c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>
        <f>IFERROR(INDEX(CONFIGURACOES!$G$37:$G$300,MATCH($I189,CONFIGURACOES!$B$37:$B$300,0)),"")</f>
        <v/>
      </c>
      <c r="K189" s="20">
        <f>IFERROR(INDEX(CONFIGURACOES!$H$37:$H$300,MATCH($I189,CONFIGURACOES!$B$37:$B$300,0)),"")</f>
        <v/>
      </c>
      <c r="L189" s="20" t="n"/>
      <c r="M189" s="20">
        <f>IFERROR(INDEX(CONFIGURACOES!$I$37:$I$300,MATCH($I189,CONFIGURACOES!$B$37:$B$300,0)),"")</f>
        <v/>
      </c>
      <c r="N189" s="21" t="n"/>
      <c r="O189" s="21" t="n"/>
      <c r="P189" s="21" t="n"/>
      <c r="Q189" s="21" t="n"/>
      <c r="R189" s="21">
        <f>IF($N189="","",$N189*IF($Q189="",1,$Q189)*IF($P189="",1,$P189)*IF($O189="",1,$O189))</f>
        <v/>
      </c>
      <c r="S189" s="22">
        <f>IFERROR(INDEX(CONFIGURACOES!$J$37:$J$300,MATCH($I189,CONFIGURACOES!$B$37:$B$300,0)),"")</f>
        <v/>
      </c>
      <c r="T189" s="22">
        <f>IF(OR($R189="",$S189=""),"",$R189*$S189)</f>
        <v/>
      </c>
      <c r="U189" s="20" t="n"/>
      <c r="V189" s="20" t="n"/>
      <c r="W189" s="20" t="n"/>
      <c r="X189">
        <f>IF($A189="","",$A189&amp;"|"&amp;$C189&amp;"|"&amp;$I189)</f>
        <v/>
      </c>
      <c r="Y189">
        <f>IF(AND($A189=RELATORIO_MEDICAO!$C$5,$C189=RELATORIO_MEDICAO!$F$5,$A189&lt;&gt;""),COUNTIFS($A$3:$A189,RELATORIO_MEDICAO!$C$5,$C$3:$C189,RELATORIO_MEDICAO!$F$5),"")</f>
        <v/>
      </c>
      <c r="Z189">
        <f>IF(OR($A189="",PESQUISA!$C$4=""),0,IF(OR(ISNUMBER(SEARCH(PESQUISA!$C$4,$G189)),ISNUMBER(SEARCH(PESQUISA!$C$4,$K189)),ISNUMBER(SEARCH(PESQUISA!$C$4,$L189))),1,0))</f>
        <v/>
      </c>
      <c r="AA189">
        <f>IF($Z189=1,SUM($Z$3:$Z189),"")</f>
        <v/>
      </c>
      <c r="AB189">
        <f>IF(OR($A189="",PESQUISA!$C$50=""),0,IF(ISNUMBER(SEARCH(PESQUISA!$C$50,$I189)),1,0))</f>
        <v/>
      </c>
      <c r="AC189">
        <f>IF($AB189=1,SUM($AB$3:$AB189),"")</f>
        <v/>
      </c>
    </row>
    <row r="190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>
        <f>IFERROR(INDEX(CONFIGURACOES!$G$37:$G$300,MATCH($I190,CONFIGURACOES!$B$37:$B$300,0)),"")</f>
        <v/>
      </c>
      <c r="K190" s="20">
        <f>IFERROR(INDEX(CONFIGURACOES!$H$37:$H$300,MATCH($I190,CONFIGURACOES!$B$37:$B$300,0)),"")</f>
        <v/>
      </c>
      <c r="L190" s="20" t="n"/>
      <c r="M190" s="20">
        <f>IFERROR(INDEX(CONFIGURACOES!$I$37:$I$300,MATCH($I190,CONFIGURACOES!$B$37:$B$300,0)),"")</f>
        <v/>
      </c>
      <c r="N190" s="21" t="n"/>
      <c r="O190" s="21" t="n"/>
      <c r="P190" s="21" t="n"/>
      <c r="Q190" s="21" t="n"/>
      <c r="R190" s="21">
        <f>IF($N190="","",$N190*IF($Q190="",1,$Q190)*IF($P190="",1,$P190)*IF($O190="",1,$O190))</f>
        <v/>
      </c>
      <c r="S190" s="22">
        <f>IFERROR(INDEX(CONFIGURACOES!$J$37:$J$300,MATCH($I190,CONFIGURACOES!$B$37:$B$300,0)),"")</f>
        <v/>
      </c>
      <c r="T190" s="22">
        <f>IF(OR($R190="",$S190=""),"",$R190*$S190)</f>
        <v/>
      </c>
      <c r="U190" s="20" t="n"/>
      <c r="V190" s="20" t="n"/>
      <c r="W190" s="20" t="n"/>
      <c r="X190">
        <f>IF($A190="","",$A190&amp;"|"&amp;$C190&amp;"|"&amp;$I190)</f>
        <v/>
      </c>
      <c r="Y190">
        <f>IF(AND($A190=RELATORIO_MEDICAO!$C$5,$C190=RELATORIO_MEDICAO!$F$5,$A190&lt;&gt;""),COUNTIFS($A$3:$A190,RELATORIO_MEDICAO!$C$5,$C$3:$C190,RELATORIO_MEDICAO!$F$5),"")</f>
        <v/>
      </c>
      <c r="Z190">
        <f>IF(OR($A190="",PESQUISA!$C$4=""),0,IF(OR(ISNUMBER(SEARCH(PESQUISA!$C$4,$G190)),ISNUMBER(SEARCH(PESQUISA!$C$4,$K190)),ISNUMBER(SEARCH(PESQUISA!$C$4,$L190))),1,0))</f>
        <v/>
      </c>
      <c r="AA190">
        <f>IF($Z190=1,SUM($Z$3:$Z190),"")</f>
        <v/>
      </c>
      <c r="AB190">
        <f>IF(OR($A190="",PESQUISA!$C$50=""),0,IF(ISNUMBER(SEARCH(PESQUISA!$C$50,$I190)),1,0))</f>
        <v/>
      </c>
      <c r="AC190">
        <f>IF($AB190=1,SUM($AB$3:$AB190),"")</f>
        <v/>
      </c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>
        <f>IFERROR(INDEX(CONFIGURACOES!$G$37:$G$300,MATCH($I191,CONFIGURACOES!$B$37:$B$300,0)),"")</f>
        <v/>
      </c>
      <c r="K191" s="20">
        <f>IFERROR(INDEX(CONFIGURACOES!$H$37:$H$300,MATCH($I191,CONFIGURACOES!$B$37:$B$300,0)),"")</f>
        <v/>
      </c>
      <c r="L191" s="20" t="n"/>
      <c r="M191" s="20">
        <f>IFERROR(INDEX(CONFIGURACOES!$I$37:$I$300,MATCH($I191,CONFIGURACOES!$B$37:$B$300,0)),"")</f>
        <v/>
      </c>
      <c r="N191" s="21" t="n"/>
      <c r="O191" s="21" t="n"/>
      <c r="P191" s="21" t="n"/>
      <c r="Q191" s="21" t="n"/>
      <c r="R191" s="21">
        <f>IF($N191="","",$N191*IF($Q191="",1,$Q191)*IF($P191="",1,$P191)*IF($O191="",1,$O191))</f>
        <v/>
      </c>
      <c r="S191" s="22">
        <f>IFERROR(INDEX(CONFIGURACOES!$J$37:$J$300,MATCH($I191,CONFIGURACOES!$B$37:$B$300,0)),"")</f>
        <v/>
      </c>
      <c r="T191" s="22">
        <f>IF(OR($R191="",$S191=""),"",$R191*$S191)</f>
        <v/>
      </c>
      <c r="U191" s="20" t="n"/>
      <c r="V191" s="20" t="n"/>
      <c r="W191" s="20" t="n"/>
      <c r="X191">
        <f>IF($A191="","",$A191&amp;"|"&amp;$C191&amp;"|"&amp;$I191)</f>
        <v/>
      </c>
      <c r="Y191">
        <f>IF(AND($A191=RELATORIO_MEDICAO!$C$5,$C191=RELATORIO_MEDICAO!$F$5,$A191&lt;&gt;""),COUNTIFS($A$3:$A191,RELATORIO_MEDICAO!$C$5,$C$3:$C191,RELATORIO_MEDICAO!$F$5),"")</f>
        <v/>
      </c>
      <c r="Z191">
        <f>IF(OR($A191="",PESQUISA!$C$4=""),0,IF(OR(ISNUMBER(SEARCH(PESQUISA!$C$4,$G191)),ISNUMBER(SEARCH(PESQUISA!$C$4,$K191)),ISNUMBER(SEARCH(PESQUISA!$C$4,$L191))),1,0))</f>
        <v/>
      </c>
      <c r="AA191">
        <f>IF($Z191=1,SUM($Z$3:$Z191),"")</f>
        <v/>
      </c>
      <c r="AB191">
        <f>IF(OR($A191="",PESQUISA!$C$50=""),0,IF(ISNUMBER(SEARCH(PESQUISA!$C$50,$I191)),1,0))</f>
        <v/>
      </c>
      <c r="AC191">
        <f>IF($AB191=1,SUM($AB$3:$AB191),"")</f>
        <v/>
      </c>
    </row>
    <row r="192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>
        <f>IFERROR(INDEX(CONFIGURACOES!$G$37:$G$300,MATCH($I192,CONFIGURACOES!$B$37:$B$300,0)),"")</f>
        <v/>
      </c>
      <c r="K192" s="20">
        <f>IFERROR(INDEX(CONFIGURACOES!$H$37:$H$300,MATCH($I192,CONFIGURACOES!$B$37:$B$300,0)),"")</f>
        <v/>
      </c>
      <c r="L192" s="20" t="n"/>
      <c r="M192" s="20">
        <f>IFERROR(INDEX(CONFIGURACOES!$I$37:$I$300,MATCH($I192,CONFIGURACOES!$B$37:$B$300,0)),"")</f>
        <v/>
      </c>
      <c r="N192" s="21" t="n"/>
      <c r="O192" s="21" t="n"/>
      <c r="P192" s="21" t="n"/>
      <c r="Q192" s="21" t="n"/>
      <c r="R192" s="21">
        <f>IF($N192="","",$N192*IF($Q192="",1,$Q192)*IF($P192="",1,$P192)*IF($O192="",1,$O192))</f>
        <v/>
      </c>
      <c r="S192" s="22">
        <f>IFERROR(INDEX(CONFIGURACOES!$J$37:$J$300,MATCH($I192,CONFIGURACOES!$B$37:$B$300,0)),"")</f>
        <v/>
      </c>
      <c r="T192" s="22">
        <f>IF(OR($R192="",$S192=""),"",$R192*$S192)</f>
        <v/>
      </c>
      <c r="U192" s="20" t="n"/>
      <c r="V192" s="20" t="n"/>
      <c r="W192" s="20" t="n"/>
      <c r="X192">
        <f>IF($A192="","",$A192&amp;"|"&amp;$C192&amp;"|"&amp;$I192)</f>
        <v/>
      </c>
      <c r="Y192">
        <f>IF(AND($A192=RELATORIO_MEDICAO!$C$5,$C192=RELATORIO_MEDICAO!$F$5,$A192&lt;&gt;""),COUNTIFS($A$3:$A192,RELATORIO_MEDICAO!$C$5,$C$3:$C192,RELATORIO_MEDICAO!$F$5),"")</f>
        <v/>
      </c>
      <c r="Z192">
        <f>IF(OR($A192="",PESQUISA!$C$4=""),0,IF(OR(ISNUMBER(SEARCH(PESQUISA!$C$4,$G192)),ISNUMBER(SEARCH(PESQUISA!$C$4,$K192)),ISNUMBER(SEARCH(PESQUISA!$C$4,$L192))),1,0))</f>
        <v/>
      </c>
      <c r="AA192">
        <f>IF($Z192=1,SUM($Z$3:$Z192),"")</f>
        <v/>
      </c>
      <c r="AB192">
        <f>IF(OR($A192="",PESQUISA!$C$50=""),0,IF(ISNUMBER(SEARCH(PESQUISA!$C$50,$I192)),1,0))</f>
        <v/>
      </c>
      <c r="AC192">
        <f>IF($AB192=1,SUM($AB$3:$AB192),"")</f>
        <v/>
      </c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>
        <f>IFERROR(INDEX(CONFIGURACOES!$G$37:$G$300,MATCH($I193,CONFIGURACOES!$B$37:$B$300,0)),"")</f>
        <v/>
      </c>
      <c r="K193" s="20">
        <f>IFERROR(INDEX(CONFIGURACOES!$H$37:$H$300,MATCH($I193,CONFIGURACOES!$B$37:$B$300,0)),"")</f>
        <v/>
      </c>
      <c r="L193" s="20" t="n"/>
      <c r="M193" s="20">
        <f>IFERROR(INDEX(CONFIGURACOES!$I$37:$I$300,MATCH($I193,CONFIGURACOES!$B$37:$B$300,0)),"")</f>
        <v/>
      </c>
      <c r="N193" s="21" t="n"/>
      <c r="O193" s="21" t="n"/>
      <c r="P193" s="21" t="n"/>
      <c r="Q193" s="21" t="n"/>
      <c r="R193" s="21">
        <f>IF($N193="","",$N193*IF($Q193="",1,$Q193)*IF($P193="",1,$P193)*IF($O193="",1,$O193))</f>
        <v/>
      </c>
      <c r="S193" s="22">
        <f>IFERROR(INDEX(CONFIGURACOES!$J$37:$J$300,MATCH($I193,CONFIGURACOES!$B$37:$B$300,0)),"")</f>
        <v/>
      </c>
      <c r="T193" s="22">
        <f>IF(OR($R193="",$S193=""),"",$R193*$S193)</f>
        <v/>
      </c>
      <c r="U193" s="20" t="n"/>
      <c r="V193" s="20" t="n"/>
      <c r="W193" s="20" t="n"/>
      <c r="X193">
        <f>IF($A193="","",$A193&amp;"|"&amp;$C193&amp;"|"&amp;$I193)</f>
        <v/>
      </c>
      <c r="Y193">
        <f>IF(AND($A193=RELATORIO_MEDICAO!$C$5,$C193=RELATORIO_MEDICAO!$F$5,$A193&lt;&gt;""),COUNTIFS($A$3:$A193,RELATORIO_MEDICAO!$C$5,$C$3:$C193,RELATORIO_MEDICAO!$F$5),"")</f>
        <v/>
      </c>
      <c r="Z193">
        <f>IF(OR($A193="",PESQUISA!$C$4=""),0,IF(OR(ISNUMBER(SEARCH(PESQUISA!$C$4,$G193)),ISNUMBER(SEARCH(PESQUISA!$C$4,$K193)),ISNUMBER(SEARCH(PESQUISA!$C$4,$L193))),1,0))</f>
        <v/>
      </c>
      <c r="AA193">
        <f>IF($Z193=1,SUM($Z$3:$Z193),"")</f>
        <v/>
      </c>
      <c r="AB193">
        <f>IF(OR($A193="",PESQUISA!$C$50=""),0,IF(ISNUMBER(SEARCH(PESQUISA!$C$50,$I193)),1,0))</f>
        <v/>
      </c>
      <c r="AC193">
        <f>IF($AB193=1,SUM($AB$3:$AB193),"")</f>
        <v/>
      </c>
    </row>
    <row r="194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>
        <f>IFERROR(INDEX(CONFIGURACOES!$G$37:$G$300,MATCH($I194,CONFIGURACOES!$B$37:$B$300,0)),"")</f>
        <v/>
      </c>
      <c r="K194" s="20">
        <f>IFERROR(INDEX(CONFIGURACOES!$H$37:$H$300,MATCH($I194,CONFIGURACOES!$B$37:$B$300,0)),"")</f>
        <v/>
      </c>
      <c r="L194" s="20" t="n"/>
      <c r="M194" s="20">
        <f>IFERROR(INDEX(CONFIGURACOES!$I$37:$I$300,MATCH($I194,CONFIGURACOES!$B$37:$B$300,0)),"")</f>
        <v/>
      </c>
      <c r="N194" s="21" t="n"/>
      <c r="O194" s="21" t="n"/>
      <c r="P194" s="21" t="n"/>
      <c r="Q194" s="21" t="n"/>
      <c r="R194" s="21">
        <f>IF($N194="","",$N194*IF($Q194="",1,$Q194)*IF($P194="",1,$P194)*IF($O194="",1,$O194))</f>
        <v/>
      </c>
      <c r="S194" s="22">
        <f>IFERROR(INDEX(CONFIGURACOES!$J$37:$J$300,MATCH($I194,CONFIGURACOES!$B$37:$B$300,0)),"")</f>
        <v/>
      </c>
      <c r="T194" s="22">
        <f>IF(OR($R194="",$S194=""),"",$R194*$S194)</f>
        <v/>
      </c>
      <c r="U194" s="20" t="n"/>
      <c r="V194" s="20" t="n"/>
      <c r="W194" s="20" t="n"/>
      <c r="X194">
        <f>IF($A194="","",$A194&amp;"|"&amp;$C194&amp;"|"&amp;$I194)</f>
        <v/>
      </c>
      <c r="Y194">
        <f>IF(AND($A194=RELATORIO_MEDICAO!$C$5,$C194=RELATORIO_MEDICAO!$F$5,$A194&lt;&gt;""),COUNTIFS($A$3:$A194,RELATORIO_MEDICAO!$C$5,$C$3:$C194,RELATORIO_MEDICAO!$F$5),"")</f>
        <v/>
      </c>
      <c r="Z194">
        <f>IF(OR($A194="",PESQUISA!$C$4=""),0,IF(OR(ISNUMBER(SEARCH(PESQUISA!$C$4,$G194)),ISNUMBER(SEARCH(PESQUISA!$C$4,$K194)),ISNUMBER(SEARCH(PESQUISA!$C$4,$L194))),1,0))</f>
        <v/>
      </c>
      <c r="AA194">
        <f>IF($Z194=1,SUM($Z$3:$Z194),"")</f>
        <v/>
      </c>
      <c r="AB194">
        <f>IF(OR($A194="",PESQUISA!$C$50=""),0,IF(ISNUMBER(SEARCH(PESQUISA!$C$50,$I194)),1,0))</f>
        <v/>
      </c>
      <c r="AC194">
        <f>IF($AB194=1,SUM($AB$3:$AB194),"")</f>
        <v/>
      </c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>
        <f>IFERROR(INDEX(CONFIGURACOES!$G$37:$G$300,MATCH($I195,CONFIGURACOES!$B$37:$B$300,0)),"")</f>
        <v/>
      </c>
      <c r="K195" s="20">
        <f>IFERROR(INDEX(CONFIGURACOES!$H$37:$H$300,MATCH($I195,CONFIGURACOES!$B$37:$B$300,0)),"")</f>
        <v/>
      </c>
      <c r="L195" s="20" t="n"/>
      <c r="M195" s="20">
        <f>IFERROR(INDEX(CONFIGURACOES!$I$37:$I$300,MATCH($I195,CONFIGURACOES!$B$37:$B$300,0)),"")</f>
        <v/>
      </c>
      <c r="N195" s="21" t="n"/>
      <c r="O195" s="21" t="n"/>
      <c r="P195" s="21" t="n"/>
      <c r="Q195" s="21" t="n"/>
      <c r="R195" s="21">
        <f>IF($N195="","",$N195*IF($Q195="",1,$Q195)*IF($P195="",1,$P195)*IF($O195="",1,$O195))</f>
        <v/>
      </c>
      <c r="S195" s="22">
        <f>IFERROR(INDEX(CONFIGURACOES!$J$37:$J$300,MATCH($I195,CONFIGURACOES!$B$37:$B$300,0)),"")</f>
        <v/>
      </c>
      <c r="T195" s="22">
        <f>IF(OR($R195="",$S195=""),"",$R195*$S195)</f>
        <v/>
      </c>
      <c r="U195" s="20" t="n"/>
      <c r="V195" s="20" t="n"/>
      <c r="W195" s="20" t="n"/>
      <c r="X195">
        <f>IF($A195="","",$A195&amp;"|"&amp;$C195&amp;"|"&amp;$I195)</f>
        <v/>
      </c>
      <c r="Y195">
        <f>IF(AND($A195=RELATORIO_MEDICAO!$C$5,$C195=RELATORIO_MEDICAO!$F$5,$A195&lt;&gt;""),COUNTIFS($A$3:$A195,RELATORIO_MEDICAO!$C$5,$C$3:$C195,RELATORIO_MEDICAO!$F$5),"")</f>
        <v/>
      </c>
      <c r="Z195">
        <f>IF(OR($A195="",PESQUISA!$C$4=""),0,IF(OR(ISNUMBER(SEARCH(PESQUISA!$C$4,$G195)),ISNUMBER(SEARCH(PESQUISA!$C$4,$K195)),ISNUMBER(SEARCH(PESQUISA!$C$4,$L195))),1,0))</f>
        <v/>
      </c>
      <c r="AA195">
        <f>IF($Z195=1,SUM($Z$3:$Z195),"")</f>
        <v/>
      </c>
      <c r="AB195">
        <f>IF(OR($A195="",PESQUISA!$C$50=""),0,IF(ISNUMBER(SEARCH(PESQUISA!$C$50,$I195)),1,0))</f>
        <v/>
      </c>
      <c r="AC195">
        <f>IF($AB195=1,SUM($AB$3:$AB195),"")</f>
        <v/>
      </c>
    </row>
    <row r="196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>
        <f>IFERROR(INDEX(CONFIGURACOES!$G$37:$G$300,MATCH($I196,CONFIGURACOES!$B$37:$B$300,0)),"")</f>
        <v/>
      </c>
      <c r="K196" s="20">
        <f>IFERROR(INDEX(CONFIGURACOES!$H$37:$H$300,MATCH($I196,CONFIGURACOES!$B$37:$B$300,0)),"")</f>
        <v/>
      </c>
      <c r="L196" s="20" t="n"/>
      <c r="M196" s="20">
        <f>IFERROR(INDEX(CONFIGURACOES!$I$37:$I$300,MATCH($I196,CONFIGURACOES!$B$37:$B$300,0)),"")</f>
        <v/>
      </c>
      <c r="N196" s="21" t="n"/>
      <c r="O196" s="21" t="n"/>
      <c r="P196" s="21" t="n"/>
      <c r="Q196" s="21" t="n"/>
      <c r="R196" s="21">
        <f>IF($N196="","",$N196*IF($Q196="",1,$Q196)*IF($P196="",1,$P196)*IF($O196="",1,$O196))</f>
        <v/>
      </c>
      <c r="S196" s="22">
        <f>IFERROR(INDEX(CONFIGURACOES!$J$37:$J$300,MATCH($I196,CONFIGURACOES!$B$37:$B$300,0)),"")</f>
        <v/>
      </c>
      <c r="T196" s="22">
        <f>IF(OR($R196="",$S196=""),"",$R196*$S196)</f>
        <v/>
      </c>
      <c r="U196" s="20" t="n"/>
      <c r="V196" s="20" t="n"/>
      <c r="W196" s="20" t="n"/>
      <c r="X196">
        <f>IF($A196="","",$A196&amp;"|"&amp;$C196&amp;"|"&amp;$I196)</f>
        <v/>
      </c>
      <c r="Y196">
        <f>IF(AND($A196=RELATORIO_MEDICAO!$C$5,$C196=RELATORIO_MEDICAO!$F$5,$A196&lt;&gt;""),COUNTIFS($A$3:$A196,RELATORIO_MEDICAO!$C$5,$C$3:$C196,RELATORIO_MEDICAO!$F$5),"")</f>
        <v/>
      </c>
      <c r="Z196">
        <f>IF(OR($A196="",PESQUISA!$C$4=""),0,IF(OR(ISNUMBER(SEARCH(PESQUISA!$C$4,$G196)),ISNUMBER(SEARCH(PESQUISA!$C$4,$K196)),ISNUMBER(SEARCH(PESQUISA!$C$4,$L196))),1,0))</f>
        <v/>
      </c>
      <c r="AA196">
        <f>IF($Z196=1,SUM($Z$3:$Z196),"")</f>
        <v/>
      </c>
      <c r="AB196">
        <f>IF(OR($A196="",PESQUISA!$C$50=""),0,IF(ISNUMBER(SEARCH(PESQUISA!$C$50,$I196)),1,0))</f>
        <v/>
      </c>
      <c r="AC196">
        <f>IF($AB196=1,SUM($AB$3:$AB196),"")</f>
        <v/>
      </c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>
        <f>IFERROR(INDEX(CONFIGURACOES!$G$37:$G$300,MATCH($I197,CONFIGURACOES!$B$37:$B$300,0)),"")</f>
        <v/>
      </c>
      <c r="K197" s="20">
        <f>IFERROR(INDEX(CONFIGURACOES!$H$37:$H$300,MATCH($I197,CONFIGURACOES!$B$37:$B$300,0)),"")</f>
        <v/>
      </c>
      <c r="L197" s="20" t="n"/>
      <c r="M197" s="20">
        <f>IFERROR(INDEX(CONFIGURACOES!$I$37:$I$300,MATCH($I197,CONFIGURACOES!$B$37:$B$300,0)),"")</f>
        <v/>
      </c>
      <c r="N197" s="21" t="n"/>
      <c r="O197" s="21" t="n"/>
      <c r="P197" s="21" t="n"/>
      <c r="Q197" s="21" t="n"/>
      <c r="R197" s="21">
        <f>IF($N197="","",$N197*IF($Q197="",1,$Q197)*IF($P197="",1,$P197)*IF($O197="",1,$O197))</f>
        <v/>
      </c>
      <c r="S197" s="22">
        <f>IFERROR(INDEX(CONFIGURACOES!$J$37:$J$300,MATCH($I197,CONFIGURACOES!$B$37:$B$300,0)),"")</f>
        <v/>
      </c>
      <c r="T197" s="22">
        <f>IF(OR($R197="",$S197=""),"",$R197*$S197)</f>
        <v/>
      </c>
      <c r="U197" s="20" t="n"/>
      <c r="V197" s="20" t="n"/>
      <c r="W197" s="20" t="n"/>
      <c r="X197">
        <f>IF($A197="","",$A197&amp;"|"&amp;$C197&amp;"|"&amp;$I197)</f>
        <v/>
      </c>
      <c r="Y197">
        <f>IF(AND($A197=RELATORIO_MEDICAO!$C$5,$C197=RELATORIO_MEDICAO!$F$5,$A197&lt;&gt;""),COUNTIFS($A$3:$A197,RELATORIO_MEDICAO!$C$5,$C$3:$C197,RELATORIO_MEDICAO!$F$5),"")</f>
        <v/>
      </c>
      <c r="Z197">
        <f>IF(OR($A197="",PESQUISA!$C$4=""),0,IF(OR(ISNUMBER(SEARCH(PESQUISA!$C$4,$G197)),ISNUMBER(SEARCH(PESQUISA!$C$4,$K197)),ISNUMBER(SEARCH(PESQUISA!$C$4,$L197))),1,0))</f>
        <v/>
      </c>
      <c r="AA197">
        <f>IF($Z197=1,SUM($Z$3:$Z197),"")</f>
        <v/>
      </c>
      <c r="AB197">
        <f>IF(OR($A197="",PESQUISA!$C$50=""),0,IF(ISNUMBER(SEARCH(PESQUISA!$C$50,$I197)),1,0))</f>
        <v/>
      </c>
      <c r="AC197">
        <f>IF($AB197=1,SUM($AB$3:$AB197),"")</f>
        <v/>
      </c>
    </row>
    <row r="19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>
        <f>IFERROR(INDEX(CONFIGURACOES!$G$37:$G$300,MATCH($I198,CONFIGURACOES!$B$37:$B$300,0)),"")</f>
        <v/>
      </c>
      <c r="K198" s="20">
        <f>IFERROR(INDEX(CONFIGURACOES!$H$37:$H$300,MATCH($I198,CONFIGURACOES!$B$37:$B$300,0)),"")</f>
        <v/>
      </c>
      <c r="L198" s="20" t="n"/>
      <c r="M198" s="20">
        <f>IFERROR(INDEX(CONFIGURACOES!$I$37:$I$300,MATCH($I198,CONFIGURACOES!$B$37:$B$300,0)),"")</f>
        <v/>
      </c>
      <c r="N198" s="21" t="n"/>
      <c r="O198" s="21" t="n"/>
      <c r="P198" s="21" t="n"/>
      <c r="Q198" s="21" t="n"/>
      <c r="R198" s="21">
        <f>IF($N198="","",$N198*IF($Q198="",1,$Q198)*IF($P198="",1,$P198)*IF($O198="",1,$O198))</f>
        <v/>
      </c>
      <c r="S198" s="22">
        <f>IFERROR(INDEX(CONFIGURACOES!$J$37:$J$300,MATCH($I198,CONFIGURACOES!$B$37:$B$300,0)),"")</f>
        <v/>
      </c>
      <c r="T198" s="22">
        <f>IF(OR($R198="",$S198=""),"",$R198*$S198)</f>
        <v/>
      </c>
      <c r="U198" s="20" t="n"/>
      <c r="V198" s="20" t="n"/>
      <c r="W198" s="20" t="n"/>
      <c r="X198">
        <f>IF($A198="","",$A198&amp;"|"&amp;$C198&amp;"|"&amp;$I198)</f>
        <v/>
      </c>
      <c r="Y198">
        <f>IF(AND($A198=RELATORIO_MEDICAO!$C$5,$C198=RELATORIO_MEDICAO!$F$5,$A198&lt;&gt;""),COUNTIFS($A$3:$A198,RELATORIO_MEDICAO!$C$5,$C$3:$C198,RELATORIO_MEDICAO!$F$5),"")</f>
        <v/>
      </c>
      <c r="Z198">
        <f>IF(OR($A198="",PESQUISA!$C$4=""),0,IF(OR(ISNUMBER(SEARCH(PESQUISA!$C$4,$G198)),ISNUMBER(SEARCH(PESQUISA!$C$4,$K198)),ISNUMBER(SEARCH(PESQUISA!$C$4,$L198))),1,0))</f>
        <v/>
      </c>
      <c r="AA198">
        <f>IF($Z198=1,SUM($Z$3:$Z198),"")</f>
        <v/>
      </c>
      <c r="AB198">
        <f>IF(OR($A198="",PESQUISA!$C$50=""),0,IF(ISNUMBER(SEARCH(PESQUISA!$C$50,$I198)),1,0))</f>
        <v/>
      </c>
      <c r="AC198">
        <f>IF($AB198=1,SUM($AB$3:$AB198),"")</f>
        <v/>
      </c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>
        <f>IFERROR(INDEX(CONFIGURACOES!$G$37:$G$300,MATCH($I199,CONFIGURACOES!$B$37:$B$300,0)),"")</f>
        <v/>
      </c>
      <c r="K199" s="20">
        <f>IFERROR(INDEX(CONFIGURACOES!$H$37:$H$300,MATCH($I199,CONFIGURACOES!$B$37:$B$300,0)),"")</f>
        <v/>
      </c>
      <c r="L199" s="20" t="n"/>
      <c r="M199" s="20">
        <f>IFERROR(INDEX(CONFIGURACOES!$I$37:$I$300,MATCH($I199,CONFIGURACOES!$B$37:$B$300,0)),"")</f>
        <v/>
      </c>
      <c r="N199" s="21" t="n"/>
      <c r="O199" s="21" t="n"/>
      <c r="P199" s="21" t="n"/>
      <c r="Q199" s="21" t="n"/>
      <c r="R199" s="21">
        <f>IF($N199="","",$N199*IF($Q199="",1,$Q199)*IF($P199="",1,$P199)*IF($O199="",1,$O199))</f>
        <v/>
      </c>
      <c r="S199" s="22">
        <f>IFERROR(INDEX(CONFIGURACOES!$J$37:$J$300,MATCH($I199,CONFIGURACOES!$B$37:$B$300,0)),"")</f>
        <v/>
      </c>
      <c r="T199" s="22">
        <f>IF(OR($R199="",$S199=""),"",$R199*$S199)</f>
        <v/>
      </c>
      <c r="U199" s="20" t="n"/>
      <c r="V199" s="20" t="n"/>
      <c r="W199" s="20" t="n"/>
      <c r="X199">
        <f>IF($A199="","",$A199&amp;"|"&amp;$C199&amp;"|"&amp;$I199)</f>
        <v/>
      </c>
      <c r="Y199">
        <f>IF(AND($A199=RELATORIO_MEDICAO!$C$5,$C199=RELATORIO_MEDICAO!$F$5,$A199&lt;&gt;""),COUNTIFS($A$3:$A199,RELATORIO_MEDICAO!$C$5,$C$3:$C199,RELATORIO_MEDICAO!$F$5),"")</f>
        <v/>
      </c>
      <c r="Z199">
        <f>IF(OR($A199="",PESQUISA!$C$4=""),0,IF(OR(ISNUMBER(SEARCH(PESQUISA!$C$4,$G199)),ISNUMBER(SEARCH(PESQUISA!$C$4,$K199)),ISNUMBER(SEARCH(PESQUISA!$C$4,$L199))),1,0))</f>
        <v/>
      </c>
      <c r="AA199">
        <f>IF($Z199=1,SUM($Z$3:$Z199),"")</f>
        <v/>
      </c>
      <c r="AB199">
        <f>IF(OR($A199="",PESQUISA!$C$50=""),0,IF(ISNUMBER(SEARCH(PESQUISA!$C$50,$I199)),1,0))</f>
        <v/>
      </c>
      <c r="AC199">
        <f>IF($AB199=1,SUM($AB$3:$AB199),"")</f>
        <v/>
      </c>
    </row>
    <row r="200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>
        <f>IFERROR(INDEX(CONFIGURACOES!$G$37:$G$300,MATCH($I200,CONFIGURACOES!$B$37:$B$300,0)),"")</f>
        <v/>
      </c>
      <c r="K200" s="20">
        <f>IFERROR(INDEX(CONFIGURACOES!$H$37:$H$300,MATCH($I200,CONFIGURACOES!$B$37:$B$300,0)),"")</f>
        <v/>
      </c>
      <c r="L200" s="20" t="n"/>
      <c r="M200" s="20">
        <f>IFERROR(INDEX(CONFIGURACOES!$I$37:$I$300,MATCH($I200,CONFIGURACOES!$B$37:$B$300,0)),"")</f>
        <v/>
      </c>
      <c r="N200" s="21" t="n"/>
      <c r="O200" s="21" t="n"/>
      <c r="P200" s="21" t="n"/>
      <c r="Q200" s="21" t="n"/>
      <c r="R200" s="21">
        <f>IF($N200="","",$N200*IF($Q200="",1,$Q200)*IF($P200="",1,$P200)*IF($O200="",1,$O200))</f>
        <v/>
      </c>
      <c r="S200" s="22">
        <f>IFERROR(INDEX(CONFIGURACOES!$J$37:$J$300,MATCH($I200,CONFIGURACOES!$B$37:$B$300,0)),"")</f>
        <v/>
      </c>
      <c r="T200" s="22">
        <f>IF(OR($R200="",$S200=""),"",$R200*$S200)</f>
        <v/>
      </c>
      <c r="U200" s="20" t="n"/>
      <c r="V200" s="20" t="n"/>
      <c r="W200" s="20" t="n"/>
      <c r="X200">
        <f>IF($A200="","",$A200&amp;"|"&amp;$C200&amp;"|"&amp;$I200)</f>
        <v/>
      </c>
      <c r="Y200">
        <f>IF(AND($A200=RELATORIO_MEDICAO!$C$5,$C200=RELATORIO_MEDICAO!$F$5,$A200&lt;&gt;""),COUNTIFS($A$3:$A200,RELATORIO_MEDICAO!$C$5,$C$3:$C200,RELATORIO_MEDICAO!$F$5),"")</f>
        <v/>
      </c>
      <c r="Z200">
        <f>IF(OR($A200="",PESQUISA!$C$4=""),0,IF(OR(ISNUMBER(SEARCH(PESQUISA!$C$4,$G200)),ISNUMBER(SEARCH(PESQUISA!$C$4,$K200)),ISNUMBER(SEARCH(PESQUISA!$C$4,$L200))),1,0))</f>
        <v/>
      </c>
      <c r="AA200">
        <f>IF($Z200=1,SUM($Z$3:$Z200),"")</f>
        <v/>
      </c>
      <c r="AB200">
        <f>IF(OR($A200="",PESQUISA!$C$50=""),0,IF(ISNUMBER(SEARCH(PESQUISA!$C$50,$I200)),1,0))</f>
        <v/>
      </c>
      <c r="AC200">
        <f>IF($AB200=1,SUM($AB$3:$AB200),"")</f>
        <v/>
      </c>
    </row>
    <row r="20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>
        <f>IFERROR(INDEX(CONFIGURACOES!$G$37:$G$300,MATCH($I201,CONFIGURACOES!$B$37:$B$300,0)),"")</f>
        <v/>
      </c>
      <c r="K201" s="20">
        <f>IFERROR(INDEX(CONFIGURACOES!$H$37:$H$300,MATCH($I201,CONFIGURACOES!$B$37:$B$300,0)),"")</f>
        <v/>
      </c>
      <c r="L201" s="20" t="n"/>
      <c r="M201" s="20">
        <f>IFERROR(INDEX(CONFIGURACOES!$I$37:$I$300,MATCH($I201,CONFIGURACOES!$B$37:$B$300,0)),"")</f>
        <v/>
      </c>
      <c r="N201" s="21" t="n"/>
      <c r="O201" s="21" t="n"/>
      <c r="P201" s="21" t="n"/>
      <c r="Q201" s="21" t="n"/>
      <c r="R201" s="21">
        <f>IF($N201="","",$N201*IF($Q201="",1,$Q201)*IF($P201="",1,$P201)*IF($O201="",1,$O201))</f>
        <v/>
      </c>
      <c r="S201" s="22">
        <f>IFERROR(INDEX(CONFIGURACOES!$J$37:$J$300,MATCH($I201,CONFIGURACOES!$B$37:$B$300,0)),"")</f>
        <v/>
      </c>
      <c r="T201" s="22">
        <f>IF(OR($R201="",$S201=""),"",$R201*$S201)</f>
        <v/>
      </c>
      <c r="U201" s="20" t="n"/>
      <c r="V201" s="20" t="n"/>
      <c r="W201" s="20" t="n"/>
      <c r="X201">
        <f>IF($A201="","",$A201&amp;"|"&amp;$C201&amp;"|"&amp;$I201)</f>
        <v/>
      </c>
      <c r="Y201">
        <f>IF(AND($A201=RELATORIO_MEDICAO!$C$5,$C201=RELATORIO_MEDICAO!$F$5,$A201&lt;&gt;""),COUNTIFS($A$3:$A201,RELATORIO_MEDICAO!$C$5,$C$3:$C201,RELATORIO_MEDICAO!$F$5),"")</f>
        <v/>
      </c>
      <c r="Z201">
        <f>IF(OR($A201="",PESQUISA!$C$4=""),0,IF(OR(ISNUMBER(SEARCH(PESQUISA!$C$4,$G201)),ISNUMBER(SEARCH(PESQUISA!$C$4,$K201)),ISNUMBER(SEARCH(PESQUISA!$C$4,$L201))),1,0))</f>
        <v/>
      </c>
      <c r="AA201">
        <f>IF($Z201=1,SUM($Z$3:$Z201),"")</f>
        <v/>
      </c>
      <c r="AB201">
        <f>IF(OR($A201="",PESQUISA!$C$50=""),0,IF(ISNUMBER(SEARCH(PESQUISA!$C$50,$I201)),1,0))</f>
        <v/>
      </c>
      <c r="AC201">
        <f>IF($AB201=1,SUM($AB$3:$AB201),"")</f>
        <v/>
      </c>
    </row>
    <row r="202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>
        <f>IFERROR(INDEX(CONFIGURACOES!$G$37:$G$300,MATCH($I202,CONFIGURACOES!$B$37:$B$300,0)),"")</f>
        <v/>
      </c>
      <c r="K202" s="20">
        <f>IFERROR(INDEX(CONFIGURACOES!$H$37:$H$300,MATCH($I202,CONFIGURACOES!$B$37:$B$300,0)),"")</f>
        <v/>
      </c>
      <c r="L202" s="20" t="n"/>
      <c r="M202" s="20">
        <f>IFERROR(INDEX(CONFIGURACOES!$I$37:$I$300,MATCH($I202,CONFIGURACOES!$B$37:$B$300,0)),"")</f>
        <v/>
      </c>
      <c r="N202" s="21" t="n"/>
      <c r="O202" s="21" t="n"/>
      <c r="P202" s="21" t="n"/>
      <c r="Q202" s="21" t="n"/>
      <c r="R202" s="21">
        <f>IF($N202="","",$N202*IF($Q202="",1,$Q202)*IF($P202="",1,$P202)*IF($O202="",1,$O202))</f>
        <v/>
      </c>
      <c r="S202" s="22">
        <f>IFERROR(INDEX(CONFIGURACOES!$J$37:$J$300,MATCH($I202,CONFIGURACOES!$B$37:$B$300,0)),"")</f>
        <v/>
      </c>
      <c r="T202" s="22">
        <f>IF(OR($R202="",$S202=""),"",$R202*$S202)</f>
        <v/>
      </c>
      <c r="U202" s="20" t="n"/>
      <c r="V202" s="20" t="n"/>
      <c r="W202" s="20" t="n"/>
      <c r="X202">
        <f>IF($A202="","",$A202&amp;"|"&amp;$C202&amp;"|"&amp;$I202)</f>
        <v/>
      </c>
      <c r="Y202">
        <f>IF(AND($A202=RELATORIO_MEDICAO!$C$5,$C202=RELATORIO_MEDICAO!$F$5,$A202&lt;&gt;""),COUNTIFS($A$3:$A202,RELATORIO_MEDICAO!$C$5,$C$3:$C202,RELATORIO_MEDICAO!$F$5),"")</f>
        <v/>
      </c>
      <c r="Z202">
        <f>IF(OR($A202="",PESQUISA!$C$4=""),0,IF(OR(ISNUMBER(SEARCH(PESQUISA!$C$4,$G202)),ISNUMBER(SEARCH(PESQUISA!$C$4,$K202)),ISNUMBER(SEARCH(PESQUISA!$C$4,$L202))),1,0))</f>
        <v/>
      </c>
      <c r="AA202">
        <f>IF($Z202=1,SUM($Z$3:$Z202),"")</f>
        <v/>
      </c>
      <c r="AB202">
        <f>IF(OR($A202="",PESQUISA!$C$50=""),0,IF(ISNUMBER(SEARCH(PESQUISA!$C$50,$I202)),1,0))</f>
        <v/>
      </c>
      <c r="AC202">
        <f>IF($AB202=1,SUM($AB$3:$AB202),"")</f>
        <v/>
      </c>
    </row>
    <row r="203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>
        <f>IFERROR(INDEX(CONFIGURACOES!$G$37:$G$300,MATCH($I203,CONFIGURACOES!$B$37:$B$300,0)),"")</f>
        <v/>
      </c>
      <c r="K203" s="20">
        <f>IFERROR(INDEX(CONFIGURACOES!$H$37:$H$300,MATCH($I203,CONFIGURACOES!$B$37:$B$300,0)),"")</f>
        <v/>
      </c>
      <c r="L203" s="20" t="n"/>
      <c r="M203" s="20">
        <f>IFERROR(INDEX(CONFIGURACOES!$I$37:$I$300,MATCH($I203,CONFIGURACOES!$B$37:$B$300,0)),"")</f>
        <v/>
      </c>
      <c r="N203" s="21" t="n"/>
      <c r="O203" s="21" t="n"/>
      <c r="P203" s="21" t="n"/>
      <c r="Q203" s="21" t="n"/>
      <c r="R203" s="21">
        <f>IF($N203="","",$N203*IF($Q203="",1,$Q203)*IF($P203="",1,$P203)*IF($O203="",1,$O203))</f>
        <v/>
      </c>
      <c r="S203" s="22">
        <f>IFERROR(INDEX(CONFIGURACOES!$J$37:$J$300,MATCH($I203,CONFIGURACOES!$B$37:$B$300,0)),"")</f>
        <v/>
      </c>
      <c r="T203" s="22">
        <f>IF(OR($R203="",$S203=""),"",$R203*$S203)</f>
        <v/>
      </c>
      <c r="U203" s="20" t="n"/>
      <c r="V203" s="20" t="n"/>
      <c r="W203" s="20" t="n"/>
      <c r="X203">
        <f>IF($A203="","",$A203&amp;"|"&amp;$C203&amp;"|"&amp;$I203)</f>
        <v/>
      </c>
      <c r="Y203">
        <f>IF(AND($A203=RELATORIO_MEDICAO!$C$5,$C203=RELATORIO_MEDICAO!$F$5,$A203&lt;&gt;""),COUNTIFS($A$3:$A203,RELATORIO_MEDICAO!$C$5,$C$3:$C203,RELATORIO_MEDICAO!$F$5),"")</f>
        <v/>
      </c>
      <c r="Z203">
        <f>IF(OR($A203="",PESQUISA!$C$4=""),0,IF(OR(ISNUMBER(SEARCH(PESQUISA!$C$4,$G203)),ISNUMBER(SEARCH(PESQUISA!$C$4,$K203)),ISNUMBER(SEARCH(PESQUISA!$C$4,$L203))),1,0))</f>
        <v/>
      </c>
      <c r="AA203">
        <f>IF($Z203=1,SUM($Z$3:$Z203),"")</f>
        <v/>
      </c>
      <c r="AB203">
        <f>IF(OR($A203="",PESQUISA!$C$50=""),0,IF(ISNUMBER(SEARCH(PESQUISA!$C$50,$I203)),1,0))</f>
        <v/>
      </c>
      <c r="AC203">
        <f>IF($AB203=1,SUM($AB$3:$AB203),"")</f>
        <v/>
      </c>
    </row>
    <row r="204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>
        <f>IFERROR(INDEX(CONFIGURACOES!$G$37:$G$300,MATCH($I204,CONFIGURACOES!$B$37:$B$300,0)),"")</f>
        <v/>
      </c>
      <c r="K204" s="20">
        <f>IFERROR(INDEX(CONFIGURACOES!$H$37:$H$300,MATCH($I204,CONFIGURACOES!$B$37:$B$300,0)),"")</f>
        <v/>
      </c>
      <c r="L204" s="20" t="n"/>
      <c r="M204" s="20">
        <f>IFERROR(INDEX(CONFIGURACOES!$I$37:$I$300,MATCH($I204,CONFIGURACOES!$B$37:$B$300,0)),"")</f>
        <v/>
      </c>
      <c r="N204" s="21" t="n"/>
      <c r="O204" s="21" t="n"/>
      <c r="P204" s="21" t="n"/>
      <c r="Q204" s="21" t="n"/>
      <c r="R204" s="21">
        <f>IF($N204="","",$N204*IF($Q204="",1,$Q204)*IF($P204="",1,$P204)*IF($O204="",1,$O204))</f>
        <v/>
      </c>
      <c r="S204" s="22">
        <f>IFERROR(INDEX(CONFIGURACOES!$J$37:$J$300,MATCH($I204,CONFIGURACOES!$B$37:$B$300,0)),"")</f>
        <v/>
      </c>
      <c r="T204" s="22">
        <f>IF(OR($R204="",$S204=""),"",$R204*$S204)</f>
        <v/>
      </c>
      <c r="U204" s="20" t="n"/>
      <c r="V204" s="20" t="n"/>
      <c r="W204" s="20" t="n"/>
      <c r="X204">
        <f>IF($A204="","",$A204&amp;"|"&amp;$C204&amp;"|"&amp;$I204)</f>
        <v/>
      </c>
      <c r="Y204">
        <f>IF(AND($A204=RELATORIO_MEDICAO!$C$5,$C204=RELATORIO_MEDICAO!$F$5,$A204&lt;&gt;""),COUNTIFS($A$3:$A204,RELATORIO_MEDICAO!$C$5,$C$3:$C204,RELATORIO_MEDICAO!$F$5),"")</f>
        <v/>
      </c>
      <c r="Z204">
        <f>IF(OR($A204="",PESQUISA!$C$4=""),0,IF(OR(ISNUMBER(SEARCH(PESQUISA!$C$4,$G204)),ISNUMBER(SEARCH(PESQUISA!$C$4,$K204)),ISNUMBER(SEARCH(PESQUISA!$C$4,$L204))),1,0))</f>
        <v/>
      </c>
      <c r="AA204">
        <f>IF($Z204=1,SUM($Z$3:$Z204),"")</f>
        <v/>
      </c>
      <c r="AB204">
        <f>IF(OR($A204="",PESQUISA!$C$50=""),0,IF(ISNUMBER(SEARCH(PESQUISA!$C$50,$I204)),1,0))</f>
        <v/>
      </c>
      <c r="AC204">
        <f>IF($AB204=1,SUM($AB$3:$AB204),"")</f>
        <v/>
      </c>
    </row>
    <row r="205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>
        <f>IFERROR(INDEX(CONFIGURACOES!$G$37:$G$300,MATCH($I205,CONFIGURACOES!$B$37:$B$300,0)),"")</f>
        <v/>
      </c>
      <c r="K205" s="20">
        <f>IFERROR(INDEX(CONFIGURACOES!$H$37:$H$300,MATCH($I205,CONFIGURACOES!$B$37:$B$300,0)),"")</f>
        <v/>
      </c>
      <c r="L205" s="20" t="n"/>
      <c r="M205" s="20">
        <f>IFERROR(INDEX(CONFIGURACOES!$I$37:$I$300,MATCH($I205,CONFIGURACOES!$B$37:$B$300,0)),"")</f>
        <v/>
      </c>
      <c r="N205" s="21" t="n"/>
      <c r="O205" s="21" t="n"/>
      <c r="P205" s="21" t="n"/>
      <c r="Q205" s="21" t="n"/>
      <c r="R205" s="21">
        <f>IF($N205="","",$N205*IF($Q205="",1,$Q205)*IF($P205="",1,$P205)*IF($O205="",1,$O205))</f>
        <v/>
      </c>
      <c r="S205" s="22">
        <f>IFERROR(INDEX(CONFIGURACOES!$J$37:$J$300,MATCH($I205,CONFIGURACOES!$B$37:$B$300,0)),"")</f>
        <v/>
      </c>
      <c r="T205" s="22">
        <f>IF(OR($R205="",$S205=""),"",$R205*$S205)</f>
        <v/>
      </c>
      <c r="U205" s="20" t="n"/>
      <c r="V205" s="20" t="n"/>
      <c r="W205" s="20" t="n"/>
      <c r="X205">
        <f>IF($A205="","",$A205&amp;"|"&amp;$C205&amp;"|"&amp;$I205)</f>
        <v/>
      </c>
      <c r="Y205">
        <f>IF(AND($A205=RELATORIO_MEDICAO!$C$5,$C205=RELATORIO_MEDICAO!$F$5,$A205&lt;&gt;""),COUNTIFS($A$3:$A205,RELATORIO_MEDICAO!$C$5,$C$3:$C205,RELATORIO_MEDICAO!$F$5),"")</f>
        <v/>
      </c>
      <c r="Z205">
        <f>IF(OR($A205="",PESQUISA!$C$4=""),0,IF(OR(ISNUMBER(SEARCH(PESQUISA!$C$4,$G205)),ISNUMBER(SEARCH(PESQUISA!$C$4,$K205)),ISNUMBER(SEARCH(PESQUISA!$C$4,$L205))),1,0))</f>
        <v/>
      </c>
      <c r="AA205">
        <f>IF($Z205=1,SUM($Z$3:$Z205),"")</f>
        <v/>
      </c>
      <c r="AB205">
        <f>IF(OR($A205="",PESQUISA!$C$50=""),0,IF(ISNUMBER(SEARCH(PESQUISA!$C$50,$I205)),1,0))</f>
        <v/>
      </c>
      <c r="AC205">
        <f>IF($AB205=1,SUM($AB$3:$AB205),"")</f>
        <v/>
      </c>
    </row>
    <row r="206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>
        <f>IFERROR(INDEX(CONFIGURACOES!$G$37:$G$300,MATCH($I206,CONFIGURACOES!$B$37:$B$300,0)),"")</f>
        <v/>
      </c>
      <c r="K206" s="20">
        <f>IFERROR(INDEX(CONFIGURACOES!$H$37:$H$300,MATCH($I206,CONFIGURACOES!$B$37:$B$300,0)),"")</f>
        <v/>
      </c>
      <c r="L206" s="20" t="n"/>
      <c r="M206" s="20">
        <f>IFERROR(INDEX(CONFIGURACOES!$I$37:$I$300,MATCH($I206,CONFIGURACOES!$B$37:$B$300,0)),"")</f>
        <v/>
      </c>
      <c r="N206" s="21" t="n"/>
      <c r="O206" s="21" t="n"/>
      <c r="P206" s="21" t="n"/>
      <c r="Q206" s="21" t="n"/>
      <c r="R206" s="21">
        <f>IF($N206="","",$N206*IF($Q206="",1,$Q206)*IF($P206="",1,$P206)*IF($O206="",1,$O206))</f>
        <v/>
      </c>
      <c r="S206" s="22">
        <f>IFERROR(INDEX(CONFIGURACOES!$J$37:$J$300,MATCH($I206,CONFIGURACOES!$B$37:$B$300,0)),"")</f>
        <v/>
      </c>
      <c r="T206" s="22">
        <f>IF(OR($R206="",$S206=""),"",$R206*$S206)</f>
        <v/>
      </c>
      <c r="U206" s="20" t="n"/>
      <c r="V206" s="20" t="n"/>
      <c r="W206" s="20" t="n"/>
      <c r="X206">
        <f>IF($A206="","",$A206&amp;"|"&amp;$C206&amp;"|"&amp;$I206)</f>
        <v/>
      </c>
      <c r="Y206">
        <f>IF(AND($A206=RELATORIO_MEDICAO!$C$5,$C206=RELATORIO_MEDICAO!$F$5,$A206&lt;&gt;""),COUNTIFS($A$3:$A206,RELATORIO_MEDICAO!$C$5,$C$3:$C206,RELATORIO_MEDICAO!$F$5),"")</f>
        <v/>
      </c>
      <c r="Z206">
        <f>IF(OR($A206="",PESQUISA!$C$4=""),0,IF(OR(ISNUMBER(SEARCH(PESQUISA!$C$4,$G206)),ISNUMBER(SEARCH(PESQUISA!$C$4,$K206)),ISNUMBER(SEARCH(PESQUISA!$C$4,$L206))),1,0))</f>
        <v/>
      </c>
      <c r="AA206">
        <f>IF($Z206=1,SUM($Z$3:$Z206),"")</f>
        <v/>
      </c>
      <c r="AB206">
        <f>IF(OR($A206="",PESQUISA!$C$50=""),0,IF(ISNUMBER(SEARCH(PESQUISA!$C$50,$I206)),1,0))</f>
        <v/>
      </c>
      <c r="AC206">
        <f>IF($AB206=1,SUM($AB$3:$AB206),"")</f>
        <v/>
      </c>
    </row>
    <row r="207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>
        <f>IFERROR(INDEX(CONFIGURACOES!$G$37:$G$300,MATCH($I207,CONFIGURACOES!$B$37:$B$300,0)),"")</f>
        <v/>
      </c>
      <c r="K207" s="20">
        <f>IFERROR(INDEX(CONFIGURACOES!$H$37:$H$300,MATCH($I207,CONFIGURACOES!$B$37:$B$300,0)),"")</f>
        <v/>
      </c>
      <c r="L207" s="20" t="n"/>
      <c r="M207" s="20">
        <f>IFERROR(INDEX(CONFIGURACOES!$I$37:$I$300,MATCH($I207,CONFIGURACOES!$B$37:$B$300,0)),"")</f>
        <v/>
      </c>
      <c r="N207" s="21" t="n"/>
      <c r="O207" s="21" t="n"/>
      <c r="P207" s="21" t="n"/>
      <c r="Q207" s="21" t="n"/>
      <c r="R207" s="21">
        <f>IF($N207="","",$N207*IF($Q207="",1,$Q207)*IF($P207="",1,$P207)*IF($O207="",1,$O207))</f>
        <v/>
      </c>
      <c r="S207" s="22">
        <f>IFERROR(INDEX(CONFIGURACOES!$J$37:$J$300,MATCH($I207,CONFIGURACOES!$B$37:$B$300,0)),"")</f>
        <v/>
      </c>
      <c r="T207" s="22">
        <f>IF(OR($R207="",$S207=""),"",$R207*$S207)</f>
        <v/>
      </c>
      <c r="U207" s="20" t="n"/>
      <c r="V207" s="20" t="n"/>
      <c r="W207" s="20" t="n"/>
      <c r="X207">
        <f>IF($A207="","",$A207&amp;"|"&amp;$C207&amp;"|"&amp;$I207)</f>
        <v/>
      </c>
      <c r="Y207">
        <f>IF(AND($A207=RELATORIO_MEDICAO!$C$5,$C207=RELATORIO_MEDICAO!$F$5,$A207&lt;&gt;""),COUNTIFS($A$3:$A207,RELATORIO_MEDICAO!$C$5,$C$3:$C207,RELATORIO_MEDICAO!$F$5),"")</f>
        <v/>
      </c>
      <c r="Z207">
        <f>IF(OR($A207="",PESQUISA!$C$4=""),0,IF(OR(ISNUMBER(SEARCH(PESQUISA!$C$4,$G207)),ISNUMBER(SEARCH(PESQUISA!$C$4,$K207)),ISNUMBER(SEARCH(PESQUISA!$C$4,$L207))),1,0))</f>
        <v/>
      </c>
      <c r="AA207">
        <f>IF($Z207=1,SUM($Z$3:$Z207),"")</f>
        <v/>
      </c>
      <c r="AB207">
        <f>IF(OR($A207="",PESQUISA!$C$50=""),0,IF(ISNUMBER(SEARCH(PESQUISA!$C$50,$I207)),1,0))</f>
        <v/>
      </c>
      <c r="AC207">
        <f>IF($AB207=1,SUM($AB$3:$AB207),"")</f>
        <v/>
      </c>
    </row>
    <row r="208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>
        <f>IFERROR(INDEX(CONFIGURACOES!$G$37:$G$300,MATCH($I208,CONFIGURACOES!$B$37:$B$300,0)),"")</f>
        <v/>
      </c>
      <c r="K208" s="20">
        <f>IFERROR(INDEX(CONFIGURACOES!$H$37:$H$300,MATCH($I208,CONFIGURACOES!$B$37:$B$300,0)),"")</f>
        <v/>
      </c>
      <c r="L208" s="20" t="n"/>
      <c r="M208" s="20">
        <f>IFERROR(INDEX(CONFIGURACOES!$I$37:$I$300,MATCH($I208,CONFIGURACOES!$B$37:$B$300,0)),"")</f>
        <v/>
      </c>
      <c r="N208" s="21" t="n"/>
      <c r="O208" s="21" t="n"/>
      <c r="P208" s="21" t="n"/>
      <c r="Q208" s="21" t="n"/>
      <c r="R208" s="21">
        <f>IF($N208="","",$N208*IF($Q208="",1,$Q208)*IF($P208="",1,$P208)*IF($O208="",1,$O208))</f>
        <v/>
      </c>
      <c r="S208" s="22">
        <f>IFERROR(INDEX(CONFIGURACOES!$J$37:$J$300,MATCH($I208,CONFIGURACOES!$B$37:$B$300,0)),"")</f>
        <v/>
      </c>
      <c r="T208" s="22">
        <f>IF(OR($R208="",$S208=""),"",$R208*$S208)</f>
        <v/>
      </c>
      <c r="U208" s="20" t="n"/>
      <c r="V208" s="20" t="n"/>
      <c r="W208" s="20" t="n"/>
      <c r="X208">
        <f>IF($A208="","",$A208&amp;"|"&amp;$C208&amp;"|"&amp;$I208)</f>
        <v/>
      </c>
      <c r="Y208">
        <f>IF(AND($A208=RELATORIO_MEDICAO!$C$5,$C208=RELATORIO_MEDICAO!$F$5,$A208&lt;&gt;""),COUNTIFS($A$3:$A208,RELATORIO_MEDICAO!$C$5,$C$3:$C208,RELATORIO_MEDICAO!$F$5),"")</f>
        <v/>
      </c>
      <c r="Z208">
        <f>IF(OR($A208="",PESQUISA!$C$4=""),0,IF(OR(ISNUMBER(SEARCH(PESQUISA!$C$4,$G208)),ISNUMBER(SEARCH(PESQUISA!$C$4,$K208)),ISNUMBER(SEARCH(PESQUISA!$C$4,$L208))),1,0))</f>
        <v/>
      </c>
      <c r="AA208">
        <f>IF($Z208=1,SUM($Z$3:$Z208),"")</f>
        <v/>
      </c>
      <c r="AB208">
        <f>IF(OR($A208="",PESQUISA!$C$50=""),0,IF(ISNUMBER(SEARCH(PESQUISA!$C$50,$I208)),1,0))</f>
        <v/>
      </c>
      <c r="AC208">
        <f>IF($AB208=1,SUM($AB$3:$AB208),"")</f>
        <v/>
      </c>
    </row>
    <row r="209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>
        <f>IFERROR(INDEX(CONFIGURACOES!$G$37:$G$300,MATCH($I209,CONFIGURACOES!$B$37:$B$300,0)),"")</f>
        <v/>
      </c>
      <c r="K209" s="20">
        <f>IFERROR(INDEX(CONFIGURACOES!$H$37:$H$300,MATCH($I209,CONFIGURACOES!$B$37:$B$300,0)),"")</f>
        <v/>
      </c>
      <c r="L209" s="20" t="n"/>
      <c r="M209" s="20">
        <f>IFERROR(INDEX(CONFIGURACOES!$I$37:$I$300,MATCH($I209,CONFIGURACOES!$B$37:$B$300,0)),"")</f>
        <v/>
      </c>
      <c r="N209" s="21" t="n"/>
      <c r="O209" s="21" t="n"/>
      <c r="P209" s="21" t="n"/>
      <c r="Q209" s="21" t="n"/>
      <c r="R209" s="21">
        <f>IF($N209="","",$N209*IF($Q209="",1,$Q209)*IF($P209="",1,$P209)*IF($O209="",1,$O209))</f>
        <v/>
      </c>
      <c r="S209" s="22">
        <f>IFERROR(INDEX(CONFIGURACOES!$J$37:$J$300,MATCH($I209,CONFIGURACOES!$B$37:$B$300,0)),"")</f>
        <v/>
      </c>
      <c r="T209" s="22">
        <f>IF(OR($R209="",$S209=""),"",$R209*$S209)</f>
        <v/>
      </c>
      <c r="U209" s="20" t="n"/>
      <c r="V209" s="20" t="n"/>
      <c r="W209" s="20" t="n"/>
      <c r="X209">
        <f>IF($A209="","",$A209&amp;"|"&amp;$C209&amp;"|"&amp;$I209)</f>
        <v/>
      </c>
      <c r="Y209">
        <f>IF(AND($A209=RELATORIO_MEDICAO!$C$5,$C209=RELATORIO_MEDICAO!$F$5,$A209&lt;&gt;""),COUNTIFS($A$3:$A209,RELATORIO_MEDICAO!$C$5,$C$3:$C209,RELATORIO_MEDICAO!$F$5),"")</f>
        <v/>
      </c>
      <c r="Z209">
        <f>IF(OR($A209="",PESQUISA!$C$4=""),0,IF(OR(ISNUMBER(SEARCH(PESQUISA!$C$4,$G209)),ISNUMBER(SEARCH(PESQUISA!$C$4,$K209)),ISNUMBER(SEARCH(PESQUISA!$C$4,$L209))),1,0))</f>
        <v/>
      </c>
      <c r="AA209">
        <f>IF($Z209=1,SUM($Z$3:$Z209),"")</f>
        <v/>
      </c>
      <c r="AB209">
        <f>IF(OR($A209="",PESQUISA!$C$50=""),0,IF(ISNUMBER(SEARCH(PESQUISA!$C$50,$I209)),1,0))</f>
        <v/>
      </c>
      <c r="AC209">
        <f>IF($AB209=1,SUM($AB$3:$AB209),"")</f>
        <v/>
      </c>
    </row>
    <row r="210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>
        <f>IFERROR(INDEX(CONFIGURACOES!$G$37:$G$300,MATCH($I210,CONFIGURACOES!$B$37:$B$300,0)),"")</f>
        <v/>
      </c>
      <c r="K210" s="20">
        <f>IFERROR(INDEX(CONFIGURACOES!$H$37:$H$300,MATCH($I210,CONFIGURACOES!$B$37:$B$300,0)),"")</f>
        <v/>
      </c>
      <c r="L210" s="20" t="n"/>
      <c r="M210" s="20">
        <f>IFERROR(INDEX(CONFIGURACOES!$I$37:$I$300,MATCH($I210,CONFIGURACOES!$B$37:$B$300,0)),"")</f>
        <v/>
      </c>
      <c r="N210" s="21" t="n"/>
      <c r="O210" s="21" t="n"/>
      <c r="P210" s="21" t="n"/>
      <c r="Q210" s="21" t="n"/>
      <c r="R210" s="21">
        <f>IF($N210="","",$N210*IF($Q210="",1,$Q210)*IF($P210="",1,$P210)*IF($O210="",1,$O210))</f>
        <v/>
      </c>
      <c r="S210" s="22">
        <f>IFERROR(INDEX(CONFIGURACOES!$J$37:$J$300,MATCH($I210,CONFIGURACOES!$B$37:$B$300,0)),"")</f>
        <v/>
      </c>
      <c r="T210" s="22">
        <f>IF(OR($R210="",$S210=""),"",$R210*$S210)</f>
        <v/>
      </c>
      <c r="U210" s="20" t="n"/>
      <c r="V210" s="20" t="n"/>
      <c r="W210" s="20" t="n"/>
      <c r="X210">
        <f>IF($A210="","",$A210&amp;"|"&amp;$C210&amp;"|"&amp;$I210)</f>
        <v/>
      </c>
      <c r="Y210">
        <f>IF(AND($A210=RELATORIO_MEDICAO!$C$5,$C210=RELATORIO_MEDICAO!$F$5,$A210&lt;&gt;""),COUNTIFS($A$3:$A210,RELATORIO_MEDICAO!$C$5,$C$3:$C210,RELATORIO_MEDICAO!$F$5),"")</f>
        <v/>
      </c>
      <c r="Z210">
        <f>IF(OR($A210="",PESQUISA!$C$4=""),0,IF(OR(ISNUMBER(SEARCH(PESQUISA!$C$4,$G210)),ISNUMBER(SEARCH(PESQUISA!$C$4,$K210)),ISNUMBER(SEARCH(PESQUISA!$C$4,$L210))),1,0))</f>
        <v/>
      </c>
      <c r="AA210">
        <f>IF($Z210=1,SUM($Z$3:$Z210),"")</f>
        <v/>
      </c>
      <c r="AB210">
        <f>IF(OR($A210="",PESQUISA!$C$50=""),0,IF(ISNUMBER(SEARCH(PESQUISA!$C$50,$I210)),1,0))</f>
        <v/>
      </c>
      <c r="AC210">
        <f>IF($AB210=1,SUM($AB$3:$AB210),"")</f>
        <v/>
      </c>
    </row>
    <row r="21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>
        <f>IFERROR(INDEX(CONFIGURACOES!$G$37:$G$300,MATCH($I211,CONFIGURACOES!$B$37:$B$300,0)),"")</f>
        <v/>
      </c>
      <c r="K211" s="20">
        <f>IFERROR(INDEX(CONFIGURACOES!$H$37:$H$300,MATCH($I211,CONFIGURACOES!$B$37:$B$300,0)),"")</f>
        <v/>
      </c>
      <c r="L211" s="20" t="n"/>
      <c r="M211" s="20">
        <f>IFERROR(INDEX(CONFIGURACOES!$I$37:$I$300,MATCH($I211,CONFIGURACOES!$B$37:$B$300,0)),"")</f>
        <v/>
      </c>
      <c r="N211" s="21" t="n"/>
      <c r="O211" s="21" t="n"/>
      <c r="P211" s="21" t="n"/>
      <c r="Q211" s="21" t="n"/>
      <c r="R211" s="21">
        <f>IF($N211="","",$N211*IF($Q211="",1,$Q211)*IF($P211="",1,$P211)*IF($O211="",1,$O211))</f>
        <v/>
      </c>
      <c r="S211" s="22">
        <f>IFERROR(INDEX(CONFIGURACOES!$J$37:$J$300,MATCH($I211,CONFIGURACOES!$B$37:$B$300,0)),"")</f>
        <v/>
      </c>
      <c r="T211" s="22">
        <f>IF(OR($R211="",$S211=""),"",$R211*$S211)</f>
        <v/>
      </c>
      <c r="U211" s="20" t="n"/>
      <c r="V211" s="20" t="n"/>
      <c r="W211" s="20" t="n"/>
      <c r="X211">
        <f>IF($A211="","",$A211&amp;"|"&amp;$C211&amp;"|"&amp;$I211)</f>
        <v/>
      </c>
      <c r="Y211">
        <f>IF(AND($A211=RELATORIO_MEDICAO!$C$5,$C211=RELATORIO_MEDICAO!$F$5,$A211&lt;&gt;""),COUNTIFS($A$3:$A211,RELATORIO_MEDICAO!$C$5,$C$3:$C211,RELATORIO_MEDICAO!$F$5),"")</f>
        <v/>
      </c>
      <c r="Z211">
        <f>IF(OR($A211="",PESQUISA!$C$4=""),0,IF(OR(ISNUMBER(SEARCH(PESQUISA!$C$4,$G211)),ISNUMBER(SEARCH(PESQUISA!$C$4,$K211)),ISNUMBER(SEARCH(PESQUISA!$C$4,$L211))),1,0))</f>
        <v/>
      </c>
      <c r="AA211">
        <f>IF($Z211=1,SUM($Z$3:$Z211),"")</f>
        <v/>
      </c>
      <c r="AB211">
        <f>IF(OR($A211="",PESQUISA!$C$50=""),0,IF(ISNUMBER(SEARCH(PESQUISA!$C$50,$I211)),1,0))</f>
        <v/>
      </c>
      <c r="AC211">
        <f>IF($AB211=1,SUM($AB$3:$AB211),"")</f>
        <v/>
      </c>
    </row>
    <row r="212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>
        <f>IFERROR(INDEX(CONFIGURACOES!$G$37:$G$300,MATCH($I212,CONFIGURACOES!$B$37:$B$300,0)),"")</f>
        <v/>
      </c>
      <c r="K212" s="20">
        <f>IFERROR(INDEX(CONFIGURACOES!$H$37:$H$300,MATCH($I212,CONFIGURACOES!$B$37:$B$300,0)),"")</f>
        <v/>
      </c>
      <c r="L212" s="20" t="n"/>
      <c r="M212" s="20">
        <f>IFERROR(INDEX(CONFIGURACOES!$I$37:$I$300,MATCH($I212,CONFIGURACOES!$B$37:$B$300,0)),"")</f>
        <v/>
      </c>
      <c r="N212" s="21" t="n"/>
      <c r="O212" s="21" t="n"/>
      <c r="P212" s="21" t="n"/>
      <c r="Q212" s="21" t="n"/>
      <c r="R212" s="21">
        <f>IF($N212="","",$N212*IF($Q212="",1,$Q212)*IF($P212="",1,$P212)*IF($O212="",1,$O212))</f>
        <v/>
      </c>
      <c r="S212" s="22">
        <f>IFERROR(INDEX(CONFIGURACOES!$J$37:$J$300,MATCH($I212,CONFIGURACOES!$B$37:$B$300,0)),"")</f>
        <v/>
      </c>
      <c r="T212" s="22">
        <f>IF(OR($R212="",$S212=""),"",$R212*$S212)</f>
        <v/>
      </c>
      <c r="U212" s="20" t="n"/>
      <c r="V212" s="20" t="n"/>
      <c r="W212" s="20" t="n"/>
      <c r="X212">
        <f>IF($A212="","",$A212&amp;"|"&amp;$C212&amp;"|"&amp;$I212)</f>
        <v/>
      </c>
      <c r="Y212">
        <f>IF(AND($A212=RELATORIO_MEDICAO!$C$5,$C212=RELATORIO_MEDICAO!$F$5,$A212&lt;&gt;""),COUNTIFS($A$3:$A212,RELATORIO_MEDICAO!$C$5,$C$3:$C212,RELATORIO_MEDICAO!$F$5),"")</f>
        <v/>
      </c>
      <c r="Z212">
        <f>IF(OR($A212="",PESQUISA!$C$4=""),0,IF(OR(ISNUMBER(SEARCH(PESQUISA!$C$4,$G212)),ISNUMBER(SEARCH(PESQUISA!$C$4,$K212)),ISNUMBER(SEARCH(PESQUISA!$C$4,$L212))),1,0))</f>
        <v/>
      </c>
      <c r="AA212">
        <f>IF($Z212=1,SUM($Z$3:$Z212),"")</f>
        <v/>
      </c>
      <c r="AB212">
        <f>IF(OR($A212="",PESQUISA!$C$50=""),0,IF(ISNUMBER(SEARCH(PESQUISA!$C$50,$I212)),1,0))</f>
        <v/>
      </c>
      <c r="AC212">
        <f>IF($AB212=1,SUM($AB$3:$AB212),"")</f>
        <v/>
      </c>
    </row>
    <row r="213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>
        <f>IFERROR(INDEX(CONFIGURACOES!$G$37:$G$300,MATCH($I213,CONFIGURACOES!$B$37:$B$300,0)),"")</f>
        <v/>
      </c>
      <c r="K213" s="20">
        <f>IFERROR(INDEX(CONFIGURACOES!$H$37:$H$300,MATCH($I213,CONFIGURACOES!$B$37:$B$300,0)),"")</f>
        <v/>
      </c>
      <c r="L213" s="20" t="n"/>
      <c r="M213" s="20">
        <f>IFERROR(INDEX(CONFIGURACOES!$I$37:$I$300,MATCH($I213,CONFIGURACOES!$B$37:$B$300,0)),"")</f>
        <v/>
      </c>
      <c r="N213" s="21" t="n"/>
      <c r="O213" s="21" t="n"/>
      <c r="P213" s="21" t="n"/>
      <c r="Q213" s="21" t="n"/>
      <c r="R213" s="21">
        <f>IF($N213="","",$N213*IF($Q213="",1,$Q213)*IF($P213="",1,$P213)*IF($O213="",1,$O213))</f>
        <v/>
      </c>
      <c r="S213" s="22">
        <f>IFERROR(INDEX(CONFIGURACOES!$J$37:$J$300,MATCH($I213,CONFIGURACOES!$B$37:$B$300,0)),"")</f>
        <v/>
      </c>
      <c r="T213" s="22">
        <f>IF(OR($R213="",$S213=""),"",$R213*$S213)</f>
        <v/>
      </c>
      <c r="U213" s="20" t="n"/>
      <c r="V213" s="20" t="n"/>
      <c r="W213" s="20" t="n"/>
      <c r="X213">
        <f>IF($A213="","",$A213&amp;"|"&amp;$C213&amp;"|"&amp;$I213)</f>
        <v/>
      </c>
      <c r="Y213">
        <f>IF(AND($A213=RELATORIO_MEDICAO!$C$5,$C213=RELATORIO_MEDICAO!$F$5,$A213&lt;&gt;""),COUNTIFS($A$3:$A213,RELATORIO_MEDICAO!$C$5,$C$3:$C213,RELATORIO_MEDICAO!$F$5),"")</f>
        <v/>
      </c>
      <c r="Z213">
        <f>IF(OR($A213="",PESQUISA!$C$4=""),0,IF(OR(ISNUMBER(SEARCH(PESQUISA!$C$4,$G213)),ISNUMBER(SEARCH(PESQUISA!$C$4,$K213)),ISNUMBER(SEARCH(PESQUISA!$C$4,$L213))),1,0))</f>
        <v/>
      </c>
      <c r="AA213">
        <f>IF($Z213=1,SUM($Z$3:$Z213),"")</f>
        <v/>
      </c>
      <c r="AB213">
        <f>IF(OR($A213="",PESQUISA!$C$50=""),0,IF(ISNUMBER(SEARCH(PESQUISA!$C$50,$I213)),1,0))</f>
        <v/>
      </c>
      <c r="AC213">
        <f>IF($AB213=1,SUM($AB$3:$AB213),"")</f>
        <v/>
      </c>
    </row>
    <row r="214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>
        <f>IFERROR(INDEX(CONFIGURACOES!$G$37:$G$300,MATCH($I214,CONFIGURACOES!$B$37:$B$300,0)),"")</f>
        <v/>
      </c>
      <c r="K214" s="20">
        <f>IFERROR(INDEX(CONFIGURACOES!$H$37:$H$300,MATCH($I214,CONFIGURACOES!$B$37:$B$300,0)),"")</f>
        <v/>
      </c>
      <c r="L214" s="20" t="n"/>
      <c r="M214" s="20">
        <f>IFERROR(INDEX(CONFIGURACOES!$I$37:$I$300,MATCH($I214,CONFIGURACOES!$B$37:$B$300,0)),"")</f>
        <v/>
      </c>
      <c r="N214" s="21" t="n"/>
      <c r="O214" s="21" t="n"/>
      <c r="P214" s="21" t="n"/>
      <c r="Q214" s="21" t="n"/>
      <c r="R214" s="21">
        <f>IF($N214="","",$N214*IF($Q214="",1,$Q214)*IF($P214="",1,$P214)*IF($O214="",1,$O214))</f>
        <v/>
      </c>
      <c r="S214" s="22">
        <f>IFERROR(INDEX(CONFIGURACOES!$J$37:$J$300,MATCH($I214,CONFIGURACOES!$B$37:$B$300,0)),"")</f>
        <v/>
      </c>
      <c r="T214" s="22">
        <f>IF(OR($R214="",$S214=""),"",$R214*$S214)</f>
        <v/>
      </c>
      <c r="U214" s="20" t="n"/>
      <c r="V214" s="20" t="n"/>
      <c r="W214" s="20" t="n"/>
      <c r="X214">
        <f>IF($A214="","",$A214&amp;"|"&amp;$C214&amp;"|"&amp;$I214)</f>
        <v/>
      </c>
      <c r="Y214">
        <f>IF(AND($A214=RELATORIO_MEDICAO!$C$5,$C214=RELATORIO_MEDICAO!$F$5,$A214&lt;&gt;""),COUNTIFS($A$3:$A214,RELATORIO_MEDICAO!$C$5,$C$3:$C214,RELATORIO_MEDICAO!$F$5),"")</f>
        <v/>
      </c>
      <c r="Z214">
        <f>IF(OR($A214="",PESQUISA!$C$4=""),0,IF(OR(ISNUMBER(SEARCH(PESQUISA!$C$4,$G214)),ISNUMBER(SEARCH(PESQUISA!$C$4,$K214)),ISNUMBER(SEARCH(PESQUISA!$C$4,$L214))),1,0))</f>
        <v/>
      </c>
      <c r="AA214">
        <f>IF($Z214=1,SUM($Z$3:$Z214),"")</f>
        <v/>
      </c>
      <c r="AB214">
        <f>IF(OR($A214="",PESQUISA!$C$50=""),0,IF(ISNUMBER(SEARCH(PESQUISA!$C$50,$I214)),1,0))</f>
        <v/>
      </c>
      <c r="AC214">
        <f>IF($AB214=1,SUM($AB$3:$AB214),"")</f>
        <v/>
      </c>
    </row>
    <row r="215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>
        <f>IFERROR(INDEX(CONFIGURACOES!$G$37:$G$300,MATCH($I215,CONFIGURACOES!$B$37:$B$300,0)),"")</f>
        <v/>
      </c>
      <c r="K215" s="20">
        <f>IFERROR(INDEX(CONFIGURACOES!$H$37:$H$300,MATCH($I215,CONFIGURACOES!$B$37:$B$300,0)),"")</f>
        <v/>
      </c>
      <c r="L215" s="20" t="n"/>
      <c r="M215" s="20">
        <f>IFERROR(INDEX(CONFIGURACOES!$I$37:$I$300,MATCH($I215,CONFIGURACOES!$B$37:$B$300,0)),"")</f>
        <v/>
      </c>
      <c r="N215" s="21" t="n"/>
      <c r="O215" s="21" t="n"/>
      <c r="P215" s="21" t="n"/>
      <c r="Q215" s="21" t="n"/>
      <c r="R215" s="21">
        <f>IF($N215="","",$N215*IF($Q215="",1,$Q215)*IF($P215="",1,$P215)*IF($O215="",1,$O215))</f>
        <v/>
      </c>
      <c r="S215" s="22">
        <f>IFERROR(INDEX(CONFIGURACOES!$J$37:$J$300,MATCH($I215,CONFIGURACOES!$B$37:$B$300,0)),"")</f>
        <v/>
      </c>
      <c r="T215" s="22">
        <f>IF(OR($R215="",$S215=""),"",$R215*$S215)</f>
        <v/>
      </c>
      <c r="U215" s="20" t="n"/>
      <c r="V215" s="20" t="n"/>
      <c r="W215" s="20" t="n"/>
      <c r="X215">
        <f>IF($A215="","",$A215&amp;"|"&amp;$C215&amp;"|"&amp;$I215)</f>
        <v/>
      </c>
      <c r="Y215">
        <f>IF(AND($A215=RELATORIO_MEDICAO!$C$5,$C215=RELATORIO_MEDICAO!$F$5,$A215&lt;&gt;""),COUNTIFS($A$3:$A215,RELATORIO_MEDICAO!$C$5,$C$3:$C215,RELATORIO_MEDICAO!$F$5),"")</f>
        <v/>
      </c>
      <c r="Z215">
        <f>IF(OR($A215="",PESQUISA!$C$4=""),0,IF(OR(ISNUMBER(SEARCH(PESQUISA!$C$4,$G215)),ISNUMBER(SEARCH(PESQUISA!$C$4,$K215)),ISNUMBER(SEARCH(PESQUISA!$C$4,$L215))),1,0))</f>
        <v/>
      </c>
      <c r="AA215">
        <f>IF($Z215=1,SUM($Z$3:$Z215),"")</f>
        <v/>
      </c>
      <c r="AB215">
        <f>IF(OR($A215="",PESQUISA!$C$50=""),0,IF(ISNUMBER(SEARCH(PESQUISA!$C$50,$I215)),1,0))</f>
        <v/>
      </c>
      <c r="AC215">
        <f>IF($AB215=1,SUM($AB$3:$AB215),"")</f>
        <v/>
      </c>
    </row>
    <row r="216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>
        <f>IFERROR(INDEX(CONFIGURACOES!$G$37:$G$300,MATCH($I216,CONFIGURACOES!$B$37:$B$300,0)),"")</f>
        <v/>
      </c>
      <c r="K216" s="20">
        <f>IFERROR(INDEX(CONFIGURACOES!$H$37:$H$300,MATCH($I216,CONFIGURACOES!$B$37:$B$300,0)),"")</f>
        <v/>
      </c>
      <c r="L216" s="20" t="n"/>
      <c r="M216" s="20">
        <f>IFERROR(INDEX(CONFIGURACOES!$I$37:$I$300,MATCH($I216,CONFIGURACOES!$B$37:$B$300,0)),"")</f>
        <v/>
      </c>
      <c r="N216" s="21" t="n"/>
      <c r="O216" s="21" t="n"/>
      <c r="P216" s="21" t="n"/>
      <c r="Q216" s="21" t="n"/>
      <c r="R216" s="21">
        <f>IF($N216="","",$N216*IF($Q216="",1,$Q216)*IF($P216="",1,$P216)*IF($O216="",1,$O216))</f>
        <v/>
      </c>
      <c r="S216" s="22">
        <f>IFERROR(INDEX(CONFIGURACOES!$J$37:$J$300,MATCH($I216,CONFIGURACOES!$B$37:$B$300,0)),"")</f>
        <v/>
      </c>
      <c r="T216" s="22">
        <f>IF(OR($R216="",$S216=""),"",$R216*$S216)</f>
        <v/>
      </c>
      <c r="U216" s="20" t="n"/>
      <c r="V216" s="20" t="n"/>
      <c r="W216" s="20" t="n"/>
      <c r="X216">
        <f>IF($A216="","",$A216&amp;"|"&amp;$C216&amp;"|"&amp;$I216)</f>
        <v/>
      </c>
      <c r="Y216">
        <f>IF(AND($A216=RELATORIO_MEDICAO!$C$5,$C216=RELATORIO_MEDICAO!$F$5,$A216&lt;&gt;""),COUNTIFS($A$3:$A216,RELATORIO_MEDICAO!$C$5,$C$3:$C216,RELATORIO_MEDICAO!$F$5),"")</f>
        <v/>
      </c>
      <c r="Z216">
        <f>IF(OR($A216="",PESQUISA!$C$4=""),0,IF(OR(ISNUMBER(SEARCH(PESQUISA!$C$4,$G216)),ISNUMBER(SEARCH(PESQUISA!$C$4,$K216)),ISNUMBER(SEARCH(PESQUISA!$C$4,$L216))),1,0))</f>
        <v/>
      </c>
      <c r="AA216">
        <f>IF($Z216=1,SUM($Z$3:$Z216),"")</f>
        <v/>
      </c>
      <c r="AB216">
        <f>IF(OR($A216="",PESQUISA!$C$50=""),0,IF(ISNUMBER(SEARCH(PESQUISA!$C$50,$I216)),1,0))</f>
        <v/>
      </c>
      <c r="AC216">
        <f>IF($AB216=1,SUM($AB$3:$AB216),"")</f>
        <v/>
      </c>
    </row>
    <row r="217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>
        <f>IFERROR(INDEX(CONFIGURACOES!$G$37:$G$300,MATCH($I217,CONFIGURACOES!$B$37:$B$300,0)),"")</f>
        <v/>
      </c>
      <c r="K217" s="20">
        <f>IFERROR(INDEX(CONFIGURACOES!$H$37:$H$300,MATCH($I217,CONFIGURACOES!$B$37:$B$300,0)),"")</f>
        <v/>
      </c>
      <c r="L217" s="20" t="n"/>
      <c r="M217" s="20">
        <f>IFERROR(INDEX(CONFIGURACOES!$I$37:$I$300,MATCH($I217,CONFIGURACOES!$B$37:$B$300,0)),"")</f>
        <v/>
      </c>
      <c r="N217" s="21" t="n"/>
      <c r="O217" s="21" t="n"/>
      <c r="P217" s="21" t="n"/>
      <c r="Q217" s="21" t="n"/>
      <c r="R217" s="21">
        <f>IF($N217="","",$N217*IF($Q217="",1,$Q217)*IF($P217="",1,$P217)*IF($O217="",1,$O217))</f>
        <v/>
      </c>
      <c r="S217" s="22">
        <f>IFERROR(INDEX(CONFIGURACOES!$J$37:$J$300,MATCH($I217,CONFIGURACOES!$B$37:$B$300,0)),"")</f>
        <v/>
      </c>
      <c r="T217" s="22">
        <f>IF(OR($R217="",$S217=""),"",$R217*$S217)</f>
        <v/>
      </c>
      <c r="U217" s="20" t="n"/>
      <c r="V217" s="20" t="n"/>
      <c r="W217" s="20" t="n"/>
      <c r="X217">
        <f>IF($A217="","",$A217&amp;"|"&amp;$C217&amp;"|"&amp;$I217)</f>
        <v/>
      </c>
      <c r="Y217">
        <f>IF(AND($A217=RELATORIO_MEDICAO!$C$5,$C217=RELATORIO_MEDICAO!$F$5,$A217&lt;&gt;""),COUNTIFS($A$3:$A217,RELATORIO_MEDICAO!$C$5,$C$3:$C217,RELATORIO_MEDICAO!$F$5),"")</f>
        <v/>
      </c>
      <c r="Z217">
        <f>IF(OR($A217="",PESQUISA!$C$4=""),0,IF(OR(ISNUMBER(SEARCH(PESQUISA!$C$4,$G217)),ISNUMBER(SEARCH(PESQUISA!$C$4,$K217)),ISNUMBER(SEARCH(PESQUISA!$C$4,$L217))),1,0))</f>
        <v/>
      </c>
      <c r="AA217">
        <f>IF($Z217=1,SUM($Z$3:$Z217),"")</f>
        <v/>
      </c>
      <c r="AB217">
        <f>IF(OR($A217="",PESQUISA!$C$50=""),0,IF(ISNUMBER(SEARCH(PESQUISA!$C$50,$I217)),1,0))</f>
        <v/>
      </c>
      <c r="AC217">
        <f>IF($AB217=1,SUM($AB$3:$AB217),"")</f>
        <v/>
      </c>
    </row>
    <row r="218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>
        <f>IFERROR(INDEX(CONFIGURACOES!$G$37:$G$300,MATCH($I218,CONFIGURACOES!$B$37:$B$300,0)),"")</f>
        <v/>
      </c>
      <c r="K218" s="20">
        <f>IFERROR(INDEX(CONFIGURACOES!$H$37:$H$300,MATCH($I218,CONFIGURACOES!$B$37:$B$300,0)),"")</f>
        <v/>
      </c>
      <c r="L218" s="20" t="n"/>
      <c r="M218" s="20">
        <f>IFERROR(INDEX(CONFIGURACOES!$I$37:$I$300,MATCH($I218,CONFIGURACOES!$B$37:$B$300,0)),"")</f>
        <v/>
      </c>
      <c r="N218" s="21" t="n"/>
      <c r="O218" s="21" t="n"/>
      <c r="P218" s="21" t="n"/>
      <c r="Q218" s="21" t="n"/>
      <c r="R218" s="21">
        <f>IF($N218="","",$N218*IF($Q218="",1,$Q218)*IF($P218="",1,$P218)*IF($O218="",1,$O218))</f>
        <v/>
      </c>
      <c r="S218" s="22">
        <f>IFERROR(INDEX(CONFIGURACOES!$J$37:$J$300,MATCH($I218,CONFIGURACOES!$B$37:$B$300,0)),"")</f>
        <v/>
      </c>
      <c r="T218" s="22">
        <f>IF(OR($R218="",$S218=""),"",$R218*$S218)</f>
        <v/>
      </c>
      <c r="U218" s="20" t="n"/>
      <c r="V218" s="20" t="n"/>
      <c r="W218" s="20" t="n"/>
      <c r="X218">
        <f>IF($A218="","",$A218&amp;"|"&amp;$C218&amp;"|"&amp;$I218)</f>
        <v/>
      </c>
      <c r="Y218">
        <f>IF(AND($A218=RELATORIO_MEDICAO!$C$5,$C218=RELATORIO_MEDICAO!$F$5,$A218&lt;&gt;""),COUNTIFS($A$3:$A218,RELATORIO_MEDICAO!$C$5,$C$3:$C218,RELATORIO_MEDICAO!$F$5),"")</f>
        <v/>
      </c>
      <c r="Z218">
        <f>IF(OR($A218="",PESQUISA!$C$4=""),0,IF(OR(ISNUMBER(SEARCH(PESQUISA!$C$4,$G218)),ISNUMBER(SEARCH(PESQUISA!$C$4,$K218)),ISNUMBER(SEARCH(PESQUISA!$C$4,$L218))),1,0))</f>
        <v/>
      </c>
      <c r="AA218">
        <f>IF($Z218=1,SUM($Z$3:$Z218),"")</f>
        <v/>
      </c>
      <c r="AB218">
        <f>IF(OR($A218="",PESQUISA!$C$50=""),0,IF(ISNUMBER(SEARCH(PESQUISA!$C$50,$I218)),1,0))</f>
        <v/>
      </c>
      <c r="AC218">
        <f>IF($AB218=1,SUM($AB$3:$AB218),"")</f>
        <v/>
      </c>
    </row>
    <row r="219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>
        <f>IFERROR(INDEX(CONFIGURACOES!$G$37:$G$300,MATCH($I219,CONFIGURACOES!$B$37:$B$300,0)),"")</f>
        <v/>
      </c>
      <c r="K219" s="20">
        <f>IFERROR(INDEX(CONFIGURACOES!$H$37:$H$300,MATCH($I219,CONFIGURACOES!$B$37:$B$300,0)),"")</f>
        <v/>
      </c>
      <c r="L219" s="20" t="n"/>
      <c r="M219" s="20">
        <f>IFERROR(INDEX(CONFIGURACOES!$I$37:$I$300,MATCH($I219,CONFIGURACOES!$B$37:$B$300,0)),"")</f>
        <v/>
      </c>
      <c r="N219" s="21" t="n"/>
      <c r="O219" s="21" t="n"/>
      <c r="P219" s="21" t="n"/>
      <c r="Q219" s="21" t="n"/>
      <c r="R219" s="21">
        <f>IF($N219="","",$N219*IF($Q219="",1,$Q219)*IF($P219="",1,$P219)*IF($O219="",1,$O219))</f>
        <v/>
      </c>
      <c r="S219" s="22">
        <f>IFERROR(INDEX(CONFIGURACOES!$J$37:$J$300,MATCH($I219,CONFIGURACOES!$B$37:$B$300,0)),"")</f>
        <v/>
      </c>
      <c r="T219" s="22">
        <f>IF(OR($R219="",$S219=""),"",$R219*$S219)</f>
        <v/>
      </c>
      <c r="U219" s="20" t="n"/>
      <c r="V219" s="20" t="n"/>
      <c r="W219" s="20" t="n"/>
      <c r="X219">
        <f>IF($A219="","",$A219&amp;"|"&amp;$C219&amp;"|"&amp;$I219)</f>
        <v/>
      </c>
      <c r="Y219">
        <f>IF(AND($A219=RELATORIO_MEDICAO!$C$5,$C219=RELATORIO_MEDICAO!$F$5,$A219&lt;&gt;""),COUNTIFS($A$3:$A219,RELATORIO_MEDICAO!$C$5,$C$3:$C219,RELATORIO_MEDICAO!$F$5),"")</f>
        <v/>
      </c>
      <c r="Z219">
        <f>IF(OR($A219="",PESQUISA!$C$4=""),0,IF(OR(ISNUMBER(SEARCH(PESQUISA!$C$4,$G219)),ISNUMBER(SEARCH(PESQUISA!$C$4,$K219)),ISNUMBER(SEARCH(PESQUISA!$C$4,$L219))),1,0))</f>
        <v/>
      </c>
      <c r="AA219">
        <f>IF($Z219=1,SUM($Z$3:$Z219),"")</f>
        <v/>
      </c>
      <c r="AB219">
        <f>IF(OR($A219="",PESQUISA!$C$50=""),0,IF(ISNUMBER(SEARCH(PESQUISA!$C$50,$I219)),1,0))</f>
        <v/>
      </c>
      <c r="AC219">
        <f>IF($AB219=1,SUM($AB$3:$AB219),"")</f>
        <v/>
      </c>
    </row>
    <row r="220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>
        <f>IFERROR(INDEX(CONFIGURACOES!$G$37:$G$300,MATCH($I220,CONFIGURACOES!$B$37:$B$300,0)),"")</f>
        <v/>
      </c>
      <c r="K220" s="20">
        <f>IFERROR(INDEX(CONFIGURACOES!$H$37:$H$300,MATCH($I220,CONFIGURACOES!$B$37:$B$300,0)),"")</f>
        <v/>
      </c>
      <c r="L220" s="20" t="n"/>
      <c r="M220" s="20">
        <f>IFERROR(INDEX(CONFIGURACOES!$I$37:$I$300,MATCH($I220,CONFIGURACOES!$B$37:$B$300,0)),"")</f>
        <v/>
      </c>
      <c r="N220" s="21" t="n"/>
      <c r="O220" s="21" t="n"/>
      <c r="P220" s="21" t="n"/>
      <c r="Q220" s="21" t="n"/>
      <c r="R220" s="21">
        <f>IF($N220="","",$N220*IF($Q220="",1,$Q220)*IF($P220="",1,$P220)*IF($O220="",1,$O220))</f>
        <v/>
      </c>
      <c r="S220" s="22">
        <f>IFERROR(INDEX(CONFIGURACOES!$J$37:$J$300,MATCH($I220,CONFIGURACOES!$B$37:$B$300,0)),"")</f>
        <v/>
      </c>
      <c r="T220" s="22">
        <f>IF(OR($R220="",$S220=""),"",$R220*$S220)</f>
        <v/>
      </c>
      <c r="U220" s="20" t="n"/>
      <c r="V220" s="20" t="n"/>
      <c r="W220" s="20" t="n"/>
      <c r="X220">
        <f>IF($A220="","",$A220&amp;"|"&amp;$C220&amp;"|"&amp;$I220)</f>
        <v/>
      </c>
      <c r="Y220">
        <f>IF(AND($A220=RELATORIO_MEDICAO!$C$5,$C220=RELATORIO_MEDICAO!$F$5,$A220&lt;&gt;""),COUNTIFS($A$3:$A220,RELATORIO_MEDICAO!$C$5,$C$3:$C220,RELATORIO_MEDICAO!$F$5),"")</f>
        <v/>
      </c>
      <c r="Z220">
        <f>IF(OR($A220="",PESQUISA!$C$4=""),0,IF(OR(ISNUMBER(SEARCH(PESQUISA!$C$4,$G220)),ISNUMBER(SEARCH(PESQUISA!$C$4,$K220)),ISNUMBER(SEARCH(PESQUISA!$C$4,$L220))),1,0))</f>
        <v/>
      </c>
      <c r="AA220">
        <f>IF($Z220=1,SUM($Z$3:$Z220),"")</f>
        <v/>
      </c>
      <c r="AB220">
        <f>IF(OR($A220="",PESQUISA!$C$50=""),0,IF(ISNUMBER(SEARCH(PESQUISA!$C$50,$I220)),1,0))</f>
        <v/>
      </c>
      <c r="AC220">
        <f>IF($AB220=1,SUM($AB$3:$AB220),"")</f>
        <v/>
      </c>
    </row>
    <row r="2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>
        <f>IFERROR(INDEX(CONFIGURACOES!$G$37:$G$300,MATCH($I221,CONFIGURACOES!$B$37:$B$300,0)),"")</f>
        <v/>
      </c>
      <c r="K221" s="20">
        <f>IFERROR(INDEX(CONFIGURACOES!$H$37:$H$300,MATCH($I221,CONFIGURACOES!$B$37:$B$300,0)),"")</f>
        <v/>
      </c>
      <c r="L221" s="20" t="n"/>
      <c r="M221" s="20">
        <f>IFERROR(INDEX(CONFIGURACOES!$I$37:$I$300,MATCH($I221,CONFIGURACOES!$B$37:$B$300,0)),"")</f>
        <v/>
      </c>
      <c r="N221" s="21" t="n"/>
      <c r="O221" s="21" t="n"/>
      <c r="P221" s="21" t="n"/>
      <c r="Q221" s="21" t="n"/>
      <c r="R221" s="21">
        <f>IF($N221="","",$N221*IF($Q221="",1,$Q221)*IF($P221="",1,$P221)*IF($O221="",1,$O221))</f>
        <v/>
      </c>
      <c r="S221" s="22">
        <f>IFERROR(INDEX(CONFIGURACOES!$J$37:$J$300,MATCH($I221,CONFIGURACOES!$B$37:$B$300,0)),"")</f>
        <v/>
      </c>
      <c r="T221" s="22">
        <f>IF(OR($R221="",$S221=""),"",$R221*$S221)</f>
        <v/>
      </c>
      <c r="U221" s="20" t="n"/>
      <c r="V221" s="20" t="n"/>
      <c r="W221" s="20" t="n"/>
      <c r="X221">
        <f>IF($A221="","",$A221&amp;"|"&amp;$C221&amp;"|"&amp;$I221)</f>
        <v/>
      </c>
      <c r="Y221">
        <f>IF(AND($A221=RELATORIO_MEDICAO!$C$5,$C221=RELATORIO_MEDICAO!$F$5,$A221&lt;&gt;""),COUNTIFS($A$3:$A221,RELATORIO_MEDICAO!$C$5,$C$3:$C221,RELATORIO_MEDICAO!$F$5),"")</f>
        <v/>
      </c>
      <c r="Z221">
        <f>IF(OR($A221="",PESQUISA!$C$4=""),0,IF(OR(ISNUMBER(SEARCH(PESQUISA!$C$4,$G221)),ISNUMBER(SEARCH(PESQUISA!$C$4,$K221)),ISNUMBER(SEARCH(PESQUISA!$C$4,$L221))),1,0))</f>
        <v/>
      </c>
      <c r="AA221">
        <f>IF($Z221=1,SUM($Z$3:$Z221),"")</f>
        <v/>
      </c>
      <c r="AB221">
        <f>IF(OR($A221="",PESQUISA!$C$50=""),0,IF(ISNUMBER(SEARCH(PESQUISA!$C$50,$I221)),1,0))</f>
        <v/>
      </c>
      <c r="AC221">
        <f>IF($AB221=1,SUM($AB$3:$AB221),"")</f>
        <v/>
      </c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>
        <f>IFERROR(INDEX(CONFIGURACOES!$G$37:$G$300,MATCH($I222,CONFIGURACOES!$B$37:$B$300,0)),"")</f>
        <v/>
      </c>
      <c r="K222" s="20">
        <f>IFERROR(INDEX(CONFIGURACOES!$H$37:$H$300,MATCH($I222,CONFIGURACOES!$B$37:$B$300,0)),"")</f>
        <v/>
      </c>
      <c r="L222" s="20" t="n"/>
      <c r="M222" s="20">
        <f>IFERROR(INDEX(CONFIGURACOES!$I$37:$I$300,MATCH($I222,CONFIGURACOES!$B$37:$B$300,0)),"")</f>
        <v/>
      </c>
      <c r="N222" s="21" t="n"/>
      <c r="O222" s="21" t="n"/>
      <c r="P222" s="21" t="n"/>
      <c r="Q222" s="21" t="n"/>
      <c r="R222" s="21">
        <f>IF($N222="","",$N222*IF($Q222="",1,$Q222)*IF($P222="",1,$P222)*IF($O222="",1,$O222))</f>
        <v/>
      </c>
      <c r="S222" s="22">
        <f>IFERROR(INDEX(CONFIGURACOES!$J$37:$J$300,MATCH($I222,CONFIGURACOES!$B$37:$B$300,0)),"")</f>
        <v/>
      </c>
      <c r="T222" s="22">
        <f>IF(OR($R222="",$S222=""),"",$R222*$S222)</f>
        <v/>
      </c>
      <c r="U222" s="20" t="n"/>
      <c r="V222" s="20" t="n"/>
      <c r="W222" s="20" t="n"/>
      <c r="X222">
        <f>IF($A222="","",$A222&amp;"|"&amp;$C222&amp;"|"&amp;$I222)</f>
        <v/>
      </c>
      <c r="Y222">
        <f>IF(AND($A222=RELATORIO_MEDICAO!$C$5,$C222=RELATORIO_MEDICAO!$F$5,$A222&lt;&gt;""),COUNTIFS($A$3:$A222,RELATORIO_MEDICAO!$C$5,$C$3:$C222,RELATORIO_MEDICAO!$F$5),"")</f>
        <v/>
      </c>
      <c r="Z222">
        <f>IF(OR($A222="",PESQUISA!$C$4=""),0,IF(OR(ISNUMBER(SEARCH(PESQUISA!$C$4,$G222)),ISNUMBER(SEARCH(PESQUISA!$C$4,$K222)),ISNUMBER(SEARCH(PESQUISA!$C$4,$L222))),1,0))</f>
        <v/>
      </c>
      <c r="AA222">
        <f>IF($Z222=1,SUM($Z$3:$Z222),"")</f>
        <v/>
      </c>
      <c r="AB222">
        <f>IF(OR($A222="",PESQUISA!$C$50=""),0,IF(ISNUMBER(SEARCH(PESQUISA!$C$50,$I222)),1,0))</f>
        <v/>
      </c>
      <c r="AC222">
        <f>IF($AB222=1,SUM($AB$3:$AB222),"")</f>
        <v/>
      </c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>
        <f>IFERROR(INDEX(CONFIGURACOES!$G$37:$G$300,MATCH($I223,CONFIGURACOES!$B$37:$B$300,0)),"")</f>
        <v/>
      </c>
      <c r="K223" s="20">
        <f>IFERROR(INDEX(CONFIGURACOES!$H$37:$H$300,MATCH($I223,CONFIGURACOES!$B$37:$B$300,0)),"")</f>
        <v/>
      </c>
      <c r="L223" s="20" t="n"/>
      <c r="M223" s="20">
        <f>IFERROR(INDEX(CONFIGURACOES!$I$37:$I$300,MATCH($I223,CONFIGURACOES!$B$37:$B$300,0)),"")</f>
        <v/>
      </c>
      <c r="N223" s="21" t="n"/>
      <c r="O223" s="21" t="n"/>
      <c r="P223" s="21" t="n"/>
      <c r="Q223" s="21" t="n"/>
      <c r="R223" s="21">
        <f>IF($N223="","",$N223*IF($Q223="",1,$Q223)*IF($P223="",1,$P223)*IF($O223="",1,$O223))</f>
        <v/>
      </c>
      <c r="S223" s="22">
        <f>IFERROR(INDEX(CONFIGURACOES!$J$37:$J$300,MATCH($I223,CONFIGURACOES!$B$37:$B$300,0)),"")</f>
        <v/>
      </c>
      <c r="T223" s="22">
        <f>IF(OR($R223="",$S223=""),"",$R223*$S223)</f>
        <v/>
      </c>
      <c r="U223" s="20" t="n"/>
      <c r="V223" s="20" t="n"/>
      <c r="W223" s="20" t="n"/>
      <c r="X223">
        <f>IF($A223="","",$A223&amp;"|"&amp;$C223&amp;"|"&amp;$I223)</f>
        <v/>
      </c>
      <c r="Y223">
        <f>IF(AND($A223=RELATORIO_MEDICAO!$C$5,$C223=RELATORIO_MEDICAO!$F$5,$A223&lt;&gt;""),COUNTIFS($A$3:$A223,RELATORIO_MEDICAO!$C$5,$C$3:$C223,RELATORIO_MEDICAO!$F$5),"")</f>
        <v/>
      </c>
      <c r="Z223">
        <f>IF(OR($A223="",PESQUISA!$C$4=""),0,IF(OR(ISNUMBER(SEARCH(PESQUISA!$C$4,$G223)),ISNUMBER(SEARCH(PESQUISA!$C$4,$K223)),ISNUMBER(SEARCH(PESQUISA!$C$4,$L223))),1,0))</f>
        <v/>
      </c>
      <c r="AA223">
        <f>IF($Z223=1,SUM($Z$3:$Z223),"")</f>
        <v/>
      </c>
      <c r="AB223">
        <f>IF(OR($A223="",PESQUISA!$C$50=""),0,IF(ISNUMBER(SEARCH(PESQUISA!$C$50,$I223)),1,0))</f>
        <v/>
      </c>
      <c r="AC223">
        <f>IF($AB223=1,SUM($AB$3:$AB223),"")</f>
        <v/>
      </c>
    </row>
    <row r="224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>
        <f>IFERROR(INDEX(CONFIGURACOES!$G$37:$G$300,MATCH($I224,CONFIGURACOES!$B$37:$B$300,0)),"")</f>
        <v/>
      </c>
      <c r="K224" s="20">
        <f>IFERROR(INDEX(CONFIGURACOES!$H$37:$H$300,MATCH($I224,CONFIGURACOES!$B$37:$B$300,0)),"")</f>
        <v/>
      </c>
      <c r="L224" s="20" t="n"/>
      <c r="M224" s="20">
        <f>IFERROR(INDEX(CONFIGURACOES!$I$37:$I$300,MATCH($I224,CONFIGURACOES!$B$37:$B$300,0)),"")</f>
        <v/>
      </c>
      <c r="N224" s="21" t="n"/>
      <c r="O224" s="21" t="n"/>
      <c r="P224" s="21" t="n"/>
      <c r="Q224" s="21" t="n"/>
      <c r="R224" s="21">
        <f>IF($N224="","",$N224*IF($Q224="",1,$Q224)*IF($P224="",1,$P224)*IF($O224="",1,$O224))</f>
        <v/>
      </c>
      <c r="S224" s="22">
        <f>IFERROR(INDEX(CONFIGURACOES!$J$37:$J$300,MATCH($I224,CONFIGURACOES!$B$37:$B$300,0)),"")</f>
        <v/>
      </c>
      <c r="T224" s="22">
        <f>IF(OR($R224="",$S224=""),"",$R224*$S224)</f>
        <v/>
      </c>
      <c r="U224" s="20" t="n"/>
      <c r="V224" s="20" t="n"/>
      <c r="W224" s="20" t="n"/>
      <c r="X224">
        <f>IF($A224="","",$A224&amp;"|"&amp;$C224&amp;"|"&amp;$I224)</f>
        <v/>
      </c>
      <c r="Y224">
        <f>IF(AND($A224=RELATORIO_MEDICAO!$C$5,$C224=RELATORIO_MEDICAO!$F$5,$A224&lt;&gt;""),COUNTIFS($A$3:$A224,RELATORIO_MEDICAO!$C$5,$C$3:$C224,RELATORIO_MEDICAO!$F$5),"")</f>
        <v/>
      </c>
      <c r="Z224">
        <f>IF(OR($A224="",PESQUISA!$C$4=""),0,IF(OR(ISNUMBER(SEARCH(PESQUISA!$C$4,$G224)),ISNUMBER(SEARCH(PESQUISA!$C$4,$K224)),ISNUMBER(SEARCH(PESQUISA!$C$4,$L224))),1,0))</f>
        <v/>
      </c>
      <c r="AA224">
        <f>IF($Z224=1,SUM($Z$3:$Z224),"")</f>
        <v/>
      </c>
      <c r="AB224">
        <f>IF(OR($A224="",PESQUISA!$C$50=""),0,IF(ISNUMBER(SEARCH(PESQUISA!$C$50,$I224)),1,0))</f>
        <v/>
      </c>
      <c r="AC224">
        <f>IF($AB224=1,SUM($AB$3:$AB224),"")</f>
        <v/>
      </c>
    </row>
    <row r="225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>
        <f>IFERROR(INDEX(CONFIGURACOES!$G$37:$G$300,MATCH($I225,CONFIGURACOES!$B$37:$B$300,0)),"")</f>
        <v/>
      </c>
      <c r="K225" s="20">
        <f>IFERROR(INDEX(CONFIGURACOES!$H$37:$H$300,MATCH($I225,CONFIGURACOES!$B$37:$B$300,0)),"")</f>
        <v/>
      </c>
      <c r="L225" s="20" t="n"/>
      <c r="M225" s="20">
        <f>IFERROR(INDEX(CONFIGURACOES!$I$37:$I$300,MATCH($I225,CONFIGURACOES!$B$37:$B$300,0)),"")</f>
        <v/>
      </c>
      <c r="N225" s="21" t="n"/>
      <c r="O225" s="21" t="n"/>
      <c r="P225" s="21" t="n"/>
      <c r="Q225" s="21" t="n"/>
      <c r="R225" s="21">
        <f>IF($N225="","",$N225*IF($Q225="",1,$Q225)*IF($P225="",1,$P225)*IF($O225="",1,$O225))</f>
        <v/>
      </c>
      <c r="S225" s="22">
        <f>IFERROR(INDEX(CONFIGURACOES!$J$37:$J$300,MATCH($I225,CONFIGURACOES!$B$37:$B$300,0)),"")</f>
        <v/>
      </c>
      <c r="T225" s="22">
        <f>IF(OR($R225="",$S225=""),"",$R225*$S225)</f>
        <v/>
      </c>
      <c r="U225" s="20" t="n"/>
      <c r="V225" s="20" t="n"/>
      <c r="W225" s="20" t="n"/>
      <c r="X225">
        <f>IF($A225="","",$A225&amp;"|"&amp;$C225&amp;"|"&amp;$I225)</f>
        <v/>
      </c>
      <c r="Y225">
        <f>IF(AND($A225=RELATORIO_MEDICAO!$C$5,$C225=RELATORIO_MEDICAO!$F$5,$A225&lt;&gt;""),COUNTIFS($A$3:$A225,RELATORIO_MEDICAO!$C$5,$C$3:$C225,RELATORIO_MEDICAO!$F$5),"")</f>
        <v/>
      </c>
      <c r="Z225">
        <f>IF(OR($A225="",PESQUISA!$C$4=""),0,IF(OR(ISNUMBER(SEARCH(PESQUISA!$C$4,$G225)),ISNUMBER(SEARCH(PESQUISA!$C$4,$K225)),ISNUMBER(SEARCH(PESQUISA!$C$4,$L225))),1,0))</f>
        <v/>
      </c>
      <c r="AA225">
        <f>IF($Z225=1,SUM($Z$3:$Z225),"")</f>
        <v/>
      </c>
      <c r="AB225">
        <f>IF(OR($A225="",PESQUISA!$C$50=""),0,IF(ISNUMBER(SEARCH(PESQUISA!$C$50,$I225)),1,0))</f>
        <v/>
      </c>
      <c r="AC225">
        <f>IF($AB225=1,SUM($AB$3:$AB225),"")</f>
        <v/>
      </c>
    </row>
    <row r="226">
      <c r="A226" s="20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>
        <f>IFERROR(INDEX(CONFIGURACOES!$G$37:$G$300,MATCH($I226,CONFIGURACOES!$B$37:$B$300,0)),"")</f>
        <v/>
      </c>
      <c r="K226" s="20">
        <f>IFERROR(INDEX(CONFIGURACOES!$H$37:$H$300,MATCH($I226,CONFIGURACOES!$B$37:$B$300,0)),"")</f>
        <v/>
      </c>
      <c r="L226" s="20" t="n"/>
      <c r="M226" s="20">
        <f>IFERROR(INDEX(CONFIGURACOES!$I$37:$I$300,MATCH($I226,CONFIGURACOES!$B$37:$B$300,0)),"")</f>
        <v/>
      </c>
      <c r="N226" s="21" t="n"/>
      <c r="O226" s="21" t="n"/>
      <c r="P226" s="21" t="n"/>
      <c r="Q226" s="21" t="n"/>
      <c r="R226" s="21">
        <f>IF($N226="","",$N226*IF($Q226="",1,$Q226)*IF($P226="",1,$P226)*IF($O226="",1,$O226))</f>
        <v/>
      </c>
      <c r="S226" s="22">
        <f>IFERROR(INDEX(CONFIGURACOES!$J$37:$J$300,MATCH($I226,CONFIGURACOES!$B$37:$B$300,0)),"")</f>
        <v/>
      </c>
      <c r="T226" s="22">
        <f>IF(OR($R226="",$S226=""),"",$R226*$S226)</f>
        <v/>
      </c>
      <c r="U226" s="20" t="n"/>
      <c r="V226" s="20" t="n"/>
      <c r="W226" s="20" t="n"/>
      <c r="X226">
        <f>IF($A226="","",$A226&amp;"|"&amp;$C226&amp;"|"&amp;$I226)</f>
        <v/>
      </c>
      <c r="Y226">
        <f>IF(AND($A226=RELATORIO_MEDICAO!$C$5,$C226=RELATORIO_MEDICAO!$F$5,$A226&lt;&gt;""),COUNTIFS($A$3:$A226,RELATORIO_MEDICAO!$C$5,$C$3:$C226,RELATORIO_MEDICAO!$F$5),"")</f>
        <v/>
      </c>
      <c r="Z226">
        <f>IF(OR($A226="",PESQUISA!$C$4=""),0,IF(OR(ISNUMBER(SEARCH(PESQUISA!$C$4,$G226)),ISNUMBER(SEARCH(PESQUISA!$C$4,$K226)),ISNUMBER(SEARCH(PESQUISA!$C$4,$L226))),1,0))</f>
        <v/>
      </c>
      <c r="AA226">
        <f>IF($Z226=1,SUM($Z$3:$Z226),"")</f>
        <v/>
      </c>
      <c r="AB226">
        <f>IF(OR($A226="",PESQUISA!$C$50=""),0,IF(ISNUMBER(SEARCH(PESQUISA!$C$50,$I226)),1,0))</f>
        <v/>
      </c>
      <c r="AC226">
        <f>IF($AB226=1,SUM($AB$3:$AB226),"")</f>
        <v/>
      </c>
    </row>
    <row r="227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>
        <f>IFERROR(INDEX(CONFIGURACOES!$G$37:$G$300,MATCH($I227,CONFIGURACOES!$B$37:$B$300,0)),"")</f>
        <v/>
      </c>
      <c r="K227" s="20">
        <f>IFERROR(INDEX(CONFIGURACOES!$H$37:$H$300,MATCH($I227,CONFIGURACOES!$B$37:$B$300,0)),"")</f>
        <v/>
      </c>
      <c r="L227" s="20" t="n"/>
      <c r="M227" s="20">
        <f>IFERROR(INDEX(CONFIGURACOES!$I$37:$I$300,MATCH($I227,CONFIGURACOES!$B$37:$B$300,0)),"")</f>
        <v/>
      </c>
      <c r="N227" s="21" t="n"/>
      <c r="O227" s="21" t="n"/>
      <c r="P227" s="21" t="n"/>
      <c r="Q227" s="21" t="n"/>
      <c r="R227" s="21">
        <f>IF($N227="","",$N227*IF($Q227="",1,$Q227)*IF($P227="",1,$P227)*IF($O227="",1,$O227))</f>
        <v/>
      </c>
      <c r="S227" s="22">
        <f>IFERROR(INDEX(CONFIGURACOES!$J$37:$J$300,MATCH($I227,CONFIGURACOES!$B$37:$B$300,0)),"")</f>
        <v/>
      </c>
      <c r="T227" s="22">
        <f>IF(OR($R227="",$S227=""),"",$R227*$S227)</f>
        <v/>
      </c>
      <c r="U227" s="20" t="n"/>
      <c r="V227" s="20" t="n"/>
      <c r="W227" s="20" t="n"/>
      <c r="X227">
        <f>IF($A227="","",$A227&amp;"|"&amp;$C227&amp;"|"&amp;$I227)</f>
        <v/>
      </c>
      <c r="Y227">
        <f>IF(AND($A227=RELATORIO_MEDICAO!$C$5,$C227=RELATORIO_MEDICAO!$F$5,$A227&lt;&gt;""),COUNTIFS($A$3:$A227,RELATORIO_MEDICAO!$C$5,$C$3:$C227,RELATORIO_MEDICAO!$F$5),"")</f>
        <v/>
      </c>
      <c r="Z227">
        <f>IF(OR($A227="",PESQUISA!$C$4=""),0,IF(OR(ISNUMBER(SEARCH(PESQUISA!$C$4,$G227)),ISNUMBER(SEARCH(PESQUISA!$C$4,$K227)),ISNUMBER(SEARCH(PESQUISA!$C$4,$L227))),1,0))</f>
        <v/>
      </c>
      <c r="AA227">
        <f>IF($Z227=1,SUM($Z$3:$Z227),"")</f>
        <v/>
      </c>
      <c r="AB227">
        <f>IF(OR($A227="",PESQUISA!$C$50=""),0,IF(ISNUMBER(SEARCH(PESQUISA!$C$50,$I227)),1,0))</f>
        <v/>
      </c>
      <c r="AC227">
        <f>IF($AB227=1,SUM($AB$3:$AB227),"")</f>
        <v/>
      </c>
    </row>
    <row r="228">
      <c r="A228" s="20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>
        <f>IFERROR(INDEX(CONFIGURACOES!$G$37:$G$300,MATCH($I228,CONFIGURACOES!$B$37:$B$300,0)),"")</f>
        <v/>
      </c>
      <c r="K228" s="20">
        <f>IFERROR(INDEX(CONFIGURACOES!$H$37:$H$300,MATCH($I228,CONFIGURACOES!$B$37:$B$300,0)),"")</f>
        <v/>
      </c>
      <c r="L228" s="20" t="n"/>
      <c r="M228" s="20">
        <f>IFERROR(INDEX(CONFIGURACOES!$I$37:$I$300,MATCH($I228,CONFIGURACOES!$B$37:$B$300,0)),"")</f>
        <v/>
      </c>
      <c r="N228" s="21" t="n"/>
      <c r="O228" s="21" t="n"/>
      <c r="P228" s="21" t="n"/>
      <c r="Q228" s="21" t="n"/>
      <c r="R228" s="21">
        <f>IF($N228="","",$N228*IF($Q228="",1,$Q228)*IF($P228="",1,$P228)*IF($O228="",1,$O228))</f>
        <v/>
      </c>
      <c r="S228" s="22">
        <f>IFERROR(INDEX(CONFIGURACOES!$J$37:$J$300,MATCH($I228,CONFIGURACOES!$B$37:$B$300,0)),"")</f>
        <v/>
      </c>
      <c r="T228" s="22">
        <f>IF(OR($R228="",$S228=""),"",$R228*$S228)</f>
        <v/>
      </c>
      <c r="U228" s="20" t="n"/>
      <c r="V228" s="20" t="n"/>
      <c r="W228" s="20" t="n"/>
      <c r="X228">
        <f>IF($A228="","",$A228&amp;"|"&amp;$C228&amp;"|"&amp;$I228)</f>
        <v/>
      </c>
      <c r="Y228">
        <f>IF(AND($A228=RELATORIO_MEDICAO!$C$5,$C228=RELATORIO_MEDICAO!$F$5,$A228&lt;&gt;""),COUNTIFS($A$3:$A228,RELATORIO_MEDICAO!$C$5,$C$3:$C228,RELATORIO_MEDICAO!$F$5),"")</f>
        <v/>
      </c>
      <c r="Z228">
        <f>IF(OR($A228="",PESQUISA!$C$4=""),0,IF(OR(ISNUMBER(SEARCH(PESQUISA!$C$4,$G228)),ISNUMBER(SEARCH(PESQUISA!$C$4,$K228)),ISNUMBER(SEARCH(PESQUISA!$C$4,$L228))),1,0))</f>
        <v/>
      </c>
      <c r="AA228">
        <f>IF($Z228=1,SUM($Z$3:$Z228),"")</f>
        <v/>
      </c>
      <c r="AB228">
        <f>IF(OR($A228="",PESQUISA!$C$50=""),0,IF(ISNUMBER(SEARCH(PESQUISA!$C$50,$I228)),1,0))</f>
        <v/>
      </c>
      <c r="AC228">
        <f>IF($AB228=1,SUM($AB$3:$AB228),"")</f>
        <v/>
      </c>
    </row>
    <row r="229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>
        <f>IFERROR(INDEX(CONFIGURACOES!$G$37:$G$300,MATCH($I229,CONFIGURACOES!$B$37:$B$300,0)),"")</f>
        <v/>
      </c>
      <c r="K229" s="20">
        <f>IFERROR(INDEX(CONFIGURACOES!$H$37:$H$300,MATCH($I229,CONFIGURACOES!$B$37:$B$300,0)),"")</f>
        <v/>
      </c>
      <c r="L229" s="20" t="n"/>
      <c r="M229" s="20">
        <f>IFERROR(INDEX(CONFIGURACOES!$I$37:$I$300,MATCH($I229,CONFIGURACOES!$B$37:$B$300,0)),"")</f>
        <v/>
      </c>
      <c r="N229" s="21" t="n"/>
      <c r="O229" s="21" t="n"/>
      <c r="P229" s="21" t="n"/>
      <c r="Q229" s="21" t="n"/>
      <c r="R229" s="21">
        <f>IF($N229="","",$N229*IF($Q229="",1,$Q229)*IF($P229="",1,$P229)*IF($O229="",1,$O229))</f>
        <v/>
      </c>
      <c r="S229" s="22">
        <f>IFERROR(INDEX(CONFIGURACOES!$J$37:$J$300,MATCH($I229,CONFIGURACOES!$B$37:$B$300,0)),"")</f>
        <v/>
      </c>
      <c r="T229" s="22">
        <f>IF(OR($R229="",$S229=""),"",$R229*$S229)</f>
        <v/>
      </c>
      <c r="U229" s="20" t="n"/>
      <c r="V229" s="20" t="n"/>
      <c r="W229" s="20" t="n"/>
      <c r="X229">
        <f>IF($A229="","",$A229&amp;"|"&amp;$C229&amp;"|"&amp;$I229)</f>
        <v/>
      </c>
      <c r="Y229">
        <f>IF(AND($A229=RELATORIO_MEDICAO!$C$5,$C229=RELATORIO_MEDICAO!$F$5,$A229&lt;&gt;""),COUNTIFS($A$3:$A229,RELATORIO_MEDICAO!$C$5,$C$3:$C229,RELATORIO_MEDICAO!$F$5),"")</f>
        <v/>
      </c>
      <c r="Z229">
        <f>IF(OR($A229="",PESQUISA!$C$4=""),0,IF(OR(ISNUMBER(SEARCH(PESQUISA!$C$4,$G229)),ISNUMBER(SEARCH(PESQUISA!$C$4,$K229)),ISNUMBER(SEARCH(PESQUISA!$C$4,$L229))),1,0))</f>
        <v/>
      </c>
      <c r="AA229">
        <f>IF($Z229=1,SUM($Z$3:$Z229),"")</f>
        <v/>
      </c>
      <c r="AB229">
        <f>IF(OR($A229="",PESQUISA!$C$50=""),0,IF(ISNUMBER(SEARCH(PESQUISA!$C$50,$I229)),1,0))</f>
        <v/>
      </c>
      <c r="AC229">
        <f>IF($AB229=1,SUM($AB$3:$AB229),"")</f>
        <v/>
      </c>
    </row>
    <row r="230">
      <c r="A230" s="20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>
        <f>IFERROR(INDEX(CONFIGURACOES!$G$37:$G$300,MATCH($I230,CONFIGURACOES!$B$37:$B$300,0)),"")</f>
        <v/>
      </c>
      <c r="K230" s="20">
        <f>IFERROR(INDEX(CONFIGURACOES!$H$37:$H$300,MATCH($I230,CONFIGURACOES!$B$37:$B$300,0)),"")</f>
        <v/>
      </c>
      <c r="L230" s="20" t="n"/>
      <c r="M230" s="20">
        <f>IFERROR(INDEX(CONFIGURACOES!$I$37:$I$300,MATCH($I230,CONFIGURACOES!$B$37:$B$300,0)),"")</f>
        <v/>
      </c>
      <c r="N230" s="21" t="n"/>
      <c r="O230" s="21" t="n"/>
      <c r="P230" s="21" t="n"/>
      <c r="Q230" s="21" t="n"/>
      <c r="R230" s="21">
        <f>IF($N230="","",$N230*IF($Q230="",1,$Q230)*IF($P230="",1,$P230)*IF($O230="",1,$O230))</f>
        <v/>
      </c>
      <c r="S230" s="22">
        <f>IFERROR(INDEX(CONFIGURACOES!$J$37:$J$300,MATCH($I230,CONFIGURACOES!$B$37:$B$300,0)),"")</f>
        <v/>
      </c>
      <c r="T230" s="22">
        <f>IF(OR($R230="",$S230=""),"",$R230*$S230)</f>
        <v/>
      </c>
      <c r="U230" s="20" t="n"/>
      <c r="V230" s="20" t="n"/>
      <c r="W230" s="20" t="n"/>
      <c r="X230">
        <f>IF($A230="","",$A230&amp;"|"&amp;$C230&amp;"|"&amp;$I230)</f>
        <v/>
      </c>
      <c r="Y230">
        <f>IF(AND($A230=RELATORIO_MEDICAO!$C$5,$C230=RELATORIO_MEDICAO!$F$5,$A230&lt;&gt;""),COUNTIFS($A$3:$A230,RELATORIO_MEDICAO!$C$5,$C$3:$C230,RELATORIO_MEDICAO!$F$5),"")</f>
        <v/>
      </c>
      <c r="Z230">
        <f>IF(OR($A230="",PESQUISA!$C$4=""),0,IF(OR(ISNUMBER(SEARCH(PESQUISA!$C$4,$G230)),ISNUMBER(SEARCH(PESQUISA!$C$4,$K230)),ISNUMBER(SEARCH(PESQUISA!$C$4,$L230))),1,0))</f>
        <v/>
      </c>
      <c r="AA230">
        <f>IF($Z230=1,SUM($Z$3:$Z230),"")</f>
        <v/>
      </c>
      <c r="AB230">
        <f>IF(OR($A230="",PESQUISA!$C$50=""),0,IF(ISNUMBER(SEARCH(PESQUISA!$C$50,$I230)),1,0))</f>
        <v/>
      </c>
      <c r="AC230">
        <f>IF($AB230=1,SUM($AB$3:$AB230),"")</f>
        <v/>
      </c>
    </row>
    <row r="231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>
        <f>IFERROR(INDEX(CONFIGURACOES!$G$37:$G$300,MATCH($I231,CONFIGURACOES!$B$37:$B$300,0)),"")</f>
        <v/>
      </c>
      <c r="K231" s="20">
        <f>IFERROR(INDEX(CONFIGURACOES!$H$37:$H$300,MATCH($I231,CONFIGURACOES!$B$37:$B$300,0)),"")</f>
        <v/>
      </c>
      <c r="L231" s="20" t="n"/>
      <c r="M231" s="20">
        <f>IFERROR(INDEX(CONFIGURACOES!$I$37:$I$300,MATCH($I231,CONFIGURACOES!$B$37:$B$300,0)),"")</f>
        <v/>
      </c>
      <c r="N231" s="21" t="n"/>
      <c r="O231" s="21" t="n"/>
      <c r="P231" s="21" t="n"/>
      <c r="Q231" s="21" t="n"/>
      <c r="R231" s="21">
        <f>IF($N231="","",$N231*IF($Q231="",1,$Q231)*IF($P231="",1,$P231)*IF($O231="",1,$O231))</f>
        <v/>
      </c>
      <c r="S231" s="22">
        <f>IFERROR(INDEX(CONFIGURACOES!$J$37:$J$300,MATCH($I231,CONFIGURACOES!$B$37:$B$300,0)),"")</f>
        <v/>
      </c>
      <c r="T231" s="22">
        <f>IF(OR($R231="",$S231=""),"",$R231*$S231)</f>
        <v/>
      </c>
      <c r="U231" s="20" t="n"/>
      <c r="V231" s="20" t="n"/>
      <c r="W231" s="20" t="n"/>
      <c r="X231">
        <f>IF($A231="","",$A231&amp;"|"&amp;$C231&amp;"|"&amp;$I231)</f>
        <v/>
      </c>
      <c r="Y231">
        <f>IF(AND($A231=RELATORIO_MEDICAO!$C$5,$C231=RELATORIO_MEDICAO!$F$5,$A231&lt;&gt;""),COUNTIFS($A$3:$A231,RELATORIO_MEDICAO!$C$5,$C$3:$C231,RELATORIO_MEDICAO!$F$5),"")</f>
        <v/>
      </c>
      <c r="Z231">
        <f>IF(OR($A231="",PESQUISA!$C$4=""),0,IF(OR(ISNUMBER(SEARCH(PESQUISA!$C$4,$G231)),ISNUMBER(SEARCH(PESQUISA!$C$4,$K231)),ISNUMBER(SEARCH(PESQUISA!$C$4,$L231))),1,0))</f>
        <v/>
      </c>
      <c r="AA231">
        <f>IF($Z231=1,SUM($Z$3:$Z231),"")</f>
        <v/>
      </c>
      <c r="AB231">
        <f>IF(OR($A231="",PESQUISA!$C$50=""),0,IF(ISNUMBER(SEARCH(PESQUISA!$C$50,$I231)),1,0))</f>
        <v/>
      </c>
      <c r="AC231">
        <f>IF($AB231=1,SUM($AB$3:$AB231),"")</f>
        <v/>
      </c>
    </row>
    <row r="232">
      <c r="A232" s="20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>
        <f>IFERROR(INDEX(CONFIGURACOES!$G$37:$G$300,MATCH($I232,CONFIGURACOES!$B$37:$B$300,0)),"")</f>
        <v/>
      </c>
      <c r="K232" s="20">
        <f>IFERROR(INDEX(CONFIGURACOES!$H$37:$H$300,MATCH($I232,CONFIGURACOES!$B$37:$B$300,0)),"")</f>
        <v/>
      </c>
      <c r="L232" s="20" t="n"/>
      <c r="M232" s="20">
        <f>IFERROR(INDEX(CONFIGURACOES!$I$37:$I$300,MATCH($I232,CONFIGURACOES!$B$37:$B$300,0)),"")</f>
        <v/>
      </c>
      <c r="N232" s="21" t="n"/>
      <c r="O232" s="21" t="n"/>
      <c r="P232" s="21" t="n"/>
      <c r="Q232" s="21" t="n"/>
      <c r="R232" s="21">
        <f>IF($N232="","",$N232*IF($Q232="",1,$Q232)*IF($P232="",1,$P232)*IF($O232="",1,$O232))</f>
        <v/>
      </c>
      <c r="S232" s="22">
        <f>IFERROR(INDEX(CONFIGURACOES!$J$37:$J$300,MATCH($I232,CONFIGURACOES!$B$37:$B$300,0)),"")</f>
        <v/>
      </c>
      <c r="T232" s="22">
        <f>IF(OR($R232="",$S232=""),"",$R232*$S232)</f>
        <v/>
      </c>
      <c r="U232" s="20" t="n"/>
      <c r="V232" s="20" t="n"/>
      <c r="W232" s="20" t="n"/>
      <c r="X232">
        <f>IF($A232="","",$A232&amp;"|"&amp;$C232&amp;"|"&amp;$I232)</f>
        <v/>
      </c>
      <c r="Y232">
        <f>IF(AND($A232=RELATORIO_MEDICAO!$C$5,$C232=RELATORIO_MEDICAO!$F$5,$A232&lt;&gt;""),COUNTIFS($A$3:$A232,RELATORIO_MEDICAO!$C$5,$C$3:$C232,RELATORIO_MEDICAO!$F$5),"")</f>
        <v/>
      </c>
      <c r="Z232">
        <f>IF(OR($A232="",PESQUISA!$C$4=""),0,IF(OR(ISNUMBER(SEARCH(PESQUISA!$C$4,$G232)),ISNUMBER(SEARCH(PESQUISA!$C$4,$K232)),ISNUMBER(SEARCH(PESQUISA!$C$4,$L232))),1,0))</f>
        <v/>
      </c>
      <c r="AA232">
        <f>IF($Z232=1,SUM($Z$3:$Z232),"")</f>
        <v/>
      </c>
      <c r="AB232">
        <f>IF(OR($A232="",PESQUISA!$C$50=""),0,IF(ISNUMBER(SEARCH(PESQUISA!$C$50,$I232)),1,0))</f>
        <v/>
      </c>
      <c r="AC232">
        <f>IF($AB232=1,SUM($AB$3:$AB232),"")</f>
        <v/>
      </c>
    </row>
    <row r="233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>
        <f>IFERROR(INDEX(CONFIGURACOES!$G$37:$G$300,MATCH($I233,CONFIGURACOES!$B$37:$B$300,0)),"")</f>
        <v/>
      </c>
      <c r="K233" s="20">
        <f>IFERROR(INDEX(CONFIGURACOES!$H$37:$H$300,MATCH($I233,CONFIGURACOES!$B$37:$B$300,0)),"")</f>
        <v/>
      </c>
      <c r="L233" s="20" t="n"/>
      <c r="M233" s="20">
        <f>IFERROR(INDEX(CONFIGURACOES!$I$37:$I$300,MATCH($I233,CONFIGURACOES!$B$37:$B$300,0)),"")</f>
        <v/>
      </c>
      <c r="N233" s="21" t="n"/>
      <c r="O233" s="21" t="n"/>
      <c r="P233" s="21" t="n"/>
      <c r="Q233" s="21" t="n"/>
      <c r="R233" s="21">
        <f>IF($N233="","",$N233*IF($Q233="",1,$Q233)*IF($P233="",1,$P233)*IF($O233="",1,$O233))</f>
        <v/>
      </c>
      <c r="S233" s="22">
        <f>IFERROR(INDEX(CONFIGURACOES!$J$37:$J$300,MATCH($I233,CONFIGURACOES!$B$37:$B$300,0)),"")</f>
        <v/>
      </c>
      <c r="T233" s="22">
        <f>IF(OR($R233="",$S233=""),"",$R233*$S233)</f>
        <v/>
      </c>
      <c r="U233" s="20" t="n"/>
      <c r="V233" s="20" t="n"/>
      <c r="W233" s="20" t="n"/>
      <c r="X233">
        <f>IF($A233="","",$A233&amp;"|"&amp;$C233&amp;"|"&amp;$I233)</f>
        <v/>
      </c>
      <c r="Y233">
        <f>IF(AND($A233=RELATORIO_MEDICAO!$C$5,$C233=RELATORIO_MEDICAO!$F$5,$A233&lt;&gt;""),COUNTIFS($A$3:$A233,RELATORIO_MEDICAO!$C$5,$C$3:$C233,RELATORIO_MEDICAO!$F$5),"")</f>
        <v/>
      </c>
      <c r="Z233">
        <f>IF(OR($A233="",PESQUISA!$C$4=""),0,IF(OR(ISNUMBER(SEARCH(PESQUISA!$C$4,$G233)),ISNUMBER(SEARCH(PESQUISA!$C$4,$K233)),ISNUMBER(SEARCH(PESQUISA!$C$4,$L233))),1,0))</f>
        <v/>
      </c>
      <c r="AA233">
        <f>IF($Z233=1,SUM($Z$3:$Z233),"")</f>
        <v/>
      </c>
      <c r="AB233">
        <f>IF(OR($A233="",PESQUISA!$C$50=""),0,IF(ISNUMBER(SEARCH(PESQUISA!$C$50,$I233)),1,0))</f>
        <v/>
      </c>
      <c r="AC233">
        <f>IF($AB233=1,SUM($AB$3:$AB233),"")</f>
        <v/>
      </c>
    </row>
    <row r="234">
      <c r="A234" s="20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>
        <f>IFERROR(INDEX(CONFIGURACOES!$G$37:$G$300,MATCH($I234,CONFIGURACOES!$B$37:$B$300,0)),"")</f>
        <v/>
      </c>
      <c r="K234" s="20">
        <f>IFERROR(INDEX(CONFIGURACOES!$H$37:$H$300,MATCH($I234,CONFIGURACOES!$B$37:$B$300,0)),"")</f>
        <v/>
      </c>
      <c r="L234" s="20" t="n"/>
      <c r="M234" s="20">
        <f>IFERROR(INDEX(CONFIGURACOES!$I$37:$I$300,MATCH($I234,CONFIGURACOES!$B$37:$B$300,0)),"")</f>
        <v/>
      </c>
      <c r="N234" s="21" t="n"/>
      <c r="O234" s="21" t="n"/>
      <c r="P234" s="21" t="n"/>
      <c r="Q234" s="21" t="n"/>
      <c r="R234" s="21">
        <f>IF($N234="","",$N234*IF($Q234="",1,$Q234)*IF($P234="",1,$P234)*IF($O234="",1,$O234))</f>
        <v/>
      </c>
      <c r="S234" s="22">
        <f>IFERROR(INDEX(CONFIGURACOES!$J$37:$J$300,MATCH($I234,CONFIGURACOES!$B$37:$B$300,0)),"")</f>
        <v/>
      </c>
      <c r="T234" s="22">
        <f>IF(OR($R234="",$S234=""),"",$R234*$S234)</f>
        <v/>
      </c>
      <c r="U234" s="20" t="n"/>
      <c r="V234" s="20" t="n"/>
      <c r="W234" s="20" t="n"/>
      <c r="X234">
        <f>IF($A234="","",$A234&amp;"|"&amp;$C234&amp;"|"&amp;$I234)</f>
        <v/>
      </c>
      <c r="Y234">
        <f>IF(AND($A234=RELATORIO_MEDICAO!$C$5,$C234=RELATORIO_MEDICAO!$F$5,$A234&lt;&gt;""),COUNTIFS($A$3:$A234,RELATORIO_MEDICAO!$C$5,$C$3:$C234,RELATORIO_MEDICAO!$F$5),"")</f>
        <v/>
      </c>
      <c r="Z234">
        <f>IF(OR($A234="",PESQUISA!$C$4=""),0,IF(OR(ISNUMBER(SEARCH(PESQUISA!$C$4,$G234)),ISNUMBER(SEARCH(PESQUISA!$C$4,$K234)),ISNUMBER(SEARCH(PESQUISA!$C$4,$L234))),1,0))</f>
        <v/>
      </c>
      <c r="AA234">
        <f>IF($Z234=1,SUM($Z$3:$Z234),"")</f>
        <v/>
      </c>
      <c r="AB234">
        <f>IF(OR($A234="",PESQUISA!$C$50=""),0,IF(ISNUMBER(SEARCH(PESQUISA!$C$50,$I234)),1,0))</f>
        <v/>
      </c>
      <c r="AC234">
        <f>IF($AB234=1,SUM($AB$3:$AB234),"")</f>
        <v/>
      </c>
    </row>
    <row r="235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>
        <f>IFERROR(INDEX(CONFIGURACOES!$G$37:$G$300,MATCH($I235,CONFIGURACOES!$B$37:$B$300,0)),"")</f>
        <v/>
      </c>
      <c r="K235" s="20">
        <f>IFERROR(INDEX(CONFIGURACOES!$H$37:$H$300,MATCH($I235,CONFIGURACOES!$B$37:$B$300,0)),"")</f>
        <v/>
      </c>
      <c r="L235" s="20" t="n"/>
      <c r="M235" s="20">
        <f>IFERROR(INDEX(CONFIGURACOES!$I$37:$I$300,MATCH($I235,CONFIGURACOES!$B$37:$B$300,0)),"")</f>
        <v/>
      </c>
      <c r="N235" s="21" t="n"/>
      <c r="O235" s="21" t="n"/>
      <c r="P235" s="21" t="n"/>
      <c r="Q235" s="21" t="n"/>
      <c r="R235" s="21">
        <f>IF($N235="","",$N235*IF($Q235="",1,$Q235)*IF($P235="",1,$P235)*IF($O235="",1,$O235))</f>
        <v/>
      </c>
      <c r="S235" s="22">
        <f>IFERROR(INDEX(CONFIGURACOES!$J$37:$J$300,MATCH($I235,CONFIGURACOES!$B$37:$B$300,0)),"")</f>
        <v/>
      </c>
      <c r="T235" s="22">
        <f>IF(OR($R235="",$S235=""),"",$R235*$S235)</f>
        <v/>
      </c>
      <c r="U235" s="20" t="n"/>
      <c r="V235" s="20" t="n"/>
      <c r="W235" s="20" t="n"/>
      <c r="X235">
        <f>IF($A235="","",$A235&amp;"|"&amp;$C235&amp;"|"&amp;$I235)</f>
        <v/>
      </c>
      <c r="Y235">
        <f>IF(AND($A235=RELATORIO_MEDICAO!$C$5,$C235=RELATORIO_MEDICAO!$F$5,$A235&lt;&gt;""),COUNTIFS($A$3:$A235,RELATORIO_MEDICAO!$C$5,$C$3:$C235,RELATORIO_MEDICAO!$F$5),"")</f>
        <v/>
      </c>
      <c r="Z235">
        <f>IF(OR($A235="",PESQUISA!$C$4=""),0,IF(OR(ISNUMBER(SEARCH(PESQUISA!$C$4,$G235)),ISNUMBER(SEARCH(PESQUISA!$C$4,$K235)),ISNUMBER(SEARCH(PESQUISA!$C$4,$L235))),1,0))</f>
        <v/>
      </c>
      <c r="AA235">
        <f>IF($Z235=1,SUM($Z$3:$Z235),"")</f>
        <v/>
      </c>
      <c r="AB235">
        <f>IF(OR($A235="",PESQUISA!$C$50=""),0,IF(ISNUMBER(SEARCH(PESQUISA!$C$50,$I235)),1,0))</f>
        <v/>
      </c>
      <c r="AC235">
        <f>IF($AB235=1,SUM($AB$3:$AB235),"")</f>
        <v/>
      </c>
    </row>
    <row r="236">
      <c r="A236" s="20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>
        <f>IFERROR(INDEX(CONFIGURACOES!$G$37:$G$300,MATCH($I236,CONFIGURACOES!$B$37:$B$300,0)),"")</f>
        <v/>
      </c>
      <c r="K236" s="20">
        <f>IFERROR(INDEX(CONFIGURACOES!$H$37:$H$300,MATCH($I236,CONFIGURACOES!$B$37:$B$300,0)),"")</f>
        <v/>
      </c>
      <c r="L236" s="20" t="n"/>
      <c r="M236" s="20">
        <f>IFERROR(INDEX(CONFIGURACOES!$I$37:$I$300,MATCH($I236,CONFIGURACOES!$B$37:$B$300,0)),"")</f>
        <v/>
      </c>
      <c r="N236" s="21" t="n"/>
      <c r="O236" s="21" t="n"/>
      <c r="P236" s="21" t="n"/>
      <c r="Q236" s="21" t="n"/>
      <c r="R236" s="21">
        <f>IF($N236="","",$N236*IF($Q236="",1,$Q236)*IF($P236="",1,$P236)*IF($O236="",1,$O236))</f>
        <v/>
      </c>
      <c r="S236" s="22">
        <f>IFERROR(INDEX(CONFIGURACOES!$J$37:$J$300,MATCH($I236,CONFIGURACOES!$B$37:$B$300,0)),"")</f>
        <v/>
      </c>
      <c r="T236" s="22">
        <f>IF(OR($R236="",$S236=""),"",$R236*$S236)</f>
        <v/>
      </c>
      <c r="U236" s="20" t="n"/>
      <c r="V236" s="20" t="n"/>
      <c r="W236" s="20" t="n"/>
      <c r="X236">
        <f>IF($A236="","",$A236&amp;"|"&amp;$C236&amp;"|"&amp;$I236)</f>
        <v/>
      </c>
      <c r="Y236">
        <f>IF(AND($A236=RELATORIO_MEDICAO!$C$5,$C236=RELATORIO_MEDICAO!$F$5,$A236&lt;&gt;""),COUNTIFS($A$3:$A236,RELATORIO_MEDICAO!$C$5,$C$3:$C236,RELATORIO_MEDICAO!$F$5),"")</f>
        <v/>
      </c>
      <c r="Z236">
        <f>IF(OR($A236="",PESQUISA!$C$4=""),0,IF(OR(ISNUMBER(SEARCH(PESQUISA!$C$4,$G236)),ISNUMBER(SEARCH(PESQUISA!$C$4,$K236)),ISNUMBER(SEARCH(PESQUISA!$C$4,$L236))),1,0))</f>
        <v/>
      </c>
      <c r="AA236">
        <f>IF($Z236=1,SUM($Z$3:$Z236),"")</f>
        <v/>
      </c>
      <c r="AB236">
        <f>IF(OR($A236="",PESQUISA!$C$50=""),0,IF(ISNUMBER(SEARCH(PESQUISA!$C$50,$I236)),1,0))</f>
        <v/>
      </c>
      <c r="AC236">
        <f>IF($AB236=1,SUM($AB$3:$AB236),"")</f>
        <v/>
      </c>
    </row>
    <row r="237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>
        <f>IFERROR(INDEX(CONFIGURACOES!$G$37:$G$300,MATCH($I237,CONFIGURACOES!$B$37:$B$300,0)),"")</f>
        <v/>
      </c>
      <c r="K237" s="20">
        <f>IFERROR(INDEX(CONFIGURACOES!$H$37:$H$300,MATCH($I237,CONFIGURACOES!$B$37:$B$300,0)),"")</f>
        <v/>
      </c>
      <c r="L237" s="20" t="n"/>
      <c r="M237" s="20">
        <f>IFERROR(INDEX(CONFIGURACOES!$I$37:$I$300,MATCH($I237,CONFIGURACOES!$B$37:$B$300,0)),"")</f>
        <v/>
      </c>
      <c r="N237" s="21" t="n"/>
      <c r="O237" s="21" t="n"/>
      <c r="P237" s="21" t="n"/>
      <c r="Q237" s="21" t="n"/>
      <c r="R237" s="21">
        <f>IF($N237="","",$N237*IF($Q237="",1,$Q237)*IF($P237="",1,$P237)*IF($O237="",1,$O237))</f>
        <v/>
      </c>
      <c r="S237" s="22">
        <f>IFERROR(INDEX(CONFIGURACOES!$J$37:$J$300,MATCH($I237,CONFIGURACOES!$B$37:$B$300,0)),"")</f>
        <v/>
      </c>
      <c r="T237" s="22">
        <f>IF(OR($R237="",$S237=""),"",$R237*$S237)</f>
        <v/>
      </c>
      <c r="U237" s="20" t="n"/>
      <c r="V237" s="20" t="n"/>
      <c r="W237" s="20" t="n"/>
      <c r="X237">
        <f>IF($A237="","",$A237&amp;"|"&amp;$C237&amp;"|"&amp;$I237)</f>
        <v/>
      </c>
      <c r="Y237">
        <f>IF(AND($A237=RELATORIO_MEDICAO!$C$5,$C237=RELATORIO_MEDICAO!$F$5,$A237&lt;&gt;""),COUNTIFS($A$3:$A237,RELATORIO_MEDICAO!$C$5,$C$3:$C237,RELATORIO_MEDICAO!$F$5),"")</f>
        <v/>
      </c>
      <c r="Z237">
        <f>IF(OR($A237="",PESQUISA!$C$4=""),0,IF(OR(ISNUMBER(SEARCH(PESQUISA!$C$4,$G237)),ISNUMBER(SEARCH(PESQUISA!$C$4,$K237)),ISNUMBER(SEARCH(PESQUISA!$C$4,$L237))),1,0))</f>
        <v/>
      </c>
      <c r="AA237">
        <f>IF($Z237=1,SUM($Z$3:$Z237),"")</f>
        <v/>
      </c>
      <c r="AB237">
        <f>IF(OR($A237="",PESQUISA!$C$50=""),0,IF(ISNUMBER(SEARCH(PESQUISA!$C$50,$I237)),1,0))</f>
        <v/>
      </c>
      <c r="AC237">
        <f>IF($AB237=1,SUM($AB$3:$AB237),"")</f>
        <v/>
      </c>
    </row>
    <row r="238">
      <c r="A238" s="20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>
        <f>IFERROR(INDEX(CONFIGURACOES!$G$37:$G$300,MATCH($I238,CONFIGURACOES!$B$37:$B$300,0)),"")</f>
        <v/>
      </c>
      <c r="K238" s="20">
        <f>IFERROR(INDEX(CONFIGURACOES!$H$37:$H$300,MATCH($I238,CONFIGURACOES!$B$37:$B$300,0)),"")</f>
        <v/>
      </c>
      <c r="L238" s="20" t="n"/>
      <c r="M238" s="20">
        <f>IFERROR(INDEX(CONFIGURACOES!$I$37:$I$300,MATCH($I238,CONFIGURACOES!$B$37:$B$300,0)),"")</f>
        <v/>
      </c>
      <c r="N238" s="21" t="n"/>
      <c r="O238" s="21" t="n"/>
      <c r="P238" s="21" t="n"/>
      <c r="Q238" s="21" t="n"/>
      <c r="R238" s="21">
        <f>IF($N238="","",$N238*IF($Q238="",1,$Q238)*IF($P238="",1,$P238)*IF($O238="",1,$O238))</f>
        <v/>
      </c>
      <c r="S238" s="22">
        <f>IFERROR(INDEX(CONFIGURACOES!$J$37:$J$300,MATCH($I238,CONFIGURACOES!$B$37:$B$300,0)),"")</f>
        <v/>
      </c>
      <c r="T238" s="22">
        <f>IF(OR($R238="",$S238=""),"",$R238*$S238)</f>
        <v/>
      </c>
      <c r="U238" s="20" t="n"/>
      <c r="V238" s="20" t="n"/>
      <c r="W238" s="20" t="n"/>
      <c r="X238">
        <f>IF($A238="","",$A238&amp;"|"&amp;$C238&amp;"|"&amp;$I238)</f>
        <v/>
      </c>
      <c r="Y238">
        <f>IF(AND($A238=RELATORIO_MEDICAO!$C$5,$C238=RELATORIO_MEDICAO!$F$5,$A238&lt;&gt;""),COUNTIFS($A$3:$A238,RELATORIO_MEDICAO!$C$5,$C$3:$C238,RELATORIO_MEDICAO!$F$5),"")</f>
        <v/>
      </c>
      <c r="Z238">
        <f>IF(OR($A238="",PESQUISA!$C$4=""),0,IF(OR(ISNUMBER(SEARCH(PESQUISA!$C$4,$G238)),ISNUMBER(SEARCH(PESQUISA!$C$4,$K238)),ISNUMBER(SEARCH(PESQUISA!$C$4,$L238))),1,0))</f>
        <v/>
      </c>
      <c r="AA238">
        <f>IF($Z238=1,SUM($Z$3:$Z238),"")</f>
        <v/>
      </c>
      <c r="AB238">
        <f>IF(OR($A238="",PESQUISA!$C$50=""),0,IF(ISNUMBER(SEARCH(PESQUISA!$C$50,$I238)),1,0))</f>
        <v/>
      </c>
      <c r="AC238">
        <f>IF($AB238=1,SUM($AB$3:$AB238),"")</f>
        <v/>
      </c>
    </row>
    <row r="239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>
        <f>IFERROR(INDEX(CONFIGURACOES!$G$37:$G$300,MATCH($I239,CONFIGURACOES!$B$37:$B$300,0)),"")</f>
        <v/>
      </c>
      <c r="K239" s="20">
        <f>IFERROR(INDEX(CONFIGURACOES!$H$37:$H$300,MATCH($I239,CONFIGURACOES!$B$37:$B$300,0)),"")</f>
        <v/>
      </c>
      <c r="L239" s="20" t="n"/>
      <c r="M239" s="20">
        <f>IFERROR(INDEX(CONFIGURACOES!$I$37:$I$300,MATCH($I239,CONFIGURACOES!$B$37:$B$300,0)),"")</f>
        <v/>
      </c>
      <c r="N239" s="21" t="n"/>
      <c r="O239" s="21" t="n"/>
      <c r="P239" s="21" t="n"/>
      <c r="Q239" s="21" t="n"/>
      <c r="R239" s="21">
        <f>IF($N239="","",$N239*IF($Q239="",1,$Q239)*IF($P239="",1,$P239)*IF($O239="",1,$O239))</f>
        <v/>
      </c>
      <c r="S239" s="22">
        <f>IFERROR(INDEX(CONFIGURACOES!$J$37:$J$300,MATCH($I239,CONFIGURACOES!$B$37:$B$300,0)),"")</f>
        <v/>
      </c>
      <c r="T239" s="22">
        <f>IF(OR($R239="",$S239=""),"",$R239*$S239)</f>
        <v/>
      </c>
      <c r="U239" s="20" t="n"/>
      <c r="V239" s="20" t="n"/>
      <c r="W239" s="20" t="n"/>
      <c r="X239">
        <f>IF($A239="","",$A239&amp;"|"&amp;$C239&amp;"|"&amp;$I239)</f>
        <v/>
      </c>
      <c r="Y239">
        <f>IF(AND($A239=RELATORIO_MEDICAO!$C$5,$C239=RELATORIO_MEDICAO!$F$5,$A239&lt;&gt;""),COUNTIFS($A$3:$A239,RELATORIO_MEDICAO!$C$5,$C$3:$C239,RELATORIO_MEDICAO!$F$5),"")</f>
        <v/>
      </c>
      <c r="Z239">
        <f>IF(OR($A239="",PESQUISA!$C$4=""),0,IF(OR(ISNUMBER(SEARCH(PESQUISA!$C$4,$G239)),ISNUMBER(SEARCH(PESQUISA!$C$4,$K239)),ISNUMBER(SEARCH(PESQUISA!$C$4,$L239))),1,0))</f>
        <v/>
      </c>
      <c r="AA239">
        <f>IF($Z239=1,SUM($Z$3:$Z239),"")</f>
        <v/>
      </c>
      <c r="AB239">
        <f>IF(OR($A239="",PESQUISA!$C$50=""),0,IF(ISNUMBER(SEARCH(PESQUISA!$C$50,$I239)),1,0))</f>
        <v/>
      </c>
      <c r="AC239">
        <f>IF($AB239=1,SUM($AB$3:$AB239),"")</f>
        <v/>
      </c>
    </row>
    <row r="240">
      <c r="A240" s="20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>
        <f>IFERROR(INDEX(CONFIGURACOES!$G$37:$G$300,MATCH($I240,CONFIGURACOES!$B$37:$B$300,0)),"")</f>
        <v/>
      </c>
      <c r="K240" s="20">
        <f>IFERROR(INDEX(CONFIGURACOES!$H$37:$H$300,MATCH($I240,CONFIGURACOES!$B$37:$B$300,0)),"")</f>
        <v/>
      </c>
      <c r="L240" s="20" t="n"/>
      <c r="M240" s="20">
        <f>IFERROR(INDEX(CONFIGURACOES!$I$37:$I$300,MATCH($I240,CONFIGURACOES!$B$37:$B$300,0)),"")</f>
        <v/>
      </c>
      <c r="N240" s="21" t="n"/>
      <c r="O240" s="21" t="n"/>
      <c r="P240" s="21" t="n"/>
      <c r="Q240" s="21" t="n"/>
      <c r="R240" s="21">
        <f>IF($N240="","",$N240*IF($Q240="",1,$Q240)*IF($P240="",1,$P240)*IF($O240="",1,$O240))</f>
        <v/>
      </c>
      <c r="S240" s="22">
        <f>IFERROR(INDEX(CONFIGURACOES!$J$37:$J$300,MATCH($I240,CONFIGURACOES!$B$37:$B$300,0)),"")</f>
        <v/>
      </c>
      <c r="T240" s="22">
        <f>IF(OR($R240="",$S240=""),"",$R240*$S240)</f>
        <v/>
      </c>
      <c r="U240" s="20" t="n"/>
      <c r="V240" s="20" t="n"/>
      <c r="W240" s="20" t="n"/>
      <c r="X240">
        <f>IF($A240="","",$A240&amp;"|"&amp;$C240&amp;"|"&amp;$I240)</f>
        <v/>
      </c>
      <c r="Y240">
        <f>IF(AND($A240=RELATORIO_MEDICAO!$C$5,$C240=RELATORIO_MEDICAO!$F$5,$A240&lt;&gt;""),COUNTIFS($A$3:$A240,RELATORIO_MEDICAO!$C$5,$C$3:$C240,RELATORIO_MEDICAO!$F$5),"")</f>
        <v/>
      </c>
      <c r="Z240">
        <f>IF(OR($A240="",PESQUISA!$C$4=""),0,IF(OR(ISNUMBER(SEARCH(PESQUISA!$C$4,$G240)),ISNUMBER(SEARCH(PESQUISA!$C$4,$K240)),ISNUMBER(SEARCH(PESQUISA!$C$4,$L240))),1,0))</f>
        <v/>
      </c>
      <c r="AA240">
        <f>IF($Z240=1,SUM($Z$3:$Z240),"")</f>
        <v/>
      </c>
      <c r="AB240">
        <f>IF(OR($A240="",PESQUISA!$C$50=""),0,IF(ISNUMBER(SEARCH(PESQUISA!$C$50,$I240)),1,0))</f>
        <v/>
      </c>
      <c r="AC240">
        <f>IF($AB240=1,SUM($AB$3:$AB240),"")</f>
        <v/>
      </c>
    </row>
    <row r="241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>
        <f>IFERROR(INDEX(CONFIGURACOES!$G$37:$G$300,MATCH($I241,CONFIGURACOES!$B$37:$B$300,0)),"")</f>
        <v/>
      </c>
      <c r="K241" s="20">
        <f>IFERROR(INDEX(CONFIGURACOES!$H$37:$H$300,MATCH($I241,CONFIGURACOES!$B$37:$B$300,0)),"")</f>
        <v/>
      </c>
      <c r="L241" s="20" t="n"/>
      <c r="M241" s="20">
        <f>IFERROR(INDEX(CONFIGURACOES!$I$37:$I$300,MATCH($I241,CONFIGURACOES!$B$37:$B$300,0)),"")</f>
        <v/>
      </c>
      <c r="N241" s="21" t="n"/>
      <c r="O241" s="21" t="n"/>
      <c r="P241" s="21" t="n"/>
      <c r="Q241" s="21" t="n"/>
      <c r="R241" s="21">
        <f>IF($N241="","",$N241*IF($Q241="",1,$Q241)*IF($P241="",1,$P241)*IF($O241="",1,$O241))</f>
        <v/>
      </c>
      <c r="S241" s="22">
        <f>IFERROR(INDEX(CONFIGURACOES!$J$37:$J$300,MATCH($I241,CONFIGURACOES!$B$37:$B$300,0)),"")</f>
        <v/>
      </c>
      <c r="T241" s="22">
        <f>IF(OR($R241="",$S241=""),"",$R241*$S241)</f>
        <v/>
      </c>
      <c r="U241" s="20" t="n"/>
      <c r="V241" s="20" t="n"/>
      <c r="W241" s="20" t="n"/>
      <c r="X241">
        <f>IF($A241="","",$A241&amp;"|"&amp;$C241&amp;"|"&amp;$I241)</f>
        <v/>
      </c>
      <c r="Y241">
        <f>IF(AND($A241=RELATORIO_MEDICAO!$C$5,$C241=RELATORIO_MEDICAO!$F$5,$A241&lt;&gt;""),COUNTIFS($A$3:$A241,RELATORIO_MEDICAO!$C$5,$C$3:$C241,RELATORIO_MEDICAO!$F$5),"")</f>
        <v/>
      </c>
      <c r="Z241">
        <f>IF(OR($A241="",PESQUISA!$C$4=""),0,IF(OR(ISNUMBER(SEARCH(PESQUISA!$C$4,$G241)),ISNUMBER(SEARCH(PESQUISA!$C$4,$K241)),ISNUMBER(SEARCH(PESQUISA!$C$4,$L241))),1,0))</f>
        <v/>
      </c>
      <c r="AA241">
        <f>IF($Z241=1,SUM($Z$3:$Z241),"")</f>
        <v/>
      </c>
      <c r="AB241">
        <f>IF(OR($A241="",PESQUISA!$C$50=""),0,IF(ISNUMBER(SEARCH(PESQUISA!$C$50,$I241)),1,0))</f>
        <v/>
      </c>
      <c r="AC241">
        <f>IF($AB241=1,SUM($AB$3:$AB241),"")</f>
        <v/>
      </c>
    </row>
    <row r="242">
      <c r="A242" s="20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>
        <f>IFERROR(INDEX(CONFIGURACOES!$G$37:$G$300,MATCH($I242,CONFIGURACOES!$B$37:$B$300,0)),"")</f>
        <v/>
      </c>
      <c r="K242" s="20">
        <f>IFERROR(INDEX(CONFIGURACOES!$H$37:$H$300,MATCH($I242,CONFIGURACOES!$B$37:$B$300,0)),"")</f>
        <v/>
      </c>
      <c r="L242" s="20" t="n"/>
      <c r="M242" s="20">
        <f>IFERROR(INDEX(CONFIGURACOES!$I$37:$I$300,MATCH($I242,CONFIGURACOES!$B$37:$B$300,0)),"")</f>
        <v/>
      </c>
      <c r="N242" s="21" t="n"/>
      <c r="O242" s="21" t="n"/>
      <c r="P242" s="21" t="n"/>
      <c r="Q242" s="21" t="n"/>
      <c r="R242" s="21">
        <f>IF($N242="","",$N242*IF($Q242="",1,$Q242)*IF($P242="",1,$P242)*IF($O242="",1,$O242))</f>
        <v/>
      </c>
      <c r="S242" s="22">
        <f>IFERROR(INDEX(CONFIGURACOES!$J$37:$J$300,MATCH($I242,CONFIGURACOES!$B$37:$B$300,0)),"")</f>
        <v/>
      </c>
      <c r="T242" s="22">
        <f>IF(OR($R242="",$S242=""),"",$R242*$S242)</f>
        <v/>
      </c>
      <c r="U242" s="20" t="n"/>
      <c r="V242" s="20" t="n"/>
      <c r="W242" s="20" t="n"/>
      <c r="X242">
        <f>IF($A242="","",$A242&amp;"|"&amp;$C242&amp;"|"&amp;$I242)</f>
        <v/>
      </c>
      <c r="Y242">
        <f>IF(AND($A242=RELATORIO_MEDICAO!$C$5,$C242=RELATORIO_MEDICAO!$F$5,$A242&lt;&gt;""),COUNTIFS($A$3:$A242,RELATORIO_MEDICAO!$C$5,$C$3:$C242,RELATORIO_MEDICAO!$F$5),"")</f>
        <v/>
      </c>
      <c r="Z242">
        <f>IF(OR($A242="",PESQUISA!$C$4=""),0,IF(OR(ISNUMBER(SEARCH(PESQUISA!$C$4,$G242)),ISNUMBER(SEARCH(PESQUISA!$C$4,$K242)),ISNUMBER(SEARCH(PESQUISA!$C$4,$L242))),1,0))</f>
        <v/>
      </c>
      <c r="AA242">
        <f>IF($Z242=1,SUM($Z$3:$Z242),"")</f>
        <v/>
      </c>
      <c r="AB242">
        <f>IF(OR($A242="",PESQUISA!$C$50=""),0,IF(ISNUMBER(SEARCH(PESQUISA!$C$50,$I242)),1,0))</f>
        <v/>
      </c>
      <c r="AC242">
        <f>IF($AB242=1,SUM($AB$3:$AB242),"")</f>
        <v/>
      </c>
    </row>
    <row r="243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>
        <f>IFERROR(INDEX(CONFIGURACOES!$G$37:$G$300,MATCH($I243,CONFIGURACOES!$B$37:$B$300,0)),"")</f>
        <v/>
      </c>
      <c r="K243" s="20">
        <f>IFERROR(INDEX(CONFIGURACOES!$H$37:$H$300,MATCH($I243,CONFIGURACOES!$B$37:$B$300,0)),"")</f>
        <v/>
      </c>
      <c r="L243" s="20" t="n"/>
      <c r="M243" s="20">
        <f>IFERROR(INDEX(CONFIGURACOES!$I$37:$I$300,MATCH($I243,CONFIGURACOES!$B$37:$B$300,0)),"")</f>
        <v/>
      </c>
      <c r="N243" s="21" t="n"/>
      <c r="O243" s="21" t="n"/>
      <c r="P243" s="21" t="n"/>
      <c r="Q243" s="21" t="n"/>
      <c r="R243" s="21">
        <f>IF($N243="","",$N243*IF($Q243="",1,$Q243)*IF($P243="",1,$P243)*IF($O243="",1,$O243))</f>
        <v/>
      </c>
      <c r="S243" s="22">
        <f>IFERROR(INDEX(CONFIGURACOES!$J$37:$J$300,MATCH($I243,CONFIGURACOES!$B$37:$B$300,0)),"")</f>
        <v/>
      </c>
      <c r="T243" s="22">
        <f>IF(OR($R243="",$S243=""),"",$R243*$S243)</f>
        <v/>
      </c>
      <c r="U243" s="20" t="n"/>
      <c r="V243" s="20" t="n"/>
      <c r="W243" s="20" t="n"/>
      <c r="X243">
        <f>IF($A243="","",$A243&amp;"|"&amp;$C243&amp;"|"&amp;$I243)</f>
        <v/>
      </c>
      <c r="Y243">
        <f>IF(AND($A243=RELATORIO_MEDICAO!$C$5,$C243=RELATORIO_MEDICAO!$F$5,$A243&lt;&gt;""),COUNTIFS($A$3:$A243,RELATORIO_MEDICAO!$C$5,$C$3:$C243,RELATORIO_MEDICAO!$F$5),"")</f>
        <v/>
      </c>
      <c r="Z243">
        <f>IF(OR($A243="",PESQUISA!$C$4=""),0,IF(OR(ISNUMBER(SEARCH(PESQUISA!$C$4,$G243)),ISNUMBER(SEARCH(PESQUISA!$C$4,$K243)),ISNUMBER(SEARCH(PESQUISA!$C$4,$L243))),1,0))</f>
        <v/>
      </c>
      <c r="AA243">
        <f>IF($Z243=1,SUM($Z$3:$Z243),"")</f>
        <v/>
      </c>
      <c r="AB243">
        <f>IF(OR($A243="",PESQUISA!$C$50=""),0,IF(ISNUMBER(SEARCH(PESQUISA!$C$50,$I243)),1,0))</f>
        <v/>
      </c>
      <c r="AC243">
        <f>IF($AB243=1,SUM($AB$3:$AB243),"")</f>
        <v/>
      </c>
    </row>
    <row r="244">
      <c r="A244" s="20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>
        <f>IFERROR(INDEX(CONFIGURACOES!$G$37:$G$300,MATCH($I244,CONFIGURACOES!$B$37:$B$300,0)),"")</f>
        <v/>
      </c>
      <c r="K244" s="20">
        <f>IFERROR(INDEX(CONFIGURACOES!$H$37:$H$300,MATCH($I244,CONFIGURACOES!$B$37:$B$300,0)),"")</f>
        <v/>
      </c>
      <c r="L244" s="20" t="n"/>
      <c r="M244" s="20">
        <f>IFERROR(INDEX(CONFIGURACOES!$I$37:$I$300,MATCH($I244,CONFIGURACOES!$B$37:$B$300,0)),"")</f>
        <v/>
      </c>
      <c r="N244" s="21" t="n"/>
      <c r="O244" s="21" t="n"/>
      <c r="P244" s="21" t="n"/>
      <c r="Q244" s="21" t="n"/>
      <c r="R244" s="21">
        <f>IF($N244="","",$N244*IF($Q244="",1,$Q244)*IF($P244="",1,$P244)*IF($O244="",1,$O244))</f>
        <v/>
      </c>
      <c r="S244" s="22">
        <f>IFERROR(INDEX(CONFIGURACOES!$J$37:$J$300,MATCH($I244,CONFIGURACOES!$B$37:$B$300,0)),"")</f>
        <v/>
      </c>
      <c r="T244" s="22">
        <f>IF(OR($R244="",$S244=""),"",$R244*$S244)</f>
        <v/>
      </c>
      <c r="U244" s="20" t="n"/>
      <c r="V244" s="20" t="n"/>
      <c r="W244" s="20" t="n"/>
      <c r="X244">
        <f>IF($A244="","",$A244&amp;"|"&amp;$C244&amp;"|"&amp;$I244)</f>
        <v/>
      </c>
      <c r="Y244">
        <f>IF(AND($A244=RELATORIO_MEDICAO!$C$5,$C244=RELATORIO_MEDICAO!$F$5,$A244&lt;&gt;""),COUNTIFS($A$3:$A244,RELATORIO_MEDICAO!$C$5,$C$3:$C244,RELATORIO_MEDICAO!$F$5),"")</f>
        <v/>
      </c>
      <c r="Z244">
        <f>IF(OR($A244="",PESQUISA!$C$4=""),0,IF(OR(ISNUMBER(SEARCH(PESQUISA!$C$4,$G244)),ISNUMBER(SEARCH(PESQUISA!$C$4,$K244)),ISNUMBER(SEARCH(PESQUISA!$C$4,$L244))),1,0))</f>
        <v/>
      </c>
      <c r="AA244">
        <f>IF($Z244=1,SUM($Z$3:$Z244),"")</f>
        <v/>
      </c>
      <c r="AB244">
        <f>IF(OR($A244="",PESQUISA!$C$50=""),0,IF(ISNUMBER(SEARCH(PESQUISA!$C$50,$I244)),1,0))</f>
        <v/>
      </c>
      <c r="AC244">
        <f>IF($AB244=1,SUM($AB$3:$AB244),"")</f>
        <v/>
      </c>
    </row>
    <row r="245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>
        <f>IFERROR(INDEX(CONFIGURACOES!$G$37:$G$300,MATCH($I245,CONFIGURACOES!$B$37:$B$300,0)),"")</f>
        <v/>
      </c>
      <c r="K245" s="20">
        <f>IFERROR(INDEX(CONFIGURACOES!$H$37:$H$300,MATCH($I245,CONFIGURACOES!$B$37:$B$300,0)),"")</f>
        <v/>
      </c>
      <c r="L245" s="20" t="n"/>
      <c r="M245" s="20">
        <f>IFERROR(INDEX(CONFIGURACOES!$I$37:$I$300,MATCH($I245,CONFIGURACOES!$B$37:$B$300,0)),"")</f>
        <v/>
      </c>
      <c r="N245" s="21" t="n"/>
      <c r="O245" s="21" t="n"/>
      <c r="P245" s="21" t="n"/>
      <c r="Q245" s="21" t="n"/>
      <c r="R245" s="21">
        <f>IF($N245="","",$N245*IF($Q245="",1,$Q245)*IF($P245="",1,$P245)*IF($O245="",1,$O245))</f>
        <v/>
      </c>
      <c r="S245" s="22">
        <f>IFERROR(INDEX(CONFIGURACOES!$J$37:$J$300,MATCH($I245,CONFIGURACOES!$B$37:$B$300,0)),"")</f>
        <v/>
      </c>
      <c r="T245" s="22">
        <f>IF(OR($R245="",$S245=""),"",$R245*$S245)</f>
        <v/>
      </c>
      <c r="U245" s="20" t="n"/>
      <c r="V245" s="20" t="n"/>
      <c r="W245" s="20" t="n"/>
      <c r="X245">
        <f>IF($A245="","",$A245&amp;"|"&amp;$C245&amp;"|"&amp;$I245)</f>
        <v/>
      </c>
      <c r="Y245">
        <f>IF(AND($A245=RELATORIO_MEDICAO!$C$5,$C245=RELATORIO_MEDICAO!$F$5,$A245&lt;&gt;""),COUNTIFS($A$3:$A245,RELATORIO_MEDICAO!$C$5,$C$3:$C245,RELATORIO_MEDICAO!$F$5),"")</f>
        <v/>
      </c>
      <c r="Z245">
        <f>IF(OR($A245="",PESQUISA!$C$4=""),0,IF(OR(ISNUMBER(SEARCH(PESQUISA!$C$4,$G245)),ISNUMBER(SEARCH(PESQUISA!$C$4,$K245)),ISNUMBER(SEARCH(PESQUISA!$C$4,$L245))),1,0))</f>
        <v/>
      </c>
      <c r="AA245">
        <f>IF($Z245=1,SUM($Z$3:$Z245),"")</f>
        <v/>
      </c>
      <c r="AB245">
        <f>IF(OR($A245="",PESQUISA!$C$50=""),0,IF(ISNUMBER(SEARCH(PESQUISA!$C$50,$I245)),1,0))</f>
        <v/>
      </c>
      <c r="AC245">
        <f>IF($AB245=1,SUM($AB$3:$AB245),"")</f>
        <v/>
      </c>
    </row>
    <row r="246">
      <c r="A246" s="20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>
        <f>IFERROR(INDEX(CONFIGURACOES!$G$37:$G$300,MATCH($I246,CONFIGURACOES!$B$37:$B$300,0)),"")</f>
        <v/>
      </c>
      <c r="K246" s="20">
        <f>IFERROR(INDEX(CONFIGURACOES!$H$37:$H$300,MATCH($I246,CONFIGURACOES!$B$37:$B$300,0)),"")</f>
        <v/>
      </c>
      <c r="L246" s="20" t="n"/>
      <c r="M246" s="20">
        <f>IFERROR(INDEX(CONFIGURACOES!$I$37:$I$300,MATCH($I246,CONFIGURACOES!$B$37:$B$300,0)),"")</f>
        <v/>
      </c>
      <c r="N246" s="21" t="n"/>
      <c r="O246" s="21" t="n"/>
      <c r="P246" s="21" t="n"/>
      <c r="Q246" s="21" t="n"/>
      <c r="R246" s="21">
        <f>IF($N246="","",$N246*IF($Q246="",1,$Q246)*IF($P246="",1,$P246)*IF($O246="",1,$O246))</f>
        <v/>
      </c>
      <c r="S246" s="22">
        <f>IFERROR(INDEX(CONFIGURACOES!$J$37:$J$300,MATCH($I246,CONFIGURACOES!$B$37:$B$300,0)),"")</f>
        <v/>
      </c>
      <c r="T246" s="22">
        <f>IF(OR($R246="",$S246=""),"",$R246*$S246)</f>
        <v/>
      </c>
      <c r="U246" s="20" t="n"/>
      <c r="V246" s="20" t="n"/>
      <c r="W246" s="20" t="n"/>
      <c r="X246">
        <f>IF($A246="","",$A246&amp;"|"&amp;$C246&amp;"|"&amp;$I246)</f>
        <v/>
      </c>
      <c r="Y246">
        <f>IF(AND($A246=RELATORIO_MEDICAO!$C$5,$C246=RELATORIO_MEDICAO!$F$5,$A246&lt;&gt;""),COUNTIFS($A$3:$A246,RELATORIO_MEDICAO!$C$5,$C$3:$C246,RELATORIO_MEDICAO!$F$5),"")</f>
        <v/>
      </c>
      <c r="Z246">
        <f>IF(OR($A246="",PESQUISA!$C$4=""),0,IF(OR(ISNUMBER(SEARCH(PESQUISA!$C$4,$G246)),ISNUMBER(SEARCH(PESQUISA!$C$4,$K246)),ISNUMBER(SEARCH(PESQUISA!$C$4,$L246))),1,0))</f>
        <v/>
      </c>
      <c r="AA246">
        <f>IF($Z246=1,SUM($Z$3:$Z246),"")</f>
        <v/>
      </c>
      <c r="AB246">
        <f>IF(OR($A246="",PESQUISA!$C$50=""),0,IF(ISNUMBER(SEARCH(PESQUISA!$C$50,$I246)),1,0))</f>
        <v/>
      </c>
      <c r="AC246">
        <f>IF($AB246=1,SUM($AB$3:$AB246),"")</f>
        <v/>
      </c>
    </row>
    <row r="247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>
        <f>IFERROR(INDEX(CONFIGURACOES!$G$37:$G$300,MATCH($I247,CONFIGURACOES!$B$37:$B$300,0)),"")</f>
        <v/>
      </c>
      <c r="K247" s="20">
        <f>IFERROR(INDEX(CONFIGURACOES!$H$37:$H$300,MATCH($I247,CONFIGURACOES!$B$37:$B$300,0)),"")</f>
        <v/>
      </c>
      <c r="L247" s="20" t="n"/>
      <c r="M247" s="20">
        <f>IFERROR(INDEX(CONFIGURACOES!$I$37:$I$300,MATCH($I247,CONFIGURACOES!$B$37:$B$300,0)),"")</f>
        <v/>
      </c>
      <c r="N247" s="21" t="n"/>
      <c r="O247" s="21" t="n"/>
      <c r="P247" s="21" t="n"/>
      <c r="Q247" s="21" t="n"/>
      <c r="R247" s="21">
        <f>IF($N247="","",$N247*IF($Q247="",1,$Q247)*IF($P247="",1,$P247)*IF($O247="",1,$O247))</f>
        <v/>
      </c>
      <c r="S247" s="22">
        <f>IFERROR(INDEX(CONFIGURACOES!$J$37:$J$300,MATCH($I247,CONFIGURACOES!$B$37:$B$300,0)),"")</f>
        <v/>
      </c>
      <c r="T247" s="22">
        <f>IF(OR($R247="",$S247=""),"",$R247*$S247)</f>
        <v/>
      </c>
      <c r="U247" s="20" t="n"/>
      <c r="V247" s="20" t="n"/>
      <c r="W247" s="20" t="n"/>
      <c r="X247">
        <f>IF($A247="","",$A247&amp;"|"&amp;$C247&amp;"|"&amp;$I247)</f>
        <v/>
      </c>
      <c r="Y247">
        <f>IF(AND($A247=RELATORIO_MEDICAO!$C$5,$C247=RELATORIO_MEDICAO!$F$5,$A247&lt;&gt;""),COUNTIFS($A$3:$A247,RELATORIO_MEDICAO!$C$5,$C$3:$C247,RELATORIO_MEDICAO!$F$5),"")</f>
        <v/>
      </c>
      <c r="Z247">
        <f>IF(OR($A247="",PESQUISA!$C$4=""),0,IF(OR(ISNUMBER(SEARCH(PESQUISA!$C$4,$G247)),ISNUMBER(SEARCH(PESQUISA!$C$4,$K247)),ISNUMBER(SEARCH(PESQUISA!$C$4,$L247))),1,0))</f>
        <v/>
      </c>
      <c r="AA247">
        <f>IF($Z247=1,SUM($Z$3:$Z247),"")</f>
        <v/>
      </c>
      <c r="AB247">
        <f>IF(OR($A247="",PESQUISA!$C$50=""),0,IF(ISNUMBER(SEARCH(PESQUISA!$C$50,$I247)),1,0))</f>
        <v/>
      </c>
      <c r="AC247">
        <f>IF($AB247=1,SUM($AB$3:$AB247),"")</f>
        <v/>
      </c>
    </row>
    <row r="248">
      <c r="A248" s="20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>
        <f>IFERROR(INDEX(CONFIGURACOES!$G$37:$G$300,MATCH($I248,CONFIGURACOES!$B$37:$B$300,0)),"")</f>
        <v/>
      </c>
      <c r="K248" s="20">
        <f>IFERROR(INDEX(CONFIGURACOES!$H$37:$H$300,MATCH($I248,CONFIGURACOES!$B$37:$B$300,0)),"")</f>
        <v/>
      </c>
      <c r="L248" s="20" t="n"/>
      <c r="M248" s="20">
        <f>IFERROR(INDEX(CONFIGURACOES!$I$37:$I$300,MATCH($I248,CONFIGURACOES!$B$37:$B$300,0)),"")</f>
        <v/>
      </c>
      <c r="N248" s="21" t="n"/>
      <c r="O248" s="21" t="n"/>
      <c r="P248" s="21" t="n"/>
      <c r="Q248" s="21" t="n"/>
      <c r="R248" s="21">
        <f>IF($N248="","",$N248*IF($Q248="",1,$Q248)*IF($P248="",1,$P248)*IF($O248="",1,$O248))</f>
        <v/>
      </c>
      <c r="S248" s="22">
        <f>IFERROR(INDEX(CONFIGURACOES!$J$37:$J$300,MATCH($I248,CONFIGURACOES!$B$37:$B$300,0)),"")</f>
        <v/>
      </c>
      <c r="T248" s="22">
        <f>IF(OR($R248="",$S248=""),"",$R248*$S248)</f>
        <v/>
      </c>
      <c r="U248" s="20" t="n"/>
      <c r="V248" s="20" t="n"/>
      <c r="W248" s="20" t="n"/>
      <c r="X248">
        <f>IF($A248="","",$A248&amp;"|"&amp;$C248&amp;"|"&amp;$I248)</f>
        <v/>
      </c>
      <c r="Y248">
        <f>IF(AND($A248=RELATORIO_MEDICAO!$C$5,$C248=RELATORIO_MEDICAO!$F$5,$A248&lt;&gt;""),COUNTIFS($A$3:$A248,RELATORIO_MEDICAO!$C$5,$C$3:$C248,RELATORIO_MEDICAO!$F$5),"")</f>
        <v/>
      </c>
      <c r="Z248">
        <f>IF(OR($A248="",PESQUISA!$C$4=""),0,IF(OR(ISNUMBER(SEARCH(PESQUISA!$C$4,$G248)),ISNUMBER(SEARCH(PESQUISA!$C$4,$K248)),ISNUMBER(SEARCH(PESQUISA!$C$4,$L248))),1,0))</f>
        <v/>
      </c>
      <c r="AA248">
        <f>IF($Z248=1,SUM($Z$3:$Z248),"")</f>
        <v/>
      </c>
      <c r="AB248">
        <f>IF(OR($A248="",PESQUISA!$C$50=""),0,IF(ISNUMBER(SEARCH(PESQUISA!$C$50,$I248)),1,0))</f>
        <v/>
      </c>
      <c r="AC248">
        <f>IF($AB248=1,SUM($AB$3:$AB248),"")</f>
        <v/>
      </c>
    </row>
    <row r="249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>
        <f>IFERROR(INDEX(CONFIGURACOES!$G$37:$G$300,MATCH($I249,CONFIGURACOES!$B$37:$B$300,0)),"")</f>
        <v/>
      </c>
      <c r="K249" s="20">
        <f>IFERROR(INDEX(CONFIGURACOES!$H$37:$H$300,MATCH($I249,CONFIGURACOES!$B$37:$B$300,0)),"")</f>
        <v/>
      </c>
      <c r="L249" s="20" t="n"/>
      <c r="M249" s="20">
        <f>IFERROR(INDEX(CONFIGURACOES!$I$37:$I$300,MATCH($I249,CONFIGURACOES!$B$37:$B$300,0)),"")</f>
        <v/>
      </c>
      <c r="N249" s="21" t="n"/>
      <c r="O249" s="21" t="n"/>
      <c r="P249" s="21" t="n"/>
      <c r="Q249" s="21" t="n"/>
      <c r="R249" s="21">
        <f>IF($N249="","",$N249*IF($Q249="",1,$Q249)*IF($P249="",1,$P249)*IF($O249="",1,$O249))</f>
        <v/>
      </c>
      <c r="S249" s="22">
        <f>IFERROR(INDEX(CONFIGURACOES!$J$37:$J$300,MATCH($I249,CONFIGURACOES!$B$37:$B$300,0)),"")</f>
        <v/>
      </c>
      <c r="T249" s="22">
        <f>IF(OR($R249="",$S249=""),"",$R249*$S249)</f>
        <v/>
      </c>
      <c r="U249" s="20" t="n"/>
      <c r="V249" s="20" t="n"/>
      <c r="W249" s="20" t="n"/>
      <c r="X249">
        <f>IF($A249="","",$A249&amp;"|"&amp;$C249&amp;"|"&amp;$I249)</f>
        <v/>
      </c>
      <c r="Y249">
        <f>IF(AND($A249=RELATORIO_MEDICAO!$C$5,$C249=RELATORIO_MEDICAO!$F$5,$A249&lt;&gt;""),COUNTIFS($A$3:$A249,RELATORIO_MEDICAO!$C$5,$C$3:$C249,RELATORIO_MEDICAO!$F$5),"")</f>
        <v/>
      </c>
      <c r="Z249">
        <f>IF(OR($A249="",PESQUISA!$C$4=""),0,IF(OR(ISNUMBER(SEARCH(PESQUISA!$C$4,$G249)),ISNUMBER(SEARCH(PESQUISA!$C$4,$K249)),ISNUMBER(SEARCH(PESQUISA!$C$4,$L249))),1,0))</f>
        <v/>
      </c>
      <c r="AA249">
        <f>IF($Z249=1,SUM($Z$3:$Z249),"")</f>
        <v/>
      </c>
      <c r="AB249">
        <f>IF(OR($A249="",PESQUISA!$C$50=""),0,IF(ISNUMBER(SEARCH(PESQUISA!$C$50,$I249)),1,0))</f>
        <v/>
      </c>
      <c r="AC249">
        <f>IF($AB249=1,SUM($AB$3:$AB249),"")</f>
        <v/>
      </c>
    </row>
    <row r="250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>
        <f>IFERROR(INDEX(CONFIGURACOES!$G$37:$G$300,MATCH($I250,CONFIGURACOES!$B$37:$B$300,0)),"")</f>
        <v/>
      </c>
      <c r="K250" s="20">
        <f>IFERROR(INDEX(CONFIGURACOES!$H$37:$H$300,MATCH($I250,CONFIGURACOES!$B$37:$B$300,0)),"")</f>
        <v/>
      </c>
      <c r="L250" s="20" t="n"/>
      <c r="M250" s="20">
        <f>IFERROR(INDEX(CONFIGURACOES!$I$37:$I$300,MATCH($I250,CONFIGURACOES!$B$37:$B$300,0)),"")</f>
        <v/>
      </c>
      <c r="N250" s="21" t="n"/>
      <c r="O250" s="21" t="n"/>
      <c r="P250" s="21" t="n"/>
      <c r="Q250" s="21" t="n"/>
      <c r="R250" s="21">
        <f>IF($N250="","",$N250*IF($Q250="",1,$Q250)*IF($P250="",1,$P250)*IF($O250="",1,$O250))</f>
        <v/>
      </c>
      <c r="S250" s="22">
        <f>IFERROR(INDEX(CONFIGURACOES!$J$37:$J$300,MATCH($I250,CONFIGURACOES!$B$37:$B$300,0)),"")</f>
        <v/>
      </c>
      <c r="T250" s="22">
        <f>IF(OR($R250="",$S250=""),"",$R250*$S250)</f>
        <v/>
      </c>
      <c r="U250" s="20" t="n"/>
      <c r="V250" s="20" t="n"/>
      <c r="W250" s="20" t="n"/>
      <c r="X250">
        <f>IF($A250="","",$A250&amp;"|"&amp;$C250&amp;"|"&amp;$I250)</f>
        <v/>
      </c>
      <c r="Y250">
        <f>IF(AND($A250=RELATORIO_MEDICAO!$C$5,$C250=RELATORIO_MEDICAO!$F$5,$A250&lt;&gt;""),COUNTIFS($A$3:$A250,RELATORIO_MEDICAO!$C$5,$C$3:$C250,RELATORIO_MEDICAO!$F$5),"")</f>
        <v/>
      </c>
      <c r="Z250">
        <f>IF(OR($A250="",PESQUISA!$C$4=""),0,IF(OR(ISNUMBER(SEARCH(PESQUISA!$C$4,$G250)),ISNUMBER(SEARCH(PESQUISA!$C$4,$K250)),ISNUMBER(SEARCH(PESQUISA!$C$4,$L250))),1,0))</f>
        <v/>
      </c>
      <c r="AA250">
        <f>IF($Z250=1,SUM($Z$3:$Z250),"")</f>
        <v/>
      </c>
      <c r="AB250">
        <f>IF(OR($A250="",PESQUISA!$C$50=""),0,IF(ISNUMBER(SEARCH(PESQUISA!$C$50,$I250)),1,0))</f>
        <v/>
      </c>
      <c r="AC250">
        <f>IF($AB250=1,SUM($AB$3:$AB250),"")</f>
        <v/>
      </c>
    </row>
    <row r="251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>
        <f>IFERROR(INDEX(CONFIGURACOES!$G$37:$G$300,MATCH($I251,CONFIGURACOES!$B$37:$B$300,0)),"")</f>
        <v/>
      </c>
      <c r="K251" s="20">
        <f>IFERROR(INDEX(CONFIGURACOES!$H$37:$H$300,MATCH($I251,CONFIGURACOES!$B$37:$B$300,0)),"")</f>
        <v/>
      </c>
      <c r="L251" s="20" t="n"/>
      <c r="M251" s="20">
        <f>IFERROR(INDEX(CONFIGURACOES!$I$37:$I$300,MATCH($I251,CONFIGURACOES!$B$37:$B$300,0)),"")</f>
        <v/>
      </c>
      <c r="N251" s="21" t="n"/>
      <c r="O251" s="21" t="n"/>
      <c r="P251" s="21" t="n"/>
      <c r="Q251" s="21" t="n"/>
      <c r="R251" s="21">
        <f>IF($N251="","",$N251*IF($Q251="",1,$Q251)*IF($P251="",1,$P251)*IF($O251="",1,$O251))</f>
        <v/>
      </c>
      <c r="S251" s="22">
        <f>IFERROR(INDEX(CONFIGURACOES!$J$37:$J$300,MATCH($I251,CONFIGURACOES!$B$37:$B$300,0)),"")</f>
        <v/>
      </c>
      <c r="T251" s="22">
        <f>IF(OR($R251="",$S251=""),"",$R251*$S251)</f>
        <v/>
      </c>
      <c r="U251" s="20" t="n"/>
      <c r="V251" s="20" t="n"/>
      <c r="W251" s="20" t="n"/>
      <c r="X251">
        <f>IF($A251="","",$A251&amp;"|"&amp;$C251&amp;"|"&amp;$I251)</f>
        <v/>
      </c>
      <c r="Y251">
        <f>IF(AND($A251=RELATORIO_MEDICAO!$C$5,$C251=RELATORIO_MEDICAO!$F$5,$A251&lt;&gt;""),COUNTIFS($A$3:$A251,RELATORIO_MEDICAO!$C$5,$C$3:$C251,RELATORIO_MEDICAO!$F$5),"")</f>
        <v/>
      </c>
      <c r="Z251">
        <f>IF(OR($A251="",PESQUISA!$C$4=""),0,IF(OR(ISNUMBER(SEARCH(PESQUISA!$C$4,$G251)),ISNUMBER(SEARCH(PESQUISA!$C$4,$K251)),ISNUMBER(SEARCH(PESQUISA!$C$4,$L251))),1,0))</f>
        <v/>
      </c>
      <c r="AA251">
        <f>IF($Z251=1,SUM($Z$3:$Z251),"")</f>
        <v/>
      </c>
      <c r="AB251">
        <f>IF(OR($A251="",PESQUISA!$C$50=""),0,IF(ISNUMBER(SEARCH(PESQUISA!$C$50,$I251)),1,0))</f>
        <v/>
      </c>
      <c r="AC251">
        <f>IF($AB251=1,SUM($AB$3:$AB251),"")</f>
        <v/>
      </c>
    </row>
    <row r="252">
      <c r="A252" s="20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>
        <f>IFERROR(INDEX(CONFIGURACOES!$G$37:$G$300,MATCH($I252,CONFIGURACOES!$B$37:$B$300,0)),"")</f>
        <v/>
      </c>
      <c r="K252" s="20">
        <f>IFERROR(INDEX(CONFIGURACOES!$H$37:$H$300,MATCH($I252,CONFIGURACOES!$B$37:$B$300,0)),"")</f>
        <v/>
      </c>
      <c r="L252" s="20" t="n"/>
      <c r="M252" s="20">
        <f>IFERROR(INDEX(CONFIGURACOES!$I$37:$I$300,MATCH($I252,CONFIGURACOES!$B$37:$B$300,0)),"")</f>
        <v/>
      </c>
      <c r="N252" s="21" t="n"/>
      <c r="O252" s="21" t="n"/>
      <c r="P252" s="21" t="n"/>
      <c r="Q252" s="21" t="n"/>
      <c r="R252" s="21">
        <f>IF($N252="","",$N252*IF($Q252="",1,$Q252)*IF($P252="",1,$P252)*IF($O252="",1,$O252))</f>
        <v/>
      </c>
      <c r="S252" s="22">
        <f>IFERROR(INDEX(CONFIGURACOES!$J$37:$J$300,MATCH($I252,CONFIGURACOES!$B$37:$B$300,0)),"")</f>
        <v/>
      </c>
      <c r="T252" s="22">
        <f>IF(OR($R252="",$S252=""),"",$R252*$S252)</f>
        <v/>
      </c>
      <c r="U252" s="20" t="n"/>
      <c r="V252" s="20" t="n"/>
      <c r="W252" s="20" t="n"/>
      <c r="X252">
        <f>IF($A252="","",$A252&amp;"|"&amp;$C252&amp;"|"&amp;$I252)</f>
        <v/>
      </c>
      <c r="Y252">
        <f>IF(AND($A252=RELATORIO_MEDICAO!$C$5,$C252=RELATORIO_MEDICAO!$F$5,$A252&lt;&gt;""),COUNTIFS($A$3:$A252,RELATORIO_MEDICAO!$C$5,$C$3:$C252,RELATORIO_MEDICAO!$F$5),"")</f>
        <v/>
      </c>
      <c r="Z252">
        <f>IF(OR($A252="",PESQUISA!$C$4=""),0,IF(OR(ISNUMBER(SEARCH(PESQUISA!$C$4,$G252)),ISNUMBER(SEARCH(PESQUISA!$C$4,$K252)),ISNUMBER(SEARCH(PESQUISA!$C$4,$L252))),1,0))</f>
        <v/>
      </c>
      <c r="AA252">
        <f>IF($Z252=1,SUM($Z$3:$Z252),"")</f>
        <v/>
      </c>
      <c r="AB252">
        <f>IF(OR($A252="",PESQUISA!$C$50=""),0,IF(ISNUMBER(SEARCH(PESQUISA!$C$50,$I252)),1,0))</f>
        <v/>
      </c>
      <c r="AC252">
        <f>IF($AB252=1,SUM($AB$3:$AB252),"")</f>
        <v/>
      </c>
    </row>
    <row r="253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>
        <f>IFERROR(INDEX(CONFIGURACOES!$G$37:$G$300,MATCH($I253,CONFIGURACOES!$B$37:$B$300,0)),"")</f>
        <v/>
      </c>
      <c r="K253" s="20">
        <f>IFERROR(INDEX(CONFIGURACOES!$H$37:$H$300,MATCH($I253,CONFIGURACOES!$B$37:$B$300,0)),"")</f>
        <v/>
      </c>
      <c r="L253" s="20" t="n"/>
      <c r="M253" s="20">
        <f>IFERROR(INDEX(CONFIGURACOES!$I$37:$I$300,MATCH($I253,CONFIGURACOES!$B$37:$B$300,0)),"")</f>
        <v/>
      </c>
      <c r="N253" s="21" t="n"/>
      <c r="O253" s="21" t="n"/>
      <c r="P253" s="21" t="n"/>
      <c r="Q253" s="21" t="n"/>
      <c r="R253" s="21">
        <f>IF($N253="","",$N253*IF($Q253="",1,$Q253)*IF($P253="",1,$P253)*IF($O253="",1,$O253))</f>
        <v/>
      </c>
      <c r="S253" s="22">
        <f>IFERROR(INDEX(CONFIGURACOES!$J$37:$J$300,MATCH($I253,CONFIGURACOES!$B$37:$B$300,0)),"")</f>
        <v/>
      </c>
      <c r="T253" s="22">
        <f>IF(OR($R253="",$S253=""),"",$R253*$S253)</f>
        <v/>
      </c>
      <c r="U253" s="20" t="n"/>
      <c r="V253" s="20" t="n"/>
      <c r="W253" s="20" t="n"/>
      <c r="X253">
        <f>IF($A253="","",$A253&amp;"|"&amp;$C253&amp;"|"&amp;$I253)</f>
        <v/>
      </c>
      <c r="Y253">
        <f>IF(AND($A253=RELATORIO_MEDICAO!$C$5,$C253=RELATORIO_MEDICAO!$F$5,$A253&lt;&gt;""),COUNTIFS($A$3:$A253,RELATORIO_MEDICAO!$C$5,$C$3:$C253,RELATORIO_MEDICAO!$F$5),"")</f>
        <v/>
      </c>
      <c r="Z253">
        <f>IF(OR($A253="",PESQUISA!$C$4=""),0,IF(OR(ISNUMBER(SEARCH(PESQUISA!$C$4,$G253)),ISNUMBER(SEARCH(PESQUISA!$C$4,$K253)),ISNUMBER(SEARCH(PESQUISA!$C$4,$L253))),1,0))</f>
        <v/>
      </c>
      <c r="AA253">
        <f>IF($Z253=1,SUM($Z$3:$Z253),"")</f>
        <v/>
      </c>
      <c r="AB253">
        <f>IF(OR($A253="",PESQUISA!$C$50=""),0,IF(ISNUMBER(SEARCH(PESQUISA!$C$50,$I253)),1,0))</f>
        <v/>
      </c>
      <c r="AC253">
        <f>IF($AB253=1,SUM($AB$3:$AB253),"")</f>
        <v/>
      </c>
    </row>
    <row r="254">
      <c r="A254" s="20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>
        <f>IFERROR(INDEX(CONFIGURACOES!$G$37:$G$300,MATCH($I254,CONFIGURACOES!$B$37:$B$300,0)),"")</f>
        <v/>
      </c>
      <c r="K254" s="20">
        <f>IFERROR(INDEX(CONFIGURACOES!$H$37:$H$300,MATCH($I254,CONFIGURACOES!$B$37:$B$300,0)),"")</f>
        <v/>
      </c>
      <c r="L254" s="20" t="n"/>
      <c r="M254" s="20">
        <f>IFERROR(INDEX(CONFIGURACOES!$I$37:$I$300,MATCH($I254,CONFIGURACOES!$B$37:$B$300,0)),"")</f>
        <v/>
      </c>
      <c r="N254" s="21" t="n"/>
      <c r="O254" s="21" t="n"/>
      <c r="P254" s="21" t="n"/>
      <c r="Q254" s="21" t="n"/>
      <c r="R254" s="21">
        <f>IF($N254="","",$N254*IF($Q254="",1,$Q254)*IF($P254="",1,$P254)*IF($O254="",1,$O254))</f>
        <v/>
      </c>
      <c r="S254" s="22">
        <f>IFERROR(INDEX(CONFIGURACOES!$J$37:$J$300,MATCH($I254,CONFIGURACOES!$B$37:$B$300,0)),"")</f>
        <v/>
      </c>
      <c r="T254" s="22">
        <f>IF(OR($R254="",$S254=""),"",$R254*$S254)</f>
        <v/>
      </c>
      <c r="U254" s="20" t="n"/>
      <c r="V254" s="20" t="n"/>
      <c r="W254" s="20" t="n"/>
      <c r="X254">
        <f>IF($A254="","",$A254&amp;"|"&amp;$C254&amp;"|"&amp;$I254)</f>
        <v/>
      </c>
      <c r="Y254">
        <f>IF(AND($A254=RELATORIO_MEDICAO!$C$5,$C254=RELATORIO_MEDICAO!$F$5,$A254&lt;&gt;""),COUNTIFS($A$3:$A254,RELATORIO_MEDICAO!$C$5,$C$3:$C254,RELATORIO_MEDICAO!$F$5),"")</f>
        <v/>
      </c>
      <c r="Z254">
        <f>IF(OR($A254="",PESQUISA!$C$4=""),0,IF(OR(ISNUMBER(SEARCH(PESQUISA!$C$4,$G254)),ISNUMBER(SEARCH(PESQUISA!$C$4,$K254)),ISNUMBER(SEARCH(PESQUISA!$C$4,$L254))),1,0))</f>
        <v/>
      </c>
      <c r="AA254">
        <f>IF($Z254=1,SUM($Z$3:$Z254),"")</f>
        <v/>
      </c>
      <c r="AB254">
        <f>IF(OR($A254="",PESQUISA!$C$50=""),0,IF(ISNUMBER(SEARCH(PESQUISA!$C$50,$I254)),1,0))</f>
        <v/>
      </c>
      <c r="AC254">
        <f>IF($AB254=1,SUM($AB$3:$AB254),"")</f>
        <v/>
      </c>
    </row>
    <row r="255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>
        <f>IFERROR(INDEX(CONFIGURACOES!$G$37:$G$300,MATCH($I255,CONFIGURACOES!$B$37:$B$300,0)),"")</f>
        <v/>
      </c>
      <c r="K255" s="20">
        <f>IFERROR(INDEX(CONFIGURACOES!$H$37:$H$300,MATCH($I255,CONFIGURACOES!$B$37:$B$300,0)),"")</f>
        <v/>
      </c>
      <c r="L255" s="20" t="n"/>
      <c r="M255" s="20">
        <f>IFERROR(INDEX(CONFIGURACOES!$I$37:$I$300,MATCH($I255,CONFIGURACOES!$B$37:$B$300,0)),"")</f>
        <v/>
      </c>
      <c r="N255" s="21" t="n"/>
      <c r="O255" s="21" t="n"/>
      <c r="P255" s="21" t="n"/>
      <c r="Q255" s="21" t="n"/>
      <c r="R255" s="21">
        <f>IF($N255="","",$N255*IF($Q255="",1,$Q255)*IF($P255="",1,$P255)*IF($O255="",1,$O255))</f>
        <v/>
      </c>
      <c r="S255" s="22">
        <f>IFERROR(INDEX(CONFIGURACOES!$J$37:$J$300,MATCH($I255,CONFIGURACOES!$B$37:$B$300,0)),"")</f>
        <v/>
      </c>
      <c r="T255" s="22">
        <f>IF(OR($R255="",$S255=""),"",$R255*$S255)</f>
        <v/>
      </c>
      <c r="U255" s="20" t="n"/>
      <c r="V255" s="20" t="n"/>
      <c r="W255" s="20" t="n"/>
      <c r="X255">
        <f>IF($A255="","",$A255&amp;"|"&amp;$C255&amp;"|"&amp;$I255)</f>
        <v/>
      </c>
      <c r="Y255">
        <f>IF(AND($A255=RELATORIO_MEDICAO!$C$5,$C255=RELATORIO_MEDICAO!$F$5,$A255&lt;&gt;""),COUNTIFS($A$3:$A255,RELATORIO_MEDICAO!$C$5,$C$3:$C255,RELATORIO_MEDICAO!$F$5),"")</f>
        <v/>
      </c>
      <c r="Z255">
        <f>IF(OR($A255="",PESQUISA!$C$4=""),0,IF(OR(ISNUMBER(SEARCH(PESQUISA!$C$4,$G255)),ISNUMBER(SEARCH(PESQUISA!$C$4,$K255)),ISNUMBER(SEARCH(PESQUISA!$C$4,$L255))),1,0))</f>
        <v/>
      </c>
      <c r="AA255">
        <f>IF($Z255=1,SUM($Z$3:$Z255),"")</f>
        <v/>
      </c>
      <c r="AB255">
        <f>IF(OR($A255="",PESQUISA!$C$50=""),0,IF(ISNUMBER(SEARCH(PESQUISA!$C$50,$I255)),1,0))</f>
        <v/>
      </c>
      <c r="AC255">
        <f>IF($AB255=1,SUM($AB$3:$AB255),"")</f>
        <v/>
      </c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>
        <f>IFERROR(INDEX(CONFIGURACOES!$G$37:$G$300,MATCH($I256,CONFIGURACOES!$B$37:$B$300,0)),"")</f>
        <v/>
      </c>
      <c r="K256" s="20">
        <f>IFERROR(INDEX(CONFIGURACOES!$H$37:$H$300,MATCH($I256,CONFIGURACOES!$B$37:$B$300,0)),"")</f>
        <v/>
      </c>
      <c r="L256" s="20" t="n"/>
      <c r="M256" s="20">
        <f>IFERROR(INDEX(CONFIGURACOES!$I$37:$I$300,MATCH($I256,CONFIGURACOES!$B$37:$B$300,0)),"")</f>
        <v/>
      </c>
      <c r="N256" s="21" t="n"/>
      <c r="O256" s="21" t="n"/>
      <c r="P256" s="21" t="n"/>
      <c r="Q256" s="21" t="n"/>
      <c r="R256" s="21">
        <f>IF($N256="","",$N256*IF($Q256="",1,$Q256)*IF($P256="",1,$P256)*IF($O256="",1,$O256))</f>
        <v/>
      </c>
      <c r="S256" s="22">
        <f>IFERROR(INDEX(CONFIGURACOES!$J$37:$J$300,MATCH($I256,CONFIGURACOES!$B$37:$B$300,0)),"")</f>
        <v/>
      </c>
      <c r="T256" s="22">
        <f>IF(OR($R256="",$S256=""),"",$R256*$S256)</f>
        <v/>
      </c>
      <c r="U256" s="20" t="n"/>
      <c r="V256" s="20" t="n"/>
      <c r="W256" s="20" t="n"/>
      <c r="X256">
        <f>IF($A256="","",$A256&amp;"|"&amp;$C256&amp;"|"&amp;$I256)</f>
        <v/>
      </c>
      <c r="Y256">
        <f>IF(AND($A256=RELATORIO_MEDICAO!$C$5,$C256=RELATORIO_MEDICAO!$F$5,$A256&lt;&gt;""),COUNTIFS($A$3:$A256,RELATORIO_MEDICAO!$C$5,$C$3:$C256,RELATORIO_MEDICAO!$F$5),"")</f>
        <v/>
      </c>
      <c r="Z256">
        <f>IF(OR($A256="",PESQUISA!$C$4=""),0,IF(OR(ISNUMBER(SEARCH(PESQUISA!$C$4,$G256)),ISNUMBER(SEARCH(PESQUISA!$C$4,$K256)),ISNUMBER(SEARCH(PESQUISA!$C$4,$L256))),1,0))</f>
        <v/>
      </c>
      <c r="AA256">
        <f>IF($Z256=1,SUM($Z$3:$Z256),"")</f>
        <v/>
      </c>
      <c r="AB256">
        <f>IF(OR($A256="",PESQUISA!$C$50=""),0,IF(ISNUMBER(SEARCH(PESQUISA!$C$50,$I256)),1,0))</f>
        <v/>
      </c>
      <c r="AC256">
        <f>IF($AB256=1,SUM($AB$3:$AB256),"")</f>
        <v/>
      </c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>
        <f>IFERROR(INDEX(CONFIGURACOES!$G$37:$G$300,MATCH($I257,CONFIGURACOES!$B$37:$B$300,0)),"")</f>
        <v/>
      </c>
      <c r="K257" s="20">
        <f>IFERROR(INDEX(CONFIGURACOES!$H$37:$H$300,MATCH($I257,CONFIGURACOES!$B$37:$B$300,0)),"")</f>
        <v/>
      </c>
      <c r="L257" s="20" t="n"/>
      <c r="M257" s="20">
        <f>IFERROR(INDEX(CONFIGURACOES!$I$37:$I$300,MATCH($I257,CONFIGURACOES!$B$37:$B$300,0)),"")</f>
        <v/>
      </c>
      <c r="N257" s="21" t="n"/>
      <c r="O257" s="21" t="n"/>
      <c r="P257" s="21" t="n"/>
      <c r="Q257" s="21" t="n"/>
      <c r="R257" s="21">
        <f>IF($N257="","",$N257*IF($Q257="",1,$Q257)*IF($P257="",1,$P257)*IF($O257="",1,$O257))</f>
        <v/>
      </c>
      <c r="S257" s="22">
        <f>IFERROR(INDEX(CONFIGURACOES!$J$37:$J$300,MATCH($I257,CONFIGURACOES!$B$37:$B$300,0)),"")</f>
        <v/>
      </c>
      <c r="T257" s="22">
        <f>IF(OR($R257="",$S257=""),"",$R257*$S257)</f>
        <v/>
      </c>
      <c r="U257" s="20" t="n"/>
      <c r="V257" s="20" t="n"/>
      <c r="W257" s="20" t="n"/>
      <c r="X257">
        <f>IF($A257="","",$A257&amp;"|"&amp;$C257&amp;"|"&amp;$I257)</f>
        <v/>
      </c>
      <c r="Y257">
        <f>IF(AND($A257=RELATORIO_MEDICAO!$C$5,$C257=RELATORIO_MEDICAO!$F$5,$A257&lt;&gt;""),COUNTIFS($A$3:$A257,RELATORIO_MEDICAO!$C$5,$C$3:$C257,RELATORIO_MEDICAO!$F$5),"")</f>
        <v/>
      </c>
      <c r="Z257">
        <f>IF(OR($A257="",PESQUISA!$C$4=""),0,IF(OR(ISNUMBER(SEARCH(PESQUISA!$C$4,$G257)),ISNUMBER(SEARCH(PESQUISA!$C$4,$K257)),ISNUMBER(SEARCH(PESQUISA!$C$4,$L257))),1,0))</f>
        <v/>
      </c>
      <c r="AA257">
        <f>IF($Z257=1,SUM($Z$3:$Z257),"")</f>
        <v/>
      </c>
      <c r="AB257">
        <f>IF(OR($A257="",PESQUISA!$C$50=""),0,IF(ISNUMBER(SEARCH(PESQUISA!$C$50,$I257)),1,0))</f>
        <v/>
      </c>
      <c r="AC257">
        <f>IF($AB257=1,SUM($AB$3:$AB257),"")</f>
        <v/>
      </c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>
        <f>IFERROR(INDEX(CONFIGURACOES!$G$37:$G$300,MATCH($I258,CONFIGURACOES!$B$37:$B$300,0)),"")</f>
        <v/>
      </c>
      <c r="K258" s="20">
        <f>IFERROR(INDEX(CONFIGURACOES!$H$37:$H$300,MATCH($I258,CONFIGURACOES!$B$37:$B$300,0)),"")</f>
        <v/>
      </c>
      <c r="L258" s="20" t="n"/>
      <c r="M258" s="20">
        <f>IFERROR(INDEX(CONFIGURACOES!$I$37:$I$300,MATCH($I258,CONFIGURACOES!$B$37:$B$300,0)),"")</f>
        <v/>
      </c>
      <c r="N258" s="21" t="n"/>
      <c r="O258" s="21" t="n"/>
      <c r="P258" s="21" t="n"/>
      <c r="Q258" s="21" t="n"/>
      <c r="R258" s="21">
        <f>IF($N258="","",$N258*IF($Q258="",1,$Q258)*IF($P258="",1,$P258)*IF($O258="",1,$O258))</f>
        <v/>
      </c>
      <c r="S258" s="22">
        <f>IFERROR(INDEX(CONFIGURACOES!$J$37:$J$300,MATCH($I258,CONFIGURACOES!$B$37:$B$300,0)),"")</f>
        <v/>
      </c>
      <c r="T258" s="22">
        <f>IF(OR($R258="",$S258=""),"",$R258*$S258)</f>
        <v/>
      </c>
      <c r="U258" s="20" t="n"/>
      <c r="V258" s="20" t="n"/>
      <c r="W258" s="20" t="n"/>
      <c r="X258">
        <f>IF($A258="","",$A258&amp;"|"&amp;$C258&amp;"|"&amp;$I258)</f>
        <v/>
      </c>
      <c r="Y258">
        <f>IF(AND($A258=RELATORIO_MEDICAO!$C$5,$C258=RELATORIO_MEDICAO!$F$5,$A258&lt;&gt;""),COUNTIFS($A$3:$A258,RELATORIO_MEDICAO!$C$5,$C$3:$C258,RELATORIO_MEDICAO!$F$5),"")</f>
        <v/>
      </c>
      <c r="Z258">
        <f>IF(OR($A258="",PESQUISA!$C$4=""),0,IF(OR(ISNUMBER(SEARCH(PESQUISA!$C$4,$G258)),ISNUMBER(SEARCH(PESQUISA!$C$4,$K258)),ISNUMBER(SEARCH(PESQUISA!$C$4,$L258))),1,0))</f>
        <v/>
      </c>
      <c r="AA258">
        <f>IF($Z258=1,SUM($Z$3:$Z258),"")</f>
        <v/>
      </c>
      <c r="AB258">
        <f>IF(OR($A258="",PESQUISA!$C$50=""),0,IF(ISNUMBER(SEARCH(PESQUISA!$C$50,$I258)),1,0))</f>
        <v/>
      </c>
      <c r="AC258">
        <f>IF($AB258=1,SUM($AB$3:$AB258),"")</f>
        <v/>
      </c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>
        <f>IFERROR(INDEX(CONFIGURACOES!$G$37:$G$300,MATCH($I259,CONFIGURACOES!$B$37:$B$300,0)),"")</f>
        <v/>
      </c>
      <c r="K259" s="20">
        <f>IFERROR(INDEX(CONFIGURACOES!$H$37:$H$300,MATCH($I259,CONFIGURACOES!$B$37:$B$300,0)),"")</f>
        <v/>
      </c>
      <c r="L259" s="20" t="n"/>
      <c r="M259" s="20">
        <f>IFERROR(INDEX(CONFIGURACOES!$I$37:$I$300,MATCH($I259,CONFIGURACOES!$B$37:$B$300,0)),"")</f>
        <v/>
      </c>
      <c r="N259" s="21" t="n"/>
      <c r="O259" s="21" t="n"/>
      <c r="P259" s="21" t="n"/>
      <c r="Q259" s="21" t="n"/>
      <c r="R259" s="21">
        <f>IF($N259="","",$N259*IF($Q259="",1,$Q259)*IF($P259="",1,$P259)*IF($O259="",1,$O259))</f>
        <v/>
      </c>
      <c r="S259" s="22">
        <f>IFERROR(INDEX(CONFIGURACOES!$J$37:$J$300,MATCH($I259,CONFIGURACOES!$B$37:$B$300,0)),"")</f>
        <v/>
      </c>
      <c r="T259" s="22">
        <f>IF(OR($R259="",$S259=""),"",$R259*$S259)</f>
        <v/>
      </c>
      <c r="U259" s="20" t="n"/>
      <c r="V259" s="20" t="n"/>
      <c r="W259" s="20" t="n"/>
      <c r="X259">
        <f>IF($A259="","",$A259&amp;"|"&amp;$C259&amp;"|"&amp;$I259)</f>
        <v/>
      </c>
      <c r="Y259">
        <f>IF(AND($A259=RELATORIO_MEDICAO!$C$5,$C259=RELATORIO_MEDICAO!$F$5,$A259&lt;&gt;""),COUNTIFS($A$3:$A259,RELATORIO_MEDICAO!$C$5,$C$3:$C259,RELATORIO_MEDICAO!$F$5),"")</f>
        <v/>
      </c>
      <c r="Z259">
        <f>IF(OR($A259="",PESQUISA!$C$4=""),0,IF(OR(ISNUMBER(SEARCH(PESQUISA!$C$4,$G259)),ISNUMBER(SEARCH(PESQUISA!$C$4,$K259)),ISNUMBER(SEARCH(PESQUISA!$C$4,$L259))),1,0))</f>
        <v/>
      </c>
      <c r="AA259">
        <f>IF($Z259=1,SUM($Z$3:$Z259),"")</f>
        <v/>
      </c>
      <c r="AB259">
        <f>IF(OR($A259="",PESQUISA!$C$50=""),0,IF(ISNUMBER(SEARCH(PESQUISA!$C$50,$I259)),1,0))</f>
        <v/>
      </c>
      <c r="AC259">
        <f>IF($AB259=1,SUM($AB$3:$AB259),"")</f>
        <v/>
      </c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>
        <f>IFERROR(INDEX(CONFIGURACOES!$G$37:$G$300,MATCH($I260,CONFIGURACOES!$B$37:$B$300,0)),"")</f>
        <v/>
      </c>
      <c r="K260" s="20">
        <f>IFERROR(INDEX(CONFIGURACOES!$H$37:$H$300,MATCH($I260,CONFIGURACOES!$B$37:$B$300,0)),"")</f>
        <v/>
      </c>
      <c r="L260" s="20" t="n"/>
      <c r="M260" s="20">
        <f>IFERROR(INDEX(CONFIGURACOES!$I$37:$I$300,MATCH($I260,CONFIGURACOES!$B$37:$B$300,0)),"")</f>
        <v/>
      </c>
      <c r="N260" s="21" t="n"/>
      <c r="O260" s="21" t="n"/>
      <c r="P260" s="21" t="n"/>
      <c r="Q260" s="21" t="n"/>
      <c r="R260" s="21">
        <f>IF($N260="","",$N260*IF($Q260="",1,$Q260)*IF($P260="",1,$P260)*IF($O260="",1,$O260))</f>
        <v/>
      </c>
      <c r="S260" s="22">
        <f>IFERROR(INDEX(CONFIGURACOES!$J$37:$J$300,MATCH($I260,CONFIGURACOES!$B$37:$B$300,0)),"")</f>
        <v/>
      </c>
      <c r="T260" s="22">
        <f>IF(OR($R260="",$S260=""),"",$R260*$S260)</f>
        <v/>
      </c>
      <c r="U260" s="20" t="n"/>
      <c r="V260" s="20" t="n"/>
      <c r="W260" s="20" t="n"/>
      <c r="X260">
        <f>IF($A260="","",$A260&amp;"|"&amp;$C260&amp;"|"&amp;$I260)</f>
        <v/>
      </c>
      <c r="Y260">
        <f>IF(AND($A260=RELATORIO_MEDICAO!$C$5,$C260=RELATORIO_MEDICAO!$F$5,$A260&lt;&gt;""),COUNTIFS($A$3:$A260,RELATORIO_MEDICAO!$C$5,$C$3:$C260,RELATORIO_MEDICAO!$F$5),"")</f>
        <v/>
      </c>
      <c r="Z260">
        <f>IF(OR($A260="",PESQUISA!$C$4=""),0,IF(OR(ISNUMBER(SEARCH(PESQUISA!$C$4,$G260)),ISNUMBER(SEARCH(PESQUISA!$C$4,$K260)),ISNUMBER(SEARCH(PESQUISA!$C$4,$L260))),1,0))</f>
        <v/>
      </c>
      <c r="AA260">
        <f>IF($Z260=1,SUM($Z$3:$Z260),"")</f>
        <v/>
      </c>
      <c r="AB260">
        <f>IF(OR($A260="",PESQUISA!$C$50=""),0,IF(ISNUMBER(SEARCH(PESQUISA!$C$50,$I260)),1,0))</f>
        <v/>
      </c>
      <c r="AC260">
        <f>IF($AB260=1,SUM($AB$3:$AB260),"")</f>
        <v/>
      </c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>
        <f>IFERROR(INDEX(CONFIGURACOES!$G$37:$G$300,MATCH($I261,CONFIGURACOES!$B$37:$B$300,0)),"")</f>
        <v/>
      </c>
      <c r="K261" s="20">
        <f>IFERROR(INDEX(CONFIGURACOES!$H$37:$H$300,MATCH($I261,CONFIGURACOES!$B$37:$B$300,0)),"")</f>
        <v/>
      </c>
      <c r="L261" s="20" t="n"/>
      <c r="M261" s="20">
        <f>IFERROR(INDEX(CONFIGURACOES!$I$37:$I$300,MATCH($I261,CONFIGURACOES!$B$37:$B$300,0)),"")</f>
        <v/>
      </c>
      <c r="N261" s="21" t="n"/>
      <c r="O261" s="21" t="n"/>
      <c r="P261" s="21" t="n"/>
      <c r="Q261" s="21" t="n"/>
      <c r="R261" s="21">
        <f>IF($N261="","",$N261*IF($Q261="",1,$Q261)*IF($P261="",1,$P261)*IF($O261="",1,$O261))</f>
        <v/>
      </c>
      <c r="S261" s="22">
        <f>IFERROR(INDEX(CONFIGURACOES!$J$37:$J$300,MATCH($I261,CONFIGURACOES!$B$37:$B$300,0)),"")</f>
        <v/>
      </c>
      <c r="T261" s="22">
        <f>IF(OR($R261="",$S261=""),"",$R261*$S261)</f>
        <v/>
      </c>
      <c r="U261" s="20" t="n"/>
      <c r="V261" s="20" t="n"/>
      <c r="W261" s="20" t="n"/>
      <c r="X261">
        <f>IF($A261="","",$A261&amp;"|"&amp;$C261&amp;"|"&amp;$I261)</f>
        <v/>
      </c>
      <c r="Y261">
        <f>IF(AND($A261=RELATORIO_MEDICAO!$C$5,$C261=RELATORIO_MEDICAO!$F$5,$A261&lt;&gt;""),COUNTIFS($A$3:$A261,RELATORIO_MEDICAO!$C$5,$C$3:$C261,RELATORIO_MEDICAO!$F$5),"")</f>
        <v/>
      </c>
      <c r="Z261">
        <f>IF(OR($A261="",PESQUISA!$C$4=""),0,IF(OR(ISNUMBER(SEARCH(PESQUISA!$C$4,$G261)),ISNUMBER(SEARCH(PESQUISA!$C$4,$K261)),ISNUMBER(SEARCH(PESQUISA!$C$4,$L261))),1,0))</f>
        <v/>
      </c>
      <c r="AA261">
        <f>IF($Z261=1,SUM($Z$3:$Z261),"")</f>
        <v/>
      </c>
      <c r="AB261">
        <f>IF(OR($A261="",PESQUISA!$C$50=""),0,IF(ISNUMBER(SEARCH(PESQUISA!$C$50,$I261)),1,0))</f>
        <v/>
      </c>
      <c r="AC261">
        <f>IF($AB261=1,SUM($AB$3:$AB261),"")</f>
        <v/>
      </c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>
        <f>IFERROR(INDEX(CONFIGURACOES!$G$37:$G$300,MATCH($I262,CONFIGURACOES!$B$37:$B$300,0)),"")</f>
        <v/>
      </c>
      <c r="K262" s="20">
        <f>IFERROR(INDEX(CONFIGURACOES!$H$37:$H$300,MATCH($I262,CONFIGURACOES!$B$37:$B$300,0)),"")</f>
        <v/>
      </c>
      <c r="L262" s="20" t="n"/>
      <c r="M262" s="20">
        <f>IFERROR(INDEX(CONFIGURACOES!$I$37:$I$300,MATCH($I262,CONFIGURACOES!$B$37:$B$300,0)),"")</f>
        <v/>
      </c>
      <c r="N262" s="21" t="n"/>
      <c r="O262" s="21" t="n"/>
      <c r="P262" s="21" t="n"/>
      <c r="Q262" s="21" t="n"/>
      <c r="R262" s="21">
        <f>IF($N262="","",$N262*IF($Q262="",1,$Q262)*IF($P262="",1,$P262)*IF($O262="",1,$O262))</f>
        <v/>
      </c>
      <c r="S262" s="22">
        <f>IFERROR(INDEX(CONFIGURACOES!$J$37:$J$300,MATCH($I262,CONFIGURACOES!$B$37:$B$300,0)),"")</f>
        <v/>
      </c>
      <c r="T262" s="22">
        <f>IF(OR($R262="",$S262=""),"",$R262*$S262)</f>
        <v/>
      </c>
      <c r="U262" s="20" t="n"/>
      <c r="V262" s="20" t="n"/>
      <c r="W262" s="20" t="n"/>
      <c r="X262">
        <f>IF($A262="","",$A262&amp;"|"&amp;$C262&amp;"|"&amp;$I262)</f>
        <v/>
      </c>
      <c r="Y262">
        <f>IF(AND($A262=RELATORIO_MEDICAO!$C$5,$C262=RELATORIO_MEDICAO!$F$5,$A262&lt;&gt;""),COUNTIFS($A$3:$A262,RELATORIO_MEDICAO!$C$5,$C$3:$C262,RELATORIO_MEDICAO!$F$5),"")</f>
        <v/>
      </c>
      <c r="Z262">
        <f>IF(OR($A262="",PESQUISA!$C$4=""),0,IF(OR(ISNUMBER(SEARCH(PESQUISA!$C$4,$G262)),ISNUMBER(SEARCH(PESQUISA!$C$4,$K262)),ISNUMBER(SEARCH(PESQUISA!$C$4,$L262))),1,0))</f>
        <v/>
      </c>
      <c r="AA262">
        <f>IF($Z262=1,SUM($Z$3:$Z262),"")</f>
        <v/>
      </c>
      <c r="AB262">
        <f>IF(OR($A262="",PESQUISA!$C$50=""),0,IF(ISNUMBER(SEARCH(PESQUISA!$C$50,$I262)),1,0))</f>
        <v/>
      </c>
      <c r="AC262">
        <f>IF($AB262=1,SUM($AB$3:$AB262),"")</f>
        <v/>
      </c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>
        <f>IFERROR(INDEX(CONFIGURACOES!$G$37:$G$300,MATCH($I263,CONFIGURACOES!$B$37:$B$300,0)),"")</f>
        <v/>
      </c>
      <c r="K263" s="20">
        <f>IFERROR(INDEX(CONFIGURACOES!$H$37:$H$300,MATCH($I263,CONFIGURACOES!$B$37:$B$300,0)),"")</f>
        <v/>
      </c>
      <c r="L263" s="20" t="n"/>
      <c r="M263" s="20">
        <f>IFERROR(INDEX(CONFIGURACOES!$I$37:$I$300,MATCH($I263,CONFIGURACOES!$B$37:$B$300,0)),"")</f>
        <v/>
      </c>
      <c r="N263" s="21" t="n"/>
      <c r="O263" s="21" t="n"/>
      <c r="P263" s="21" t="n"/>
      <c r="Q263" s="21" t="n"/>
      <c r="R263" s="21">
        <f>IF($N263="","",$N263*IF($Q263="",1,$Q263)*IF($P263="",1,$P263)*IF($O263="",1,$O263))</f>
        <v/>
      </c>
      <c r="S263" s="22">
        <f>IFERROR(INDEX(CONFIGURACOES!$J$37:$J$300,MATCH($I263,CONFIGURACOES!$B$37:$B$300,0)),"")</f>
        <v/>
      </c>
      <c r="T263" s="22">
        <f>IF(OR($R263="",$S263=""),"",$R263*$S263)</f>
        <v/>
      </c>
      <c r="U263" s="20" t="n"/>
      <c r="V263" s="20" t="n"/>
      <c r="W263" s="20" t="n"/>
      <c r="X263">
        <f>IF($A263="","",$A263&amp;"|"&amp;$C263&amp;"|"&amp;$I263)</f>
        <v/>
      </c>
      <c r="Y263">
        <f>IF(AND($A263=RELATORIO_MEDICAO!$C$5,$C263=RELATORIO_MEDICAO!$F$5,$A263&lt;&gt;""),COUNTIFS($A$3:$A263,RELATORIO_MEDICAO!$C$5,$C$3:$C263,RELATORIO_MEDICAO!$F$5),"")</f>
        <v/>
      </c>
      <c r="Z263">
        <f>IF(OR($A263="",PESQUISA!$C$4=""),0,IF(OR(ISNUMBER(SEARCH(PESQUISA!$C$4,$G263)),ISNUMBER(SEARCH(PESQUISA!$C$4,$K263)),ISNUMBER(SEARCH(PESQUISA!$C$4,$L263))),1,0))</f>
        <v/>
      </c>
      <c r="AA263">
        <f>IF($Z263=1,SUM($Z$3:$Z263),"")</f>
        <v/>
      </c>
      <c r="AB263">
        <f>IF(OR($A263="",PESQUISA!$C$50=""),0,IF(ISNUMBER(SEARCH(PESQUISA!$C$50,$I263)),1,0))</f>
        <v/>
      </c>
      <c r="AC263">
        <f>IF($AB263=1,SUM($AB$3:$AB263),"")</f>
        <v/>
      </c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>
        <f>IFERROR(INDEX(CONFIGURACOES!$G$37:$G$300,MATCH($I264,CONFIGURACOES!$B$37:$B$300,0)),"")</f>
        <v/>
      </c>
      <c r="K264" s="20">
        <f>IFERROR(INDEX(CONFIGURACOES!$H$37:$H$300,MATCH($I264,CONFIGURACOES!$B$37:$B$300,0)),"")</f>
        <v/>
      </c>
      <c r="L264" s="20" t="n"/>
      <c r="M264" s="20">
        <f>IFERROR(INDEX(CONFIGURACOES!$I$37:$I$300,MATCH($I264,CONFIGURACOES!$B$37:$B$300,0)),"")</f>
        <v/>
      </c>
      <c r="N264" s="21" t="n"/>
      <c r="O264" s="21" t="n"/>
      <c r="P264" s="21" t="n"/>
      <c r="Q264" s="21" t="n"/>
      <c r="R264" s="21">
        <f>IF($N264="","",$N264*IF($Q264="",1,$Q264)*IF($P264="",1,$P264)*IF($O264="",1,$O264))</f>
        <v/>
      </c>
      <c r="S264" s="22">
        <f>IFERROR(INDEX(CONFIGURACOES!$J$37:$J$300,MATCH($I264,CONFIGURACOES!$B$37:$B$300,0)),"")</f>
        <v/>
      </c>
      <c r="T264" s="22">
        <f>IF(OR($R264="",$S264=""),"",$R264*$S264)</f>
        <v/>
      </c>
      <c r="U264" s="20" t="n"/>
      <c r="V264" s="20" t="n"/>
      <c r="W264" s="20" t="n"/>
      <c r="X264">
        <f>IF($A264="","",$A264&amp;"|"&amp;$C264&amp;"|"&amp;$I264)</f>
        <v/>
      </c>
      <c r="Y264">
        <f>IF(AND($A264=RELATORIO_MEDICAO!$C$5,$C264=RELATORIO_MEDICAO!$F$5,$A264&lt;&gt;""),COUNTIFS($A$3:$A264,RELATORIO_MEDICAO!$C$5,$C$3:$C264,RELATORIO_MEDICAO!$F$5),"")</f>
        <v/>
      </c>
      <c r="Z264">
        <f>IF(OR($A264="",PESQUISA!$C$4=""),0,IF(OR(ISNUMBER(SEARCH(PESQUISA!$C$4,$G264)),ISNUMBER(SEARCH(PESQUISA!$C$4,$K264)),ISNUMBER(SEARCH(PESQUISA!$C$4,$L264))),1,0))</f>
        <v/>
      </c>
      <c r="AA264">
        <f>IF($Z264=1,SUM($Z$3:$Z264),"")</f>
        <v/>
      </c>
      <c r="AB264">
        <f>IF(OR($A264="",PESQUISA!$C$50=""),0,IF(ISNUMBER(SEARCH(PESQUISA!$C$50,$I264)),1,0))</f>
        <v/>
      </c>
      <c r="AC264">
        <f>IF($AB264=1,SUM($AB$3:$AB264),"")</f>
        <v/>
      </c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>
        <f>IFERROR(INDEX(CONFIGURACOES!$G$37:$G$300,MATCH($I265,CONFIGURACOES!$B$37:$B$300,0)),"")</f>
        <v/>
      </c>
      <c r="K265" s="20">
        <f>IFERROR(INDEX(CONFIGURACOES!$H$37:$H$300,MATCH($I265,CONFIGURACOES!$B$37:$B$300,0)),"")</f>
        <v/>
      </c>
      <c r="L265" s="20" t="n"/>
      <c r="M265" s="20">
        <f>IFERROR(INDEX(CONFIGURACOES!$I$37:$I$300,MATCH($I265,CONFIGURACOES!$B$37:$B$300,0)),"")</f>
        <v/>
      </c>
      <c r="N265" s="21" t="n"/>
      <c r="O265" s="21" t="n"/>
      <c r="P265" s="21" t="n"/>
      <c r="Q265" s="21" t="n"/>
      <c r="R265" s="21">
        <f>IF($N265="","",$N265*IF($Q265="",1,$Q265)*IF($P265="",1,$P265)*IF($O265="",1,$O265))</f>
        <v/>
      </c>
      <c r="S265" s="22">
        <f>IFERROR(INDEX(CONFIGURACOES!$J$37:$J$300,MATCH($I265,CONFIGURACOES!$B$37:$B$300,0)),"")</f>
        <v/>
      </c>
      <c r="T265" s="22">
        <f>IF(OR($R265="",$S265=""),"",$R265*$S265)</f>
        <v/>
      </c>
      <c r="U265" s="20" t="n"/>
      <c r="V265" s="20" t="n"/>
      <c r="W265" s="20" t="n"/>
      <c r="X265">
        <f>IF($A265="","",$A265&amp;"|"&amp;$C265&amp;"|"&amp;$I265)</f>
        <v/>
      </c>
      <c r="Y265">
        <f>IF(AND($A265=RELATORIO_MEDICAO!$C$5,$C265=RELATORIO_MEDICAO!$F$5,$A265&lt;&gt;""),COUNTIFS($A$3:$A265,RELATORIO_MEDICAO!$C$5,$C$3:$C265,RELATORIO_MEDICAO!$F$5),"")</f>
        <v/>
      </c>
      <c r="Z265">
        <f>IF(OR($A265="",PESQUISA!$C$4=""),0,IF(OR(ISNUMBER(SEARCH(PESQUISA!$C$4,$G265)),ISNUMBER(SEARCH(PESQUISA!$C$4,$K265)),ISNUMBER(SEARCH(PESQUISA!$C$4,$L265))),1,0))</f>
        <v/>
      </c>
      <c r="AA265">
        <f>IF($Z265=1,SUM($Z$3:$Z265),"")</f>
        <v/>
      </c>
      <c r="AB265">
        <f>IF(OR($A265="",PESQUISA!$C$50=""),0,IF(ISNUMBER(SEARCH(PESQUISA!$C$50,$I265)),1,0))</f>
        <v/>
      </c>
      <c r="AC265">
        <f>IF($AB265=1,SUM($AB$3:$AB265),"")</f>
        <v/>
      </c>
    </row>
    <row r="266">
      <c r="A266" s="20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>
        <f>IFERROR(INDEX(CONFIGURACOES!$G$37:$G$300,MATCH($I266,CONFIGURACOES!$B$37:$B$300,0)),"")</f>
        <v/>
      </c>
      <c r="K266" s="20">
        <f>IFERROR(INDEX(CONFIGURACOES!$H$37:$H$300,MATCH($I266,CONFIGURACOES!$B$37:$B$300,0)),"")</f>
        <v/>
      </c>
      <c r="L266" s="20" t="n"/>
      <c r="M266" s="20">
        <f>IFERROR(INDEX(CONFIGURACOES!$I$37:$I$300,MATCH($I266,CONFIGURACOES!$B$37:$B$300,0)),"")</f>
        <v/>
      </c>
      <c r="N266" s="21" t="n"/>
      <c r="O266" s="21" t="n"/>
      <c r="P266" s="21" t="n"/>
      <c r="Q266" s="21" t="n"/>
      <c r="R266" s="21">
        <f>IF($N266="","",$N266*IF($Q266="",1,$Q266)*IF($P266="",1,$P266)*IF($O266="",1,$O266))</f>
        <v/>
      </c>
      <c r="S266" s="22">
        <f>IFERROR(INDEX(CONFIGURACOES!$J$37:$J$300,MATCH($I266,CONFIGURACOES!$B$37:$B$300,0)),"")</f>
        <v/>
      </c>
      <c r="T266" s="22">
        <f>IF(OR($R266="",$S266=""),"",$R266*$S266)</f>
        <v/>
      </c>
      <c r="U266" s="20" t="n"/>
      <c r="V266" s="20" t="n"/>
      <c r="W266" s="20" t="n"/>
      <c r="X266">
        <f>IF($A266="","",$A266&amp;"|"&amp;$C266&amp;"|"&amp;$I266)</f>
        <v/>
      </c>
      <c r="Y266">
        <f>IF(AND($A266=RELATORIO_MEDICAO!$C$5,$C266=RELATORIO_MEDICAO!$F$5,$A266&lt;&gt;""),COUNTIFS($A$3:$A266,RELATORIO_MEDICAO!$C$5,$C$3:$C266,RELATORIO_MEDICAO!$F$5),"")</f>
        <v/>
      </c>
      <c r="Z266">
        <f>IF(OR($A266="",PESQUISA!$C$4=""),0,IF(OR(ISNUMBER(SEARCH(PESQUISA!$C$4,$G266)),ISNUMBER(SEARCH(PESQUISA!$C$4,$K266)),ISNUMBER(SEARCH(PESQUISA!$C$4,$L266))),1,0))</f>
        <v/>
      </c>
      <c r="AA266">
        <f>IF($Z266=1,SUM($Z$3:$Z266),"")</f>
        <v/>
      </c>
      <c r="AB266">
        <f>IF(OR($A266="",PESQUISA!$C$50=""),0,IF(ISNUMBER(SEARCH(PESQUISA!$C$50,$I266)),1,0))</f>
        <v/>
      </c>
      <c r="AC266">
        <f>IF($AB266=1,SUM($AB$3:$AB266),"")</f>
        <v/>
      </c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>
        <f>IFERROR(INDEX(CONFIGURACOES!$G$37:$G$300,MATCH($I267,CONFIGURACOES!$B$37:$B$300,0)),"")</f>
        <v/>
      </c>
      <c r="K267" s="20">
        <f>IFERROR(INDEX(CONFIGURACOES!$H$37:$H$300,MATCH($I267,CONFIGURACOES!$B$37:$B$300,0)),"")</f>
        <v/>
      </c>
      <c r="L267" s="20" t="n"/>
      <c r="M267" s="20">
        <f>IFERROR(INDEX(CONFIGURACOES!$I$37:$I$300,MATCH($I267,CONFIGURACOES!$B$37:$B$300,0)),"")</f>
        <v/>
      </c>
      <c r="N267" s="21" t="n"/>
      <c r="O267" s="21" t="n"/>
      <c r="P267" s="21" t="n"/>
      <c r="Q267" s="21" t="n"/>
      <c r="R267" s="21">
        <f>IF($N267="","",$N267*IF($Q267="",1,$Q267)*IF($P267="",1,$P267)*IF($O267="",1,$O267))</f>
        <v/>
      </c>
      <c r="S267" s="22">
        <f>IFERROR(INDEX(CONFIGURACOES!$J$37:$J$300,MATCH($I267,CONFIGURACOES!$B$37:$B$300,0)),"")</f>
        <v/>
      </c>
      <c r="T267" s="22">
        <f>IF(OR($R267="",$S267=""),"",$R267*$S267)</f>
        <v/>
      </c>
      <c r="U267" s="20" t="n"/>
      <c r="V267" s="20" t="n"/>
      <c r="W267" s="20" t="n"/>
      <c r="X267">
        <f>IF($A267="","",$A267&amp;"|"&amp;$C267&amp;"|"&amp;$I267)</f>
        <v/>
      </c>
      <c r="Y267">
        <f>IF(AND($A267=RELATORIO_MEDICAO!$C$5,$C267=RELATORIO_MEDICAO!$F$5,$A267&lt;&gt;""),COUNTIFS($A$3:$A267,RELATORIO_MEDICAO!$C$5,$C$3:$C267,RELATORIO_MEDICAO!$F$5),"")</f>
        <v/>
      </c>
      <c r="Z267">
        <f>IF(OR($A267="",PESQUISA!$C$4=""),0,IF(OR(ISNUMBER(SEARCH(PESQUISA!$C$4,$G267)),ISNUMBER(SEARCH(PESQUISA!$C$4,$K267)),ISNUMBER(SEARCH(PESQUISA!$C$4,$L267))),1,0))</f>
        <v/>
      </c>
      <c r="AA267">
        <f>IF($Z267=1,SUM($Z$3:$Z267),"")</f>
        <v/>
      </c>
      <c r="AB267">
        <f>IF(OR($A267="",PESQUISA!$C$50=""),0,IF(ISNUMBER(SEARCH(PESQUISA!$C$50,$I267)),1,0))</f>
        <v/>
      </c>
      <c r="AC267">
        <f>IF($AB267=1,SUM($AB$3:$AB267),"")</f>
        <v/>
      </c>
    </row>
    <row r="268">
      <c r="A268" s="20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>
        <f>IFERROR(INDEX(CONFIGURACOES!$G$37:$G$300,MATCH($I268,CONFIGURACOES!$B$37:$B$300,0)),"")</f>
        <v/>
      </c>
      <c r="K268" s="20">
        <f>IFERROR(INDEX(CONFIGURACOES!$H$37:$H$300,MATCH($I268,CONFIGURACOES!$B$37:$B$300,0)),"")</f>
        <v/>
      </c>
      <c r="L268" s="20" t="n"/>
      <c r="M268" s="20">
        <f>IFERROR(INDEX(CONFIGURACOES!$I$37:$I$300,MATCH($I268,CONFIGURACOES!$B$37:$B$300,0)),"")</f>
        <v/>
      </c>
      <c r="N268" s="21" t="n"/>
      <c r="O268" s="21" t="n"/>
      <c r="P268" s="21" t="n"/>
      <c r="Q268" s="21" t="n"/>
      <c r="R268" s="21">
        <f>IF($N268="","",$N268*IF($Q268="",1,$Q268)*IF($P268="",1,$P268)*IF($O268="",1,$O268))</f>
        <v/>
      </c>
      <c r="S268" s="22">
        <f>IFERROR(INDEX(CONFIGURACOES!$J$37:$J$300,MATCH($I268,CONFIGURACOES!$B$37:$B$300,0)),"")</f>
        <v/>
      </c>
      <c r="T268" s="22">
        <f>IF(OR($R268="",$S268=""),"",$R268*$S268)</f>
        <v/>
      </c>
      <c r="U268" s="20" t="n"/>
      <c r="V268" s="20" t="n"/>
      <c r="W268" s="20" t="n"/>
      <c r="X268">
        <f>IF($A268="","",$A268&amp;"|"&amp;$C268&amp;"|"&amp;$I268)</f>
        <v/>
      </c>
      <c r="Y268">
        <f>IF(AND($A268=RELATORIO_MEDICAO!$C$5,$C268=RELATORIO_MEDICAO!$F$5,$A268&lt;&gt;""),COUNTIFS($A$3:$A268,RELATORIO_MEDICAO!$C$5,$C$3:$C268,RELATORIO_MEDICAO!$F$5),"")</f>
        <v/>
      </c>
      <c r="Z268">
        <f>IF(OR($A268="",PESQUISA!$C$4=""),0,IF(OR(ISNUMBER(SEARCH(PESQUISA!$C$4,$G268)),ISNUMBER(SEARCH(PESQUISA!$C$4,$K268)),ISNUMBER(SEARCH(PESQUISA!$C$4,$L268))),1,0))</f>
        <v/>
      </c>
      <c r="AA268">
        <f>IF($Z268=1,SUM($Z$3:$Z268),"")</f>
        <v/>
      </c>
      <c r="AB268">
        <f>IF(OR($A268="",PESQUISA!$C$50=""),0,IF(ISNUMBER(SEARCH(PESQUISA!$C$50,$I268)),1,0))</f>
        <v/>
      </c>
      <c r="AC268">
        <f>IF($AB268=1,SUM($AB$3:$AB268),"")</f>
        <v/>
      </c>
    </row>
    <row r="269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>
        <f>IFERROR(INDEX(CONFIGURACOES!$G$37:$G$300,MATCH($I269,CONFIGURACOES!$B$37:$B$300,0)),"")</f>
        <v/>
      </c>
      <c r="K269" s="20">
        <f>IFERROR(INDEX(CONFIGURACOES!$H$37:$H$300,MATCH($I269,CONFIGURACOES!$B$37:$B$300,0)),"")</f>
        <v/>
      </c>
      <c r="L269" s="20" t="n"/>
      <c r="M269" s="20">
        <f>IFERROR(INDEX(CONFIGURACOES!$I$37:$I$300,MATCH($I269,CONFIGURACOES!$B$37:$B$300,0)),"")</f>
        <v/>
      </c>
      <c r="N269" s="21" t="n"/>
      <c r="O269" s="21" t="n"/>
      <c r="P269" s="21" t="n"/>
      <c r="Q269" s="21" t="n"/>
      <c r="R269" s="21">
        <f>IF($N269="","",$N269*IF($Q269="",1,$Q269)*IF($P269="",1,$P269)*IF($O269="",1,$O269))</f>
        <v/>
      </c>
      <c r="S269" s="22">
        <f>IFERROR(INDEX(CONFIGURACOES!$J$37:$J$300,MATCH($I269,CONFIGURACOES!$B$37:$B$300,0)),"")</f>
        <v/>
      </c>
      <c r="T269" s="22">
        <f>IF(OR($R269="",$S269=""),"",$R269*$S269)</f>
        <v/>
      </c>
      <c r="U269" s="20" t="n"/>
      <c r="V269" s="20" t="n"/>
      <c r="W269" s="20" t="n"/>
      <c r="X269">
        <f>IF($A269="","",$A269&amp;"|"&amp;$C269&amp;"|"&amp;$I269)</f>
        <v/>
      </c>
      <c r="Y269">
        <f>IF(AND($A269=RELATORIO_MEDICAO!$C$5,$C269=RELATORIO_MEDICAO!$F$5,$A269&lt;&gt;""),COUNTIFS($A$3:$A269,RELATORIO_MEDICAO!$C$5,$C$3:$C269,RELATORIO_MEDICAO!$F$5),"")</f>
        <v/>
      </c>
      <c r="Z269">
        <f>IF(OR($A269="",PESQUISA!$C$4=""),0,IF(OR(ISNUMBER(SEARCH(PESQUISA!$C$4,$G269)),ISNUMBER(SEARCH(PESQUISA!$C$4,$K269)),ISNUMBER(SEARCH(PESQUISA!$C$4,$L269))),1,0))</f>
        <v/>
      </c>
      <c r="AA269">
        <f>IF($Z269=1,SUM($Z$3:$Z269),"")</f>
        <v/>
      </c>
      <c r="AB269">
        <f>IF(OR($A269="",PESQUISA!$C$50=""),0,IF(ISNUMBER(SEARCH(PESQUISA!$C$50,$I269)),1,0))</f>
        <v/>
      </c>
      <c r="AC269">
        <f>IF($AB269=1,SUM($AB$3:$AB269),"")</f>
        <v/>
      </c>
    </row>
    <row r="270">
      <c r="A270" s="20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>
        <f>IFERROR(INDEX(CONFIGURACOES!$G$37:$G$300,MATCH($I270,CONFIGURACOES!$B$37:$B$300,0)),"")</f>
        <v/>
      </c>
      <c r="K270" s="20">
        <f>IFERROR(INDEX(CONFIGURACOES!$H$37:$H$300,MATCH($I270,CONFIGURACOES!$B$37:$B$300,0)),"")</f>
        <v/>
      </c>
      <c r="L270" s="20" t="n"/>
      <c r="M270" s="20">
        <f>IFERROR(INDEX(CONFIGURACOES!$I$37:$I$300,MATCH($I270,CONFIGURACOES!$B$37:$B$300,0)),"")</f>
        <v/>
      </c>
      <c r="N270" s="21" t="n"/>
      <c r="O270" s="21" t="n"/>
      <c r="P270" s="21" t="n"/>
      <c r="Q270" s="21" t="n"/>
      <c r="R270" s="21">
        <f>IF($N270="","",$N270*IF($Q270="",1,$Q270)*IF($P270="",1,$P270)*IF($O270="",1,$O270))</f>
        <v/>
      </c>
      <c r="S270" s="22">
        <f>IFERROR(INDEX(CONFIGURACOES!$J$37:$J$300,MATCH($I270,CONFIGURACOES!$B$37:$B$300,0)),"")</f>
        <v/>
      </c>
      <c r="T270" s="22">
        <f>IF(OR($R270="",$S270=""),"",$R270*$S270)</f>
        <v/>
      </c>
      <c r="U270" s="20" t="n"/>
      <c r="V270" s="20" t="n"/>
      <c r="W270" s="20" t="n"/>
      <c r="X270">
        <f>IF($A270="","",$A270&amp;"|"&amp;$C270&amp;"|"&amp;$I270)</f>
        <v/>
      </c>
      <c r="Y270">
        <f>IF(AND($A270=RELATORIO_MEDICAO!$C$5,$C270=RELATORIO_MEDICAO!$F$5,$A270&lt;&gt;""),COUNTIFS($A$3:$A270,RELATORIO_MEDICAO!$C$5,$C$3:$C270,RELATORIO_MEDICAO!$F$5),"")</f>
        <v/>
      </c>
      <c r="Z270">
        <f>IF(OR($A270="",PESQUISA!$C$4=""),0,IF(OR(ISNUMBER(SEARCH(PESQUISA!$C$4,$G270)),ISNUMBER(SEARCH(PESQUISA!$C$4,$K270)),ISNUMBER(SEARCH(PESQUISA!$C$4,$L270))),1,0))</f>
        <v/>
      </c>
      <c r="AA270">
        <f>IF($Z270=1,SUM($Z$3:$Z270),"")</f>
        <v/>
      </c>
      <c r="AB270">
        <f>IF(OR($A270="",PESQUISA!$C$50=""),0,IF(ISNUMBER(SEARCH(PESQUISA!$C$50,$I270)),1,0))</f>
        <v/>
      </c>
      <c r="AC270">
        <f>IF($AB270=1,SUM($AB$3:$AB270),"")</f>
        <v/>
      </c>
    </row>
    <row r="271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>
        <f>IFERROR(INDEX(CONFIGURACOES!$G$37:$G$300,MATCH($I271,CONFIGURACOES!$B$37:$B$300,0)),"")</f>
        <v/>
      </c>
      <c r="K271" s="20">
        <f>IFERROR(INDEX(CONFIGURACOES!$H$37:$H$300,MATCH($I271,CONFIGURACOES!$B$37:$B$300,0)),"")</f>
        <v/>
      </c>
      <c r="L271" s="20" t="n"/>
      <c r="M271" s="20">
        <f>IFERROR(INDEX(CONFIGURACOES!$I$37:$I$300,MATCH($I271,CONFIGURACOES!$B$37:$B$300,0)),"")</f>
        <v/>
      </c>
      <c r="N271" s="21" t="n"/>
      <c r="O271" s="21" t="n"/>
      <c r="P271" s="21" t="n"/>
      <c r="Q271" s="21" t="n"/>
      <c r="R271" s="21">
        <f>IF($N271="","",$N271*IF($Q271="",1,$Q271)*IF($P271="",1,$P271)*IF($O271="",1,$O271))</f>
        <v/>
      </c>
      <c r="S271" s="22">
        <f>IFERROR(INDEX(CONFIGURACOES!$J$37:$J$300,MATCH($I271,CONFIGURACOES!$B$37:$B$300,0)),"")</f>
        <v/>
      </c>
      <c r="T271" s="22">
        <f>IF(OR($R271="",$S271=""),"",$R271*$S271)</f>
        <v/>
      </c>
      <c r="U271" s="20" t="n"/>
      <c r="V271" s="20" t="n"/>
      <c r="W271" s="20" t="n"/>
      <c r="X271">
        <f>IF($A271="","",$A271&amp;"|"&amp;$C271&amp;"|"&amp;$I271)</f>
        <v/>
      </c>
      <c r="Y271">
        <f>IF(AND($A271=RELATORIO_MEDICAO!$C$5,$C271=RELATORIO_MEDICAO!$F$5,$A271&lt;&gt;""),COUNTIFS($A$3:$A271,RELATORIO_MEDICAO!$C$5,$C$3:$C271,RELATORIO_MEDICAO!$F$5),"")</f>
        <v/>
      </c>
      <c r="Z271">
        <f>IF(OR($A271="",PESQUISA!$C$4=""),0,IF(OR(ISNUMBER(SEARCH(PESQUISA!$C$4,$G271)),ISNUMBER(SEARCH(PESQUISA!$C$4,$K271)),ISNUMBER(SEARCH(PESQUISA!$C$4,$L271))),1,0))</f>
        <v/>
      </c>
      <c r="AA271">
        <f>IF($Z271=1,SUM($Z$3:$Z271),"")</f>
        <v/>
      </c>
      <c r="AB271">
        <f>IF(OR($A271="",PESQUISA!$C$50=""),0,IF(ISNUMBER(SEARCH(PESQUISA!$C$50,$I271)),1,0))</f>
        <v/>
      </c>
      <c r="AC271">
        <f>IF($AB271=1,SUM($AB$3:$AB271),"")</f>
        <v/>
      </c>
    </row>
    <row r="272">
      <c r="A272" s="20" t="n"/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>
        <f>IFERROR(INDEX(CONFIGURACOES!$G$37:$G$300,MATCH($I272,CONFIGURACOES!$B$37:$B$300,0)),"")</f>
        <v/>
      </c>
      <c r="K272" s="20">
        <f>IFERROR(INDEX(CONFIGURACOES!$H$37:$H$300,MATCH($I272,CONFIGURACOES!$B$37:$B$300,0)),"")</f>
        <v/>
      </c>
      <c r="L272" s="20" t="n"/>
      <c r="M272" s="20">
        <f>IFERROR(INDEX(CONFIGURACOES!$I$37:$I$300,MATCH($I272,CONFIGURACOES!$B$37:$B$300,0)),"")</f>
        <v/>
      </c>
      <c r="N272" s="21" t="n"/>
      <c r="O272" s="21" t="n"/>
      <c r="P272" s="21" t="n"/>
      <c r="Q272" s="21" t="n"/>
      <c r="R272" s="21">
        <f>IF($N272="","",$N272*IF($Q272="",1,$Q272)*IF($P272="",1,$P272)*IF($O272="",1,$O272))</f>
        <v/>
      </c>
      <c r="S272" s="22">
        <f>IFERROR(INDEX(CONFIGURACOES!$J$37:$J$300,MATCH($I272,CONFIGURACOES!$B$37:$B$300,0)),"")</f>
        <v/>
      </c>
      <c r="T272" s="22">
        <f>IF(OR($R272="",$S272=""),"",$R272*$S272)</f>
        <v/>
      </c>
      <c r="U272" s="20" t="n"/>
      <c r="V272" s="20" t="n"/>
      <c r="W272" s="20" t="n"/>
      <c r="X272">
        <f>IF($A272="","",$A272&amp;"|"&amp;$C272&amp;"|"&amp;$I272)</f>
        <v/>
      </c>
      <c r="Y272">
        <f>IF(AND($A272=RELATORIO_MEDICAO!$C$5,$C272=RELATORIO_MEDICAO!$F$5,$A272&lt;&gt;""),COUNTIFS($A$3:$A272,RELATORIO_MEDICAO!$C$5,$C$3:$C272,RELATORIO_MEDICAO!$F$5),"")</f>
        <v/>
      </c>
      <c r="Z272">
        <f>IF(OR($A272="",PESQUISA!$C$4=""),0,IF(OR(ISNUMBER(SEARCH(PESQUISA!$C$4,$G272)),ISNUMBER(SEARCH(PESQUISA!$C$4,$K272)),ISNUMBER(SEARCH(PESQUISA!$C$4,$L272))),1,0))</f>
        <v/>
      </c>
      <c r="AA272">
        <f>IF($Z272=1,SUM($Z$3:$Z272),"")</f>
        <v/>
      </c>
      <c r="AB272">
        <f>IF(OR($A272="",PESQUISA!$C$50=""),0,IF(ISNUMBER(SEARCH(PESQUISA!$C$50,$I272)),1,0))</f>
        <v/>
      </c>
      <c r="AC272">
        <f>IF($AB272=1,SUM($AB$3:$AB272),"")</f>
        <v/>
      </c>
    </row>
    <row r="273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>
        <f>IFERROR(INDEX(CONFIGURACOES!$G$37:$G$300,MATCH($I273,CONFIGURACOES!$B$37:$B$300,0)),"")</f>
        <v/>
      </c>
      <c r="K273" s="20">
        <f>IFERROR(INDEX(CONFIGURACOES!$H$37:$H$300,MATCH($I273,CONFIGURACOES!$B$37:$B$300,0)),"")</f>
        <v/>
      </c>
      <c r="L273" s="20" t="n"/>
      <c r="M273" s="20">
        <f>IFERROR(INDEX(CONFIGURACOES!$I$37:$I$300,MATCH($I273,CONFIGURACOES!$B$37:$B$300,0)),"")</f>
        <v/>
      </c>
      <c r="N273" s="21" t="n"/>
      <c r="O273" s="21" t="n"/>
      <c r="P273" s="21" t="n"/>
      <c r="Q273" s="21" t="n"/>
      <c r="R273" s="21">
        <f>IF($N273="","",$N273*IF($Q273="",1,$Q273)*IF($P273="",1,$P273)*IF($O273="",1,$O273))</f>
        <v/>
      </c>
      <c r="S273" s="22">
        <f>IFERROR(INDEX(CONFIGURACOES!$J$37:$J$300,MATCH($I273,CONFIGURACOES!$B$37:$B$300,0)),"")</f>
        <v/>
      </c>
      <c r="T273" s="22">
        <f>IF(OR($R273="",$S273=""),"",$R273*$S273)</f>
        <v/>
      </c>
      <c r="U273" s="20" t="n"/>
      <c r="V273" s="20" t="n"/>
      <c r="W273" s="20" t="n"/>
      <c r="X273">
        <f>IF($A273="","",$A273&amp;"|"&amp;$C273&amp;"|"&amp;$I273)</f>
        <v/>
      </c>
      <c r="Y273">
        <f>IF(AND($A273=RELATORIO_MEDICAO!$C$5,$C273=RELATORIO_MEDICAO!$F$5,$A273&lt;&gt;""),COUNTIFS($A$3:$A273,RELATORIO_MEDICAO!$C$5,$C$3:$C273,RELATORIO_MEDICAO!$F$5),"")</f>
        <v/>
      </c>
      <c r="Z273">
        <f>IF(OR($A273="",PESQUISA!$C$4=""),0,IF(OR(ISNUMBER(SEARCH(PESQUISA!$C$4,$G273)),ISNUMBER(SEARCH(PESQUISA!$C$4,$K273)),ISNUMBER(SEARCH(PESQUISA!$C$4,$L273))),1,0))</f>
        <v/>
      </c>
      <c r="AA273">
        <f>IF($Z273=1,SUM($Z$3:$Z273),"")</f>
        <v/>
      </c>
      <c r="AB273">
        <f>IF(OR($A273="",PESQUISA!$C$50=""),0,IF(ISNUMBER(SEARCH(PESQUISA!$C$50,$I273)),1,0))</f>
        <v/>
      </c>
      <c r="AC273">
        <f>IF($AB273=1,SUM($AB$3:$AB273),"")</f>
        <v/>
      </c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>
        <f>IFERROR(INDEX(CONFIGURACOES!$G$37:$G$300,MATCH($I274,CONFIGURACOES!$B$37:$B$300,0)),"")</f>
        <v/>
      </c>
      <c r="K274" s="20">
        <f>IFERROR(INDEX(CONFIGURACOES!$H$37:$H$300,MATCH($I274,CONFIGURACOES!$B$37:$B$300,0)),"")</f>
        <v/>
      </c>
      <c r="L274" s="20" t="n"/>
      <c r="M274" s="20">
        <f>IFERROR(INDEX(CONFIGURACOES!$I$37:$I$300,MATCH($I274,CONFIGURACOES!$B$37:$B$300,0)),"")</f>
        <v/>
      </c>
      <c r="N274" s="21" t="n"/>
      <c r="O274" s="21" t="n"/>
      <c r="P274" s="21" t="n"/>
      <c r="Q274" s="21" t="n"/>
      <c r="R274" s="21">
        <f>IF($N274="","",$N274*IF($Q274="",1,$Q274)*IF($P274="",1,$P274)*IF($O274="",1,$O274))</f>
        <v/>
      </c>
      <c r="S274" s="22">
        <f>IFERROR(INDEX(CONFIGURACOES!$J$37:$J$300,MATCH($I274,CONFIGURACOES!$B$37:$B$300,0)),"")</f>
        <v/>
      </c>
      <c r="T274" s="22">
        <f>IF(OR($R274="",$S274=""),"",$R274*$S274)</f>
        <v/>
      </c>
      <c r="U274" s="20" t="n"/>
      <c r="V274" s="20" t="n"/>
      <c r="W274" s="20" t="n"/>
      <c r="X274">
        <f>IF($A274="","",$A274&amp;"|"&amp;$C274&amp;"|"&amp;$I274)</f>
        <v/>
      </c>
      <c r="Y274">
        <f>IF(AND($A274=RELATORIO_MEDICAO!$C$5,$C274=RELATORIO_MEDICAO!$F$5,$A274&lt;&gt;""),COUNTIFS($A$3:$A274,RELATORIO_MEDICAO!$C$5,$C$3:$C274,RELATORIO_MEDICAO!$F$5),"")</f>
        <v/>
      </c>
      <c r="Z274">
        <f>IF(OR($A274="",PESQUISA!$C$4=""),0,IF(OR(ISNUMBER(SEARCH(PESQUISA!$C$4,$G274)),ISNUMBER(SEARCH(PESQUISA!$C$4,$K274)),ISNUMBER(SEARCH(PESQUISA!$C$4,$L274))),1,0))</f>
        <v/>
      </c>
      <c r="AA274">
        <f>IF($Z274=1,SUM($Z$3:$Z274),"")</f>
        <v/>
      </c>
      <c r="AB274">
        <f>IF(OR($A274="",PESQUISA!$C$50=""),0,IF(ISNUMBER(SEARCH(PESQUISA!$C$50,$I274)),1,0))</f>
        <v/>
      </c>
      <c r="AC274">
        <f>IF($AB274=1,SUM($AB$3:$AB274),"")</f>
        <v/>
      </c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>
        <f>IFERROR(INDEX(CONFIGURACOES!$G$37:$G$300,MATCH($I275,CONFIGURACOES!$B$37:$B$300,0)),"")</f>
        <v/>
      </c>
      <c r="K275" s="20">
        <f>IFERROR(INDEX(CONFIGURACOES!$H$37:$H$300,MATCH($I275,CONFIGURACOES!$B$37:$B$300,0)),"")</f>
        <v/>
      </c>
      <c r="L275" s="20" t="n"/>
      <c r="M275" s="20">
        <f>IFERROR(INDEX(CONFIGURACOES!$I$37:$I$300,MATCH($I275,CONFIGURACOES!$B$37:$B$300,0)),"")</f>
        <v/>
      </c>
      <c r="N275" s="21" t="n"/>
      <c r="O275" s="21" t="n"/>
      <c r="P275" s="21" t="n"/>
      <c r="Q275" s="21" t="n"/>
      <c r="R275" s="21">
        <f>IF($N275="","",$N275*IF($Q275="",1,$Q275)*IF($P275="",1,$P275)*IF($O275="",1,$O275))</f>
        <v/>
      </c>
      <c r="S275" s="22">
        <f>IFERROR(INDEX(CONFIGURACOES!$J$37:$J$300,MATCH($I275,CONFIGURACOES!$B$37:$B$300,0)),"")</f>
        <v/>
      </c>
      <c r="T275" s="22">
        <f>IF(OR($R275="",$S275=""),"",$R275*$S275)</f>
        <v/>
      </c>
      <c r="U275" s="20" t="n"/>
      <c r="V275" s="20" t="n"/>
      <c r="W275" s="20" t="n"/>
      <c r="X275">
        <f>IF($A275="","",$A275&amp;"|"&amp;$C275&amp;"|"&amp;$I275)</f>
        <v/>
      </c>
      <c r="Y275">
        <f>IF(AND($A275=RELATORIO_MEDICAO!$C$5,$C275=RELATORIO_MEDICAO!$F$5,$A275&lt;&gt;""),COUNTIFS($A$3:$A275,RELATORIO_MEDICAO!$C$5,$C$3:$C275,RELATORIO_MEDICAO!$F$5),"")</f>
        <v/>
      </c>
      <c r="Z275">
        <f>IF(OR($A275="",PESQUISA!$C$4=""),0,IF(OR(ISNUMBER(SEARCH(PESQUISA!$C$4,$G275)),ISNUMBER(SEARCH(PESQUISA!$C$4,$K275)),ISNUMBER(SEARCH(PESQUISA!$C$4,$L275))),1,0))</f>
        <v/>
      </c>
      <c r="AA275">
        <f>IF($Z275=1,SUM($Z$3:$Z275),"")</f>
        <v/>
      </c>
      <c r="AB275">
        <f>IF(OR($A275="",PESQUISA!$C$50=""),0,IF(ISNUMBER(SEARCH(PESQUISA!$C$50,$I275)),1,0))</f>
        <v/>
      </c>
      <c r="AC275">
        <f>IF($AB275=1,SUM($AB$3:$AB275),"")</f>
        <v/>
      </c>
    </row>
    <row r="276">
      <c r="A276" s="20" t="n"/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>
        <f>IFERROR(INDEX(CONFIGURACOES!$G$37:$G$300,MATCH($I276,CONFIGURACOES!$B$37:$B$300,0)),"")</f>
        <v/>
      </c>
      <c r="K276" s="20">
        <f>IFERROR(INDEX(CONFIGURACOES!$H$37:$H$300,MATCH($I276,CONFIGURACOES!$B$37:$B$300,0)),"")</f>
        <v/>
      </c>
      <c r="L276" s="20" t="n"/>
      <c r="M276" s="20">
        <f>IFERROR(INDEX(CONFIGURACOES!$I$37:$I$300,MATCH($I276,CONFIGURACOES!$B$37:$B$300,0)),"")</f>
        <v/>
      </c>
      <c r="N276" s="21" t="n"/>
      <c r="O276" s="21" t="n"/>
      <c r="P276" s="21" t="n"/>
      <c r="Q276" s="21" t="n"/>
      <c r="R276" s="21">
        <f>IF($N276="","",$N276*IF($Q276="",1,$Q276)*IF($P276="",1,$P276)*IF($O276="",1,$O276))</f>
        <v/>
      </c>
      <c r="S276" s="22">
        <f>IFERROR(INDEX(CONFIGURACOES!$J$37:$J$300,MATCH($I276,CONFIGURACOES!$B$37:$B$300,0)),"")</f>
        <v/>
      </c>
      <c r="T276" s="22">
        <f>IF(OR($R276="",$S276=""),"",$R276*$S276)</f>
        <v/>
      </c>
      <c r="U276" s="20" t="n"/>
      <c r="V276" s="20" t="n"/>
      <c r="W276" s="20" t="n"/>
      <c r="X276">
        <f>IF($A276="","",$A276&amp;"|"&amp;$C276&amp;"|"&amp;$I276)</f>
        <v/>
      </c>
      <c r="Y276">
        <f>IF(AND($A276=RELATORIO_MEDICAO!$C$5,$C276=RELATORIO_MEDICAO!$F$5,$A276&lt;&gt;""),COUNTIFS($A$3:$A276,RELATORIO_MEDICAO!$C$5,$C$3:$C276,RELATORIO_MEDICAO!$F$5),"")</f>
        <v/>
      </c>
      <c r="Z276">
        <f>IF(OR($A276="",PESQUISA!$C$4=""),0,IF(OR(ISNUMBER(SEARCH(PESQUISA!$C$4,$G276)),ISNUMBER(SEARCH(PESQUISA!$C$4,$K276)),ISNUMBER(SEARCH(PESQUISA!$C$4,$L276))),1,0))</f>
        <v/>
      </c>
      <c r="AA276">
        <f>IF($Z276=1,SUM($Z$3:$Z276),"")</f>
        <v/>
      </c>
      <c r="AB276">
        <f>IF(OR($A276="",PESQUISA!$C$50=""),0,IF(ISNUMBER(SEARCH(PESQUISA!$C$50,$I276)),1,0))</f>
        <v/>
      </c>
      <c r="AC276">
        <f>IF($AB276=1,SUM($AB$3:$AB276),"")</f>
        <v/>
      </c>
    </row>
    <row r="277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>
        <f>IFERROR(INDEX(CONFIGURACOES!$G$37:$G$300,MATCH($I277,CONFIGURACOES!$B$37:$B$300,0)),"")</f>
        <v/>
      </c>
      <c r="K277" s="20">
        <f>IFERROR(INDEX(CONFIGURACOES!$H$37:$H$300,MATCH($I277,CONFIGURACOES!$B$37:$B$300,0)),"")</f>
        <v/>
      </c>
      <c r="L277" s="20" t="n"/>
      <c r="M277" s="20">
        <f>IFERROR(INDEX(CONFIGURACOES!$I$37:$I$300,MATCH($I277,CONFIGURACOES!$B$37:$B$300,0)),"")</f>
        <v/>
      </c>
      <c r="N277" s="21" t="n"/>
      <c r="O277" s="21" t="n"/>
      <c r="P277" s="21" t="n"/>
      <c r="Q277" s="21" t="n"/>
      <c r="R277" s="21">
        <f>IF($N277="","",$N277*IF($Q277="",1,$Q277)*IF($P277="",1,$P277)*IF($O277="",1,$O277))</f>
        <v/>
      </c>
      <c r="S277" s="22">
        <f>IFERROR(INDEX(CONFIGURACOES!$J$37:$J$300,MATCH($I277,CONFIGURACOES!$B$37:$B$300,0)),"")</f>
        <v/>
      </c>
      <c r="T277" s="22">
        <f>IF(OR($R277="",$S277=""),"",$R277*$S277)</f>
        <v/>
      </c>
      <c r="U277" s="20" t="n"/>
      <c r="V277" s="20" t="n"/>
      <c r="W277" s="20" t="n"/>
      <c r="X277">
        <f>IF($A277="","",$A277&amp;"|"&amp;$C277&amp;"|"&amp;$I277)</f>
        <v/>
      </c>
      <c r="Y277">
        <f>IF(AND($A277=RELATORIO_MEDICAO!$C$5,$C277=RELATORIO_MEDICAO!$F$5,$A277&lt;&gt;""),COUNTIFS($A$3:$A277,RELATORIO_MEDICAO!$C$5,$C$3:$C277,RELATORIO_MEDICAO!$F$5),"")</f>
        <v/>
      </c>
      <c r="Z277">
        <f>IF(OR($A277="",PESQUISA!$C$4=""),0,IF(OR(ISNUMBER(SEARCH(PESQUISA!$C$4,$G277)),ISNUMBER(SEARCH(PESQUISA!$C$4,$K277)),ISNUMBER(SEARCH(PESQUISA!$C$4,$L277))),1,0))</f>
        <v/>
      </c>
      <c r="AA277">
        <f>IF($Z277=1,SUM($Z$3:$Z277),"")</f>
        <v/>
      </c>
      <c r="AB277">
        <f>IF(OR($A277="",PESQUISA!$C$50=""),0,IF(ISNUMBER(SEARCH(PESQUISA!$C$50,$I277)),1,0))</f>
        <v/>
      </c>
      <c r="AC277">
        <f>IF($AB277=1,SUM($AB$3:$AB277),"")</f>
        <v/>
      </c>
    </row>
    <row r="278">
      <c r="A278" s="20" t="n"/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>
        <f>IFERROR(INDEX(CONFIGURACOES!$G$37:$G$300,MATCH($I278,CONFIGURACOES!$B$37:$B$300,0)),"")</f>
        <v/>
      </c>
      <c r="K278" s="20">
        <f>IFERROR(INDEX(CONFIGURACOES!$H$37:$H$300,MATCH($I278,CONFIGURACOES!$B$37:$B$300,0)),"")</f>
        <v/>
      </c>
      <c r="L278" s="20" t="n"/>
      <c r="M278" s="20">
        <f>IFERROR(INDEX(CONFIGURACOES!$I$37:$I$300,MATCH($I278,CONFIGURACOES!$B$37:$B$300,0)),"")</f>
        <v/>
      </c>
      <c r="N278" s="21" t="n"/>
      <c r="O278" s="21" t="n"/>
      <c r="P278" s="21" t="n"/>
      <c r="Q278" s="21" t="n"/>
      <c r="R278" s="21">
        <f>IF($N278="","",$N278*IF($Q278="",1,$Q278)*IF($P278="",1,$P278)*IF($O278="",1,$O278))</f>
        <v/>
      </c>
      <c r="S278" s="22">
        <f>IFERROR(INDEX(CONFIGURACOES!$J$37:$J$300,MATCH($I278,CONFIGURACOES!$B$37:$B$300,0)),"")</f>
        <v/>
      </c>
      <c r="T278" s="22">
        <f>IF(OR($R278="",$S278=""),"",$R278*$S278)</f>
        <v/>
      </c>
      <c r="U278" s="20" t="n"/>
      <c r="V278" s="20" t="n"/>
      <c r="W278" s="20" t="n"/>
      <c r="X278">
        <f>IF($A278="","",$A278&amp;"|"&amp;$C278&amp;"|"&amp;$I278)</f>
        <v/>
      </c>
      <c r="Y278">
        <f>IF(AND($A278=RELATORIO_MEDICAO!$C$5,$C278=RELATORIO_MEDICAO!$F$5,$A278&lt;&gt;""),COUNTIFS($A$3:$A278,RELATORIO_MEDICAO!$C$5,$C$3:$C278,RELATORIO_MEDICAO!$F$5),"")</f>
        <v/>
      </c>
      <c r="Z278">
        <f>IF(OR($A278="",PESQUISA!$C$4=""),0,IF(OR(ISNUMBER(SEARCH(PESQUISA!$C$4,$G278)),ISNUMBER(SEARCH(PESQUISA!$C$4,$K278)),ISNUMBER(SEARCH(PESQUISA!$C$4,$L278))),1,0))</f>
        <v/>
      </c>
      <c r="AA278">
        <f>IF($Z278=1,SUM($Z$3:$Z278),"")</f>
        <v/>
      </c>
      <c r="AB278">
        <f>IF(OR($A278="",PESQUISA!$C$50=""),0,IF(ISNUMBER(SEARCH(PESQUISA!$C$50,$I278)),1,0))</f>
        <v/>
      </c>
      <c r="AC278">
        <f>IF($AB278=1,SUM($AB$3:$AB278),"")</f>
        <v/>
      </c>
    </row>
    <row r="279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>
        <f>IFERROR(INDEX(CONFIGURACOES!$G$37:$G$300,MATCH($I279,CONFIGURACOES!$B$37:$B$300,0)),"")</f>
        <v/>
      </c>
      <c r="K279" s="20">
        <f>IFERROR(INDEX(CONFIGURACOES!$H$37:$H$300,MATCH($I279,CONFIGURACOES!$B$37:$B$300,0)),"")</f>
        <v/>
      </c>
      <c r="L279" s="20" t="n"/>
      <c r="M279" s="20">
        <f>IFERROR(INDEX(CONFIGURACOES!$I$37:$I$300,MATCH($I279,CONFIGURACOES!$B$37:$B$300,0)),"")</f>
        <v/>
      </c>
      <c r="N279" s="21" t="n"/>
      <c r="O279" s="21" t="n"/>
      <c r="P279" s="21" t="n"/>
      <c r="Q279" s="21" t="n"/>
      <c r="R279" s="21">
        <f>IF($N279="","",$N279*IF($Q279="",1,$Q279)*IF($P279="",1,$P279)*IF($O279="",1,$O279))</f>
        <v/>
      </c>
      <c r="S279" s="22">
        <f>IFERROR(INDEX(CONFIGURACOES!$J$37:$J$300,MATCH($I279,CONFIGURACOES!$B$37:$B$300,0)),"")</f>
        <v/>
      </c>
      <c r="T279" s="22">
        <f>IF(OR($R279="",$S279=""),"",$R279*$S279)</f>
        <v/>
      </c>
      <c r="U279" s="20" t="n"/>
      <c r="V279" s="20" t="n"/>
      <c r="W279" s="20" t="n"/>
      <c r="X279">
        <f>IF($A279="","",$A279&amp;"|"&amp;$C279&amp;"|"&amp;$I279)</f>
        <v/>
      </c>
      <c r="Y279">
        <f>IF(AND($A279=RELATORIO_MEDICAO!$C$5,$C279=RELATORIO_MEDICAO!$F$5,$A279&lt;&gt;""),COUNTIFS($A$3:$A279,RELATORIO_MEDICAO!$C$5,$C$3:$C279,RELATORIO_MEDICAO!$F$5),"")</f>
        <v/>
      </c>
      <c r="Z279">
        <f>IF(OR($A279="",PESQUISA!$C$4=""),0,IF(OR(ISNUMBER(SEARCH(PESQUISA!$C$4,$G279)),ISNUMBER(SEARCH(PESQUISA!$C$4,$K279)),ISNUMBER(SEARCH(PESQUISA!$C$4,$L279))),1,0))</f>
        <v/>
      </c>
      <c r="AA279">
        <f>IF($Z279=1,SUM($Z$3:$Z279),"")</f>
        <v/>
      </c>
      <c r="AB279">
        <f>IF(OR($A279="",PESQUISA!$C$50=""),0,IF(ISNUMBER(SEARCH(PESQUISA!$C$50,$I279)),1,0))</f>
        <v/>
      </c>
      <c r="AC279">
        <f>IF($AB279=1,SUM($AB$3:$AB279),"")</f>
        <v/>
      </c>
    </row>
    <row r="280">
      <c r="A280" s="20" t="n"/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>
        <f>IFERROR(INDEX(CONFIGURACOES!$G$37:$G$300,MATCH($I280,CONFIGURACOES!$B$37:$B$300,0)),"")</f>
        <v/>
      </c>
      <c r="K280" s="20">
        <f>IFERROR(INDEX(CONFIGURACOES!$H$37:$H$300,MATCH($I280,CONFIGURACOES!$B$37:$B$300,0)),"")</f>
        <v/>
      </c>
      <c r="L280" s="20" t="n"/>
      <c r="M280" s="20">
        <f>IFERROR(INDEX(CONFIGURACOES!$I$37:$I$300,MATCH($I280,CONFIGURACOES!$B$37:$B$300,0)),"")</f>
        <v/>
      </c>
      <c r="N280" s="21" t="n"/>
      <c r="O280" s="21" t="n"/>
      <c r="P280" s="21" t="n"/>
      <c r="Q280" s="21" t="n"/>
      <c r="R280" s="21">
        <f>IF($N280="","",$N280*IF($Q280="",1,$Q280)*IF($P280="",1,$P280)*IF($O280="",1,$O280))</f>
        <v/>
      </c>
      <c r="S280" s="22">
        <f>IFERROR(INDEX(CONFIGURACOES!$J$37:$J$300,MATCH($I280,CONFIGURACOES!$B$37:$B$300,0)),"")</f>
        <v/>
      </c>
      <c r="T280" s="22">
        <f>IF(OR($R280="",$S280=""),"",$R280*$S280)</f>
        <v/>
      </c>
      <c r="U280" s="20" t="n"/>
      <c r="V280" s="20" t="n"/>
      <c r="W280" s="20" t="n"/>
      <c r="X280">
        <f>IF($A280="","",$A280&amp;"|"&amp;$C280&amp;"|"&amp;$I280)</f>
        <v/>
      </c>
      <c r="Y280">
        <f>IF(AND($A280=RELATORIO_MEDICAO!$C$5,$C280=RELATORIO_MEDICAO!$F$5,$A280&lt;&gt;""),COUNTIFS($A$3:$A280,RELATORIO_MEDICAO!$C$5,$C$3:$C280,RELATORIO_MEDICAO!$F$5),"")</f>
        <v/>
      </c>
      <c r="Z280">
        <f>IF(OR($A280="",PESQUISA!$C$4=""),0,IF(OR(ISNUMBER(SEARCH(PESQUISA!$C$4,$G280)),ISNUMBER(SEARCH(PESQUISA!$C$4,$K280)),ISNUMBER(SEARCH(PESQUISA!$C$4,$L280))),1,0))</f>
        <v/>
      </c>
      <c r="AA280">
        <f>IF($Z280=1,SUM($Z$3:$Z280),"")</f>
        <v/>
      </c>
      <c r="AB280">
        <f>IF(OR($A280="",PESQUISA!$C$50=""),0,IF(ISNUMBER(SEARCH(PESQUISA!$C$50,$I280)),1,0))</f>
        <v/>
      </c>
      <c r="AC280">
        <f>IF($AB280=1,SUM($AB$3:$AB280),"")</f>
        <v/>
      </c>
    </row>
    <row r="281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>
        <f>IFERROR(INDEX(CONFIGURACOES!$G$37:$G$300,MATCH($I281,CONFIGURACOES!$B$37:$B$300,0)),"")</f>
        <v/>
      </c>
      <c r="K281" s="20">
        <f>IFERROR(INDEX(CONFIGURACOES!$H$37:$H$300,MATCH($I281,CONFIGURACOES!$B$37:$B$300,0)),"")</f>
        <v/>
      </c>
      <c r="L281" s="20" t="n"/>
      <c r="M281" s="20">
        <f>IFERROR(INDEX(CONFIGURACOES!$I$37:$I$300,MATCH($I281,CONFIGURACOES!$B$37:$B$300,0)),"")</f>
        <v/>
      </c>
      <c r="N281" s="21" t="n"/>
      <c r="O281" s="21" t="n"/>
      <c r="P281" s="21" t="n"/>
      <c r="Q281" s="21" t="n"/>
      <c r="R281" s="21">
        <f>IF($N281="","",$N281*IF($Q281="",1,$Q281)*IF($P281="",1,$P281)*IF($O281="",1,$O281))</f>
        <v/>
      </c>
      <c r="S281" s="22">
        <f>IFERROR(INDEX(CONFIGURACOES!$J$37:$J$300,MATCH($I281,CONFIGURACOES!$B$37:$B$300,0)),"")</f>
        <v/>
      </c>
      <c r="T281" s="22">
        <f>IF(OR($R281="",$S281=""),"",$R281*$S281)</f>
        <v/>
      </c>
      <c r="U281" s="20" t="n"/>
      <c r="V281" s="20" t="n"/>
      <c r="W281" s="20" t="n"/>
      <c r="X281">
        <f>IF($A281="","",$A281&amp;"|"&amp;$C281&amp;"|"&amp;$I281)</f>
        <v/>
      </c>
      <c r="Y281">
        <f>IF(AND($A281=RELATORIO_MEDICAO!$C$5,$C281=RELATORIO_MEDICAO!$F$5,$A281&lt;&gt;""),COUNTIFS($A$3:$A281,RELATORIO_MEDICAO!$C$5,$C$3:$C281,RELATORIO_MEDICAO!$F$5),"")</f>
        <v/>
      </c>
      <c r="Z281">
        <f>IF(OR($A281="",PESQUISA!$C$4=""),0,IF(OR(ISNUMBER(SEARCH(PESQUISA!$C$4,$G281)),ISNUMBER(SEARCH(PESQUISA!$C$4,$K281)),ISNUMBER(SEARCH(PESQUISA!$C$4,$L281))),1,0))</f>
        <v/>
      </c>
      <c r="AA281">
        <f>IF($Z281=1,SUM($Z$3:$Z281),"")</f>
        <v/>
      </c>
      <c r="AB281">
        <f>IF(OR($A281="",PESQUISA!$C$50=""),0,IF(ISNUMBER(SEARCH(PESQUISA!$C$50,$I281)),1,0))</f>
        <v/>
      </c>
      <c r="AC281">
        <f>IF($AB281=1,SUM($AB$3:$AB281),"")</f>
        <v/>
      </c>
    </row>
    <row r="282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>
        <f>IFERROR(INDEX(CONFIGURACOES!$G$37:$G$300,MATCH($I282,CONFIGURACOES!$B$37:$B$300,0)),"")</f>
        <v/>
      </c>
      <c r="K282" s="20">
        <f>IFERROR(INDEX(CONFIGURACOES!$H$37:$H$300,MATCH($I282,CONFIGURACOES!$B$37:$B$300,0)),"")</f>
        <v/>
      </c>
      <c r="L282" s="20" t="n"/>
      <c r="M282" s="20">
        <f>IFERROR(INDEX(CONFIGURACOES!$I$37:$I$300,MATCH($I282,CONFIGURACOES!$B$37:$B$300,0)),"")</f>
        <v/>
      </c>
      <c r="N282" s="21" t="n"/>
      <c r="O282" s="21" t="n"/>
      <c r="P282" s="21" t="n"/>
      <c r="Q282" s="21" t="n"/>
      <c r="R282" s="21">
        <f>IF($N282="","",$N282*IF($Q282="",1,$Q282)*IF($P282="",1,$P282)*IF($O282="",1,$O282))</f>
        <v/>
      </c>
      <c r="S282" s="22">
        <f>IFERROR(INDEX(CONFIGURACOES!$J$37:$J$300,MATCH($I282,CONFIGURACOES!$B$37:$B$300,0)),"")</f>
        <v/>
      </c>
      <c r="T282" s="22">
        <f>IF(OR($R282="",$S282=""),"",$R282*$S282)</f>
        <v/>
      </c>
      <c r="U282" s="20" t="n"/>
      <c r="V282" s="20" t="n"/>
      <c r="W282" s="20" t="n"/>
      <c r="X282">
        <f>IF($A282="","",$A282&amp;"|"&amp;$C282&amp;"|"&amp;$I282)</f>
        <v/>
      </c>
      <c r="Y282">
        <f>IF(AND($A282=RELATORIO_MEDICAO!$C$5,$C282=RELATORIO_MEDICAO!$F$5,$A282&lt;&gt;""),COUNTIFS($A$3:$A282,RELATORIO_MEDICAO!$C$5,$C$3:$C282,RELATORIO_MEDICAO!$F$5),"")</f>
        <v/>
      </c>
      <c r="Z282">
        <f>IF(OR($A282="",PESQUISA!$C$4=""),0,IF(OR(ISNUMBER(SEARCH(PESQUISA!$C$4,$G282)),ISNUMBER(SEARCH(PESQUISA!$C$4,$K282)),ISNUMBER(SEARCH(PESQUISA!$C$4,$L282))),1,0))</f>
        <v/>
      </c>
      <c r="AA282">
        <f>IF($Z282=1,SUM($Z$3:$Z282),"")</f>
        <v/>
      </c>
      <c r="AB282">
        <f>IF(OR($A282="",PESQUISA!$C$50=""),0,IF(ISNUMBER(SEARCH(PESQUISA!$C$50,$I282)),1,0))</f>
        <v/>
      </c>
      <c r="AC282">
        <f>IF($AB282=1,SUM($AB$3:$AB282),"")</f>
        <v/>
      </c>
    </row>
    <row r="283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>
        <f>IFERROR(INDEX(CONFIGURACOES!$G$37:$G$300,MATCH($I283,CONFIGURACOES!$B$37:$B$300,0)),"")</f>
        <v/>
      </c>
      <c r="K283" s="20">
        <f>IFERROR(INDEX(CONFIGURACOES!$H$37:$H$300,MATCH($I283,CONFIGURACOES!$B$37:$B$300,0)),"")</f>
        <v/>
      </c>
      <c r="L283" s="20" t="n"/>
      <c r="M283" s="20">
        <f>IFERROR(INDEX(CONFIGURACOES!$I$37:$I$300,MATCH($I283,CONFIGURACOES!$B$37:$B$300,0)),"")</f>
        <v/>
      </c>
      <c r="N283" s="21" t="n"/>
      <c r="O283" s="21" t="n"/>
      <c r="P283" s="21" t="n"/>
      <c r="Q283" s="21" t="n"/>
      <c r="R283" s="21">
        <f>IF($N283="","",$N283*IF($Q283="",1,$Q283)*IF($P283="",1,$P283)*IF($O283="",1,$O283))</f>
        <v/>
      </c>
      <c r="S283" s="22">
        <f>IFERROR(INDEX(CONFIGURACOES!$J$37:$J$300,MATCH($I283,CONFIGURACOES!$B$37:$B$300,0)),"")</f>
        <v/>
      </c>
      <c r="T283" s="22">
        <f>IF(OR($R283="",$S283=""),"",$R283*$S283)</f>
        <v/>
      </c>
      <c r="U283" s="20" t="n"/>
      <c r="V283" s="20" t="n"/>
      <c r="W283" s="20" t="n"/>
      <c r="X283">
        <f>IF($A283="","",$A283&amp;"|"&amp;$C283&amp;"|"&amp;$I283)</f>
        <v/>
      </c>
      <c r="Y283">
        <f>IF(AND($A283=RELATORIO_MEDICAO!$C$5,$C283=RELATORIO_MEDICAO!$F$5,$A283&lt;&gt;""),COUNTIFS($A$3:$A283,RELATORIO_MEDICAO!$C$5,$C$3:$C283,RELATORIO_MEDICAO!$F$5),"")</f>
        <v/>
      </c>
      <c r="Z283">
        <f>IF(OR($A283="",PESQUISA!$C$4=""),0,IF(OR(ISNUMBER(SEARCH(PESQUISA!$C$4,$G283)),ISNUMBER(SEARCH(PESQUISA!$C$4,$K283)),ISNUMBER(SEARCH(PESQUISA!$C$4,$L283))),1,0))</f>
        <v/>
      </c>
      <c r="AA283">
        <f>IF($Z283=1,SUM($Z$3:$Z283),"")</f>
        <v/>
      </c>
      <c r="AB283">
        <f>IF(OR($A283="",PESQUISA!$C$50=""),0,IF(ISNUMBER(SEARCH(PESQUISA!$C$50,$I283)),1,0))</f>
        <v/>
      </c>
      <c r="AC283">
        <f>IF($AB283=1,SUM($AB$3:$AB283),"")</f>
        <v/>
      </c>
    </row>
    <row r="284">
      <c r="A284" s="20" t="n"/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>
        <f>IFERROR(INDEX(CONFIGURACOES!$G$37:$G$300,MATCH($I284,CONFIGURACOES!$B$37:$B$300,0)),"")</f>
        <v/>
      </c>
      <c r="K284" s="20">
        <f>IFERROR(INDEX(CONFIGURACOES!$H$37:$H$300,MATCH($I284,CONFIGURACOES!$B$37:$B$300,0)),"")</f>
        <v/>
      </c>
      <c r="L284" s="20" t="n"/>
      <c r="M284" s="20">
        <f>IFERROR(INDEX(CONFIGURACOES!$I$37:$I$300,MATCH($I284,CONFIGURACOES!$B$37:$B$300,0)),"")</f>
        <v/>
      </c>
      <c r="N284" s="21" t="n"/>
      <c r="O284" s="21" t="n"/>
      <c r="P284" s="21" t="n"/>
      <c r="Q284" s="21" t="n"/>
      <c r="R284" s="21">
        <f>IF($N284="","",$N284*IF($Q284="",1,$Q284)*IF($P284="",1,$P284)*IF($O284="",1,$O284))</f>
        <v/>
      </c>
      <c r="S284" s="22">
        <f>IFERROR(INDEX(CONFIGURACOES!$J$37:$J$300,MATCH($I284,CONFIGURACOES!$B$37:$B$300,0)),"")</f>
        <v/>
      </c>
      <c r="T284" s="22">
        <f>IF(OR($R284="",$S284=""),"",$R284*$S284)</f>
        <v/>
      </c>
      <c r="U284" s="20" t="n"/>
      <c r="V284" s="20" t="n"/>
      <c r="W284" s="20" t="n"/>
      <c r="X284">
        <f>IF($A284="","",$A284&amp;"|"&amp;$C284&amp;"|"&amp;$I284)</f>
        <v/>
      </c>
      <c r="Y284">
        <f>IF(AND($A284=RELATORIO_MEDICAO!$C$5,$C284=RELATORIO_MEDICAO!$F$5,$A284&lt;&gt;""),COUNTIFS($A$3:$A284,RELATORIO_MEDICAO!$C$5,$C$3:$C284,RELATORIO_MEDICAO!$F$5),"")</f>
        <v/>
      </c>
      <c r="Z284">
        <f>IF(OR($A284="",PESQUISA!$C$4=""),0,IF(OR(ISNUMBER(SEARCH(PESQUISA!$C$4,$G284)),ISNUMBER(SEARCH(PESQUISA!$C$4,$K284)),ISNUMBER(SEARCH(PESQUISA!$C$4,$L284))),1,0))</f>
        <v/>
      </c>
      <c r="AA284">
        <f>IF($Z284=1,SUM($Z$3:$Z284),"")</f>
        <v/>
      </c>
      <c r="AB284">
        <f>IF(OR($A284="",PESQUISA!$C$50=""),0,IF(ISNUMBER(SEARCH(PESQUISA!$C$50,$I284)),1,0))</f>
        <v/>
      </c>
      <c r="AC284">
        <f>IF($AB284=1,SUM($AB$3:$AB284),"")</f>
        <v/>
      </c>
    </row>
    <row r="285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>
        <f>IFERROR(INDEX(CONFIGURACOES!$G$37:$G$300,MATCH($I285,CONFIGURACOES!$B$37:$B$300,0)),"")</f>
        <v/>
      </c>
      <c r="K285" s="20">
        <f>IFERROR(INDEX(CONFIGURACOES!$H$37:$H$300,MATCH($I285,CONFIGURACOES!$B$37:$B$300,0)),"")</f>
        <v/>
      </c>
      <c r="L285" s="20" t="n"/>
      <c r="M285" s="20">
        <f>IFERROR(INDEX(CONFIGURACOES!$I$37:$I$300,MATCH($I285,CONFIGURACOES!$B$37:$B$300,0)),"")</f>
        <v/>
      </c>
      <c r="N285" s="21" t="n"/>
      <c r="O285" s="21" t="n"/>
      <c r="P285" s="21" t="n"/>
      <c r="Q285" s="21" t="n"/>
      <c r="R285" s="21">
        <f>IF($N285="","",$N285*IF($Q285="",1,$Q285)*IF($P285="",1,$P285)*IF($O285="",1,$O285))</f>
        <v/>
      </c>
      <c r="S285" s="22">
        <f>IFERROR(INDEX(CONFIGURACOES!$J$37:$J$300,MATCH($I285,CONFIGURACOES!$B$37:$B$300,0)),"")</f>
        <v/>
      </c>
      <c r="T285" s="22">
        <f>IF(OR($R285="",$S285=""),"",$R285*$S285)</f>
        <v/>
      </c>
      <c r="U285" s="20" t="n"/>
      <c r="V285" s="20" t="n"/>
      <c r="W285" s="20" t="n"/>
      <c r="X285">
        <f>IF($A285="","",$A285&amp;"|"&amp;$C285&amp;"|"&amp;$I285)</f>
        <v/>
      </c>
      <c r="Y285">
        <f>IF(AND($A285=RELATORIO_MEDICAO!$C$5,$C285=RELATORIO_MEDICAO!$F$5,$A285&lt;&gt;""),COUNTIFS($A$3:$A285,RELATORIO_MEDICAO!$C$5,$C$3:$C285,RELATORIO_MEDICAO!$F$5),"")</f>
        <v/>
      </c>
      <c r="Z285">
        <f>IF(OR($A285="",PESQUISA!$C$4=""),0,IF(OR(ISNUMBER(SEARCH(PESQUISA!$C$4,$G285)),ISNUMBER(SEARCH(PESQUISA!$C$4,$K285)),ISNUMBER(SEARCH(PESQUISA!$C$4,$L285))),1,0))</f>
        <v/>
      </c>
      <c r="AA285">
        <f>IF($Z285=1,SUM($Z$3:$Z285),"")</f>
        <v/>
      </c>
      <c r="AB285">
        <f>IF(OR($A285="",PESQUISA!$C$50=""),0,IF(ISNUMBER(SEARCH(PESQUISA!$C$50,$I285)),1,0))</f>
        <v/>
      </c>
      <c r="AC285">
        <f>IF($AB285=1,SUM($AB$3:$AB285),"")</f>
        <v/>
      </c>
    </row>
    <row r="286">
      <c r="A286" s="20" t="n"/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>
        <f>IFERROR(INDEX(CONFIGURACOES!$G$37:$G$300,MATCH($I286,CONFIGURACOES!$B$37:$B$300,0)),"")</f>
        <v/>
      </c>
      <c r="K286" s="20">
        <f>IFERROR(INDEX(CONFIGURACOES!$H$37:$H$300,MATCH($I286,CONFIGURACOES!$B$37:$B$300,0)),"")</f>
        <v/>
      </c>
      <c r="L286" s="20" t="n"/>
      <c r="M286" s="20">
        <f>IFERROR(INDEX(CONFIGURACOES!$I$37:$I$300,MATCH($I286,CONFIGURACOES!$B$37:$B$300,0)),"")</f>
        <v/>
      </c>
      <c r="N286" s="21" t="n"/>
      <c r="O286" s="21" t="n"/>
      <c r="P286" s="21" t="n"/>
      <c r="Q286" s="21" t="n"/>
      <c r="R286" s="21">
        <f>IF($N286="","",$N286*IF($Q286="",1,$Q286)*IF($P286="",1,$P286)*IF($O286="",1,$O286))</f>
        <v/>
      </c>
      <c r="S286" s="22">
        <f>IFERROR(INDEX(CONFIGURACOES!$J$37:$J$300,MATCH($I286,CONFIGURACOES!$B$37:$B$300,0)),"")</f>
        <v/>
      </c>
      <c r="T286" s="22">
        <f>IF(OR($R286="",$S286=""),"",$R286*$S286)</f>
        <v/>
      </c>
      <c r="U286" s="20" t="n"/>
      <c r="V286" s="20" t="n"/>
      <c r="W286" s="20" t="n"/>
      <c r="X286">
        <f>IF($A286="","",$A286&amp;"|"&amp;$C286&amp;"|"&amp;$I286)</f>
        <v/>
      </c>
      <c r="Y286">
        <f>IF(AND($A286=RELATORIO_MEDICAO!$C$5,$C286=RELATORIO_MEDICAO!$F$5,$A286&lt;&gt;""),COUNTIFS($A$3:$A286,RELATORIO_MEDICAO!$C$5,$C$3:$C286,RELATORIO_MEDICAO!$F$5),"")</f>
        <v/>
      </c>
      <c r="Z286">
        <f>IF(OR($A286="",PESQUISA!$C$4=""),0,IF(OR(ISNUMBER(SEARCH(PESQUISA!$C$4,$G286)),ISNUMBER(SEARCH(PESQUISA!$C$4,$K286)),ISNUMBER(SEARCH(PESQUISA!$C$4,$L286))),1,0))</f>
        <v/>
      </c>
      <c r="AA286">
        <f>IF($Z286=1,SUM($Z$3:$Z286),"")</f>
        <v/>
      </c>
      <c r="AB286">
        <f>IF(OR($A286="",PESQUISA!$C$50=""),0,IF(ISNUMBER(SEARCH(PESQUISA!$C$50,$I286)),1,0))</f>
        <v/>
      </c>
      <c r="AC286">
        <f>IF($AB286=1,SUM($AB$3:$AB286),"")</f>
        <v/>
      </c>
    </row>
    <row r="287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>
        <f>IFERROR(INDEX(CONFIGURACOES!$G$37:$G$300,MATCH($I287,CONFIGURACOES!$B$37:$B$300,0)),"")</f>
        <v/>
      </c>
      <c r="K287" s="20">
        <f>IFERROR(INDEX(CONFIGURACOES!$H$37:$H$300,MATCH($I287,CONFIGURACOES!$B$37:$B$300,0)),"")</f>
        <v/>
      </c>
      <c r="L287" s="20" t="n"/>
      <c r="M287" s="20">
        <f>IFERROR(INDEX(CONFIGURACOES!$I$37:$I$300,MATCH($I287,CONFIGURACOES!$B$37:$B$300,0)),"")</f>
        <v/>
      </c>
      <c r="N287" s="21" t="n"/>
      <c r="O287" s="21" t="n"/>
      <c r="P287" s="21" t="n"/>
      <c r="Q287" s="21" t="n"/>
      <c r="R287" s="21">
        <f>IF($N287="","",$N287*IF($Q287="",1,$Q287)*IF($P287="",1,$P287)*IF($O287="",1,$O287))</f>
        <v/>
      </c>
      <c r="S287" s="22">
        <f>IFERROR(INDEX(CONFIGURACOES!$J$37:$J$300,MATCH($I287,CONFIGURACOES!$B$37:$B$300,0)),"")</f>
        <v/>
      </c>
      <c r="T287" s="22">
        <f>IF(OR($R287="",$S287=""),"",$R287*$S287)</f>
        <v/>
      </c>
      <c r="U287" s="20" t="n"/>
      <c r="V287" s="20" t="n"/>
      <c r="W287" s="20" t="n"/>
      <c r="X287">
        <f>IF($A287="","",$A287&amp;"|"&amp;$C287&amp;"|"&amp;$I287)</f>
        <v/>
      </c>
      <c r="Y287">
        <f>IF(AND($A287=RELATORIO_MEDICAO!$C$5,$C287=RELATORIO_MEDICAO!$F$5,$A287&lt;&gt;""),COUNTIFS($A$3:$A287,RELATORIO_MEDICAO!$C$5,$C$3:$C287,RELATORIO_MEDICAO!$F$5),"")</f>
        <v/>
      </c>
      <c r="Z287">
        <f>IF(OR($A287="",PESQUISA!$C$4=""),0,IF(OR(ISNUMBER(SEARCH(PESQUISA!$C$4,$G287)),ISNUMBER(SEARCH(PESQUISA!$C$4,$K287)),ISNUMBER(SEARCH(PESQUISA!$C$4,$L287))),1,0))</f>
        <v/>
      </c>
      <c r="AA287">
        <f>IF($Z287=1,SUM($Z$3:$Z287),"")</f>
        <v/>
      </c>
      <c r="AB287">
        <f>IF(OR($A287="",PESQUISA!$C$50=""),0,IF(ISNUMBER(SEARCH(PESQUISA!$C$50,$I287)),1,0))</f>
        <v/>
      </c>
      <c r="AC287">
        <f>IF($AB287=1,SUM($AB$3:$AB287),"")</f>
        <v/>
      </c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>
        <f>IFERROR(INDEX(CONFIGURACOES!$G$37:$G$300,MATCH($I288,CONFIGURACOES!$B$37:$B$300,0)),"")</f>
        <v/>
      </c>
      <c r="K288" s="20">
        <f>IFERROR(INDEX(CONFIGURACOES!$H$37:$H$300,MATCH($I288,CONFIGURACOES!$B$37:$B$300,0)),"")</f>
        <v/>
      </c>
      <c r="L288" s="20" t="n"/>
      <c r="M288" s="20">
        <f>IFERROR(INDEX(CONFIGURACOES!$I$37:$I$300,MATCH($I288,CONFIGURACOES!$B$37:$B$300,0)),"")</f>
        <v/>
      </c>
      <c r="N288" s="21" t="n"/>
      <c r="O288" s="21" t="n"/>
      <c r="P288" s="21" t="n"/>
      <c r="Q288" s="21" t="n"/>
      <c r="R288" s="21">
        <f>IF($N288="","",$N288*IF($Q288="",1,$Q288)*IF($P288="",1,$P288)*IF($O288="",1,$O288))</f>
        <v/>
      </c>
      <c r="S288" s="22">
        <f>IFERROR(INDEX(CONFIGURACOES!$J$37:$J$300,MATCH($I288,CONFIGURACOES!$B$37:$B$300,0)),"")</f>
        <v/>
      </c>
      <c r="T288" s="22">
        <f>IF(OR($R288="",$S288=""),"",$R288*$S288)</f>
        <v/>
      </c>
      <c r="U288" s="20" t="n"/>
      <c r="V288" s="20" t="n"/>
      <c r="W288" s="20" t="n"/>
      <c r="X288">
        <f>IF($A288="","",$A288&amp;"|"&amp;$C288&amp;"|"&amp;$I288)</f>
        <v/>
      </c>
      <c r="Y288">
        <f>IF(AND($A288=RELATORIO_MEDICAO!$C$5,$C288=RELATORIO_MEDICAO!$F$5,$A288&lt;&gt;""),COUNTIFS($A$3:$A288,RELATORIO_MEDICAO!$C$5,$C$3:$C288,RELATORIO_MEDICAO!$F$5),"")</f>
        <v/>
      </c>
      <c r="Z288">
        <f>IF(OR($A288="",PESQUISA!$C$4=""),0,IF(OR(ISNUMBER(SEARCH(PESQUISA!$C$4,$G288)),ISNUMBER(SEARCH(PESQUISA!$C$4,$K288)),ISNUMBER(SEARCH(PESQUISA!$C$4,$L288))),1,0))</f>
        <v/>
      </c>
      <c r="AA288">
        <f>IF($Z288=1,SUM($Z$3:$Z288),"")</f>
        <v/>
      </c>
      <c r="AB288">
        <f>IF(OR($A288="",PESQUISA!$C$50=""),0,IF(ISNUMBER(SEARCH(PESQUISA!$C$50,$I288)),1,0))</f>
        <v/>
      </c>
      <c r="AC288">
        <f>IF($AB288=1,SUM($AB$3:$AB288),"")</f>
        <v/>
      </c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>
        <f>IFERROR(INDEX(CONFIGURACOES!$G$37:$G$300,MATCH($I289,CONFIGURACOES!$B$37:$B$300,0)),"")</f>
        <v/>
      </c>
      <c r="K289" s="20">
        <f>IFERROR(INDEX(CONFIGURACOES!$H$37:$H$300,MATCH($I289,CONFIGURACOES!$B$37:$B$300,0)),"")</f>
        <v/>
      </c>
      <c r="L289" s="20" t="n"/>
      <c r="M289" s="20">
        <f>IFERROR(INDEX(CONFIGURACOES!$I$37:$I$300,MATCH($I289,CONFIGURACOES!$B$37:$B$300,0)),"")</f>
        <v/>
      </c>
      <c r="N289" s="21" t="n"/>
      <c r="O289" s="21" t="n"/>
      <c r="P289" s="21" t="n"/>
      <c r="Q289" s="21" t="n"/>
      <c r="R289" s="21">
        <f>IF($N289="","",$N289*IF($Q289="",1,$Q289)*IF($P289="",1,$P289)*IF($O289="",1,$O289))</f>
        <v/>
      </c>
      <c r="S289" s="22">
        <f>IFERROR(INDEX(CONFIGURACOES!$J$37:$J$300,MATCH($I289,CONFIGURACOES!$B$37:$B$300,0)),"")</f>
        <v/>
      </c>
      <c r="T289" s="22">
        <f>IF(OR($R289="",$S289=""),"",$R289*$S289)</f>
        <v/>
      </c>
      <c r="U289" s="20" t="n"/>
      <c r="V289" s="20" t="n"/>
      <c r="W289" s="20" t="n"/>
      <c r="X289">
        <f>IF($A289="","",$A289&amp;"|"&amp;$C289&amp;"|"&amp;$I289)</f>
        <v/>
      </c>
      <c r="Y289">
        <f>IF(AND($A289=RELATORIO_MEDICAO!$C$5,$C289=RELATORIO_MEDICAO!$F$5,$A289&lt;&gt;""),COUNTIFS($A$3:$A289,RELATORIO_MEDICAO!$C$5,$C$3:$C289,RELATORIO_MEDICAO!$F$5),"")</f>
        <v/>
      </c>
      <c r="Z289">
        <f>IF(OR($A289="",PESQUISA!$C$4=""),0,IF(OR(ISNUMBER(SEARCH(PESQUISA!$C$4,$G289)),ISNUMBER(SEARCH(PESQUISA!$C$4,$K289)),ISNUMBER(SEARCH(PESQUISA!$C$4,$L289))),1,0))</f>
        <v/>
      </c>
      <c r="AA289">
        <f>IF($Z289=1,SUM($Z$3:$Z289),"")</f>
        <v/>
      </c>
      <c r="AB289">
        <f>IF(OR($A289="",PESQUISA!$C$50=""),0,IF(ISNUMBER(SEARCH(PESQUISA!$C$50,$I289)),1,0))</f>
        <v/>
      </c>
      <c r="AC289">
        <f>IF($AB289=1,SUM($AB$3:$AB289),"")</f>
        <v/>
      </c>
    </row>
    <row r="290">
      <c r="A290" s="20" t="n"/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>
        <f>IFERROR(INDEX(CONFIGURACOES!$G$37:$G$300,MATCH($I290,CONFIGURACOES!$B$37:$B$300,0)),"")</f>
        <v/>
      </c>
      <c r="K290" s="20">
        <f>IFERROR(INDEX(CONFIGURACOES!$H$37:$H$300,MATCH($I290,CONFIGURACOES!$B$37:$B$300,0)),"")</f>
        <v/>
      </c>
      <c r="L290" s="20" t="n"/>
      <c r="M290" s="20">
        <f>IFERROR(INDEX(CONFIGURACOES!$I$37:$I$300,MATCH($I290,CONFIGURACOES!$B$37:$B$300,0)),"")</f>
        <v/>
      </c>
      <c r="N290" s="21" t="n"/>
      <c r="O290" s="21" t="n"/>
      <c r="P290" s="21" t="n"/>
      <c r="Q290" s="21" t="n"/>
      <c r="R290" s="21">
        <f>IF($N290="","",$N290*IF($Q290="",1,$Q290)*IF($P290="",1,$P290)*IF($O290="",1,$O290))</f>
        <v/>
      </c>
      <c r="S290" s="22">
        <f>IFERROR(INDEX(CONFIGURACOES!$J$37:$J$300,MATCH($I290,CONFIGURACOES!$B$37:$B$300,0)),"")</f>
        <v/>
      </c>
      <c r="T290" s="22">
        <f>IF(OR($R290="",$S290=""),"",$R290*$S290)</f>
        <v/>
      </c>
      <c r="U290" s="20" t="n"/>
      <c r="V290" s="20" t="n"/>
      <c r="W290" s="20" t="n"/>
      <c r="X290">
        <f>IF($A290="","",$A290&amp;"|"&amp;$C290&amp;"|"&amp;$I290)</f>
        <v/>
      </c>
      <c r="Y290">
        <f>IF(AND($A290=RELATORIO_MEDICAO!$C$5,$C290=RELATORIO_MEDICAO!$F$5,$A290&lt;&gt;""),COUNTIFS($A$3:$A290,RELATORIO_MEDICAO!$C$5,$C$3:$C290,RELATORIO_MEDICAO!$F$5),"")</f>
        <v/>
      </c>
      <c r="Z290">
        <f>IF(OR($A290="",PESQUISA!$C$4=""),0,IF(OR(ISNUMBER(SEARCH(PESQUISA!$C$4,$G290)),ISNUMBER(SEARCH(PESQUISA!$C$4,$K290)),ISNUMBER(SEARCH(PESQUISA!$C$4,$L290))),1,0))</f>
        <v/>
      </c>
      <c r="AA290">
        <f>IF($Z290=1,SUM($Z$3:$Z290),"")</f>
        <v/>
      </c>
      <c r="AB290">
        <f>IF(OR($A290="",PESQUISA!$C$50=""),0,IF(ISNUMBER(SEARCH(PESQUISA!$C$50,$I290)),1,0))</f>
        <v/>
      </c>
      <c r="AC290">
        <f>IF($AB290=1,SUM($AB$3:$AB290),"")</f>
        <v/>
      </c>
    </row>
    <row r="291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>
        <f>IFERROR(INDEX(CONFIGURACOES!$G$37:$G$300,MATCH($I291,CONFIGURACOES!$B$37:$B$300,0)),"")</f>
        <v/>
      </c>
      <c r="K291" s="20">
        <f>IFERROR(INDEX(CONFIGURACOES!$H$37:$H$300,MATCH($I291,CONFIGURACOES!$B$37:$B$300,0)),"")</f>
        <v/>
      </c>
      <c r="L291" s="20" t="n"/>
      <c r="M291" s="20">
        <f>IFERROR(INDEX(CONFIGURACOES!$I$37:$I$300,MATCH($I291,CONFIGURACOES!$B$37:$B$300,0)),"")</f>
        <v/>
      </c>
      <c r="N291" s="21" t="n"/>
      <c r="O291" s="21" t="n"/>
      <c r="P291" s="21" t="n"/>
      <c r="Q291" s="21" t="n"/>
      <c r="R291" s="21">
        <f>IF($N291="","",$N291*IF($Q291="",1,$Q291)*IF($P291="",1,$P291)*IF($O291="",1,$O291))</f>
        <v/>
      </c>
      <c r="S291" s="22">
        <f>IFERROR(INDEX(CONFIGURACOES!$J$37:$J$300,MATCH($I291,CONFIGURACOES!$B$37:$B$300,0)),"")</f>
        <v/>
      </c>
      <c r="T291" s="22">
        <f>IF(OR($R291="",$S291=""),"",$R291*$S291)</f>
        <v/>
      </c>
      <c r="U291" s="20" t="n"/>
      <c r="V291" s="20" t="n"/>
      <c r="W291" s="20" t="n"/>
      <c r="X291">
        <f>IF($A291="","",$A291&amp;"|"&amp;$C291&amp;"|"&amp;$I291)</f>
        <v/>
      </c>
      <c r="Y291">
        <f>IF(AND($A291=RELATORIO_MEDICAO!$C$5,$C291=RELATORIO_MEDICAO!$F$5,$A291&lt;&gt;""),COUNTIFS($A$3:$A291,RELATORIO_MEDICAO!$C$5,$C$3:$C291,RELATORIO_MEDICAO!$F$5),"")</f>
        <v/>
      </c>
      <c r="Z291">
        <f>IF(OR($A291="",PESQUISA!$C$4=""),0,IF(OR(ISNUMBER(SEARCH(PESQUISA!$C$4,$G291)),ISNUMBER(SEARCH(PESQUISA!$C$4,$K291)),ISNUMBER(SEARCH(PESQUISA!$C$4,$L291))),1,0))</f>
        <v/>
      </c>
      <c r="AA291">
        <f>IF($Z291=1,SUM($Z$3:$Z291),"")</f>
        <v/>
      </c>
      <c r="AB291">
        <f>IF(OR($A291="",PESQUISA!$C$50=""),0,IF(ISNUMBER(SEARCH(PESQUISA!$C$50,$I291)),1,0))</f>
        <v/>
      </c>
      <c r="AC291">
        <f>IF($AB291=1,SUM($AB$3:$AB291),"")</f>
        <v/>
      </c>
    </row>
    <row r="292">
      <c r="A292" s="20" t="n"/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>
        <f>IFERROR(INDEX(CONFIGURACOES!$G$37:$G$300,MATCH($I292,CONFIGURACOES!$B$37:$B$300,0)),"")</f>
        <v/>
      </c>
      <c r="K292" s="20">
        <f>IFERROR(INDEX(CONFIGURACOES!$H$37:$H$300,MATCH($I292,CONFIGURACOES!$B$37:$B$300,0)),"")</f>
        <v/>
      </c>
      <c r="L292" s="20" t="n"/>
      <c r="M292" s="20">
        <f>IFERROR(INDEX(CONFIGURACOES!$I$37:$I$300,MATCH($I292,CONFIGURACOES!$B$37:$B$300,0)),"")</f>
        <v/>
      </c>
      <c r="N292" s="21" t="n"/>
      <c r="O292" s="21" t="n"/>
      <c r="P292" s="21" t="n"/>
      <c r="Q292" s="21" t="n"/>
      <c r="R292" s="21">
        <f>IF($N292="","",$N292*IF($Q292="",1,$Q292)*IF($P292="",1,$P292)*IF($O292="",1,$O292))</f>
        <v/>
      </c>
      <c r="S292" s="22">
        <f>IFERROR(INDEX(CONFIGURACOES!$J$37:$J$300,MATCH($I292,CONFIGURACOES!$B$37:$B$300,0)),"")</f>
        <v/>
      </c>
      <c r="T292" s="22">
        <f>IF(OR($R292="",$S292=""),"",$R292*$S292)</f>
        <v/>
      </c>
      <c r="U292" s="20" t="n"/>
      <c r="V292" s="20" t="n"/>
      <c r="W292" s="20" t="n"/>
      <c r="X292">
        <f>IF($A292="","",$A292&amp;"|"&amp;$C292&amp;"|"&amp;$I292)</f>
        <v/>
      </c>
      <c r="Y292">
        <f>IF(AND($A292=RELATORIO_MEDICAO!$C$5,$C292=RELATORIO_MEDICAO!$F$5,$A292&lt;&gt;""),COUNTIFS($A$3:$A292,RELATORIO_MEDICAO!$C$5,$C$3:$C292,RELATORIO_MEDICAO!$F$5),"")</f>
        <v/>
      </c>
      <c r="Z292">
        <f>IF(OR($A292="",PESQUISA!$C$4=""),0,IF(OR(ISNUMBER(SEARCH(PESQUISA!$C$4,$G292)),ISNUMBER(SEARCH(PESQUISA!$C$4,$K292)),ISNUMBER(SEARCH(PESQUISA!$C$4,$L292))),1,0))</f>
        <v/>
      </c>
      <c r="AA292">
        <f>IF($Z292=1,SUM($Z$3:$Z292),"")</f>
        <v/>
      </c>
      <c r="AB292">
        <f>IF(OR($A292="",PESQUISA!$C$50=""),0,IF(ISNUMBER(SEARCH(PESQUISA!$C$50,$I292)),1,0))</f>
        <v/>
      </c>
      <c r="AC292">
        <f>IF($AB292=1,SUM($AB$3:$AB292),"")</f>
        <v/>
      </c>
    </row>
    <row r="293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>
        <f>IFERROR(INDEX(CONFIGURACOES!$G$37:$G$300,MATCH($I293,CONFIGURACOES!$B$37:$B$300,0)),"")</f>
        <v/>
      </c>
      <c r="K293" s="20">
        <f>IFERROR(INDEX(CONFIGURACOES!$H$37:$H$300,MATCH($I293,CONFIGURACOES!$B$37:$B$300,0)),"")</f>
        <v/>
      </c>
      <c r="L293" s="20" t="n"/>
      <c r="M293" s="20">
        <f>IFERROR(INDEX(CONFIGURACOES!$I$37:$I$300,MATCH($I293,CONFIGURACOES!$B$37:$B$300,0)),"")</f>
        <v/>
      </c>
      <c r="N293" s="21" t="n"/>
      <c r="O293" s="21" t="n"/>
      <c r="P293" s="21" t="n"/>
      <c r="Q293" s="21" t="n"/>
      <c r="R293" s="21">
        <f>IF($N293="","",$N293*IF($Q293="",1,$Q293)*IF($P293="",1,$P293)*IF($O293="",1,$O293))</f>
        <v/>
      </c>
      <c r="S293" s="22">
        <f>IFERROR(INDEX(CONFIGURACOES!$J$37:$J$300,MATCH($I293,CONFIGURACOES!$B$37:$B$300,0)),"")</f>
        <v/>
      </c>
      <c r="T293" s="22">
        <f>IF(OR($R293="",$S293=""),"",$R293*$S293)</f>
        <v/>
      </c>
      <c r="U293" s="20" t="n"/>
      <c r="V293" s="20" t="n"/>
      <c r="W293" s="20" t="n"/>
      <c r="X293">
        <f>IF($A293="","",$A293&amp;"|"&amp;$C293&amp;"|"&amp;$I293)</f>
        <v/>
      </c>
      <c r="Y293">
        <f>IF(AND($A293=RELATORIO_MEDICAO!$C$5,$C293=RELATORIO_MEDICAO!$F$5,$A293&lt;&gt;""),COUNTIFS($A$3:$A293,RELATORIO_MEDICAO!$C$5,$C$3:$C293,RELATORIO_MEDICAO!$F$5),"")</f>
        <v/>
      </c>
      <c r="Z293">
        <f>IF(OR($A293="",PESQUISA!$C$4=""),0,IF(OR(ISNUMBER(SEARCH(PESQUISA!$C$4,$G293)),ISNUMBER(SEARCH(PESQUISA!$C$4,$K293)),ISNUMBER(SEARCH(PESQUISA!$C$4,$L293))),1,0))</f>
        <v/>
      </c>
      <c r="AA293">
        <f>IF($Z293=1,SUM($Z$3:$Z293),"")</f>
        <v/>
      </c>
      <c r="AB293">
        <f>IF(OR($A293="",PESQUISA!$C$50=""),0,IF(ISNUMBER(SEARCH(PESQUISA!$C$50,$I293)),1,0))</f>
        <v/>
      </c>
      <c r="AC293">
        <f>IF($AB293=1,SUM($AB$3:$AB293),"")</f>
        <v/>
      </c>
    </row>
    <row r="294">
      <c r="A294" s="20" t="n"/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>
        <f>IFERROR(INDEX(CONFIGURACOES!$G$37:$G$300,MATCH($I294,CONFIGURACOES!$B$37:$B$300,0)),"")</f>
        <v/>
      </c>
      <c r="K294" s="20">
        <f>IFERROR(INDEX(CONFIGURACOES!$H$37:$H$300,MATCH($I294,CONFIGURACOES!$B$37:$B$300,0)),"")</f>
        <v/>
      </c>
      <c r="L294" s="20" t="n"/>
      <c r="M294" s="20">
        <f>IFERROR(INDEX(CONFIGURACOES!$I$37:$I$300,MATCH($I294,CONFIGURACOES!$B$37:$B$300,0)),"")</f>
        <v/>
      </c>
      <c r="N294" s="21" t="n"/>
      <c r="O294" s="21" t="n"/>
      <c r="P294" s="21" t="n"/>
      <c r="Q294" s="21" t="n"/>
      <c r="R294" s="21">
        <f>IF($N294="","",$N294*IF($Q294="",1,$Q294)*IF($P294="",1,$P294)*IF($O294="",1,$O294))</f>
        <v/>
      </c>
      <c r="S294" s="22">
        <f>IFERROR(INDEX(CONFIGURACOES!$J$37:$J$300,MATCH($I294,CONFIGURACOES!$B$37:$B$300,0)),"")</f>
        <v/>
      </c>
      <c r="T294" s="22">
        <f>IF(OR($R294="",$S294=""),"",$R294*$S294)</f>
        <v/>
      </c>
      <c r="U294" s="20" t="n"/>
      <c r="V294" s="20" t="n"/>
      <c r="W294" s="20" t="n"/>
      <c r="X294">
        <f>IF($A294="","",$A294&amp;"|"&amp;$C294&amp;"|"&amp;$I294)</f>
        <v/>
      </c>
      <c r="Y294">
        <f>IF(AND($A294=RELATORIO_MEDICAO!$C$5,$C294=RELATORIO_MEDICAO!$F$5,$A294&lt;&gt;""),COUNTIFS($A$3:$A294,RELATORIO_MEDICAO!$C$5,$C$3:$C294,RELATORIO_MEDICAO!$F$5),"")</f>
        <v/>
      </c>
      <c r="Z294">
        <f>IF(OR($A294="",PESQUISA!$C$4=""),0,IF(OR(ISNUMBER(SEARCH(PESQUISA!$C$4,$G294)),ISNUMBER(SEARCH(PESQUISA!$C$4,$K294)),ISNUMBER(SEARCH(PESQUISA!$C$4,$L294))),1,0))</f>
        <v/>
      </c>
      <c r="AA294">
        <f>IF($Z294=1,SUM($Z$3:$Z294),"")</f>
        <v/>
      </c>
      <c r="AB294">
        <f>IF(OR($A294="",PESQUISA!$C$50=""),0,IF(ISNUMBER(SEARCH(PESQUISA!$C$50,$I294)),1,0))</f>
        <v/>
      </c>
      <c r="AC294">
        <f>IF($AB294=1,SUM($AB$3:$AB294),"")</f>
        <v/>
      </c>
    </row>
    <row r="295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>
        <f>IFERROR(INDEX(CONFIGURACOES!$G$37:$G$300,MATCH($I295,CONFIGURACOES!$B$37:$B$300,0)),"")</f>
        <v/>
      </c>
      <c r="K295" s="20">
        <f>IFERROR(INDEX(CONFIGURACOES!$H$37:$H$300,MATCH($I295,CONFIGURACOES!$B$37:$B$300,0)),"")</f>
        <v/>
      </c>
      <c r="L295" s="20" t="n"/>
      <c r="M295" s="20">
        <f>IFERROR(INDEX(CONFIGURACOES!$I$37:$I$300,MATCH($I295,CONFIGURACOES!$B$37:$B$300,0)),"")</f>
        <v/>
      </c>
      <c r="N295" s="21" t="n"/>
      <c r="O295" s="21" t="n"/>
      <c r="P295" s="21" t="n"/>
      <c r="Q295" s="21" t="n"/>
      <c r="R295" s="21">
        <f>IF($N295="","",$N295*IF($Q295="",1,$Q295)*IF($P295="",1,$P295)*IF($O295="",1,$O295))</f>
        <v/>
      </c>
      <c r="S295" s="22">
        <f>IFERROR(INDEX(CONFIGURACOES!$J$37:$J$300,MATCH($I295,CONFIGURACOES!$B$37:$B$300,0)),"")</f>
        <v/>
      </c>
      <c r="T295" s="22">
        <f>IF(OR($R295="",$S295=""),"",$R295*$S295)</f>
        <v/>
      </c>
      <c r="U295" s="20" t="n"/>
      <c r="V295" s="20" t="n"/>
      <c r="W295" s="20" t="n"/>
      <c r="X295">
        <f>IF($A295="","",$A295&amp;"|"&amp;$C295&amp;"|"&amp;$I295)</f>
        <v/>
      </c>
      <c r="Y295">
        <f>IF(AND($A295=RELATORIO_MEDICAO!$C$5,$C295=RELATORIO_MEDICAO!$F$5,$A295&lt;&gt;""),COUNTIFS($A$3:$A295,RELATORIO_MEDICAO!$C$5,$C$3:$C295,RELATORIO_MEDICAO!$F$5),"")</f>
        <v/>
      </c>
      <c r="Z295">
        <f>IF(OR($A295="",PESQUISA!$C$4=""),0,IF(OR(ISNUMBER(SEARCH(PESQUISA!$C$4,$G295)),ISNUMBER(SEARCH(PESQUISA!$C$4,$K295)),ISNUMBER(SEARCH(PESQUISA!$C$4,$L295))),1,0))</f>
        <v/>
      </c>
      <c r="AA295">
        <f>IF($Z295=1,SUM($Z$3:$Z295),"")</f>
        <v/>
      </c>
      <c r="AB295">
        <f>IF(OR($A295="",PESQUISA!$C$50=""),0,IF(ISNUMBER(SEARCH(PESQUISA!$C$50,$I295)),1,0))</f>
        <v/>
      </c>
      <c r="AC295">
        <f>IF($AB295=1,SUM($AB$3:$AB295),"")</f>
        <v/>
      </c>
    </row>
    <row r="296">
      <c r="A296" s="20" t="n"/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>
        <f>IFERROR(INDEX(CONFIGURACOES!$G$37:$G$300,MATCH($I296,CONFIGURACOES!$B$37:$B$300,0)),"")</f>
        <v/>
      </c>
      <c r="K296" s="20">
        <f>IFERROR(INDEX(CONFIGURACOES!$H$37:$H$300,MATCH($I296,CONFIGURACOES!$B$37:$B$300,0)),"")</f>
        <v/>
      </c>
      <c r="L296" s="20" t="n"/>
      <c r="M296" s="20">
        <f>IFERROR(INDEX(CONFIGURACOES!$I$37:$I$300,MATCH($I296,CONFIGURACOES!$B$37:$B$300,0)),"")</f>
        <v/>
      </c>
      <c r="N296" s="21" t="n"/>
      <c r="O296" s="21" t="n"/>
      <c r="P296" s="21" t="n"/>
      <c r="Q296" s="21" t="n"/>
      <c r="R296" s="21">
        <f>IF($N296="","",$N296*IF($Q296="",1,$Q296)*IF($P296="",1,$P296)*IF($O296="",1,$O296))</f>
        <v/>
      </c>
      <c r="S296" s="22">
        <f>IFERROR(INDEX(CONFIGURACOES!$J$37:$J$300,MATCH($I296,CONFIGURACOES!$B$37:$B$300,0)),"")</f>
        <v/>
      </c>
      <c r="T296" s="22">
        <f>IF(OR($R296="",$S296=""),"",$R296*$S296)</f>
        <v/>
      </c>
      <c r="U296" s="20" t="n"/>
      <c r="V296" s="20" t="n"/>
      <c r="W296" s="20" t="n"/>
      <c r="X296">
        <f>IF($A296="","",$A296&amp;"|"&amp;$C296&amp;"|"&amp;$I296)</f>
        <v/>
      </c>
      <c r="Y296">
        <f>IF(AND($A296=RELATORIO_MEDICAO!$C$5,$C296=RELATORIO_MEDICAO!$F$5,$A296&lt;&gt;""),COUNTIFS($A$3:$A296,RELATORIO_MEDICAO!$C$5,$C$3:$C296,RELATORIO_MEDICAO!$F$5),"")</f>
        <v/>
      </c>
      <c r="Z296">
        <f>IF(OR($A296="",PESQUISA!$C$4=""),0,IF(OR(ISNUMBER(SEARCH(PESQUISA!$C$4,$G296)),ISNUMBER(SEARCH(PESQUISA!$C$4,$K296)),ISNUMBER(SEARCH(PESQUISA!$C$4,$L296))),1,0))</f>
        <v/>
      </c>
      <c r="AA296">
        <f>IF($Z296=1,SUM($Z$3:$Z296),"")</f>
        <v/>
      </c>
      <c r="AB296">
        <f>IF(OR($A296="",PESQUISA!$C$50=""),0,IF(ISNUMBER(SEARCH(PESQUISA!$C$50,$I296)),1,0))</f>
        <v/>
      </c>
      <c r="AC296">
        <f>IF($AB296=1,SUM($AB$3:$AB296),"")</f>
        <v/>
      </c>
    </row>
    <row r="297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>
        <f>IFERROR(INDEX(CONFIGURACOES!$G$37:$G$300,MATCH($I297,CONFIGURACOES!$B$37:$B$300,0)),"")</f>
        <v/>
      </c>
      <c r="K297" s="20">
        <f>IFERROR(INDEX(CONFIGURACOES!$H$37:$H$300,MATCH($I297,CONFIGURACOES!$B$37:$B$300,0)),"")</f>
        <v/>
      </c>
      <c r="L297" s="20" t="n"/>
      <c r="M297" s="20">
        <f>IFERROR(INDEX(CONFIGURACOES!$I$37:$I$300,MATCH($I297,CONFIGURACOES!$B$37:$B$300,0)),"")</f>
        <v/>
      </c>
      <c r="N297" s="21" t="n"/>
      <c r="O297" s="21" t="n"/>
      <c r="P297" s="21" t="n"/>
      <c r="Q297" s="21" t="n"/>
      <c r="R297" s="21">
        <f>IF($N297="","",$N297*IF($Q297="",1,$Q297)*IF($P297="",1,$P297)*IF($O297="",1,$O297))</f>
        <v/>
      </c>
      <c r="S297" s="22">
        <f>IFERROR(INDEX(CONFIGURACOES!$J$37:$J$300,MATCH($I297,CONFIGURACOES!$B$37:$B$300,0)),"")</f>
        <v/>
      </c>
      <c r="T297" s="22">
        <f>IF(OR($R297="",$S297=""),"",$R297*$S297)</f>
        <v/>
      </c>
      <c r="U297" s="20" t="n"/>
      <c r="V297" s="20" t="n"/>
      <c r="W297" s="20" t="n"/>
      <c r="X297">
        <f>IF($A297="","",$A297&amp;"|"&amp;$C297&amp;"|"&amp;$I297)</f>
        <v/>
      </c>
      <c r="Y297">
        <f>IF(AND($A297=RELATORIO_MEDICAO!$C$5,$C297=RELATORIO_MEDICAO!$F$5,$A297&lt;&gt;""),COUNTIFS($A$3:$A297,RELATORIO_MEDICAO!$C$5,$C$3:$C297,RELATORIO_MEDICAO!$F$5),"")</f>
        <v/>
      </c>
      <c r="Z297">
        <f>IF(OR($A297="",PESQUISA!$C$4=""),0,IF(OR(ISNUMBER(SEARCH(PESQUISA!$C$4,$G297)),ISNUMBER(SEARCH(PESQUISA!$C$4,$K297)),ISNUMBER(SEARCH(PESQUISA!$C$4,$L297))),1,0))</f>
        <v/>
      </c>
      <c r="AA297">
        <f>IF($Z297=1,SUM($Z$3:$Z297),"")</f>
        <v/>
      </c>
      <c r="AB297">
        <f>IF(OR($A297="",PESQUISA!$C$50=""),0,IF(ISNUMBER(SEARCH(PESQUISA!$C$50,$I297)),1,0))</f>
        <v/>
      </c>
      <c r="AC297">
        <f>IF($AB297=1,SUM($AB$3:$AB297),"")</f>
        <v/>
      </c>
    </row>
    <row r="298">
      <c r="A298" s="20" t="n"/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>
        <f>IFERROR(INDEX(CONFIGURACOES!$G$37:$G$300,MATCH($I298,CONFIGURACOES!$B$37:$B$300,0)),"")</f>
        <v/>
      </c>
      <c r="K298" s="20">
        <f>IFERROR(INDEX(CONFIGURACOES!$H$37:$H$300,MATCH($I298,CONFIGURACOES!$B$37:$B$300,0)),"")</f>
        <v/>
      </c>
      <c r="L298" s="20" t="n"/>
      <c r="M298" s="20">
        <f>IFERROR(INDEX(CONFIGURACOES!$I$37:$I$300,MATCH($I298,CONFIGURACOES!$B$37:$B$300,0)),"")</f>
        <v/>
      </c>
      <c r="N298" s="21" t="n"/>
      <c r="O298" s="21" t="n"/>
      <c r="P298" s="21" t="n"/>
      <c r="Q298" s="21" t="n"/>
      <c r="R298" s="21">
        <f>IF($N298="","",$N298*IF($Q298="",1,$Q298)*IF($P298="",1,$P298)*IF($O298="",1,$O298))</f>
        <v/>
      </c>
      <c r="S298" s="22">
        <f>IFERROR(INDEX(CONFIGURACOES!$J$37:$J$300,MATCH($I298,CONFIGURACOES!$B$37:$B$300,0)),"")</f>
        <v/>
      </c>
      <c r="T298" s="22">
        <f>IF(OR($R298="",$S298=""),"",$R298*$S298)</f>
        <v/>
      </c>
      <c r="U298" s="20" t="n"/>
      <c r="V298" s="20" t="n"/>
      <c r="W298" s="20" t="n"/>
      <c r="X298">
        <f>IF($A298="","",$A298&amp;"|"&amp;$C298&amp;"|"&amp;$I298)</f>
        <v/>
      </c>
      <c r="Y298">
        <f>IF(AND($A298=RELATORIO_MEDICAO!$C$5,$C298=RELATORIO_MEDICAO!$F$5,$A298&lt;&gt;""),COUNTIFS($A$3:$A298,RELATORIO_MEDICAO!$C$5,$C$3:$C298,RELATORIO_MEDICAO!$F$5),"")</f>
        <v/>
      </c>
      <c r="Z298">
        <f>IF(OR($A298="",PESQUISA!$C$4=""),0,IF(OR(ISNUMBER(SEARCH(PESQUISA!$C$4,$G298)),ISNUMBER(SEARCH(PESQUISA!$C$4,$K298)),ISNUMBER(SEARCH(PESQUISA!$C$4,$L298))),1,0))</f>
        <v/>
      </c>
      <c r="AA298">
        <f>IF($Z298=1,SUM($Z$3:$Z298),"")</f>
        <v/>
      </c>
      <c r="AB298">
        <f>IF(OR($A298="",PESQUISA!$C$50=""),0,IF(ISNUMBER(SEARCH(PESQUISA!$C$50,$I298)),1,0))</f>
        <v/>
      </c>
      <c r="AC298">
        <f>IF($AB298=1,SUM($AB$3:$AB298),"")</f>
        <v/>
      </c>
    </row>
    <row r="299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>
        <f>IFERROR(INDEX(CONFIGURACOES!$G$37:$G$300,MATCH($I299,CONFIGURACOES!$B$37:$B$300,0)),"")</f>
        <v/>
      </c>
      <c r="K299" s="20">
        <f>IFERROR(INDEX(CONFIGURACOES!$H$37:$H$300,MATCH($I299,CONFIGURACOES!$B$37:$B$300,0)),"")</f>
        <v/>
      </c>
      <c r="L299" s="20" t="n"/>
      <c r="M299" s="20">
        <f>IFERROR(INDEX(CONFIGURACOES!$I$37:$I$300,MATCH($I299,CONFIGURACOES!$B$37:$B$300,0)),"")</f>
        <v/>
      </c>
      <c r="N299" s="21" t="n"/>
      <c r="O299" s="21" t="n"/>
      <c r="P299" s="21" t="n"/>
      <c r="Q299" s="21" t="n"/>
      <c r="R299" s="21">
        <f>IF($N299="","",$N299*IF($Q299="",1,$Q299)*IF($P299="",1,$P299)*IF($O299="",1,$O299))</f>
        <v/>
      </c>
      <c r="S299" s="22">
        <f>IFERROR(INDEX(CONFIGURACOES!$J$37:$J$300,MATCH($I299,CONFIGURACOES!$B$37:$B$300,0)),"")</f>
        <v/>
      </c>
      <c r="T299" s="22">
        <f>IF(OR($R299="",$S299=""),"",$R299*$S299)</f>
        <v/>
      </c>
      <c r="U299" s="20" t="n"/>
      <c r="V299" s="20" t="n"/>
      <c r="W299" s="20" t="n"/>
      <c r="X299">
        <f>IF($A299="","",$A299&amp;"|"&amp;$C299&amp;"|"&amp;$I299)</f>
        <v/>
      </c>
      <c r="Y299">
        <f>IF(AND($A299=RELATORIO_MEDICAO!$C$5,$C299=RELATORIO_MEDICAO!$F$5,$A299&lt;&gt;""),COUNTIFS($A$3:$A299,RELATORIO_MEDICAO!$C$5,$C$3:$C299,RELATORIO_MEDICAO!$F$5),"")</f>
        <v/>
      </c>
      <c r="Z299">
        <f>IF(OR($A299="",PESQUISA!$C$4=""),0,IF(OR(ISNUMBER(SEARCH(PESQUISA!$C$4,$G299)),ISNUMBER(SEARCH(PESQUISA!$C$4,$K299)),ISNUMBER(SEARCH(PESQUISA!$C$4,$L299))),1,0))</f>
        <v/>
      </c>
      <c r="AA299">
        <f>IF($Z299=1,SUM($Z$3:$Z299),"")</f>
        <v/>
      </c>
      <c r="AB299">
        <f>IF(OR($A299="",PESQUISA!$C$50=""),0,IF(ISNUMBER(SEARCH(PESQUISA!$C$50,$I299)),1,0))</f>
        <v/>
      </c>
      <c r="AC299">
        <f>IF($AB299=1,SUM($AB$3:$AB299),"")</f>
        <v/>
      </c>
    </row>
    <row r="300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>
        <f>IFERROR(INDEX(CONFIGURACOES!$G$37:$G$300,MATCH($I300,CONFIGURACOES!$B$37:$B$300,0)),"")</f>
        <v/>
      </c>
      <c r="K300" s="20">
        <f>IFERROR(INDEX(CONFIGURACOES!$H$37:$H$300,MATCH($I300,CONFIGURACOES!$B$37:$B$300,0)),"")</f>
        <v/>
      </c>
      <c r="L300" s="20" t="n"/>
      <c r="M300" s="20">
        <f>IFERROR(INDEX(CONFIGURACOES!$I$37:$I$300,MATCH($I300,CONFIGURACOES!$B$37:$B$300,0)),"")</f>
        <v/>
      </c>
      <c r="N300" s="21" t="n"/>
      <c r="O300" s="21" t="n"/>
      <c r="P300" s="21" t="n"/>
      <c r="Q300" s="21" t="n"/>
      <c r="R300" s="21">
        <f>IF($N300="","",$N300*IF($Q300="",1,$Q300)*IF($P300="",1,$P300)*IF($O300="",1,$O300))</f>
        <v/>
      </c>
      <c r="S300" s="22">
        <f>IFERROR(INDEX(CONFIGURACOES!$J$37:$J$300,MATCH($I300,CONFIGURACOES!$B$37:$B$300,0)),"")</f>
        <v/>
      </c>
      <c r="T300" s="22">
        <f>IF(OR($R300="",$S300=""),"",$R300*$S300)</f>
        <v/>
      </c>
      <c r="U300" s="20" t="n"/>
      <c r="V300" s="20" t="n"/>
      <c r="W300" s="20" t="n"/>
      <c r="X300">
        <f>IF($A300="","",$A300&amp;"|"&amp;$C300&amp;"|"&amp;$I300)</f>
        <v/>
      </c>
      <c r="Y300">
        <f>IF(AND($A300=RELATORIO_MEDICAO!$C$5,$C300=RELATORIO_MEDICAO!$F$5,$A300&lt;&gt;""),COUNTIFS($A$3:$A300,RELATORIO_MEDICAO!$C$5,$C$3:$C300,RELATORIO_MEDICAO!$F$5),"")</f>
        <v/>
      </c>
      <c r="Z300">
        <f>IF(OR($A300="",PESQUISA!$C$4=""),0,IF(OR(ISNUMBER(SEARCH(PESQUISA!$C$4,$G300)),ISNUMBER(SEARCH(PESQUISA!$C$4,$K300)),ISNUMBER(SEARCH(PESQUISA!$C$4,$L300))),1,0))</f>
        <v/>
      </c>
      <c r="AA300">
        <f>IF($Z300=1,SUM($Z$3:$Z300),"")</f>
        <v/>
      </c>
      <c r="AB300">
        <f>IF(OR($A300="",PESQUISA!$C$50=""),0,IF(ISNUMBER(SEARCH(PESQUISA!$C$50,$I300)),1,0))</f>
        <v/>
      </c>
      <c r="AC300">
        <f>IF($AB300=1,SUM($AB$3:$AB300),"")</f>
        <v/>
      </c>
    </row>
    <row r="301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>
        <f>IFERROR(INDEX(CONFIGURACOES!$G$37:$G$300,MATCH($I301,CONFIGURACOES!$B$37:$B$300,0)),"")</f>
        <v/>
      </c>
      <c r="K301" s="20">
        <f>IFERROR(INDEX(CONFIGURACOES!$H$37:$H$300,MATCH($I301,CONFIGURACOES!$B$37:$B$300,0)),"")</f>
        <v/>
      </c>
      <c r="L301" s="20" t="n"/>
      <c r="M301" s="20">
        <f>IFERROR(INDEX(CONFIGURACOES!$I$37:$I$300,MATCH($I301,CONFIGURACOES!$B$37:$B$300,0)),"")</f>
        <v/>
      </c>
      <c r="N301" s="21" t="n"/>
      <c r="O301" s="21" t="n"/>
      <c r="P301" s="21" t="n"/>
      <c r="Q301" s="21" t="n"/>
      <c r="R301" s="21">
        <f>IF($N301="","",$N301*IF($Q301="",1,$Q301)*IF($P301="",1,$P301)*IF($O301="",1,$O301))</f>
        <v/>
      </c>
      <c r="S301" s="22">
        <f>IFERROR(INDEX(CONFIGURACOES!$J$37:$J$300,MATCH($I301,CONFIGURACOES!$B$37:$B$300,0)),"")</f>
        <v/>
      </c>
      <c r="T301" s="22">
        <f>IF(OR($R301="",$S301=""),"",$R301*$S301)</f>
        <v/>
      </c>
      <c r="U301" s="20" t="n"/>
      <c r="V301" s="20" t="n"/>
      <c r="W301" s="20" t="n"/>
      <c r="X301">
        <f>IF($A301="","",$A301&amp;"|"&amp;$C301&amp;"|"&amp;$I301)</f>
        <v/>
      </c>
      <c r="Y301">
        <f>IF(AND($A301=RELATORIO_MEDICAO!$C$5,$C301=RELATORIO_MEDICAO!$F$5,$A301&lt;&gt;""),COUNTIFS($A$3:$A301,RELATORIO_MEDICAO!$C$5,$C$3:$C301,RELATORIO_MEDICAO!$F$5),"")</f>
        <v/>
      </c>
      <c r="Z301">
        <f>IF(OR($A301="",PESQUISA!$C$4=""),0,IF(OR(ISNUMBER(SEARCH(PESQUISA!$C$4,$G301)),ISNUMBER(SEARCH(PESQUISA!$C$4,$K301)),ISNUMBER(SEARCH(PESQUISA!$C$4,$L301))),1,0))</f>
        <v/>
      </c>
      <c r="AA301">
        <f>IF($Z301=1,SUM($Z$3:$Z301),"")</f>
        <v/>
      </c>
      <c r="AB301">
        <f>IF(OR($A301="",PESQUISA!$C$50=""),0,IF(ISNUMBER(SEARCH(PESQUISA!$C$50,$I301)),1,0))</f>
        <v/>
      </c>
      <c r="AC301">
        <f>IF($AB301=1,SUM($AB$3:$AB301),"")</f>
        <v/>
      </c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>
        <f>IFERROR(INDEX(CONFIGURACOES!$G$37:$G$300,MATCH($I302,CONFIGURACOES!$B$37:$B$300,0)),"")</f>
        <v/>
      </c>
      <c r="K302" s="20">
        <f>IFERROR(INDEX(CONFIGURACOES!$H$37:$H$300,MATCH($I302,CONFIGURACOES!$B$37:$B$300,0)),"")</f>
        <v/>
      </c>
      <c r="L302" s="20" t="n"/>
      <c r="M302" s="20">
        <f>IFERROR(INDEX(CONFIGURACOES!$I$37:$I$300,MATCH($I302,CONFIGURACOES!$B$37:$B$300,0)),"")</f>
        <v/>
      </c>
      <c r="N302" s="21" t="n"/>
      <c r="O302" s="21" t="n"/>
      <c r="P302" s="21" t="n"/>
      <c r="Q302" s="21" t="n"/>
      <c r="R302" s="21">
        <f>IF($N302="","",$N302*IF($Q302="",1,$Q302)*IF($P302="",1,$P302)*IF($O302="",1,$O302))</f>
        <v/>
      </c>
      <c r="S302" s="22">
        <f>IFERROR(INDEX(CONFIGURACOES!$J$37:$J$300,MATCH($I302,CONFIGURACOES!$B$37:$B$300,0)),"")</f>
        <v/>
      </c>
      <c r="T302" s="22">
        <f>IF(OR($R302="",$S302=""),"",$R302*$S302)</f>
        <v/>
      </c>
      <c r="U302" s="20" t="n"/>
      <c r="V302" s="20" t="n"/>
      <c r="W302" s="20" t="n"/>
      <c r="X302">
        <f>IF($A302="","",$A302&amp;"|"&amp;$C302&amp;"|"&amp;$I302)</f>
        <v/>
      </c>
      <c r="Y302">
        <f>IF(AND($A302=RELATORIO_MEDICAO!$C$5,$C302=RELATORIO_MEDICAO!$F$5,$A302&lt;&gt;""),COUNTIFS($A$3:$A302,RELATORIO_MEDICAO!$C$5,$C$3:$C302,RELATORIO_MEDICAO!$F$5),"")</f>
        <v/>
      </c>
      <c r="Z302">
        <f>IF(OR($A302="",PESQUISA!$C$4=""),0,IF(OR(ISNUMBER(SEARCH(PESQUISA!$C$4,$G302)),ISNUMBER(SEARCH(PESQUISA!$C$4,$K302)),ISNUMBER(SEARCH(PESQUISA!$C$4,$L302))),1,0))</f>
        <v/>
      </c>
      <c r="AA302">
        <f>IF($Z302=1,SUM($Z$3:$Z302),"")</f>
        <v/>
      </c>
      <c r="AB302">
        <f>IF(OR($A302="",PESQUISA!$C$50=""),0,IF(ISNUMBER(SEARCH(PESQUISA!$C$50,$I302)),1,0))</f>
        <v/>
      </c>
      <c r="AC302">
        <f>IF($AB302=1,SUM($AB$3:$AB302),"")</f>
        <v/>
      </c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>
        <f>IFERROR(INDEX(CONFIGURACOES!$G$37:$G$300,MATCH($I303,CONFIGURACOES!$B$37:$B$300,0)),"")</f>
        <v/>
      </c>
      <c r="K303" s="20">
        <f>IFERROR(INDEX(CONFIGURACOES!$H$37:$H$300,MATCH($I303,CONFIGURACOES!$B$37:$B$300,0)),"")</f>
        <v/>
      </c>
      <c r="L303" s="20" t="n"/>
      <c r="M303" s="20">
        <f>IFERROR(INDEX(CONFIGURACOES!$I$37:$I$300,MATCH($I303,CONFIGURACOES!$B$37:$B$300,0)),"")</f>
        <v/>
      </c>
      <c r="N303" s="21" t="n"/>
      <c r="O303" s="21" t="n"/>
      <c r="P303" s="21" t="n"/>
      <c r="Q303" s="21" t="n"/>
      <c r="R303" s="21">
        <f>IF($N303="","",$N303*IF($Q303="",1,$Q303)*IF($P303="",1,$P303)*IF($O303="",1,$O303))</f>
        <v/>
      </c>
      <c r="S303" s="22">
        <f>IFERROR(INDEX(CONFIGURACOES!$J$37:$J$300,MATCH($I303,CONFIGURACOES!$B$37:$B$300,0)),"")</f>
        <v/>
      </c>
      <c r="T303" s="22">
        <f>IF(OR($R303="",$S303=""),"",$R303*$S303)</f>
        <v/>
      </c>
      <c r="U303" s="20" t="n"/>
      <c r="V303" s="20" t="n"/>
      <c r="W303" s="20" t="n"/>
      <c r="X303">
        <f>IF($A303="","",$A303&amp;"|"&amp;$C303&amp;"|"&amp;$I303)</f>
        <v/>
      </c>
      <c r="Y303">
        <f>IF(AND($A303=RELATORIO_MEDICAO!$C$5,$C303=RELATORIO_MEDICAO!$F$5,$A303&lt;&gt;""),COUNTIFS($A$3:$A303,RELATORIO_MEDICAO!$C$5,$C$3:$C303,RELATORIO_MEDICAO!$F$5),"")</f>
        <v/>
      </c>
      <c r="Z303">
        <f>IF(OR($A303="",PESQUISA!$C$4=""),0,IF(OR(ISNUMBER(SEARCH(PESQUISA!$C$4,$G303)),ISNUMBER(SEARCH(PESQUISA!$C$4,$K303)),ISNUMBER(SEARCH(PESQUISA!$C$4,$L303))),1,0))</f>
        <v/>
      </c>
      <c r="AA303">
        <f>IF($Z303=1,SUM($Z$3:$Z303),"")</f>
        <v/>
      </c>
      <c r="AB303">
        <f>IF(OR($A303="",PESQUISA!$C$50=""),0,IF(ISNUMBER(SEARCH(PESQUISA!$C$50,$I303)),1,0))</f>
        <v/>
      </c>
      <c r="AC303">
        <f>IF($AB303=1,SUM($AB$3:$AB303),"")</f>
        <v/>
      </c>
    </row>
    <row r="304">
      <c r="A304" s="20" t="n"/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>
        <f>IFERROR(INDEX(CONFIGURACOES!$G$37:$G$300,MATCH($I304,CONFIGURACOES!$B$37:$B$300,0)),"")</f>
        <v/>
      </c>
      <c r="K304" s="20">
        <f>IFERROR(INDEX(CONFIGURACOES!$H$37:$H$300,MATCH($I304,CONFIGURACOES!$B$37:$B$300,0)),"")</f>
        <v/>
      </c>
      <c r="L304" s="20" t="n"/>
      <c r="M304" s="20">
        <f>IFERROR(INDEX(CONFIGURACOES!$I$37:$I$300,MATCH($I304,CONFIGURACOES!$B$37:$B$300,0)),"")</f>
        <v/>
      </c>
      <c r="N304" s="21" t="n"/>
      <c r="O304" s="21" t="n"/>
      <c r="P304" s="21" t="n"/>
      <c r="Q304" s="21" t="n"/>
      <c r="R304" s="21">
        <f>IF($N304="","",$N304*IF($Q304="",1,$Q304)*IF($P304="",1,$P304)*IF($O304="",1,$O304))</f>
        <v/>
      </c>
      <c r="S304" s="22">
        <f>IFERROR(INDEX(CONFIGURACOES!$J$37:$J$300,MATCH($I304,CONFIGURACOES!$B$37:$B$300,0)),"")</f>
        <v/>
      </c>
      <c r="T304" s="22">
        <f>IF(OR($R304="",$S304=""),"",$R304*$S304)</f>
        <v/>
      </c>
      <c r="U304" s="20" t="n"/>
      <c r="V304" s="20" t="n"/>
      <c r="W304" s="20" t="n"/>
      <c r="X304">
        <f>IF($A304="","",$A304&amp;"|"&amp;$C304&amp;"|"&amp;$I304)</f>
        <v/>
      </c>
      <c r="Y304">
        <f>IF(AND($A304=RELATORIO_MEDICAO!$C$5,$C304=RELATORIO_MEDICAO!$F$5,$A304&lt;&gt;""),COUNTIFS($A$3:$A304,RELATORIO_MEDICAO!$C$5,$C$3:$C304,RELATORIO_MEDICAO!$F$5),"")</f>
        <v/>
      </c>
      <c r="Z304">
        <f>IF(OR($A304="",PESQUISA!$C$4=""),0,IF(OR(ISNUMBER(SEARCH(PESQUISA!$C$4,$G304)),ISNUMBER(SEARCH(PESQUISA!$C$4,$K304)),ISNUMBER(SEARCH(PESQUISA!$C$4,$L304))),1,0))</f>
        <v/>
      </c>
      <c r="AA304">
        <f>IF($Z304=1,SUM($Z$3:$Z304),"")</f>
        <v/>
      </c>
      <c r="AB304">
        <f>IF(OR($A304="",PESQUISA!$C$50=""),0,IF(ISNUMBER(SEARCH(PESQUISA!$C$50,$I304)),1,0))</f>
        <v/>
      </c>
      <c r="AC304">
        <f>IF($AB304=1,SUM($AB$3:$AB304),"")</f>
        <v/>
      </c>
    </row>
    <row r="305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>
        <f>IFERROR(INDEX(CONFIGURACOES!$G$37:$G$300,MATCH($I305,CONFIGURACOES!$B$37:$B$300,0)),"")</f>
        <v/>
      </c>
      <c r="K305" s="20">
        <f>IFERROR(INDEX(CONFIGURACOES!$H$37:$H$300,MATCH($I305,CONFIGURACOES!$B$37:$B$300,0)),"")</f>
        <v/>
      </c>
      <c r="L305" s="20" t="n"/>
      <c r="M305" s="20">
        <f>IFERROR(INDEX(CONFIGURACOES!$I$37:$I$300,MATCH($I305,CONFIGURACOES!$B$37:$B$300,0)),"")</f>
        <v/>
      </c>
      <c r="N305" s="21" t="n"/>
      <c r="O305" s="21" t="n"/>
      <c r="P305" s="21" t="n"/>
      <c r="Q305" s="21" t="n"/>
      <c r="R305" s="21">
        <f>IF($N305="","",$N305*IF($Q305="",1,$Q305)*IF($P305="",1,$P305)*IF($O305="",1,$O305))</f>
        <v/>
      </c>
      <c r="S305" s="22">
        <f>IFERROR(INDEX(CONFIGURACOES!$J$37:$J$300,MATCH($I305,CONFIGURACOES!$B$37:$B$300,0)),"")</f>
        <v/>
      </c>
      <c r="T305" s="22">
        <f>IF(OR($R305="",$S305=""),"",$R305*$S305)</f>
        <v/>
      </c>
      <c r="U305" s="20" t="n"/>
      <c r="V305" s="20" t="n"/>
      <c r="W305" s="20" t="n"/>
      <c r="X305">
        <f>IF($A305="","",$A305&amp;"|"&amp;$C305&amp;"|"&amp;$I305)</f>
        <v/>
      </c>
      <c r="Y305">
        <f>IF(AND($A305=RELATORIO_MEDICAO!$C$5,$C305=RELATORIO_MEDICAO!$F$5,$A305&lt;&gt;""),COUNTIFS($A$3:$A305,RELATORIO_MEDICAO!$C$5,$C$3:$C305,RELATORIO_MEDICAO!$F$5),"")</f>
        <v/>
      </c>
      <c r="Z305">
        <f>IF(OR($A305="",PESQUISA!$C$4=""),0,IF(OR(ISNUMBER(SEARCH(PESQUISA!$C$4,$G305)),ISNUMBER(SEARCH(PESQUISA!$C$4,$K305)),ISNUMBER(SEARCH(PESQUISA!$C$4,$L305))),1,0))</f>
        <v/>
      </c>
      <c r="AA305">
        <f>IF($Z305=1,SUM($Z$3:$Z305),"")</f>
        <v/>
      </c>
      <c r="AB305">
        <f>IF(OR($A305="",PESQUISA!$C$50=""),0,IF(ISNUMBER(SEARCH(PESQUISA!$C$50,$I305)),1,0))</f>
        <v/>
      </c>
      <c r="AC305">
        <f>IF($AB305=1,SUM($AB$3:$AB305),"")</f>
        <v/>
      </c>
    </row>
    <row r="306">
      <c r="A306" s="20" t="n"/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>
        <f>IFERROR(INDEX(CONFIGURACOES!$G$37:$G$300,MATCH($I306,CONFIGURACOES!$B$37:$B$300,0)),"")</f>
        <v/>
      </c>
      <c r="K306" s="20">
        <f>IFERROR(INDEX(CONFIGURACOES!$H$37:$H$300,MATCH($I306,CONFIGURACOES!$B$37:$B$300,0)),"")</f>
        <v/>
      </c>
      <c r="L306" s="20" t="n"/>
      <c r="M306" s="20">
        <f>IFERROR(INDEX(CONFIGURACOES!$I$37:$I$300,MATCH($I306,CONFIGURACOES!$B$37:$B$300,0)),"")</f>
        <v/>
      </c>
      <c r="N306" s="21" t="n"/>
      <c r="O306" s="21" t="n"/>
      <c r="P306" s="21" t="n"/>
      <c r="Q306" s="21" t="n"/>
      <c r="R306" s="21">
        <f>IF($N306="","",$N306*IF($Q306="",1,$Q306)*IF($P306="",1,$P306)*IF($O306="",1,$O306))</f>
        <v/>
      </c>
      <c r="S306" s="22">
        <f>IFERROR(INDEX(CONFIGURACOES!$J$37:$J$300,MATCH($I306,CONFIGURACOES!$B$37:$B$300,0)),"")</f>
        <v/>
      </c>
      <c r="T306" s="22">
        <f>IF(OR($R306="",$S306=""),"",$R306*$S306)</f>
        <v/>
      </c>
      <c r="U306" s="20" t="n"/>
      <c r="V306" s="20" t="n"/>
      <c r="W306" s="20" t="n"/>
      <c r="X306">
        <f>IF($A306="","",$A306&amp;"|"&amp;$C306&amp;"|"&amp;$I306)</f>
        <v/>
      </c>
      <c r="Y306">
        <f>IF(AND($A306=RELATORIO_MEDICAO!$C$5,$C306=RELATORIO_MEDICAO!$F$5,$A306&lt;&gt;""),COUNTIFS($A$3:$A306,RELATORIO_MEDICAO!$C$5,$C$3:$C306,RELATORIO_MEDICAO!$F$5),"")</f>
        <v/>
      </c>
      <c r="Z306">
        <f>IF(OR($A306="",PESQUISA!$C$4=""),0,IF(OR(ISNUMBER(SEARCH(PESQUISA!$C$4,$G306)),ISNUMBER(SEARCH(PESQUISA!$C$4,$K306)),ISNUMBER(SEARCH(PESQUISA!$C$4,$L306))),1,0))</f>
        <v/>
      </c>
      <c r="AA306">
        <f>IF($Z306=1,SUM($Z$3:$Z306),"")</f>
        <v/>
      </c>
      <c r="AB306">
        <f>IF(OR($A306="",PESQUISA!$C$50=""),0,IF(ISNUMBER(SEARCH(PESQUISA!$C$50,$I306)),1,0))</f>
        <v/>
      </c>
      <c r="AC306">
        <f>IF($AB306=1,SUM($AB$3:$AB306),"")</f>
        <v/>
      </c>
    </row>
    <row r="307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>
        <f>IFERROR(INDEX(CONFIGURACOES!$G$37:$G$300,MATCH($I307,CONFIGURACOES!$B$37:$B$300,0)),"")</f>
        <v/>
      </c>
      <c r="K307" s="20">
        <f>IFERROR(INDEX(CONFIGURACOES!$H$37:$H$300,MATCH($I307,CONFIGURACOES!$B$37:$B$300,0)),"")</f>
        <v/>
      </c>
      <c r="L307" s="20" t="n"/>
      <c r="M307" s="20">
        <f>IFERROR(INDEX(CONFIGURACOES!$I$37:$I$300,MATCH($I307,CONFIGURACOES!$B$37:$B$300,0)),"")</f>
        <v/>
      </c>
      <c r="N307" s="21" t="n"/>
      <c r="O307" s="21" t="n"/>
      <c r="P307" s="21" t="n"/>
      <c r="Q307" s="21" t="n"/>
      <c r="R307" s="21">
        <f>IF($N307="","",$N307*IF($Q307="",1,$Q307)*IF($P307="",1,$P307)*IF($O307="",1,$O307))</f>
        <v/>
      </c>
      <c r="S307" s="22">
        <f>IFERROR(INDEX(CONFIGURACOES!$J$37:$J$300,MATCH($I307,CONFIGURACOES!$B$37:$B$300,0)),"")</f>
        <v/>
      </c>
      <c r="T307" s="22">
        <f>IF(OR($R307="",$S307=""),"",$R307*$S307)</f>
        <v/>
      </c>
      <c r="U307" s="20" t="n"/>
      <c r="V307" s="20" t="n"/>
      <c r="W307" s="20" t="n"/>
      <c r="X307">
        <f>IF($A307="","",$A307&amp;"|"&amp;$C307&amp;"|"&amp;$I307)</f>
        <v/>
      </c>
      <c r="Y307">
        <f>IF(AND($A307=RELATORIO_MEDICAO!$C$5,$C307=RELATORIO_MEDICAO!$F$5,$A307&lt;&gt;""),COUNTIFS($A$3:$A307,RELATORIO_MEDICAO!$C$5,$C$3:$C307,RELATORIO_MEDICAO!$F$5),"")</f>
        <v/>
      </c>
      <c r="Z307">
        <f>IF(OR($A307="",PESQUISA!$C$4=""),0,IF(OR(ISNUMBER(SEARCH(PESQUISA!$C$4,$G307)),ISNUMBER(SEARCH(PESQUISA!$C$4,$K307)),ISNUMBER(SEARCH(PESQUISA!$C$4,$L307))),1,0))</f>
        <v/>
      </c>
      <c r="AA307">
        <f>IF($Z307=1,SUM($Z$3:$Z307),"")</f>
        <v/>
      </c>
      <c r="AB307">
        <f>IF(OR($A307="",PESQUISA!$C$50=""),0,IF(ISNUMBER(SEARCH(PESQUISA!$C$50,$I307)),1,0))</f>
        <v/>
      </c>
      <c r="AC307">
        <f>IF($AB307=1,SUM($AB$3:$AB307),"")</f>
        <v/>
      </c>
    </row>
    <row r="308">
      <c r="A308" s="20" t="n"/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>
        <f>IFERROR(INDEX(CONFIGURACOES!$G$37:$G$300,MATCH($I308,CONFIGURACOES!$B$37:$B$300,0)),"")</f>
        <v/>
      </c>
      <c r="K308" s="20">
        <f>IFERROR(INDEX(CONFIGURACOES!$H$37:$H$300,MATCH($I308,CONFIGURACOES!$B$37:$B$300,0)),"")</f>
        <v/>
      </c>
      <c r="L308" s="20" t="n"/>
      <c r="M308" s="20">
        <f>IFERROR(INDEX(CONFIGURACOES!$I$37:$I$300,MATCH($I308,CONFIGURACOES!$B$37:$B$300,0)),"")</f>
        <v/>
      </c>
      <c r="N308" s="21" t="n"/>
      <c r="O308" s="21" t="n"/>
      <c r="P308" s="21" t="n"/>
      <c r="Q308" s="21" t="n"/>
      <c r="R308" s="21">
        <f>IF($N308="","",$N308*IF($Q308="",1,$Q308)*IF($P308="",1,$P308)*IF($O308="",1,$O308))</f>
        <v/>
      </c>
      <c r="S308" s="22">
        <f>IFERROR(INDEX(CONFIGURACOES!$J$37:$J$300,MATCH($I308,CONFIGURACOES!$B$37:$B$300,0)),"")</f>
        <v/>
      </c>
      <c r="T308" s="22">
        <f>IF(OR($R308="",$S308=""),"",$R308*$S308)</f>
        <v/>
      </c>
      <c r="U308" s="20" t="n"/>
      <c r="V308" s="20" t="n"/>
      <c r="W308" s="20" t="n"/>
      <c r="X308">
        <f>IF($A308="","",$A308&amp;"|"&amp;$C308&amp;"|"&amp;$I308)</f>
        <v/>
      </c>
      <c r="Y308">
        <f>IF(AND($A308=RELATORIO_MEDICAO!$C$5,$C308=RELATORIO_MEDICAO!$F$5,$A308&lt;&gt;""),COUNTIFS($A$3:$A308,RELATORIO_MEDICAO!$C$5,$C$3:$C308,RELATORIO_MEDICAO!$F$5),"")</f>
        <v/>
      </c>
      <c r="Z308">
        <f>IF(OR($A308="",PESQUISA!$C$4=""),0,IF(OR(ISNUMBER(SEARCH(PESQUISA!$C$4,$G308)),ISNUMBER(SEARCH(PESQUISA!$C$4,$K308)),ISNUMBER(SEARCH(PESQUISA!$C$4,$L308))),1,0))</f>
        <v/>
      </c>
      <c r="AA308">
        <f>IF($Z308=1,SUM($Z$3:$Z308),"")</f>
        <v/>
      </c>
      <c r="AB308">
        <f>IF(OR($A308="",PESQUISA!$C$50=""),0,IF(ISNUMBER(SEARCH(PESQUISA!$C$50,$I308)),1,0))</f>
        <v/>
      </c>
      <c r="AC308">
        <f>IF($AB308=1,SUM($AB$3:$AB308),"")</f>
        <v/>
      </c>
    </row>
    <row r="309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>
        <f>IFERROR(INDEX(CONFIGURACOES!$G$37:$G$300,MATCH($I309,CONFIGURACOES!$B$37:$B$300,0)),"")</f>
        <v/>
      </c>
      <c r="K309" s="20">
        <f>IFERROR(INDEX(CONFIGURACOES!$H$37:$H$300,MATCH($I309,CONFIGURACOES!$B$37:$B$300,0)),"")</f>
        <v/>
      </c>
      <c r="L309" s="20" t="n"/>
      <c r="M309" s="20">
        <f>IFERROR(INDEX(CONFIGURACOES!$I$37:$I$300,MATCH($I309,CONFIGURACOES!$B$37:$B$300,0)),"")</f>
        <v/>
      </c>
      <c r="N309" s="21" t="n"/>
      <c r="O309" s="21" t="n"/>
      <c r="P309" s="21" t="n"/>
      <c r="Q309" s="21" t="n"/>
      <c r="R309" s="21">
        <f>IF($N309="","",$N309*IF($Q309="",1,$Q309)*IF($P309="",1,$P309)*IF($O309="",1,$O309))</f>
        <v/>
      </c>
      <c r="S309" s="22">
        <f>IFERROR(INDEX(CONFIGURACOES!$J$37:$J$300,MATCH($I309,CONFIGURACOES!$B$37:$B$300,0)),"")</f>
        <v/>
      </c>
      <c r="T309" s="22">
        <f>IF(OR($R309="",$S309=""),"",$R309*$S309)</f>
        <v/>
      </c>
      <c r="U309" s="20" t="n"/>
      <c r="V309" s="20" t="n"/>
      <c r="W309" s="20" t="n"/>
      <c r="X309">
        <f>IF($A309="","",$A309&amp;"|"&amp;$C309&amp;"|"&amp;$I309)</f>
        <v/>
      </c>
      <c r="Y309">
        <f>IF(AND($A309=RELATORIO_MEDICAO!$C$5,$C309=RELATORIO_MEDICAO!$F$5,$A309&lt;&gt;""),COUNTIFS($A$3:$A309,RELATORIO_MEDICAO!$C$5,$C$3:$C309,RELATORIO_MEDICAO!$F$5),"")</f>
        <v/>
      </c>
      <c r="Z309">
        <f>IF(OR($A309="",PESQUISA!$C$4=""),0,IF(OR(ISNUMBER(SEARCH(PESQUISA!$C$4,$G309)),ISNUMBER(SEARCH(PESQUISA!$C$4,$K309)),ISNUMBER(SEARCH(PESQUISA!$C$4,$L309))),1,0))</f>
        <v/>
      </c>
      <c r="AA309">
        <f>IF($Z309=1,SUM($Z$3:$Z309),"")</f>
        <v/>
      </c>
      <c r="AB309">
        <f>IF(OR($A309="",PESQUISA!$C$50=""),0,IF(ISNUMBER(SEARCH(PESQUISA!$C$50,$I309)),1,0))</f>
        <v/>
      </c>
      <c r="AC309">
        <f>IF($AB309=1,SUM($AB$3:$AB309),"")</f>
        <v/>
      </c>
    </row>
    <row r="310">
      <c r="A310" s="20" t="n"/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>
        <f>IFERROR(INDEX(CONFIGURACOES!$G$37:$G$300,MATCH($I310,CONFIGURACOES!$B$37:$B$300,0)),"")</f>
        <v/>
      </c>
      <c r="K310" s="20">
        <f>IFERROR(INDEX(CONFIGURACOES!$H$37:$H$300,MATCH($I310,CONFIGURACOES!$B$37:$B$300,0)),"")</f>
        <v/>
      </c>
      <c r="L310" s="20" t="n"/>
      <c r="M310" s="20">
        <f>IFERROR(INDEX(CONFIGURACOES!$I$37:$I$300,MATCH($I310,CONFIGURACOES!$B$37:$B$300,0)),"")</f>
        <v/>
      </c>
      <c r="N310" s="21" t="n"/>
      <c r="O310" s="21" t="n"/>
      <c r="P310" s="21" t="n"/>
      <c r="Q310" s="21" t="n"/>
      <c r="R310" s="21">
        <f>IF($N310="","",$N310*IF($Q310="",1,$Q310)*IF($P310="",1,$P310)*IF($O310="",1,$O310))</f>
        <v/>
      </c>
      <c r="S310" s="22">
        <f>IFERROR(INDEX(CONFIGURACOES!$J$37:$J$300,MATCH($I310,CONFIGURACOES!$B$37:$B$300,0)),"")</f>
        <v/>
      </c>
      <c r="T310" s="22">
        <f>IF(OR($R310="",$S310=""),"",$R310*$S310)</f>
        <v/>
      </c>
      <c r="U310" s="20" t="n"/>
      <c r="V310" s="20" t="n"/>
      <c r="W310" s="20" t="n"/>
      <c r="X310">
        <f>IF($A310="","",$A310&amp;"|"&amp;$C310&amp;"|"&amp;$I310)</f>
        <v/>
      </c>
      <c r="Y310">
        <f>IF(AND($A310=RELATORIO_MEDICAO!$C$5,$C310=RELATORIO_MEDICAO!$F$5,$A310&lt;&gt;""),COUNTIFS($A$3:$A310,RELATORIO_MEDICAO!$C$5,$C$3:$C310,RELATORIO_MEDICAO!$F$5),"")</f>
        <v/>
      </c>
      <c r="Z310">
        <f>IF(OR($A310="",PESQUISA!$C$4=""),0,IF(OR(ISNUMBER(SEARCH(PESQUISA!$C$4,$G310)),ISNUMBER(SEARCH(PESQUISA!$C$4,$K310)),ISNUMBER(SEARCH(PESQUISA!$C$4,$L310))),1,0))</f>
        <v/>
      </c>
      <c r="AA310">
        <f>IF($Z310=1,SUM($Z$3:$Z310),"")</f>
        <v/>
      </c>
      <c r="AB310">
        <f>IF(OR($A310="",PESQUISA!$C$50=""),0,IF(ISNUMBER(SEARCH(PESQUISA!$C$50,$I310)),1,0))</f>
        <v/>
      </c>
      <c r="AC310">
        <f>IF($AB310=1,SUM($AB$3:$AB310),"")</f>
        <v/>
      </c>
    </row>
    <row r="311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>
        <f>IFERROR(INDEX(CONFIGURACOES!$G$37:$G$300,MATCH($I311,CONFIGURACOES!$B$37:$B$300,0)),"")</f>
        <v/>
      </c>
      <c r="K311" s="20">
        <f>IFERROR(INDEX(CONFIGURACOES!$H$37:$H$300,MATCH($I311,CONFIGURACOES!$B$37:$B$300,0)),"")</f>
        <v/>
      </c>
      <c r="L311" s="20" t="n"/>
      <c r="M311" s="20">
        <f>IFERROR(INDEX(CONFIGURACOES!$I$37:$I$300,MATCH($I311,CONFIGURACOES!$B$37:$B$300,0)),"")</f>
        <v/>
      </c>
      <c r="N311" s="21" t="n"/>
      <c r="O311" s="21" t="n"/>
      <c r="P311" s="21" t="n"/>
      <c r="Q311" s="21" t="n"/>
      <c r="R311" s="21">
        <f>IF($N311="","",$N311*IF($Q311="",1,$Q311)*IF($P311="",1,$P311)*IF($O311="",1,$O311))</f>
        <v/>
      </c>
      <c r="S311" s="22">
        <f>IFERROR(INDEX(CONFIGURACOES!$J$37:$J$300,MATCH($I311,CONFIGURACOES!$B$37:$B$300,0)),"")</f>
        <v/>
      </c>
      <c r="T311" s="22">
        <f>IF(OR($R311="",$S311=""),"",$R311*$S311)</f>
        <v/>
      </c>
      <c r="U311" s="20" t="n"/>
      <c r="V311" s="20" t="n"/>
      <c r="W311" s="20" t="n"/>
      <c r="X311">
        <f>IF($A311="","",$A311&amp;"|"&amp;$C311&amp;"|"&amp;$I311)</f>
        <v/>
      </c>
      <c r="Y311">
        <f>IF(AND($A311=RELATORIO_MEDICAO!$C$5,$C311=RELATORIO_MEDICAO!$F$5,$A311&lt;&gt;""),COUNTIFS($A$3:$A311,RELATORIO_MEDICAO!$C$5,$C$3:$C311,RELATORIO_MEDICAO!$F$5),"")</f>
        <v/>
      </c>
      <c r="Z311">
        <f>IF(OR($A311="",PESQUISA!$C$4=""),0,IF(OR(ISNUMBER(SEARCH(PESQUISA!$C$4,$G311)),ISNUMBER(SEARCH(PESQUISA!$C$4,$K311)),ISNUMBER(SEARCH(PESQUISA!$C$4,$L311))),1,0))</f>
        <v/>
      </c>
      <c r="AA311">
        <f>IF($Z311=1,SUM($Z$3:$Z311),"")</f>
        <v/>
      </c>
      <c r="AB311">
        <f>IF(OR($A311="",PESQUISA!$C$50=""),0,IF(ISNUMBER(SEARCH(PESQUISA!$C$50,$I311)),1,0))</f>
        <v/>
      </c>
      <c r="AC311">
        <f>IF($AB311=1,SUM($AB$3:$AB311),"")</f>
        <v/>
      </c>
    </row>
    <row r="312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>
        <f>IFERROR(INDEX(CONFIGURACOES!$G$37:$G$300,MATCH($I312,CONFIGURACOES!$B$37:$B$300,0)),"")</f>
        <v/>
      </c>
      <c r="K312" s="20">
        <f>IFERROR(INDEX(CONFIGURACOES!$H$37:$H$300,MATCH($I312,CONFIGURACOES!$B$37:$B$300,0)),"")</f>
        <v/>
      </c>
      <c r="L312" s="20" t="n"/>
      <c r="M312" s="20">
        <f>IFERROR(INDEX(CONFIGURACOES!$I$37:$I$300,MATCH($I312,CONFIGURACOES!$B$37:$B$300,0)),"")</f>
        <v/>
      </c>
      <c r="N312" s="21" t="n"/>
      <c r="O312" s="21" t="n"/>
      <c r="P312" s="21" t="n"/>
      <c r="Q312" s="21" t="n"/>
      <c r="R312" s="21">
        <f>IF($N312="","",$N312*IF($Q312="",1,$Q312)*IF($P312="",1,$P312)*IF($O312="",1,$O312))</f>
        <v/>
      </c>
      <c r="S312" s="22">
        <f>IFERROR(INDEX(CONFIGURACOES!$J$37:$J$300,MATCH($I312,CONFIGURACOES!$B$37:$B$300,0)),"")</f>
        <v/>
      </c>
      <c r="T312" s="22">
        <f>IF(OR($R312="",$S312=""),"",$R312*$S312)</f>
        <v/>
      </c>
      <c r="U312" s="20" t="n"/>
      <c r="V312" s="20" t="n"/>
      <c r="W312" s="20" t="n"/>
      <c r="X312">
        <f>IF($A312="","",$A312&amp;"|"&amp;$C312&amp;"|"&amp;$I312)</f>
        <v/>
      </c>
      <c r="Y312">
        <f>IF(AND($A312=RELATORIO_MEDICAO!$C$5,$C312=RELATORIO_MEDICAO!$F$5,$A312&lt;&gt;""),COUNTIFS($A$3:$A312,RELATORIO_MEDICAO!$C$5,$C$3:$C312,RELATORIO_MEDICAO!$F$5),"")</f>
        <v/>
      </c>
      <c r="Z312">
        <f>IF(OR($A312="",PESQUISA!$C$4=""),0,IF(OR(ISNUMBER(SEARCH(PESQUISA!$C$4,$G312)),ISNUMBER(SEARCH(PESQUISA!$C$4,$K312)),ISNUMBER(SEARCH(PESQUISA!$C$4,$L312))),1,0))</f>
        <v/>
      </c>
      <c r="AA312">
        <f>IF($Z312=1,SUM($Z$3:$Z312),"")</f>
        <v/>
      </c>
      <c r="AB312">
        <f>IF(OR($A312="",PESQUISA!$C$50=""),0,IF(ISNUMBER(SEARCH(PESQUISA!$C$50,$I312)),1,0))</f>
        <v/>
      </c>
      <c r="AC312">
        <f>IF($AB312=1,SUM($AB$3:$AB312),"")</f>
        <v/>
      </c>
    </row>
    <row r="313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>
        <f>IFERROR(INDEX(CONFIGURACOES!$G$37:$G$300,MATCH($I313,CONFIGURACOES!$B$37:$B$300,0)),"")</f>
        <v/>
      </c>
      <c r="K313" s="20">
        <f>IFERROR(INDEX(CONFIGURACOES!$H$37:$H$300,MATCH($I313,CONFIGURACOES!$B$37:$B$300,0)),"")</f>
        <v/>
      </c>
      <c r="L313" s="20" t="n"/>
      <c r="M313" s="20">
        <f>IFERROR(INDEX(CONFIGURACOES!$I$37:$I$300,MATCH($I313,CONFIGURACOES!$B$37:$B$300,0)),"")</f>
        <v/>
      </c>
      <c r="N313" s="21" t="n"/>
      <c r="O313" s="21" t="n"/>
      <c r="P313" s="21" t="n"/>
      <c r="Q313" s="21" t="n"/>
      <c r="R313" s="21">
        <f>IF($N313="","",$N313*IF($Q313="",1,$Q313)*IF($P313="",1,$P313)*IF($O313="",1,$O313))</f>
        <v/>
      </c>
      <c r="S313" s="22">
        <f>IFERROR(INDEX(CONFIGURACOES!$J$37:$J$300,MATCH($I313,CONFIGURACOES!$B$37:$B$300,0)),"")</f>
        <v/>
      </c>
      <c r="T313" s="22">
        <f>IF(OR($R313="",$S313=""),"",$R313*$S313)</f>
        <v/>
      </c>
      <c r="U313" s="20" t="n"/>
      <c r="V313" s="20" t="n"/>
      <c r="W313" s="20" t="n"/>
      <c r="X313">
        <f>IF($A313="","",$A313&amp;"|"&amp;$C313&amp;"|"&amp;$I313)</f>
        <v/>
      </c>
      <c r="Y313">
        <f>IF(AND($A313=RELATORIO_MEDICAO!$C$5,$C313=RELATORIO_MEDICAO!$F$5,$A313&lt;&gt;""),COUNTIFS($A$3:$A313,RELATORIO_MEDICAO!$C$5,$C$3:$C313,RELATORIO_MEDICAO!$F$5),"")</f>
        <v/>
      </c>
      <c r="Z313">
        <f>IF(OR($A313="",PESQUISA!$C$4=""),0,IF(OR(ISNUMBER(SEARCH(PESQUISA!$C$4,$G313)),ISNUMBER(SEARCH(PESQUISA!$C$4,$K313)),ISNUMBER(SEARCH(PESQUISA!$C$4,$L313))),1,0))</f>
        <v/>
      </c>
      <c r="AA313">
        <f>IF($Z313=1,SUM($Z$3:$Z313),"")</f>
        <v/>
      </c>
      <c r="AB313">
        <f>IF(OR($A313="",PESQUISA!$C$50=""),0,IF(ISNUMBER(SEARCH(PESQUISA!$C$50,$I313)),1,0))</f>
        <v/>
      </c>
      <c r="AC313">
        <f>IF($AB313=1,SUM($AB$3:$AB313),"")</f>
        <v/>
      </c>
    </row>
    <row r="314">
      <c r="A314" s="20" t="n"/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>
        <f>IFERROR(INDEX(CONFIGURACOES!$G$37:$G$300,MATCH($I314,CONFIGURACOES!$B$37:$B$300,0)),"")</f>
        <v/>
      </c>
      <c r="K314" s="20">
        <f>IFERROR(INDEX(CONFIGURACOES!$H$37:$H$300,MATCH($I314,CONFIGURACOES!$B$37:$B$300,0)),"")</f>
        <v/>
      </c>
      <c r="L314" s="20" t="n"/>
      <c r="M314" s="20">
        <f>IFERROR(INDEX(CONFIGURACOES!$I$37:$I$300,MATCH($I314,CONFIGURACOES!$B$37:$B$300,0)),"")</f>
        <v/>
      </c>
      <c r="N314" s="21" t="n"/>
      <c r="O314" s="21" t="n"/>
      <c r="P314" s="21" t="n"/>
      <c r="Q314" s="21" t="n"/>
      <c r="R314" s="21">
        <f>IF($N314="","",$N314*IF($Q314="",1,$Q314)*IF($P314="",1,$P314)*IF($O314="",1,$O314))</f>
        <v/>
      </c>
      <c r="S314" s="22">
        <f>IFERROR(INDEX(CONFIGURACOES!$J$37:$J$300,MATCH($I314,CONFIGURACOES!$B$37:$B$300,0)),"")</f>
        <v/>
      </c>
      <c r="T314" s="22">
        <f>IF(OR($R314="",$S314=""),"",$R314*$S314)</f>
        <v/>
      </c>
      <c r="U314" s="20" t="n"/>
      <c r="V314" s="20" t="n"/>
      <c r="W314" s="20" t="n"/>
      <c r="X314">
        <f>IF($A314="","",$A314&amp;"|"&amp;$C314&amp;"|"&amp;$I314)</f>
        <v/>
      </c>
      <c r="Y314">
        <f>IF(AND($A314=RELATORIO_MEDICAO!$C$5,$C314=RELATORIO_MEDICAO!$F$5,$A314&lt;&gt;""),COUNTIFS($A$3:$A314,RELATORIO_MEDICAO!$C$5,$C$3:$C314,RELATORIO_MEDICAO!$F$5),"")</f>
        <v/>
      </c>
      <c r="Z314">
        <f>IF(OR($A314="",PESQUISA!$C$4=""),0,IF(OR(ISNUMBER(SEARCH(PESQUISA!$C$4,$G314)),ISNUMBER(SEARCH(PESQUISA!$C$4,$K314)),ISNUMBER(SEARCH(PESQUISA!$C$4,$L314))),1,0))</f>
        <v/>
      </c>
      <c r="AA314">
        <f>IF($Z314=1,SUM($Z$3:$Z314),"")</f>
        <v/>
      </c>
      <c r="AB314">
        <f>IF(OR($A314="",PESQUISA!$C$50=""),0,IF(ISNUMBER(SEARCH(PESQUISA!$C$50,$I314)),1,0))</f>
        <v/>
      </c>
      <c r="AC314">
        <f>IF($AB314=1,SUM($AB$3:$AB314),"")</f>
        <v/>
      </c>
    </row>
    <row r="315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>
        <f>IFERROR(INDEX(CONFIGURACOES!$G$37:$G$300,MATCH($I315,CONFIGURACOES!$B$37:$B$300,0)),"")</f>
        <v/>
      </c>
      <c r="K315" s="20">
        <f>IFERROR(INDEX(CONFIGURACOES!$H$37:$H$300,MATCH($I315,CONFIGURACOES!$B$37:$B$300,0)),"")</f>
        <v/>
      </c>
      <c r="L315" s="20" t="n"/>
      <c r="M315" s="20">
        <f>IFERROR(INDEX(CONFIGURACOES!$I$37:$I$300,MATCH($I315,CONFIGURACOES!$B$37:$B$300,0)),"")</f>
        <v/>
      </c>
      <c r="N315" s="21" t="n"/>
      <c r="O315" s="21" t="n"/>
      <c r="P315" s="21" t="n"/>
      <c r="Q315" s="21" t="n"/>
      <c r="R315" s="21">
        <f>IF($N315="","",$N315*IF($Q315="",1,$Q315)*IF($P315="",1,$P315)*IF($O315="",1,$O315))</f>
        <v/>
      </c>
      <c r="S315" s="22">
        <f>IFERROR(INDEX(CONFIGURACOES!$J$37:$J$300,MATCH($I315,CONFIGURACOES!$B$37:$B$300,0)),"")</f>
        <v/>
      </c>
      <c r="T315" s="22">
        <f>IF(OR($R315="",$S315=""),"",$R315*$S315)</f>
        <v/>
      </c>
      <c r="U315" s="20" t="n"/>
      <c r="V315" s="20" t="n"/>
      <c r="W315" s="20" t="n"/>
      <c r="X315">
        <f>IF($A315="","",$A315&amp;"|"&amp;$C315&amp;"|"&amp;$I315)</f>
        <v/>
      </c>
      <c r="Y315">
        <f>IF(AND($A315=RELATORIO_MEDICAO!$C$5,$C315=RELATORIO_MEDICAO!$F$5,$A315&lt;&gt;""),COUNTIFS($A$3:$A315,RELATORIO_MEDICAO!$C$5,$C$3:$C315,RELATORIO_MEDICAO!$F$5),"")</f>
        <v/>
      </c>
      <c r="Z315">
        <f>IF(OR($A315="",PESQUISA!$C$4=""),0,IF(OR(ISNUMBER(SEARCH(PESQUISA!$C$4,$G315)),ISNUMBER(SEARCH(PESQUISA!$C$4,$K315)),ISNUMBER(SEARCH(PESQUISA!$C$4,$L315))),1,0))</f>
        <v/>
      </c>
      <c r="AA315">
        <f>IF($Z315=1,SUM($Z$3:$Z315),"")</f>
        <v/>
      </c>
      <c r="AB315">
        <f>IF(OR($A315="",PESQUISA!$C$50=""),0,IF(ISNUMBER(SEARCH(PESQUISA!$C$50,$I315)),1,0))</f>
        <v/>
      </c>
      <c r="AC315">
        <f>IF($AB315=1,SUM($AB$3:$AB315),"")</f>
        <v/>
      </c>
    </row>
    <row r="316">
      <c r="A316" s="20" t="n"/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>
        <f>IFERROR(INDEX(CONFIGURACOES!$G$37:$G$300,MATCH($I316,CONFIGURACOES!$B$37:$B$300,0)),"")</f>
        <v/>
      </c>
      <c r="K316" s="20">
        <f>IFERROR(INDEX(CONFIGURACOES!$H$37:$H$300,MATCH($I316,CONFIGURACOES!$B$37:$B$300,0)),"")</f>
        <v/>
      </c>
      <c r="L316" s="20" t="n"/>
      <c r="M316" s="20">
        <f>IFERROR(INDEX(CONFIGURACOES!$I$37:$I$300,MATCH($I316,CONFIGURACOES!$B$37:$B$300,0)),"")</f>
        <v/>
      </c>
      <c r="N316" s="21" t="n"/>
      <c r="O316" s="21" t="n"/>
      <c r="P316" s="21" t="n"/>
      <c r="Q316" s="21" t="n"/>
      <c r="R316" s="21">
        <f>IF($N316="","",$N316*IF($Q316="",1,$Q316)*IF($P316="",1,$P316)*IF($O316="",1,$O316))</f>
        <v/>
      </c>
      <c r="S316" s="22">
        <f>IFERROR(INDEX(CONFIGURACOES!$J$37:$J$300,MATCH($I316,CONFIGURACOES!$B$37:$B$300,0)),"")</f>
        <v/>
      </c>
      <c r="T316" s="22">
        <f>IF(OR($R316="",$S316=""),"",$R316*$S316)</f>
        <v/>
      </c>
      <c r="U316" s="20" t="n"/>
      <c r="V316" s="20" t="n"/>
      <c r="W316" s="20" t="n"/>
      <c r="X316">
        <f>IF($A316="","",$A316&amp;"|"&amp;$C316&amp;"|"&amp;$I316)</f>
        <v/>
      </c>
      <c r="Y316">
        <f>IF(AND($A316=RELATORIO_MEDICAO!$C$5,$C316=RELATORIO_MEDICAO!$F$5,$A316&lt;&gt;""),COUNTIFS($A$3:$A316,RELATORIO_MEDICAO!$C$5,$C$3:$C316,RELATORIO_MEDICAO!$F$5),"")</f>
        <v/>
      </c>
      <c r="Z316">
        <f>IF(OR($A316="",PESQUISA!$C$4=""),0,IF(OR(ISNUMBER(SEARCH(PESQUISA!$C$4,$G316)),ISNUMBER(SEARCH(PESQUISA!$C$4,$K316)),ISNUMBER(SEARCH(PESQUISA!$C$4,$L316))),1,0))</f>
        <v/>
      </c>
      <c r="AA316">
        <f>IF($Z316=1,SUM($Z$3:$Z316),"")</f>
        <v/>
      </c>
      <c r="AB316">
        <f>IF(OR($A316="",PESQUISA!$C$50=""),0,IF(ISNUMBER(SEARCH(PESQUISA!$C$50,$I316)),1,0))</f>
        <v/>
      </c>
      <c r="AC316">
        <f>IF($AB316=1,SUM($AB$3:$AB316),"")</f>
        <v/>
      </c>
    </row>
    <row r="317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>
        <f>IFERROR(INDEX(CONFIGURACOES!$G$37:$G$300,MATCH($I317,CONFIGURACOES!$B$37:$B$300,0)),"")</f>
        <v/>
      </c>
      <c r="K317" s="20">
        <f>IFERROR(INDEX(CONFIGURACOES!$H$37:$H$300,MATCH($I317,CONFIGURACOES!$B$37:$B$300,0)),"")</f>
        <v/>
      </c>
      <c r="L317" s="20" t="n"/>
      <c r="M317" s="20">
        <f>IFERROR(INDEX(CONFIGURACOES!$I$37:$I$300,MATCH($I317,CONFIGURACOES!$B$37:$B$300,0)),"")</f>
        <v/>
      </c>
      <c r="N317" s="21" t="n"/>
      <c r="O317" s="21" t="n"/>
      <c r="P317" s="21" t="n"/>
      <c r="Q317" s="21" t="n"/>
      <c r="R317" s="21">
        <f>IF($N317="","",$N317*IF($Q317="",1,$Q317)*IF($P317="",1,$P317)*IF($O317="",1,$O317))</f>
        <v/>
      </c>
      <c r="S317" s="22">
        <f>IFERROR(INDEX(CONFIGURACOES!$J$37:$J$300,MATCH($I317,CONFIGURACOES!$B$37:$B$300,0)),"")</f>
        <v/>
      </c>
      <c r="T317" s="22">
        <f>IF(OR($R317="",$S317=""),"",$R317*$S317)</f>
        <v/>
      </c>
      <c r="U317" s="20" t="n"/>
      <c r="V317" s="20" t="n"/>
      <c r="W317" s="20" t="n"/>
      <c r="X317">
        <f>IF($A317="","",$A317&amp;"|"&amp;$C317&amp;"|"&amp;$I317)</f>
        <v/>
      </c>
      <c r="Y317">
        <f>IF(AND($A317=RELATORIO_MEDICAO!$C$5,$C317=RELATORIO_MEDICAO!$F$5,$A317&lt;&gt;""),COUNTIFS($A$3:$A317,RELATORIO_MEDICAO!$C$5,$C$3:$C317,RELATORIO_MEDICAO!$F$5),"")</f>
        <v/>
      </c>
      <c r="Z317">
        <f>IF(OR($A317="",PESQUISA!$C$4=""),0,IF(OR(ISNUMBER(SEARCH(PESQUISA!$C$4,$G317)),ISNUMBER(SEARCH(PESQUISA!$C$4,$K317)),ISNUMBER(SEARCH(PESQUISA!$C$4,$L317))),1,0))</f>
        <v/>
      </c>
      <c r="AA317">
        <f>IF($Z317=1,SUM($Z$3:$Z317),"")</f>
        <v/>
      </c>
      <c r="AB317">
        <f>IF(OR($A317="",PESQUISA!$C$50=""),0,IF(ISNUMBER(SEARCH(PESQUISA!$C$50,$I317)),1,0))</f>
        <v/>
      </c>
      <c r="AC317">
        <f>IF($AB317=1,SUM($AB$3:$AB317),"")</f>
        <v/>
      </c>
    </row>
    <row r="318">
      <c r="A318" s="20" t="n"/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>
        <f>IFERROR(INDEX(CONFIGURACOES!$G$37:$G$300,MATCH($I318,CONFIGURACOES!$B$37:$B$300,0)),"")</f>
        <v/>
      </c>
      <c r="K318" s="20">
        <f>IFERROR(INDEX(CONFIGURACOES!$H$37:$H$300,MATCH($I318,CONFIGURACOES!$B$37:$B$300,0)),"")</f>
        <v/>
      </c>
      <c r="L318" s="20" t="n"/>
      <c r="M318" s="20">
        <f>IFERROR(INDEX(CONFIGURACOES!$I$37:$I$300,MATCH($I318,CONFIGURACOES!$B$37:$B$300,0)),"")</f>
        <v/>
      </c>
      <c r="N318" s="21" t="n"/>
      <c r="O318" s="21" t="n"/>
      <c r="P318" s="21" t="n"/>
      <c r="Q318" s="21" t="n"/>
      <c r="R318" s="21">
        <f>IF($N318="","",$N318*IF($Q318="",1,$Q318)*IF($P318="",1,$P318)*IF($O318="",1,$O318))</f>
        <v/>
      </c>
      <c r="S318" s="22">
        <f>IFERROR(INDEX(CONFIGURACOES!$J$37:$J$300,MATCH($I318,CONFIGURACOES!$B$37:$B$300,0)),"")</f>
        <v/>
      </c>
      <c r="T318" s="22">
        <f>IF(OR($R318="",$S318=""),"",$R318*$S318)</f>
        <v/>
      </c>
      <c r="U318" s="20" t="n"/>
      <c r="V318" s="20" t="n"/>
      <c r="W318" s="20" t="n"/>
      <c r="X318">
        <f>IF($A318="","",$A318&amp;"|"&amp;$C318&amp;"|"&amp;$I318)</f>
        <v/>
      </c>
      <c r="Y318">
        <f>IF(AND($A318=RELATORIO_MEDICAO!$C$5,$C318=RELATORIO_MEDICAO!$F$5,$A318&lt;&gt;""),COUNTIFS($A$3:$A318,RELATORIO_MEDICAO!$C$5,$C$3:$C318,RELATORIO_MEDICAO!$F$5),"")</f>
        <v/>
      </c>
      <c r="Z318">
        <f>IF(OR($A318="",PESQUISA!$C$4=""),0,IF(OR(ISNUMBER(SEARCH(PESQUISA!$C$4,$G318)),ISNUMBER(SEARCH(PESQUISA!$C$4,$K318)),ISNUMBER(SEARCH(PESQUISA!$C$4,$L318))),1,0))</f>
        <v/>
      </c>
      <c r="AA318">
        <f>IF($Z318=1,SUM($Z$3:$Z318),"")</f>
        <v/>
      </c>
      <c r="AB318">
        <f>IF(OR($A318="",PESQUISA!$C$50=""),0,IF(ISNUMBER(SEARCH(PESQUISA!$C$50,$I318)),1,0))</f>
        <v/>
      </c>
      <c r="AC318">
        <f>IF($AB318=1,SUM($AB$3:$AB318),"")</f>
        <v/>
      </c>
    </row>
    <row r="319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>
        <f>IFERROR(INDEX(CONFIGURACOES!$G$37:$G$300,MATCH($I319,CONFIGURACOES!$B$37:$B$300,0)),"")</f>
        <v/>
      </c>
      <c r="K319" s="20">
        <f>IFERROR(INDEX(CONFIGURACOES!$H$37:$H$300,MATCH($I319,CONFIGURACOES!$B$37:$B$300,0)),"")</f>
        <v/>
      </c>
      <c r="L319" s="20" t="n"/>
      <c r="M319" s="20">
        <f>IFERROR(INDEX(CONFIGURACOES!$I$37:$I$300,MATCH($I319,CONFIGURACOES!$B$37:$B$300,0)),"")</f>
        <v/>
      </c>
      <c r="N319" s="21" t="n"/>
      <c r="O319" s="21" t="n"/>
      <c r="P319" s="21" t="n"/>
      <c r="Q319" s="21" t="n"/>
      <c r="R319" s="21">
        <f>IF($N319="","",$N319*IF($Q319="",1,$Q319)*IF($P319="",1,$P319)*IF($O319="",1,$O319))</f>
        <v/>
      </c>
      <c r="S319" s="22">
        <f>IFERROR(INDEX(CONFIGURACOES!$J$37:$J$300,MATCH($I319,CONFIGURACOES!$B$37:$B$300,0)),"")</f>
        <v/>
      </c>
      <c r="T319" s="22">
        <f>IF(OR($R319="",$S319=""),"",$R319*$S319)</f>
        <v/>
      </c>
      <c r="U319" s="20" t="n"/>
      <c r="V319" s="20" t="n"/>
      <c r="W319" s="20" t="n"/>
      <c r="X319">
        <f>IF($A319="","",$A319&amp;"|"&amp;$C319&amp;"|"&amp;$I319)</f>
        <v/>
      </c>
      <c r="Y319">
        <f>IF(AND($A319=RELATORIO_MEDICAO!$C$5,$C319=RELATORIO_MEDICAO!$F$5,$A319&lt;&gt;""),COUNTIFS($A$3:$A319,RELATORIO_MEDICAO!$C$5,$C$3:$C319,RELATORIO_MEDICAO!$F$5),"")</f>
        <v/>
      </c>
      <c r="Z319">
        <f>IF(OR($A319="",PESQUISA!$C$4=""),0,IF(OR(ISNUMBER(SEARCH(PESQUISA!$C$4,$G319)),ISNUMBER(SEARCH(PESQUISA!$C$4,$K319)),ISNUMBER(SEARCH(PESQUISA!$C$4,$L319))),1,0))</f>
        <v/>
      </c>
      <c r="AA319">
        <f>IF($Z319=1,SUM($Z$3:$Z319),"")</f>
        <v/>
      </c>
      <c r="AB319">
        <f>IF(OR($A319="",PESQUISA!$C$50=""),0,IF(ISNUMBER(SEARCH(PESQUISA!$C$50,$I319)),1,0))</f>
        <v/>
      </c>
      <c r="AC319">
        <f>IF($AB319=1,SUM($AB$3:$AB319),"")</f>
        <v/>
      </c>
    </row>
    <row r="320">
      <c r="A320" s="20" t="n"/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>
        <f>IFERROR(INDEX(CONFIGURACOES!$G$37:$G$300,MATCH($I320,CONFIGURACOES!$B$37:$B$300,0)),"")</f>
        <v/>
      </c>
      <c r="K320" s="20">
        <f>IFERROR(INDEX(CONFIGURACOES!$H$37:$H$300,MATCH($I320,CONFIGURACOES!$B$37:$B$300,0)),"")</f>
        <v/>
      </c>
      <c r="L320" s="20" t="n"/>
      <c r="M320" s="20">
        <f>IFERROR(INDEX(CONFIGURACOES!$I$37:$I$300,MATCH($I320,CONFIGURACOES!$B$37:$B$300,0)),"")</f>
        <v/>
      </c>
      <c r="N320" s="21" t="n"/>
      <c r="O320" s="21" t="n"/>
      <c r="P320" s="21" t="n"/>
      <c r="Q320" s="21" t="n"/>
      <c r="R320" s="21">
        <f>IF($N320="","",$N320*IF($Q320="",1,$Q320)*IF($P320="",1,$P320)*IF($O320="",1,$O320))</f>
        <v/>
      </c>
      <c r="S320" s="22">
        <f>IFERROR(INDEX(CONFIGURACOES!$J$37:$J$300,MATCH($I320,CONFIGURACOES!$B$37:$B$300,0)),"")</f>
        <v/>
      </c>
      <c r="T320" s="22">
        <f>IF(OR($R320="",$S320=""),"",$R320*$S320)</f>
        <v/>
      </c>
      <c r="U320" s="20" t="n"/>
      <c r="V320" s="20" t="n"/>
      <c r="W320" s="20" t="n"/>
      <c r="X320">
        <f>IF($A320="","",$A320&amp;"|"&amp;$C320&amp;"|"&amp;$I320)</f>
        <v/>
      </c>
      <c r="Y320">
        <f>IF(AND($A320=RELATORIO_MEDICAO!$C$5,$C320=RELATORIO_MEDICAO!$F$5,$A320&lt;&gt;""),COUNTIFS($A$3:$A320,RELATORIO_MEDICAO!$C$5,$C$3:$C320,RELATORIO_MEDICAO!$F$5),"")</f>
        <v/>
      </c>
      <c r="Z320">
        <f>IF(OR($A320="",PESQUISA!$C$4=""),0,IF(OR(ISNUMBER(SEARCH(PESQUISA!$C$4,$G320)),ISNUMBER(SEARCH(PESQUISA!$C$4,$K320)),ISNUMBER(SEARCH(PESQUISA!$C$4,$L320))),1,0))</f>
        <v/>
      </c>
      <c r="AA320">
        <f>IF($Z320=1,SUM($Z$3:$Z320),"")</f>
        <v/>
      </c>
      <c r="AB320">
        <f>IF(OR($A320="",PESQUISA!$C$50=""),0,IF(ISNUMBER(SEARCH(PESQUISA!$C$50,$I320)),1,0))</f>
        <v/>
      </c>
      <c r="AC320">
        <f>IF($AB320=1,SUM($AB$3:$AB320),"")</f>
        <v/>
      </c>
    </row>
    <row r="321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>
        <f>IFERROR(INDEX(CONFIGURACOES!$G$37:$G$300,MATCH($I321,CONFIGURACOES!$B$37:$B$300,0)),"")</f>
        <v/>
      </c>
      <c r="K321" s="20">
        <f>IFERROR(INDEX(CONFIGURACOES!$H$37:$H$300,MATCH($I321,CONFIGURACOES!$B$37:$B$300,0)),"")</f>
        <v/>
      </c>
      <c r="L321" s="20" t="n"/>
      <c r="M321" s="20">
        <f>IFERROR(INDEX(CONFIGURACOES!$I$37:$I$300,MATCH($I321,CONFIGURACOES!$B$37:$B$300,0)),"")</f>
        <v/>
      </c>
      <c r="N321" s="21" t="n"/>
      <c r="O321" s="21" t="n"/>
      <c r="P321" s="21" t="n"/>
      <c r="Q321" s="21" t="n"/>
      <c r="R321" s="21">
        <f>IF($N321="","",$N321*IF($Q321="",1,$Q321)*IF($P321="",1,$P321)*IF($O321="",1,$O321))</f>
        <v/>
      </c>
      <c r="S321" s="22">
        <f>IFERROR(INDEX(CONFIGURACOES!$J$37:$J$300,MATCH($I321,CONFIGURACOES!$B$37:$B$300,0)),"")</f>
        <v/>
      </c>
      <c r="T321" s="22">
        <f>IF(OR($R321="",$S321=""),"",$R321*$S321)</f>
        <v/>
      </c>
      <c r="U321" s="20" t="n"/>
      <c r="V321" s="20" t="n"/>
      <c r="W321" s="20" t="n"/>
      <c r="X321">
        <f>IF($A321="","",$A321&amp;"|"&amp;$C321&amp;"|"&amp;$I321)</f>
        <v/>
      </c>
      <c r="Y321">
        <f>IF(AND($A321=RELATORIO_MEDICAO!$C$5,$C321=RELATORIO_MEDICAO!$F$5,$A321&lt;&gt;""),COUNTIFS($A$3:$A321,RELATORIO_MEDICAO!$C$5,$C$3:$C321,RELATORIO_MEDICAO!$F$5),"")</f>
        <v/>
      </c>
      <c r="Z321">
        <f>IF(OR($A321="",PESQUISA!$C$4=""),0,IF(OR(ISNUMBER(SEARCH(PESQUISA!$C$4,$G321)),ISNUMBER(SEARCH(PESQUISA!$C$4,$K321)),ISNUMBER(SEARCH(PESQUISA!$C$4,$L321))),1,0))</f>
        <v/>
      </c>
      <c r="AA321">
        <f>IF($Z321=1,SUM($Z$3:$Z321),"")</f>
        <v/>
      </c>
      <c r="AB321">
        <f>IF(OR($A321="",PESQUISA!$C$50=""),0,IF(ISNUMBER(SEARCH(PESQUISA!$C$50,$I321)),1,0))</f>
        <v/>
      </c>
      <c r="AC321">
        <f>IF($AB321=1,SUM($AB$3:$AB321),"")</f>
        <v/>
      </c>
    </row>
    <row r="322">
      <c r="A322" s="20" t="n"/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>
        <f>IFERROR(INDEX(CONFIGURACOES!$G$37:$G$300,MATCH($I322,CONFIGURACOES!$B$37:$B$300,0)),"")</f>
        <v/>
      </c>
      <c r="K322" s="20">
        <f>IFERROR(INDEX(CONFIGURACOES!$H$37:$H$300,MATCH($I322,CONFIGURACOES!$B$37:$B$300,0)),"")</f>
        <v/>
      </c>
      <c r="L322" s="20" t="n"/>
      <c r="M322" s="20">
        <f>IFERROR(INDEX(CONFIGURACOES!$I$37:$I$300,MATCH($I322,CONFIGURACOES!$B$37:$B$300,0)),"")</f>
        <v/>
      </c>
      <c r="N322" s="21" t="n"/>
      <c r="O322" s="21" t="n"/>
      <c r="P322" s="21" t="n"/>
      <c r="Q322" s="21" t="n"/>
      <c r="R322" s="21">
        <f>IF($N322="","",$N322*IF($Q322="",1,$Q322)*IF($P322="",1,$P322)*IF($O322="",1,$O322))</f>
        <v/>
      </c>
      <c r="S322" s="22">
        <f>IFERROR(INDEX(CONFIGURACOES!$J$37:$J$300,MATCH($I322,CONFIGURACOES!$B$37:$B$300,0)),"")</f>
        <v/>
      </c>
      <c r="T322" s="22">
        <f>IF(OR($R322="",$S322=""),"",$R322*$S322)</f>
        <v/>
      </c>
      <c r="U322" s="20" t="n"/>
      <c r="V322" s="20" t="n"/>
      <c r="W322" s="20" t="n"/>
      <c r="X322">
        <f>IF($A322="","",$A322&amp;"|"&amp;$C322&amp;"|"&amp;$I322)</f>
        <v/>
      </c>
      <c r="Y322">
        <f>IF(AND($A322=RELATORIO_MEDICAO!$C$5,$C322=RELATORIO_MEDICAO!$F$5,$A322&lt;&gt;""),COUNTIFS($A$3:$A322,RELATORIO_MEDICAO!$C$5,$C$3:$C322,RELATORIO_MEDICAO!$F$5),"")</f>
        <v/>
      </c>
      <c r="Z322">
        <f>IF(OR($A322="",PESQUISA!$C$4=""),0,IF(OR(ISNUMBER(SEARCH(PESQUISA!$C$4,$G322)),ISNUMBER(SEARCH(PESQUISA!$C$4,$K322)),ISNUMBER(SEARCH(PESQUISA!$C$4,$L322))),1,0))</f>
        <v/>
      </c>
      <c r="AA322">
        <f>IF($Z322=1,SUM($Z$3:$Z322),"")</f>
        <v/>
      </c>
      <c r="AB322">
        <f>IF(OR($A322="",PESQUISA!$C$50=""),0,IF(ISNUMBER(SEARCH(PESQUISA!$C$50,$I322)),1,0))</f>
        <v/>
      </c>
      <c r="AC322">
        <f>IF($AB322=1,SUM($AB$3:$AB322),"")</f>
        <v/>
      </c>
    </row>
    <row r="323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>
        <f>IFERROR(INDEX(CONFIGURACOES!$G$37:$G$300,MATCH($I323,CONFIGURACOES!$B$37:$B$300,0)),"")</f>
        <v/>
      </c>
      <c r="K323" s="20">
        <f>IFERROR(INDEX(CONFIGURACOES!$H$37:$H$300,MATCH($I323,CONFIGURACOES!$B$37:$B$300,0)),"")</f>
        <v/>
      </c>
      <c r="L323" s="20" t="n"/>
      <c r="M323" s="20">
        <f>IFERROR(INDEX(CONFIGURACOES!$I$37:$I$300,MATCH($I323,CONFIGURACOES!$B$37:$B$300,0)),"")</f>
        <v/>
      </c>
      <c r="N323" s="21" t="n"/>
      <c r="O323" s="21" t="n"/>
      <c r="P323" s="21" t="n"/>
      <c r="Q323" s="21" t="n"/>
      <c r="R323" s="21">
        <f>IF($N323="","",$N323*IF($Q323="",1,$Q323)*IF($P323="",1,$P323)*IF($O323="",1,$O323))</f>
        <v/>
      </c>
      <c r="S323" s="22">
        <f>IFERROR(INDEX(CONFIGURACOES!$J$37:$J$300,MATCH($I323,CONFIGURACOES!$B$37:$B$300,0)),"")</f>
        <v/>
      </c>
      <c r="T323" s="22">
        <f>IF(OR($R323="",$S323=""),"",$R323*$S323)</f>
        <v/>
      </c>
      <c r="U323" s="20" t="n"/>
      <c r="V323" s="20" t="n"/>
      <c r="W323" s="20" t="n"/>
      <c r="X323">
        <f>IF($A323="","",$A323&amp;"|"&amp;$C323&amp;"|"&amp;$I323)</f>
        <v/>
      </c>
      <c r="Y323">
        <f>IF(AND($A323=RELATORIO_MEDICAO!$C$5,$C323=RELATORIO_MEDICAO!$F$5,$A323&lt;&gt;""),COUNTIFS($A$3:$A323,RELATORIO_MEDICAO!$C$5,$C$3:$C323,RELATORIO_MEDICAO!$F$5),"")</f>
        <v/>
      </c>
      <c r="Z323">
        <f>IF(OR($A323="",PESQUISA!$C$4=""),0,IF(OR(ISNUMBER(SEARCH(PESQUISA!$C$4,$G323)),ISNUMBER(SEARCH(PESQUISA!$C$4,$K323)),ISNUMBER(SEARCH(PESQUISA!$C$4,$L323))),1,0))</f>
        <v/>
      </c>
      <c r="AA323">
        <f>IF($Z323=1,SUM($Z$3:$Z323),"")</f>
        <v/>
      </c>
      <c r="AB323">
        <f>IF(OR($A323="",PESQUISA!$C$50=""),0,IF(ISNUMBER(SEARCH(PESQUISA!$C$50,$I323)),1,0))</f>
        <v/>
      </c>
      <c r="AC323">
        <f>IF($AB323=1,SUM($AB$3:$AB323),"")</f>
        <v/>
      </c>
    </row>
    <row r="324">
      <c r="A324" s="20" t="n"/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>
        <f>IFERROR(INDEX(CONFIGURACOES!$G$37:$G$300,MATCH($I324,CONFIGURACOES!$B$37:$B$300,0)),"")</f>
        <v/>
      </c>
      <c r="K324" s="20">
        <f>IFERROR(INDEX(CONFIGURACOES!$H$37:$H$300,MATCH($I324,CONFIGURACOES!$B$37:$B$300,0)),"")</f>
        <v/>
      </c>
      <c r="L324" s="20" t="n"/>
      <c r="M324" s="20">
        <f>IFERROR(INDEX(CONFIGURACOES!$I$37:$I$300,MATCH($I324,CONFIGURACOES!$B$37:$B$300,0)),"")</f>
        <v/>
      </c>
      <c r="N324" s="21" t="n"/>
      <c r="O324" s="21" t="n"/>
      <c r="P324" s="21" t="n"/>
      <c r="Q324" s="21" t="n"/>
      <c r="R324" s="21">
        <f>IF($N324="","",$N324*IF($Q324="",1,$Q324)*IF($P324="",1,$P324)*IF($O324="",1,$O324))</f>
        <v/>
      </c>
      <c r="S324" s="22">
        <f>IFERROR(INDEX(CONFIGURACOES!$J$37:$J$300,MATCH($I324,CONFIGURACOES!$B$37:$B$300,0)),"")</f>
        <v/>
      </c>
      <c r="T324" s="22">
        <f>IF(OR($R324="",$S324=""),"",$R324*$S324)</f>
        <v/>
      </c>
      <c r="U324" s="20" t="n"/>
      <c r="V324" s="20" t="n"/>
      <c r="W324" s="20" t="n"/>
      <c r="X324">
        <f>IF($A324="","",$A324&amp;"|"&amp;$C324&amp;"|"&amp;$I324)</f>
        <v/>
      </c>
      <c r="Y324">
        <f>IF(AND($A324=RELATORIO_MEDICAO!$C$5,$C324=RELATORIO_MEDICAO!$F$5,$A324&lt;&gt;""),COUNTIFS($A$3:$A324,RELATORIO_MEDICAO!$C$5,$C$3:$C324,RELATORIO_MEDICAO!$F$5),"")</f>
        <v/>
      </c>
      <c r="Z324">
        <f>IF(OR($A324="",PESQUISA!$C$4=""),0,IF(OR(ISNUMBER(SEARCH(PESQUISA!$C$4,$G324)),ISNUMBER(SEARCH(PESQUISA!$C$4,$K324)),ISNUMBER(SEARCH(PESQUISA!$C$4,$L324))),1,0))</f>
        <v/>
      </c>
      <c r="AA324">
        <f>IF($Z324=1,SUM($Z$3:$Z324),"")</f>
        <v/>
      </c>
      <c r="AB324">
        <f>IF(OR($A324="",PESQUISA!$C$50=""),0,IF(ISNUMBER(SEARCH(PESQUISA!$C$50,$I324)),1,0))</f>
        <v/>
      </c>
      <c r="AC324">
        <f>IF($AB324=1,SUM($AB$3:$AB324),"")</f>
        <v/>
      </c>
    </row>
    <row r="325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>
        <f>IFERROR(INDEX(CONFIGURACOES!$G$37:$G$300,MATCH($I325,CONFIGURACOES!$B$37:$B$300,0)),"")</f>
        <v/>
      </c>
      <c r="K325" s="20">
        <f>IFERROR(INDEX(CONFIGURACOES!$H$37:$H$300,MATCH($I325,CONFIGURACOES!$B$37:$B$300,0)),"")</f>
        <v/>
      </c>
      <c r="L325" s="20" t="n"/>
      <c r="M325" s="20">
        <f>IFERROR(INDEX(CONFIGURACOES!$I$37:$I$300,MATCH($I325,CONFIGURACOES!$B$37:$B$300,0)),"")</f>
        <v/>
      </c>
      <c r="N325" s="21" t="n"/>
      <c r="O325" s="21" t="n"/>
      <c r="P325" s="21" t="n"/>
      <c r="Q325" s="21" t="n"/>
      <c r="R325" s="21">
        <f>IF($N325="","",$N325*IF($Q325="",1,$Q325)*IF($P325="",1,$P325)*IF($O325="",1,$O325))</f>
        <v/>
      </c>
      <c r="S325" s="22">
        <f>IFERROR(INDEX(CONFIGURACOES!$J$37:$J$300,MATCH($I325,CONFIGURACOES!$B$37:$B$300,0)),"")</f>
        <v/>
      </c>
      <c r="T325" s="22">
        <f>IF(OR($R325="",$S325=""),"",$R325*$S325)</f>
        <v/>
      </c>
      <c r="U325" s="20" t="n"/>
      <c r="V325" s="20" t="n"/>
      <c r="W325" s="20" t="n"/>
      <c r="X325">
        <f>IF($A325="","",$A325&amp;"|"&amp;$C325&amp;"|"&amp;$I325)</f>
        <v/>
      </c>
      <c r="Y325">
        <f>IF(AND($A325=RELATORIO_MEDICAO!$C$5,$C325=RELATORIO_MEDICAO!$F$5,$A325&lt;&gt;""),COUNTIFS($A$3:$A325,RELATORIO_MEDICAO!$C$5,$C$3:$C325,RELATORIO_MEDICAO!$F$5),"")</f>
        <v/>
      </c>
      <c r="Z325">
        <f>IF(OR($A325="",PESQUISA!$C$4=""),0,IF(OR(ISNUMBER(SEARCH(PESQUISA!$C$4,$G325)),ISNUMBER(SEARCH(PESQUISA!$C$4,$K325)),ISNUMBER(SEARCH(PESQUISA!$C$4,$L325))),1,0))</f>
        <v/>
      </c>
      <c r="AA325">
        <f>IF($Z325=1,SUM($Z$3:$Z325),"")</f>
        <v/>
      </c>
      <c r="AB325">
        <f>IF(OR($A325="",PESQUISA!$C$50=""),0,IF(ISNUMBER(SEARCH(PESQUISA!$C$50,$I325)),1,0))</f>
        <v/>
      </c>
      <c r="AC325">
        <f>IF($AB325=1,SUM($AB$3:$AB325),"")</f>
        <v/>
      </c>
    </row>
    <row r="326">
      <c r="A326" s="20" t="n"/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>
        <f>IFERROR(INDEX(CONFIGURACOES!$G$37:$G$300,MATCH($I326,CONFIGURACOES!$B$37:$B$300,0)),"")</f>
        <v/>
      </c>
      <c r="K326" s="20">
        <f>IFERROR(INDEX(CONFIGURACOES!$H$37:$H$300,MATCH($I326,CONFIGURACOES!$B$37:$B$300,0)),"")</f>
        <v/>
      </c>
      <c r="L326" s="20" t="n"/>
      <c r="M326" s="20">
        <f>IFERROR(INDEX(CONFIGURACOES!$I$37:$I$300,MATCH($I326,CONFIGURACOES!$B$37:$B$300,0)),"")</f>
        <v/>
      </c>
      <c r="N326" s="21" t="n"/>
      <c r="O326" s="21" t="n"/>
      <c r="P326" s="21" t="n"/>
      <c r="Q326" s="21" t="n"/>
      <c r="R326" s="21">
        <f>IF($N326="","",$N326*IF($Q326="",1,$Q326)*IF($P326="",1,$P326)*IF($O326="",1,$O326))</f>
        <v/>
      </c>
      <c r="S326" s="22">
        <f>IFERROR(INDEX(CONFIGURACOES!$J$37:$J$300,MATCH($I326,CONFIGURACOES!$B$37:$B$300,0)),"")</f>
        <v/>
      </c>
      <c r="T326" s="22">
        <f>IF(OR($R326="",$S326=""),"",$R326*$S326)</f>
        <v/>
      </c>
      <c r="U326" s="20" t="n"/>
      <c r="V326" s="20" t="n"/>
      <c r="W326" s="20" t="n"/>
      <c r="X326">
        <f>IF($A326="","",$A326&amp;"|"&amp;$C326&amp;"|"&amp;$I326)</f>
        <v/>
      </c>
      <c r="Y326">
        <f>IF(AND($A326=RELATORIO_MEDICAO!$C$5,$C326=RELATORIO_MEDICAO!$F$5,$A326&lt;&gt;""),COUNTIFS($A$3:$A326,RELATORIO_MEDICAO!$C$5,$C$3:$C326,RELATORIO_MEDICAO!$F$5),"")</f>
        <v/>
      </c>
      <c r="Z326">
        <f>IF(OR($A326="",PESQUISA!$C$4=""),0,IF(OR(ISNUMBER(SEARCH(PESQUISA!$C$4,$G326)),ISNUMBER(SEARCH(PESQUISA!$C$4,$K326)),ISNUMBER(SEARCH(PESQUISA!$C$4,$L326))),1,0))</f>
        <v/>
      </c>
      <c r="AA326">
        <f>IF($Z326=1,SUM($Z$3:$Z326),"")</f>
        <v/>
      </c>
      <c r="AB326">
        <f>IF(OR($A326="",PESQUISA!$C$50=""),0,IF(ISNUMBER(SEARCH(PESQUISA!$C$50,$I326)),1,0))</f>
        <v/>
      </c>
      <c r="AC326">
        <f>IF($AB326=1,SUM($AB$3:$AB326),"")</f>
        <v/>
      </c>
    </row>
    <row r="327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>
        <f>IFERROR(INDEX(CONFIGURACOES!$G$37:$G$300,MATCH($I327,CONFIGURACOES!$B$37:$B$300,0)),"")</f>
        <v/>
      </c>
      <c r="K327" s="20">
        <f>IFERROR(INDEX(CONFIGURACOES!$H$37:$H$300,MATCH($I327,CONFIGURACOES!$B$37:$B$300,0)),"")</f>
        <v/>
      </c>
      <c r="L327" s="20" t="n"/>
      <c r="M327" s="20">
        <f>IFERROR(INDEX(CONFIGURACOES!$I$37:$I$300,MATCH($I327,CONFIGURACOES!$B$37:$B$300,0)),"")</f>
        <v/>
      </c>
      <c r="N327" s="21" t="n"/>
      <c r="O327" s="21" t="n"/>
      <c r="P327" s="21" t="n"/>
      <c r="Q327" s="21" t="n"/>
      <c r="R327" s="21">
        <f>IF($N327="","",$N327*IF($Q327="",1,$Q327)*IF($P327="",1,$P327)*IF($O327="",1,$O327))</f>
        <v/>
      </c>
      <c r="S327" s="22">
        <f>IFERROR(INDEX(CONFIGURACOES!$J$37:$J$300,MATCH($I327,CONFIGURACOES!$B$37:$B$300,0)),"")</f>
        <v/>
      </c>
      <c r="T327" s="22">
        <f>IF(OR($R327="",$S327=""),"",$R327*$S327)</f>
        <v/>
      </c>
      <c r="U327" s="20" t="n"/>
      <c r="V327" s="20" t="n"/>
      <c r="W327" s="20" t="n"/>
      <c r="X327">
        <f>IF($A327="","",$A327&amp;"|"&amp;$C327&amp;"|"&amp;$I327)</f>
        <v/>
      </c>
      <c r="Y327">
        <f>IF(AND($A327=RELATORIO_MEDICAO!$C$5,$C327=RELATORIO_MEDICAO!$F$5,$A327&lt;&gt;""),COUNTIFS($A$3:$A327,RELATORIO_MEDICAO!$C$5,$C$3:$C327,RELATORIO_MEDICAO!$F$5),"")</f>
        <v/>
      </c>
      <c r="Z327">
        <f>IF(OR($A327="",PESQUISA!$C$4=""),0,IF(OR(ISNUMBER(SEARCH(PESQUISA!$C$4,$G327)),ISNUMBER(SEARCH(PESQUISA!$C$4,$K327)),ISNUMBER(SEARCH(PESQUISA!$C$4,$L327))),1,0))</f>
        <v/>
      </c>
      <c r="AA327">
        <f>IF($Z327=1,SUM($Z$3:$Z327),"")</f>
        <v/>
      </c>
      <c r="AB327">
        <f>IF(OR($A327="",PESQUISA!$C$50=""),0,IF(ISNUMBER(SEARCH(PESQUISA!$C$50,$I327)),1,0))</f>
        <v/>
      </c>
      <c r="AC327">
        <f>IF($AB327=1,SUM($AB$3:$AB327),"")</f>
        <v/>
      </c>
    </row>
    <row r="328">
      <c r="A328" s="20" t="n"/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>
        <f>IFERROR(INDEX(CONFIGURACOES!$G$37:$G$300,MATCH($I328,CONFIGURACOES!$B$37:$B$300,0)),"")</f>
        <v/>
      </c>
      <c r="K328" s="20">
        <f>IFERROR(INDEX(CONFIGURACOES!$H$37:$H$300,MATCH($I328,CONFIGURACOES!$B$37:$B$300,0)),"")</f>
        <v/>
      </c>
      <c r="L328" s="20" t="n"/>
      <c r="M328" s="20">
        <f>IFERROR(INDEX(CONFIGURACOES!$I$37:$I$300,MATCH($I328,CONFIGURACOES!$B$37:$B$300,0)),"")</f>
        <v/>
      </c>
      <c r="N328" s="21" t="n"/>
      <c r="O328" s="21" t="n"/>
      <c r="P328" s="21" t="n"/>
      <c r="Q328" s="21" t="n"/>
      <c r="R328" s="21">
        <f>IF($N328="","",$N328*IF($Q328="",1,$Q328)*IF($P328="",1,$P328)*IF($O328="",1,$O328))</f>
        <v/>
      </c>
      <c r="S328" s="22">
        <f>IFERROR(INDEX(CONFIGURACOES!$J$37:$J$300,MATCH($I328,CONFIGURACOES!$B$37:$B$300,0)),"")</f>
        <v/>
      </c>
      <c r="T328" s="22">
        <f>IF(OR($R328="",$S328=""),"",$R328*$S328)</f>
        <v/>
      </c>
      <c r="U328" s="20" t="n"/>
      <c r="V328" s="20" t="n"/>
      <c r="W328" s="20" t="n"/>
      <c r="X328">
        <f>IF($A328="","",$A328&amp;"|"&amp;$C328&amp;"|"&amp;$I328)</f>
        <v/>
      </c>
      <c r="Y328">
        <f>IF(AND($A328=RELATORIO_MEDICAO!$C$5,$C328=RELATORIO_MEDICAO!$F$5,$A328&lt;&gt;""),COUNTIFS($A$3:$A328,RELATORIO_MEDICAO!$C$5,$C$3:$C328,RELATORIO_MEDICAO!$F$5),"")</f>
        <v/>
      </c>
      <c r="Z328">
        <f>IF(OR($A328="",PESQUISA!$C$4=""),0,IF(OR(ISNUMBER(SEARCH(PESQUISA!$C$4,$G328)),ISNUMBER(SEARCH(PESQUISA!$C$4,$K328)),ISNUMBER(SEARCH(PESQUISA!$C$4,$L328))),1,0))</f>
        <v/>
      </c>
      <c r="AA328">
        <f>IF($Z328=1,SUM($Z$3:$Z328),"")</f>
        <v/>
      </c>
      <c r="AB328">
        <f>IF(OR($A328="",PESQUISA!$C$50=""),0,IF(ISNUMBER(SEARCH(PESQUISA!$C$50,$I328)),1,0))</f>
        <v/>
      </c>
      <c r="AC328">
        <f>IF($AB328=1,SUM($AB$3:$AB328),"")</f>
        <v/>
      </c>
    </row>
    <row r="329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>
        <f>IFERROR(INDEX(CONFIGURACOES!$G$37:$G$300,MATCH($I329,CONFIGURACOES!$B$37:$B$300,0)),"")</f>
        <v/>
      </c>
      <c r="K329" s="20">
        <f>IFERROR(INDEX(CONFIGURACOES!$H$37:$H$300,MATCH($I329,CONFIGURACOES!$B$37:$B$300,0)),"")</f>
        <v/>
      </c>
      <c r="L329" s="20" t="n"/>
      <c r="M329" s="20">
        <f>IFERROR(INDEX(CONFIGURACOES!$I$37:$I$300,MATCH($I329,CONFIGURACOES!$B$37:$B$300,0)),"")</f>
        <v/>
      </c>
      <c r="N329" s="21" t="n"/>
      <c r="O329" s="21" t="n"/>
      <c r="P329" s="21" t="n"/>
      <c r="Q329" s="21" t="n"/>
      <c r="R329" s="21">
        <f>IF($N329="","",$N329*IF($Q329="",1,$Q329)*IF($P329="",1,$P329)*IF($O329="",1,$O329))</f>
        <v/>
      </c>
      <c r="S329" s="22">
        <f>IFERROR(INDEX(CONFIGURACOES!$J$37:$J$300,MATCH($I329,CONFIGURACOES!$B$37:$B$300,0)),"")</f>
        <v/>
      </c>
      <c r="T329" s="22">
        <f>IF(OR($R329="",$S329=""),"",$R329*$S329)</f>
        <v/>
      </c>
      <c r="U329" s="20" t="n"/>
      <c r="V329" s="20" t="n"/>
      <c r="W329" s="20" t="n"/>
      <c r="X329">
        <f>IF($A329="","",$A329&amp;"|"&amp;$C329&amp;"|"&amp;$I329)</f>
        <v/>
      </c>
      <c r="Y329">
        <f>IF(AND($A329=RELATORIO_MEDICAO!$C$5,$C329=RELATORIO_MEDICAO!$F$5,$A329&lt;&gt;""),COUNTIFS($A$3:$A329,RELATORIO_MEDICAO!$C$5,$C$3:$C329,RELATORIO_MEDICAO!$F$5),"")</f>
        <v/>
      </c>
      <c r="Z329">
        <f>IF(OR($A329="",PESQUISA!$C$4=""),0,IF(OR(ISNUMBER(SEARCH(PESQUISA!$C$4,$G329)),ISNUMBER(SEARCH(PESQUISA!$C$4,$K329)),ISNUMBER(SEARCH(PESQUISA!$C$4,$L329))),1,0))</f>
        <v/>
      </c>
      <c r="AA329">
        <f>IF($Z329=1,SUM($Z$3:$Z329),"")</f>
        <v/>
      </c>
      <c r="AB329">
        <f>IF(OR($A329="",PESQUISA!$C$50=""),0,IF(ISNUMBER(SEARCH(PESQUISA!$C$50,$I329)),1,0))</f>
        <v/>
      </c>
      <c r="AC329">
        <f>IF($AB329=1,SUM($AB$3:$AB329),"")</f>
        <v/>
      </c>
    </row>
    <row r="330">
      <c r="A330" s="20" t="n"/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>
        <f>IFERROR(INDEX(CONFIGURACOES!$G$37:$G$300,MATCH($I330,CONFIGURACOES!$B$37:$B$300,0)),"")</f>
        <v/>
      </c>
      <c r="K330" s="20">
        <f>IFERROR(INDEX(CONFIGURACOES!$H$37:$H$300,MATCH($I330,CONFIGURACOES!$B$37:$B$300,0)),"")</f>
        <v/>
      </c>
      <c r="L330" s="20" t="n"/>
      <c r="M330" s="20">
        <f>IFERROR(INDEX(CONFIGURACOES!$I$37:$I$300,MATCH($I330,CONFIGURACOES!$B$37:$B$300,0)),"")</f>
        <v/>
      </c>
      <c r="N330" s="21" t="n"/>
      <c r="O330" s="21" t="n"/>
      <c r="P330" s="21" t="n"/>
      <c r="Q330" s="21" t="n"/>
      <c r="R330" s="21">
        <f>IF($N330="","",$N330*IF($Q330="",1,$Q330)*IF($P330="",1,$P330)*IF($O330="",1,$O330))</f>
        <v/>
      </c>
      <c r="S330" s="22">
        <f>IFERROR(INDEX(CONFIGURACOES!$J$37:$J$300,MATCH($I330,CONFIGURACOES!$B$37:$B$300,0)),"")</f>
        <v/>
      </c>
      <c r="T330" s="22">
        <f>IF(OR($R330="",$S330=""),"",$R330*$S330)</f>
        <v/>
      </c>
      <c r="U330" s="20" t="n"/>
      <c r="V330" s="20" t="n"/>
      <c r="W330" s="20" t="n"/>
      <c r="X330">
        <f>IF($A330="","",$A330&amp;"|"&amp;$C330&amp;"|"&amp;$I330)</f>
        <v/>
      </c>
      <c r="Y330">
        <f>IF(AND($A330=RELATORIO_MEDICAO!$C$5,$C330=RELATORIO_MEDICAO!$F$5,$A330&lt;&gt;""),COUNTIFS($A$3:$A330,RELATORIO_MEDICAO!$C$5,$C$3:$C330,RELATORIO_MEDICAO!$F$5),"")</f>
        <v/>
      </c>
      <c r="Z330">
        <f>IF(OR($A330="",PESQUISA!$C$4=""),0,IF(OR(ISNUMBER(SEARCH(PESQUISA!$C$4,$G330)),ISNUMBER(SEARCH(PESQUISA!$C$4,$K330)),ISNUMBER(SEARCH(PESQUISA!$C$4,$L330))),1,0))</f>
        <v/>
      </c>
      <c r="AA330">
        <f>IF($Z330=1,SUM($Z$3:$Z330),"")</f>
        <v/>
      </c>
      <c r="AB330">
        <f>IF(OR($A330="",PESQUISA!$C$50=""),0,IF(ISNUMBER(SEARCH(PESQUISA!$C$50,$I330)),1,0))</f>
        <v/>
      </c>
      <c r="AC330">
        <f>IF($AB330=1,SUM($AB$3:$AB330),"")</f>
        <v/>
      </c>
    </row>
    <row r="331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>
        <f>IFERROR(INDEX(CONFIGURACOES!$G$37:$G$300,MATCH($I331,CONFIGURACOES!$B$37:$B$300,0)),"")</f>
        <v/>
      </c>
      <c r="K331" s="20">
        <f>IFERROR(INDEX(CONFIGURACOES!$H$37:$H$300,MATCH($I331,CONFIGURACOES!$B$37:$B$300,0)),"")</f>
        <v/>
      </c>
      <c r="L331" s="20" t="n"/>
      <c r="M331" s="20">
        <f>IFERROR(INDEX(CONFIGURACOES!$I$37:$I$300,MATCH($I331,CONFIGURACOES!$B$37:$B$300,0)),"")</f>
        <v/>
      </c>
      <c r="N331" s="21" t="n"/>
      <c r="O331" s="21" t="n"/>
      <c r="P331" s="21" t="n"/>
      <c r="Q331" s="21" t="n"/>
      <c r="R331" s="21">
        <f>IF($N331="","",$N331*IF($Q331="",1,$Q331)*IF($P331="",1,$P331)*IF($O331="",1,$O331))</f>
        <v/>
      </c>
      <c r="S331" s="22">
        <f>IFERROR(INDEX(CONFIGURACOES!$J$37:$J$300,MATCH($I331,CONFIGURACOES!$B$37:$B$300,0)),"")</f>
        <v/>
      </c>
      <c r="T331" s="22">
        <f>IF(OR($R331="",$S331=""),"",$R331*$S331)</f>
        <v/>
      </c>
      <c r="U331" s="20" t="n"/>
      <c r="V331" s="20" t="n"/>
      <c r="W331" s="20" t="n"/>
      <c r="X331">
        <f>IF($A331="","",$A331&amp;"|"&amp;$C331&amp;"|"&amp;$I331)</f>
        <v/>
      </c>
      <c r="Y331">
        <f>IF(AND($A331=RELATORIO_MEDICAO!$C$5,$C331=RELATORIO_MEDICAO!$F$5,$A331&lt;&gt;""),COUNTIFS($A$3:$A331,RELATORIO_MEDICAO!$C$5,$C$3:$C331,RELATORIO_MEDICAO!$F$5),"")</f>
        <v/>
      </c>
      <c r="Z331">
        <f>IF(OR($A331="",PESQUISA!$C$4=""),0,IF(OR(ISNUMBER(SEARCH(PESQUISA!$C$4,$G331)),ISNUMBER(SEARCH(PESQUISA!$C$4,$K331)),ISNUMBER(SEARCH(PESQUISA!$C$4,$L331))),1,0))</f>
        <v/>
      </c>
      <c r="AA331">
        <f>IF($Z331=1,SUM($Z$3:$Z331),"")</f>
        <v/>
      </c>
      <c r="AB331">
        <f>IF(OR($A331="",PESQUISA!$C$50=""),0,IF(ISNUMBER(SEARCH(PESQUISA!$C$50,$I331)),1,0))</f>
        <v/>
      </c>
      <c r="AC331">
        <f>IF($AB331=1,SUM($AB$3:$AB331),"")</f>
        <v/>
      </c>
    </row>
    <row r="332">
      <c r="A332" s="20" t="n"/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>
        <f>IFERROR(INDEX(CONFIGURACOES!$G$37:$G$300,MATCH($I332,CONFIGURACOES!$B$37:$B$300,0)),"")</f>
        <v/>
      </c>
      <c r="K332" s="20">
        <f>IFERROR(INDEX(CONFIGURACOES!$H$37:$H$300,MATCH($I332,CONFIGURACOES!$B$37:$B$300,0)),"")</f>
        <v/>
      </c>
      <c r="L332" s="20" t="n"/>
      <c r="M332" s="20">
        <f>IFERROR(INDEX(CONFIGURACOES!$I$37:$I$300,MATCH($I332,CONFIGURACOES!$B$37:$B$300,0)),"")</f>
        <v/>
      </c>
      <c r="N332" s="21" t="n"/>
      <c r="O332" s="21" t="n"/>
      <c r="P332" s="21" t="n"/>
      <c r="Q332" s="21" t="n"/>
      <c r="R332" s="21">
        <f>IF($N332="","",$N332*IF($Q332="",1,$Q332)*IF($P332="",1,$P332)*IF($O332="",1,$O332))</f>
        <v/>
      </c>
      <c r="S332" s="22">
        <f>IFERROR(INDEX(CONFIGURACOES!$J$37:$J$300,MATCH($I332,CONFIGURACOES!$B$37:$B$300,0)),"")</f>
        <v/>
      </c>
      <c r="T332" s="22">
        <f>IF(OR($R332="",$S332=""),"",$R332*$S332)</f>
        <v/>
      </c>
      <c r="U332" s="20" t="n"/>
      <c r="V332" s="20" t="n"/>
      <c r="W332" s="20" t="n"/>
      <c r="X332">
        <f>IF($A332="","",$A332&amp;"|"&amp;$C332&amp;"|"&amp;$I332)</f>
        <v/>
      </c>
      <c r="Y332">
        <f>IF(AND($A332=RELATORIO_MEDICAO!$C$5,$C332=RELATORIO_MEDICAO!$F$5,$A332&lt;&gt;""),COUNTIFS($A$3:$A332,RELATORIO_MEDICAO!$C$5,$C$3:$C332,RELATORIO_MEDICAO!$F$5),"")</f>
        <v/>
      </c>
      <c r="Z332">
        <f>IF(OR($A332="",PESQUISA!$C$4=""),0,IF(OR(ISNUMBER(SEARCH(PESQUISA!$C$4,$G332)),ISNUMBER(SEARCH(PESQUISA!$C$4,$K332)),ISNUMBER(SEARCH(PESQUISA!$C$4,$L332))),1,0))</f>
        <v/>
      </c>
      <c r="AA332">
        <f>IF($Z332=1,SUM($Z$3:$Z332),"")</f>
        <v/>
      </c>
      <c r="AB332">
        <f>IF(OR($A332="",PESQUISA!$C$50=""),0,IF(ISNUMBER(SEARCH(PESQUISA!$C$50,$I332)),1,0))</f>
        <v/>
      </c>
      <c r="AC332">
        <f>IF($AB332=1,SUM($AB$3:$AB332),"")</f>
        <v/>
      </c>
    </row>
    <row r="333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>
        <f>IFERROR(INDEX(CONFIGURACOES!$G$37:$G$300,MATCH($I333,CONFIGURACOES!$B$37:$B$300,0)),"")</f>
        <v/>
      </c>
      <c r="K333" s="20">
        <f>IFERROR(INDEX(CONFIGURACOES!$H$37:$H$300,MATCH($I333,CONFIGURACOES!$B$37:$B$300,0)),"")</f>
        <v/>
      </c>
      <c r="L333" s="20" t="n"/>
      <c r="M333" s="20">
        <f>IFERROR(INDEX(CONFIGURACOES!$I$37:$I$300,MATCH($I333,CONFIGURACOES!$B$37:$B$300,0)),"")</f>
        <v/>
      </c>
      <c r="N333" s="21" t="n"/>
      <c r="O333" s="21" t="n"/>
      <c r="P333" s="21" t="n"/>
      <c r="Q333" s="21" t="n"/>
      <c r="R333" s="21">
        <f>IF($N333="","",$N333*IF($Q333="",1,$Q333)*IF($P333="",1,$P333)*IF($O333="",1,$O333))</f>
        <v/>
      </c>
      <c r="S333" s="22">
        <f>IFERROR(INDEX(CONFIGURACOES!$J$37:$J$300,MATCH($I333,CONFIGURACOES!$B$37:$B$300,0)),"")</f>
        <v/>
      </c>
      <c r="T333" s="22">
        <f>IF(OR($R333="",$S333=""),"",$R333*$S333)</f>
        <v/>
      </c>
      <c r="U333" s="20" t="n"/>
      <c r="V333" s="20" t="n"/>
      <c r="W333" s="20" t="n"/>
      <c r="X333">
        <f>IF($A333="","",$A333&amp;"|"&amp;$C333&amp;"|"&amp;$I333)</f>
        <v/>
      </c>
      <c r="Y333">
        <f>IF(AND($A333=RELATORIO_MEDICAO!$C$5,$C333=RELATORIO_MEDICAO!$F$5,$A333&lt;&gt;""),COUNTIFS($A$3:$A333,RELATORIO_MEDICAO!$C$5,$C$3:$C333,RELATORIO_MEDICAO!$F$5),"")</f>
        <v/>
      </c>
      <c r="Z333">
        <f>IF(OR($A333="",PESQUISA!$C$4=""),0,IF(OR(ISNUMBER(SEARCH(PESQUISA!$C$4,$G333)),ISNUMBER(SEARCH(PESQUISA!$C$4,$K333)),ISNUMBER(SEARCH(PESQUISA!$C$4,$L333))),1,0))</f>
        <v/>
      </c>
      <c r="AA333">
        <f>IF($Z333=1,SUM($Z$3:$Z333),"")</f>
        <v/>
      </c>
      <c r="AB333">
        <f>IF(OR($A333="",PESQUISA!$C$50=""),0,IF(ISNUMBER(SEARCH(PESQUISA!$C$50,$I333)),1,0))</f>
        <v/>
      </c>
      <c r="AC333">
        <f>IF($AB333=1,SUM($AB$3:$AB333),"")</f>
        <v/>
      </c>
    </row>
    <row r="334">
      <c r="A334" s="20" t="n"/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>
        <f>IFERROR(INDEX(CONFIGURACOES!$G$37:$G$300,MATCH($I334,CONFIGURACOES!$B$37:$B$300,0)),"")</f>
        <v/>
      </c>
      <c r="K334" s="20">
        <f>IFERROR(INDEX(CONFIGURACOES!$H$37:$H$300,MATCH($I334,CONFIGURACOES!$B$37:$B$300,0)),"")</f>
        <v/>
      </c>
      <c r="L334" s="20" t="n"/>
      <c r="M334" s="20">
        <f>IFERROR(INDEX(CONFIGURACOES!$I$37:$I$300,MATCH($I334,CONFIGURACOES!$B$37:$B$300,0)),"")</f>
        <v/>
      </c>
      <c r="N334" s="21" t="n"/>
      <c r="O334" s="21" t="n"/>
      <c r="P334" s="21" t="n"/>
      <c r="Q334" s="21" t="n"/>
      <c r="R334" s="21">
        <f>IF($N334="","",$N334*IF($Q334="",1,$Q334)*IF($P334="",1,$P334)*IF($O334="",1,$O334))</f>
        <v/>
      </c>
      <c r="S334" s="22">
        <f>IFERROR(INDEX(CONFIGURACOES!$J$37:$J$300,MATCH($I334,CONFIGURACOES!$B$37:$B$300,0)),"")</f>
        <v/>
      </c>
      <c r="T334" s="22">
        <f>IF(OR($R334="",$S334=""),"",$R334*$S334)</f>
        <v/>
      </c>
      <c r="U334" s="20" t="n"/>
      <c r="V334" s="20" t="n"/>
      <c r="W334" s="20" t="n"/>
      <c r="X334">
        <f>IF($A334="","",$A334&amp;"|"&amp;$C334&amp;"|"&amp;$I334)</f>
        <v/>
      </c>
      <c r="Y334">
        <f>IF(AND($A334=RELATORIO_MEDICAO!$C$5,$C334=RELATORIO_MEDICAO!$F$5,$A334&lt;&gt;""),COUNTIFS($A$3:$A334,RELATORIO_MEDICAO!$C$5,$C$3:$C334,RELATORIO_MEDICAO!$F$5),"")</f>
        <v/>
      </c>
      <c r="Z334">
        <f>IF(OR($A334="",PESQUISA!$C$4=""),0,IF(OR(ISNUMBER(SEARCH(PESQUISA!$C$4,$G334)),ISNUMBER(SEARCH(PESQUISA!$C$4,$K334)),ISNUMBER(SEARCH(PESQUISA!$C$4,$L334))),1,0))</f>
        <v/>
      </c>
      <c r="AA334">
        <f>IF($Z334=1,SUM($Z$3:$Z334),"")</f>
        <v/>
      </c>
      <c r="AB334">
        <f>IF(OR($A334="",PESQUISA!$C$50=""),0,IF(ISNUMBER(SEARCH(PESQUISA!$C$50,$I334)),1,0))</f>
        <v/>
      </c>
      <c r="AC334">
        <f>IF($AB334=1,SUM($AB$3:$AB334),"")</f>
        <v/>
      </c>
    </row>
    <row r="335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>
        <f>IFERROR(INDEX(CONFIGURACOES!$G$37:$G$300,MATCH($I335,CONFIGURACOES!$B$37:$B$300,0)),"")</f>
        <v/>
      </c>
      <c r="K335" s="20">
        <f>IFERROR(INDEX(CONFIGURACOES!$H$37:$H$300,MATCH($I335,CONFIGURACOES!$B$37:$B$300,0)),"")</f>
        <v/>
      </c>
      <c r="L335" s="20" t="n"/>
      <c r="M335" s="20">
        <f>IFERROR(INDEX(CONFIGURACOES!$I$37:$I$300,MATCH($I335,CONFIGURACOES!$B$37:$B$300,0)),"")</f>
        <v/>
      </c>
      <c r="N335" s="21" t="n"/>
      <c r="O335" s="21" t="n"/>
      <c r="P335" s="21" t="n"/>
      <c r="Q335" s="21" t="n"/>
      <c r="R335" s="21">
        <f>IF($N335="","",$N335*IF($Q335="",1,$Q335)*IF($P335="",1,$P335)*IF($O335="",1,$O335))</f>
        <v/>
      </c>
      <c r="S335" s="22">
        <f>IFERROR(INDEX(CONFIGURACOES!$J$37:$J$300,MATCH($I335,CONFIGURACOES!$B$37:$B$300,0)),"")</f>
        <v/>
      </c>
      <c r="T335" s="22">
        <f>IF(OR($R335="",$S335=""),"",$R335*$S335)</f>
        <v/>
      </c>
      <c r="U335" s="20" t="n"/>
      <c r="V335" s="20" t="n"/>
      <c r="W335" s="20" t="n"/>
      <c r="X335">
        <f>IF($A335="","",$A335&amp;"|"&amp;$C335&amp;"|"&amp;$I335)</f>
        <v/>
      </c>
      <c r="Y335">
        <f>IF(AND($A335=RELATORIO_MEDICAO!$C$5,$C335=RELATORIO_MEDICAO!$F$5,$A335&lt;&gt;""),COUNTIFS($A$3:$A335,RELATORIO_MEDICAO!$C$5,$C$3:$C335,RELATORIO_MEDICAO!$F$5),"")</f>
        <v/>
      </c>
      <c r="Z335">
        <f>IF(OR($A335="",PESQUISA!$C$4=""),0,IF(OR(ISNUMBER(SEARCH(PESQUISA!$C$4,$G335)),ISNUMBER(SEARCH(PESQUISA!$C$4,$K335)),ISNUMBER(SEARCH(PESQUISA!$C$4,$L335))),1,0))</f>
        <v/>
      </c>
      <c r="AA335">
        <f>IF($Z335=1,SUM($Z$3:$Z335),"")</f>
        <v/>
      </c>
      <c r="AB335">
        <f>IF(OR($A335="",PESQUISA!$C$50=""),0,IF(ISNUMBER(SEARCH(PESQUISA!$C$50,$I335)),1,0))</f>
        <v/>
      </c>
      <c r="AC335">
        <f>IF($AB335=1,SUM($AB$3:$AB335),"")</f>
        <v/>
      </c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>
        <f>IFERROR(INDEX(CONFIGURACOES!$G$37:$G$300,MATCH($I336,CONFIGURACOES!$B$37:$B$300,0)),"")</f>
        <v/>
      </c>
      <c r="K336" s="20">
        <f>IFERROR(INDEX(CONFIGURACOES!$H$37:$H$300,MATCH($I336,CONFIGURACOES!$B$37:$B$300,0)),"")</f>
        <v/>
      </c>
      <c r="L336" s="20" t="n"/>
      <c r="M336" s="20">
        <f>IFERROR(INDEX(CONFIGURACOES!$I$37:$I$300,MATCH($I336,CONFIGURACOES!$B$37:$B$300,0)),"")</f>
        <v/>
      </c>
      <c r="N336" s="21" t="n"/>
      <c r="O336" s="21" t="n"/>
      <c r="P336" s="21" t="n"/>
      <c r="Q336" s="21" t="n"/>
      <c r="R336" s="21">
        <f>IF($N336="","",$N336*IF($Q336="",1,$Q336)*IF($P336="",1,$P336)*IF($O336="",1,$O336))</f>
        <v/>
      </c>
      <c r="S336" s="22">
        <f>IFERROR(INDEX(CONFIGURACOES!$J$37:$J$300,MATCH($I336,CONFIGURACOES!$B$37:$B$300,0)),"")</f>
        <v/>
      </c>
      <c r="T336" s="22">
        <f>IF(OR($R336="",$S336=""),"",$R336*$S336)</f>
        <v/>
      </c>
      <c r="U336" s="20" t="n"/>
      <c r="V336" s="20" t="n"/>
      <c r="W336" s="20" t="n"/>
      <c r="X336">
        <f>IF($A336="","",$A336&amp;"|"&amp;$C336&amp;"|"&amp;$I336)</f>
        <v/>
      </c>
      <c r="Y336">
        <f>IF(AND($A336=RELATORIO_MEDICAO!$C$5,$C336=RELATORIO_MEDICAO!$F$5,$A336&lt;&gt;""),COUNTIFS($A$3:$A336,RELATORIO_MEDICAO!$C$5,$C$3:$C336,RELATORIO_MEDICAO!$F$5),"")</f>
        <v/>
      </c>
      <c r="Z336">
        <f>IF(OR($A336="",PESQUISA!$C$4=""),0,IF(OR(ISNUMBER(SEARCH(PESQUISA!$C$4,$G336)),ISNUMBER(SEARCH(PESQUISA!$C$4,$K336)),ISNUMBER(SEARCH(PESQUISA!$C$4,$L336))),1,0))</f>
        <v/>
      </c>
      <c r="AA336">
        <f>IF($Z336=1,SUM($Z$3:$Z336),"")</f>
        <v/>
      </c>
      <c r="AB336">
        <f>IF(OR($A336="",PESQUISA!$C$50=""),0,IF(ISNUMBER(SEARCH(PESQUISA!$C$50,$I336)),1,0))</f>
        <v/>
      </c>
      <c r="AC336">
        <f>IF($AB336=1,SUM($AB$3:$AB336),"")</f>
        <v/>
      </c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>
        <f>IFERROR(INDEX(CONFIGURACOES!$G$37:$G$300,MATCH($I337,CONFIGURACOES!$B$37:$B$300,0)),"")</f>
        <v/>
      </c>
      <c r="K337" s="20">
        <f>IFERROR(INDEX(CONFIGURACOES!$H$37:$H$300,MATCH($I337,CONFIGURACOES!$B$37:$B$300,0)),"")</f>
        <v/>
      </c>
      <c r="L337" s="20" t="n"/>
      <c r="M337" s="20">
        <f>IFERROR(INDEX(CONFIGURACOES!$I$37:$I$300,MATCH($I337,CONFIGURACOES!$B$37:$B$300,0)),"")</f>
        <v/>
      </c>
      <c r="N337" s="21" t="n"/>
      <c r="O337" s="21" t="n"/>
      <c r="P337" s="21" t="n"/>
      <c r="Q337" s="21" t="n"/>
      <c r="R337" s="21">
        <f>IF($N337="","",$N337*IF($Q337="",1,$Q337)*IF($P337="",1,$P337)*IF($O337="",1,$O337))</f>
        <v/>
      </c>
      <c r="S337" s="22">
        <f>IFERROR(INDEX(CONFIGURACOES!$J$37:$J$300,MATCH($I337,CONFIGURACOES!$B$37:$B$300,0)),"")</f>
        <v/>
      </c>
      <c r="T337" s="22">
        <f>IF(OR($R337="",$S337=""),"",$R337*$S337)</f>
        <v/>
      </c>
      <c r="U337" s="20" t="n"/>
      <c r="V337" s="20" t="n"/>
      <c r="W337" s="20" t="n"/>
      <c r="X337">
        <f>IF($A337="","",$A337&amp;"|"&amp;$C337&amp;"|"&amp;$I337)</f>
        <v/>
      </c>
      <c r="Y337">
        <f>IF(AND($A337=RELATORIO_MEDICAO!$C$5,$C337=RELATORIO_MEDICAO!$F$5,$A337&lt;&gt;""),COUNTIFS($A$3:$A337,RELATORIO_MEDICAO!$C$5,$C$3:$C337,RELATORIO_MEDICAO!$F$5),"")</f>
        <v/>
      </c>
      <c r="Z337">
        <f>IF(OR($A337="",PESQUISA!$C$4=""),0,IF(OR(ISNUMBER(SEARCH(PESQUISA!$C$4,$G337)),ISNUMBER(SEARCH(PESQUISA!$C$4,$K337)),ISNUMBER(SEARCH(PESQUISA!$C$4,$L337))),1,0))</f>
        <v/>
      </c>
      <c r="AA337">
        <f>IF($Z337=1,SUM($Z$3:$Z337),"")</f>
        <v/>
      </c>
      <c r="AB337">
        <f>IF(OR($A337="",PESQUISA!$C$50=""),0,IF(ISNUMBER(SEARCH(PESQUISA!$C$50,$I337)),1,0))</f>
        <v/>
      </c>
      <c r="AC337">
        <f>IF($AB337=1,SUM($AB$3:$AB337),"")</f>
        <v/>
      </c>
    </row>
    <row r="338">
      <c r="A338" s="20" t="n"/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>
        <f>IFERROR(INDEX(CONFIGURACOES!$G$37:$G$300,MATCH($I338,CONFIGURACOES!$B$37:$B$300,0)),"")</f>
        <v/>
      </c>
      <c r="K338" s="20">
        <f>IFERROR(INDEX(CONFIGURACOES!$H$37:$H$300,MATCH($I338,CONFIGURACOES!$B$37:$B$300,0)),"")</f>
        <v/>
      </c>
      <c r="L338" s="20" t="n"/>
      <c r="M338" s="20">
        <f>IFERROR(INDEX(CONFIGURACOES!$I$37:$I$300,MATCH($I338,CONFIGURACOES!$B$37:$B$300,0)),"")</f>
        <v/>
      </c>
      <c r="N338" s="21" t="n"/>
      <c r="O338" s="21" t="n"/>
      <c r="P338" s="21" t="n"/>
      <c r="Q338" s="21" t="n"/>
      <c r="R338" s="21">
        <f>IF($N338="","",$N338*IF($Q338="",1,$Q338)*IF($P338="",1,$P338)*IF($O338="",1,$O338))</f>
        <v/>
      </c>
      <c r="S338" s="22">
        <f>IFERROR(INDEX(CONFIGURACOES!$J$37:$J$300,MATCH($I338,CONFIGURACOES!$B$37:$B$300,0)),"")</f>
        <v/>
      </c>
      <c r="T338" s="22">
        <f>IF(OR($R338="",$S338=""),"",$R338*$S338)</f>
        <v/>
      </c>
      <c r="U338" s="20" t="n"/>
      <c r="V338" s="20" t="n"/>
      <c r="W338" s="20" t="n"/>
      <c r="X338">
        <f>IF($A338="","",$A338&amp;"|"&amp;$C338&amp;"|"&amp;$I338)</f>
        <v/>
      </c>
      <c r="Y338">
        <f>IF(AND($A338=RELATORIO_MEDICAO!$C$5,$C338=RELATORIO_MEDICAO!$F$5,$A338&lt;&gt;""),COUNTIFS($A$3:$A338,RELATORIO_MEDICAO!$C$5,$C$3:$C338,RELATORIO_MEDICAO!$F$5),"")</f>
        <v/>
      </c>
      <c r="Z338">
        <f>IF(OR($A338="",PESQUISA!$C$4=""),0,IF(OR(ISNUMBER(SEARCH(PESQUISA!$C$4,$G338)),ISNUMBER(SEARCH(PESQUISA!$C$4,$K338)),ISNUMBER(SEARCH(PESQUISA!$C$4,$L338))),1,0))</f>
        <v/>
      </c>
      <c r="AA338">
        <f>IF($Z338=1,SUM($Z$3:$Z338),"")</f>
        <v/>
      </c>
      <c r="AB338">
        <f>IF(OR($A338="",PESQUISA!$C$50=""),0,IF(ISNUMBER(SEARCH(PESQUISA!$C$50,$I338)),1,0))</f>
        <v/>
      </c>
      <c r="AC338">
        <f>IF($AB338=1,SUM($AB$3:$AB338),"")</f>
        <v/>
      </c>
    </row>
    <row r="339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>
        <f>IFERROR(INDEX(CONFIGURACOES!$G$37:$G$300,MATCH($I339,CONFIGURACOES!$B$37:$B$300,0)),"")</f>
        <v/>
      </c>
      <c r="K339" s="20">
        <f>IFERROR(INDEX(CONFIGURACOES!$H$37:$H$300,MATCH($I339,CONFIGURACOES!$B$37:$B$300,0)),"")</f>
        <v/>
      </c>
      <c r="L339" s="20" t="n"/>
      <c r="M339" s="20">
        <f>IFERROR(INDEX(CONFIGURACOES!$I$37:$I$300,MATCH($I339,CONFIGURACOES!$B$37:$B$300,0)),"")</f>
        <v/>
      </c>
      <c r="N339" s="21" t="n"/>
      <c r="O339" s="21" t="n"/>
      <c r="P339" s="21" t="n"/>
      <c r="Q339" s="21" t="n"/>
      <c r="R339" s="21">
        <f>IF($N339="","",$N339*IF($Q339="",1,$Q339)*IF($P339="",1,$P339)*IF($O339="",1,$O339))</f>
        <v/>
      </c>
      <c r="S339" s="22">
        <f>IFERROR(INDEX(CONFIGURACOES!$J$37:$J$300,MATCH($I339,CONFIGURACOES!$B$37:$B$300,0)),"")</f>
        <v/>
      </c>
      <c r="T339" s="22">
        <f>IF(OR($R339="",$S339=""),"",$R339*$S339)</f>
        <v/>
      </c>
      <c r="U339" s="20" t="n"/>
      <c r="V339" s="20" t="n"/>
      <c r="W339" s="20" t="n"/>
      <c r="X339">
        <f>IF($A339="","",$A339&amp;"|"&amp;$C339&amp;"|"&amp;$I339)</f>
        <v/>
      </c>
      <c r="Y339">
        <f>IF(AND($A339=RELATORIO_MEDICAO!$C$5,$C339=RELATORIO_MEDICAO!$F$5,$A339&lt;&gt;""),COUNTIFS($A$3:$A339,RELATORIO_MEDICAO!$C$5,$C$3:$C339,RELATORIO_MEDICAO!$F$5),"")</f>
        <v/>
      </c>
      <c r="Z339">
        <f>IF(OR($A339="",PESQUISA!$C$4=""),0,IF(OR(ISNUMBER(SEARCH(PESQUISA!$C$4,$G339)),ISNUMBER(SEARCH(PESQUISA!$C$4,$K339)),ISNUMBER(SEARCH(PESQUISA!$C$4,$L339))),1,0))</f>
        <v/>
      </c>
      <c r="AA339">
        <f>IF($Z339=1,SUM($Z$3:$Z339),"")</f>
        <v/>
      </c>
      <c r="AB339">
        <f>IF(OR($A339="",PESQUISA!$C$50=""),0,IF(ISNUMBER(SEARCH(PESQUISA!$C$50,$I339)),1,0))</f>
        <v/>
      </c>
      <c r="AC339">
        <f>IF($AB339=1,SUM($AB$3:$AB339),"")</f>
        <v/>
      </c>
    </row>
    <row r="340">
      <c r="A340" s="20" t="n"/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>
        <f>IFERROR(INDEX(CONFIGURACOES!$G$37:$G$300,MATCH($I340,CONFIGURACOES!$B$37:$B$300,0)),"")</f>
        <v/>
      </c>
      <c r="K340" s="20">
        <f>IFERROR(INDEX(CONFIGURACOES!$H$37:$H$300,MATCH($I340,CONFIGURACOES!$B$37:$B$300,0)),"")</f>
        <v/>
      </c>
      <c r="L340" s="20" t="n"/>
      <c r="M340" s="20">
        <f>IFERROR(INDEX(CONFIGURACOES!$I$37:$I$300,MATCH($I340,CONFIGURACOES!$B$37:$B$300,0)),"")</f>
        <v/>
      </c>
      <c r="N340" s="21" t="n"/>
      <c r="O340" s="21" t="n"/>
      <c r="P340" s="21" t="n"/>
      <c r="Q340" s="21" t="n"/>
      <c r="R340" s="21">
        <f>IF($N340="","",$N340*IF($Q340="",1,$Q340)*IF($P340="",1,$P340)*IF($O340="",1,$O340))</f>
        <v/>
      </c>
      <c r="S340" s="22">
        <f>IFERROR(INDEX(CONFIGURACOES!$J$37:$J$300,MATCH($I340,CONFIGURACOES!$B$37:$B$300,0)),"")</f>
        <v/>
      </c>
      <c r="T340" s="22">
        <f>IF(OR($R340="",$S340=""),"",$R340*$S340)</f>
        <v/>
      </c>
      <c r="U340" s="20" t="n"/>
      <c r="V340" s="20" t="n"/>
      <c r="W340" s="20" t="n"/>
      <c r="X340">
        <f>IF($A340="","",$A340&amp;"|"&amp;$C340&amp;"|"&amp;$I340)</f>
        <v/>
      </c>
      <c r="Y340">
        <f>IF(AND($A340=RELATORIO_MEDICAO!$C$5,$C340=RELATORIO_MEDICAO!$F$5,$A340&lt;&gt;""),COUNTIFS($A$3:$A340,RELATORIO_MEDICAO!$C$5,$C$3:$C340,RELATORIO_MEDICAO!$F$5),"")</f>
        <v/>
      </c>
      <c r="Z340">
        <f>IF(OR($A340="",PESQUISA!$C$4=""),0,IF(OR(ISNUMBER(SEARCH(PESQUISA!$C$4,$G340)),ISNUMBER(SEARCH(PESQUISA!$C$4,$K340)),ISNUMBER(SEARCH(PESQUISA!$C$4,$L340))),1,0))</f>
        <v/>
      </c>
      <c r="AA340">
        <f>IF($Z340=1,SUM($Z$3:$Z340),"")</f>
        <v/>
      </c>
      <c r="AB340">
        <f>IF(OR($A340="",PESQUISA!$C$50=""),0,IF(ISNUMBER(SEARCH(PESQUISA!$C$50,$I340)),1,0))</f>
        <v/>
      </c>
      <c r="AC340">
        <f>IF($AB340=1,SUM($AB$3:$AB340),"")</f>
        <v/>
      </c>
    </row>
    <row r="341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>
        <f>IFERROR(INDEX(CONFIGURACOES!$G$37:$G$300,MATCH($I341,CONFIGURACOES!$B$37:$B$300,0)),"")</f>
        <v/>
      </c>
      <c r="K341" s="20">
        <f>IFERROR(INDEX(CONFIGURACOES!$H$37:$H$300,MATCH($I341,CONFIGURACOES!$B$37:$B$300,0)),"")</f>
        <v/>
      </c>
      <c r="L341" s="20" t="n"/>
      <c r="M341" s="20">
        <f>IFERROR(INDEX(CONFIGURACOES!$I$37:$I$300,MATCH($I341,CONFIGURACOES!$B$37:$B$300,0)),"")</f>
        <v/>
      </c>
      <c r="N341" s="21" t="n"/>
      <c r="O341" s="21" t="n"/>
      <c r="P341" s="21" t="n"/>
      <c r="Q341" s="21" t="n"/>
      <c r="R341" s="21">
        <f>IF($N341="","",$N341*IF($Q341="",1,$Q341)*IF($P341="",1,$P341)*IF($O341="",1,$O341))</f>
        <v/>
      </c>
      <c r="S341" s="22">
        <f>IFERROR(INDEX(CONFIGURACOES!$J$37:$J$300,MATCH($I341,CONFIGURACOES!$B$37:$B$300,0)),"")</f>
        <v/>
      </c>
      <c r="T341" s="22">
        <f>IF(OR($R341="",$S341=""),"",$R341*$S341)</f>
        <v/>
      </c>
      <c r="U341" s="20" t="n"/>
      <c r="V341" s="20" t="n"/>
      <c r="W341" s="20" t="n"/>
      <c r="X341">
        <f>IF($A341="","",$A341&amp;"|"&amp;$C341&amp;"|"&amp;$I341)</f>
        <v/>
      </c>
      <c r="Y341">
        <f>IF(AND($A341=RELATORIO_MEDICAO!$C$5,$C341=RELATORIO_MEDICAO!$F$5,$A341&lt;&gt;""),COUNTIFS($A$3:$A341,RELATORIO_MEDICAO!$C$5,$C$3:$C341,RELATORIO_MEDICAO!$F$5),"")</f>
        <v/>
      </c>
      <c r="Z341">
        <f>IF(OR($A341="",PESQUISA!$C$4=""),0,IF(OR(ISNUMBER(SEARCH(PESQUISA!$C$4,$G341)),ISNUMBER(SEARCH(PESQUISA!$C$4,$K341)),ISNUMBER(SEARCH(PESQUISA!$C$4,$L341))),1,0))</f>
        <v/>
      </c>
      <c r="AA341">
        <f>IF($Z341=1,SUM($Z$3:$Z341),"")</f>
        <v/>
      </c>
      <c r="AB341">
        <f>IF(OR($A341="",PESQUISA!$C$50=""),0,IF(ISNUMBER(SEARCH(PESQUISA!$C$50,$I341)),1,0))</f>
        <v/>
      </c>
      <c r="AC341">
        <f>IF($AB341=1,SUM($AB$3:$AB341),"")</f>
        <v/>
      </c>
    </row>
    <row r="342">
      <c r="A342" s="20" t="n"/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>
        <f>IFERROR(INDEX(CONFIGURACOES!$G$37:$G$300,MATCH($I342,CONFIGURACOES!$B$37:$B$300,0)),"")</f>
        <v/>
      </c>
      <c r="K342" s="20">
        <f>IFERROR(INDEX(CONFIGURACOES!$H$37:$H$300,MATCH($I342,CONFIGURACOES!$B$37:$B$300,0)),"")</f>
        <v/>
      </c>
      <c r="L342" s="20" t="n"/>
      <c r="M342" s="20">
        <f>IFERROR(INDEX(CONFIGURACOES!$I$37:$I$300,MATCH($I342,CONFIGURACOES!$B$37:$B$300,0)),"")</f>
        <v/>
      </c>
      <c r="N342" s="21" t="n"/>
      <c r="O342" s="21" t="n"/>
      <c r="P342" s="21" t="n"/>
      <c r="Q342" s="21" t="n"/>
      <c r="R342" s="21">
        <f>IF($N342="","",$N342*IF($Q342="",1,$Q342)*IF($P342="",1,$P342)*IF($O342="",1,$O342))</f>
        <v/>
      </c>
      <c r="S342" s="22">
        <f>IFERROR(INDEX(CONFIGURACOES!$J$37:$J$300,MATCH($I342,CONFIGURACOES!$B$37:$B$300,0)),"")</f>
        <v/>
      </c>
      <c r="T342" s="22">
        <f>IF(OR($R342="",$S342=""),"",$R342*$S342)</f>
        <v/>
      </c>
      <c r="U342" s="20" t="n"/>
      <c r="V342" s="20" t="n"/>
      <c r="W342" s="20" t="n"/>
      <c r="X342">
        <f>IF($A342="","",$A342&amp;"|"&amp;$C342&amp;"|"&amp;$I342)</f>
        <v/>
      </c>
      <c r="Y342">
        <f>IF(AND($A342=RELATORIO_MEDICAO!$C$5,$C342=RELATORIO_MEDICAO!$F$5,$A342&lt;&gt;""),COUNTIFS($A$3:$A342,RELATORIO_MEDICAO!$C$5,$C$3:$C342,RELATORIO_MEDICAO!$F$5),"")</f>
        <v/>
      </c>
      <c r="Z342">
        <f>IF(OR($A342="",PESQUISA!$C$4=""),0,IF(OR(ISNUMBER(SEARCH(PESQUISA!$C$4,$G342)),ISNUMBER(SEARCH(PESQUISA!$C$4,$K342)),ISNUMBER(SEARCH(PESQUISA!$C$4,$L342))),1,0))</f>
        <v/>
      </c>
      <c r="AA342">
        <f>IF($Z342=1,SUM($Z$3:$Z342),"")</f>
        <v/>
      </c>
      <c r="AB342">
        <f>IF(OR($A342="",PESQUISA!$C$50=""),0,IF(ISNUMBER(SEARCH(PESQUISA!$C$50,$I342)),1,0))</f>
        <v/>
      </c>
      <c r="AC342">
        <f>IF($AB342=1,SUM($AB$3:$AB342),"")</f>
        <v/>
      </c>
    </row>
    <row r="343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>
        <f>IFERROR(INDEX(CONFIGURACOES!$G$37:$G$300,MATCH($I343,CONFIGURACOES!$B$37:$B$300,0)),"")</f>
        <v/>
      </c>
      <c r="K343" s="20">
        <f>IFERROR(INDEX(CONFIGURACOES!$H$37:$H$300,MATCH($I343,CONFIGURACOES!$B$37:$B$300,0)),"")</f>
        <v/>
      </c>
      <c r="L343" s="20" t="n"/>
      <c r="M343" s="20">
        <f>IFERROR(INDEX(CONFIGURACOES!$I$37:$I$300,MATCH($I343,CONFIGURACOES!$B$37:$B$300,0)),"")</f>
        <v/>
      </c>
      <c r="N343" s="21" t="n"/>
      <c r="O343" s="21" t="n"/>
      <c r="P343" s="21" t="n"/>
      <c r="Q343" s="21" t="n"/>
      <c r="R343" s="21">
        <f>IF($N343="","",$N343*IF($Q343="",1,$Q343)*IF($P343="",1,$P343)*IF($O343="",1,$O343))</f>
        <v/>
      </c>
      <c r="S343" s="22">
        <f>IFERROR(INDEX(CONFIGURACOES!$J$37:$J$300,MATCH($I343,CONFIGURACOES!$B$37:$B$300,0)),"")</f>
        <v/>
      </c>
      <c r="T343" s="22">
        <f>IF(OR($R343="",$S343=""),"",$R343*$S343)</f>
        <v/>
      </c>
      <c r="U343" s="20" t="n"/>
      <c r="V343" s="20" t="n"/>
      <c r="W343" s="20" t="n"/>
      <c r="X343">
        <f>IF($A343="","",$A343&amp;"|"&amp;$C343&amp;"|"&amp;$I343)</f>
        <v/>
      </c>
      <c r="Y343">
        <f>IF(AND($A343=RELATORIO_MEDICAO!$C$5,$C343=RELATORIO_MEDICAO!$F$5,$A343&lt;&gt;""),COUNTIFS($A$3:$A343,RELATORIO_MEDICAO!$C$5,$C$3:$C343,RELATORIO_MEDICAO!$F$5),"")</f>
        <v/>
      </c>
      <c r="Z343">
        <f>IF(OR($A343="",PESQUISA!$C$4=""),0,IF(OR(ISNUMBER(SEARCH(PESQUISA!$C$4,$G343)),ISNUMBER(SEARCH(PESQUISA!$C$4,$K343)),ISNUMBER(SEARCH(PESQUISA!$C$4,$L343))),1,0))</f>
        <v/>
      </c>
      <c r="AA343">
        <f>IF($Z343=1,SUM($Z$3:$Z343),"")</f>
        <v/>
      </c>
      <c r="AB343">
        <f>IF(OR($A343="",PESQUISA!$C$50=""),0,IF(ISNUMBER(SEARCH(PESQUISA!$C$50,$I343)),1,0))</f>
        <v/>
      </c>
      <c r="AC343">
        <f>IF($AB343=1,SUM($AB$3:$AB343),"")</f>
        <v/>
      </c>
    </row>
    <row r="344">
      <c r="A344" s="20" t="n"/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>
        <f>IFERROR(INDEX(CONFIGURACOES!$G$37:$G$300,MATCH($I344,CONFIGURACOES!$B$37:$B$300,0)),"")</f>
        <v/>
      </c>
      <c r="K344" s="20">
        <f>IFERROR(INDEX(CONFIGURACOES!$H$37:$H$300,MATCH($I344,CONFIGURACOES!$B$37:$B$300,0)),"")</f>
        <v/>
      </c>
      <c r="L344" s="20" t="n"/>
      <c r="M344" s="20">
        <f>IFERROR(INDEX(CONFIGURACOES!$I$37:$I$300,MATCH($I344,CONFIGURACOES!$B$37:$B$300,0)),"")</f>
        <v/>
      </c>
      <c r="N344" s="21" t="n"/>
      <c r="O344" s="21" t="n"/>
      <c r="P344" s="21" t="n"/>
      <c r="Q344" s="21" t="n"/>
      <c r="R344" s="21">
        <f>IF($N344="","",$N344*IF($Q344="",1,$Q344)*IF($P344="",1,$P344)*IF($O344="",1,$O344))</f>
        <v/>
      </c>
      <c r="S344" s="22">
        <f>IFERROR(INDEX(CONFIGURACOES!$J$37:$J$300,MATCH($I344,CONFIGURACOES!$B$37:$B$300,0)),"")</f>
        <v/>
      </c>
      <c r="T344" s="22">
        <f>IF(OR($R344="",$S344=""),"",$R344*$S344)</f>
        <v/>
      </c>
      <c r="U344" s="20" t="n"/>
      <c r="V344" s="20" t="n"/>
      <c r="W344" s="20" t="n"/>
      <c r="X344">
        <f>IF($A344="","",$A344&amp;"|"&amp;$C344&amp;"|"&amp;$I344)</f>
        <v/>
      </c>
      <c r="Y344">
        <f>IF(AND($A344=RELATORIO_MEDICAO!$C$5,$C344=RELATORIO_MEDICAO!$F$5,$A344&lt;&gt;""),COUNTIFS($A$3:$A344,RELATORIO_MEDICAO!$C$5,$C$3:$C344,RELATORIO_MEDICAO!$F$5),"")</f>
        <v/>
      </c>
      <c r="Z344">
        <f>IF(OR($A344="",PESQUISA!$C$4=""),0,IF(OR(ISNUMBER(SEARCH(PESQUISA!$C$4,$G344)),ISNUMBER(SEARCH(PESQUISA!$C$4,$K344)),ISNUMBER(SEARCH(PESQUISA!$C$4,$L344))),1,0))</f>
        <v/>
      </c>
      <c r="AA344">
        <f>IF($Z344=1,SUM($Z$3:$Z344),"")</f>
        <v/>
      </c>
      <c r="AB344">
        <f>IF(OR($A344="",PESQUISA!$C$50=""),0,IF(ISNUMBER(SEARCH(PESQUISA!$C$50,$I344)),1,0))</f>
        <v/>
      </c>
      <c r="AC344">
        <f>IF($AB344=1,SUM($AB$3:$AB344),"")</f>
        <v/>
      </c>
    </row>
    <row r="345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>
        <f>IFERROR(INDEX(CONFIGURACOES!$G$37:$G$300,MATCH($I345,CONFIGURACOES!$B$37:$B$300,0)),"")</f>
        <v/>
      </c>
      <c r="K345" s="20">
        <f>IFERROR(INDEX(CONFIGURACOES!$H$37:$H$300,MATCH($I345,CONFIGURACOES!$B$37:$B$300,0)),"")</f>
        <v/>
      </c>
      <c r="L345" s="20" t="n"/>
      <c r="M345" s="20">
        <f>IFERROR(INDEX(CONFIGURACOES!$I$37:$I$300,MATCH($I345,CONFIGURACOES!$B$37:$B$300,0)),"")</f>
        <v/>
      </c>
      <c r="N345" s="21" t="n"/>
      <c r="O345" s="21" t="n"/>
      <c r="P345" s="21" t="n"/>
      <c r="Q345" s="21" t="n"/>
      <c r="R345" s="21">
        <f>IF($N345="","",$N345*IF($Q345="",1,$Q345)*IF($P345="",1,$P345)*IF($O345="",1,$O345))</f>
        <v/>
      </c>
      <c r="S345" s="22">
        <f>IFERROR(INDEX(CONFIGURACOES!$J$37:$J$300,MATCH($I345,CONFIGURACOES!$B$37:$B$300,0)),"")</f>
        <v/>
      </c>
      <c r="T345" s="22">
        <f>IF(OR($R345="",$S345=""),"",$R345*$S345)</f>
        <v/>
      </c>
      <c r="U345" s="20" t="n"/>
      <c r="V345" s="20" t="n"/>
      <c r="W345" s="20" t="n"/>
      <c r="X345">
        <f>IF($A345="","",$A345&amp;"|"&amp;$C345&amp;"|"&amp;$I345)</f>
        <v/>
      </c>
      <c r="Y345">
        <f>IF(AND($A345=RELATORIO_MEDICAO!$C$5,$C345=RELATORIO_MEDICAO!$F$5,$A345&lt;&gt;""),COUNTIFS($A$3:$A345,RELATORIO_MEDICAO!$C$5,$C$3:$C345,RELATORIO_MEDICAO!$F$5),"")</f>
        <v/>
      </c>
      <c r="Z345">
        <f>IF(OR($A345="",PESQUISA!$C$4=""),0,IF(OR(ISNUMBER(SEARCH(PESQUISA!$C$4,$G345)),ISNUMBER(SEARCH(PESQUISA!$C$4,$K345)),ISNUMBER(SEARCH(PESQUISA!$C$4,$L345))),1,0))</f>
        <v/>
      </c>
      <c r="AA345">
        <f>IF($Z345=1,SUM($Z$3:$Z345),"")</f>
        <v/>
      </c>
      <c r="AB345">
        <f>IF(OR($A345="",PESQUISA!$C$50=""),0,IF(ISNUMBER(SEARCH(PESQUISA!$C$50,$I345)),1,0))</f>
        <v/>
      </c>
      <c r="AC345">
        <f>IF($AB345=1,SUM($AB$3:$AB345),"")</f>
        <v/>
      </c>
    </row>
    <row r="346">
      <c r="A346" s="20" t="n"/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>
        <f>IFERROR(INDEX(CONFIGURACOES!$G$37:$G$300,MATCH($I346,CONFIGURACOES!$B$37:$B$300,0)),"")</f>
        <v/>
      </c>
      <c r="K346" s="20">
        <f>IFERROR(INDEX(CONFIGURACOES!$H$37:$H$300,MATCH($I346,CONFIGURACOES!$B$37:$B$300,0)),"")</f>
        <v/>
      </c>
      <c r="L346" s="20" t="n"/>
      <c r="M346" s="20">
        <f>IFERROR(INDEX(CONFIGURACOES!$I$37:$I$300,MATCH($I346,CONFIGURACOES!$B$37:$B$300,0)),"")</f>
        <v/>
      </c>
      <c r="N346" s="21" t="n"/>
      <c r="O346" s="21" t="n"/>
      <c r="P346" s="21" t="n"/>
      <c r="Q346" s="21" t="n"/>
      <c r="R346" s="21">
        <f>IF($N346="","",$N346*IF($Q346="",1,$Q346)*IF($P346="",1,$P346)*IF($O346="",1,$O346))</f>
        <v/>
      </c>
      <c r="S346" s="22">
        <f>IFERROR(INDEX(CONFIGURACOES!$J$37:$J$300,MATCH($I346,CONFIGURACOES!$B$37:$B$300,0)),"")</f>
        <v/>
      </c>
      <c r="T346" s="22">
        <f>IF(OR($R346="",$S346=""),"",$R346*$S346)</f>
        <v/>
      </c>
      <c r="U346" s="20" t="n"/>
      <c r="V346" s="20" t="n"/>
      <c r="W346" s="20" t="n"/>
      <c r="X346">
        <f>IF($A346="","",$A346&amp;"|"&amp;$C346&amp;"|"&amp;$I346)</f>
        <v/>
      </c>
      <c r="Y346">
        <f>IF(AND($A346=RELATORIO_MEDICAO!$C$5,$C346=RELATORIO_MEDICAO!$F$5,$A346&lt;&gt;""),COUNTIFS($A$3:$A346,RELATORIO_MEDICAO!$C$5,$C$3:$C346,RELATORIO_MEDICAO!$F$5),"")</f>
        <v/>
      </c>
      <c r="Z346">
        <f>IF(OR($A346="",PESQUISA!$C$4=""),0,IF(OR(ISNUMBER(SEARCH(PESQUISA!$C$4,$G346)),ISNUMBER(SEARCH(PESQUISA!$C$4,$K346)),ISNUMBER(SEARCH(PESQUISA!$C$4,$L346))),1,0))</f>
        <v/>
      </c>
      <c r="AA346">
        <f>IF($Z346=1,SUM($Z$3:$Z346),"")</f>
        <v/>
      </c>
      <c r="AB346">
        <f>IF(OR($A346="",PESQUISA!$C$50=""),0,IF(ISNUMBER(SEARCH(PESQUISA!$C$50,$I346)),1,0))</f>
        <v/>
      </c>
      <c r="AC346">
        <f>IF($AB346=1,SUM($AB$3:$AB346),"")</f>
        <v/>
      </c>
    </row>
    <row r="347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>
        <f>IFERROR(INDEX(CONFIGURACOES!$G$37:$G$300,MATCH($I347,CONFIGURACOES!$B$37:$B$300,0)),"")</f>
        <v/>
      </c>
      <c r="K347" s="20">
        <f>IFERROR(INDEX(CONFIGURACOES!$H$37:$H$300,MATCH($I347,CONFIGURACOES!$B$37:$B$300,0)),"")</f>
        <v/>
      </c>
      <c r="L347" s="20" t="n"/>
      <c r="M347" s="20">
        <f>IFERROR(INDEX(CONFIGURACOES!$I$37:$I$300,MATCH($I347,CONFIGURACOES!$B$37:$B$300,0)),"")</f>
        <v/>
      </c>
      <c r="N347" s="21" t="n"/>
      <c r="O347" s="21" t="n"/>
      <c r="P347" s="21" t="n"/>
      <c r="Q347" s="21" t="n"/>
      <c r="R347" s="21">
        <f>IF($N347="","",$N347*IF($Q347="",1,$Q347)*IF($P347="",1,$P347)*IF($O347="",1,$O347))</f>
        <v/>
      </c>
      <c r="S347" s="22">
        <f>IFERROR(INDEX(CONFIGURACOES!$J$37:$J$300,MATCH($I347,CONFIGURACOES!$B$37:$B$300,0)),"")</f>
        <v/>
      </c>
      <c r="T347" s="22">
        <f>IF(OR($R347="",$S347=""),"",$R347*$S347)</f>
        <v/>
      </c>
      <c r="U347" s="20" t="n"/>
      <c r="V347" s="20" t="n"/>
      <c r="W347" s="20" t="n"/>
      <c r="X347">
        <f>IF($A347="","",$A347&amp;"|"&amp;$C347&amp;"|"&amp;$I347)</f>
        <v/>
      </c>
      <c r="Y347">
        <f>IF(AND($A347=RELATORIO_MEDICAO!$C$5,$C347=RELATORIO_MEDICAO!$F$5,$A347&lt;&gt;""),COUNTIFS($A$3:$A347,RELATORIO_MEDICAO!$C$5,$C$3:$C347,RELATORIO_MEDICAO!$F$5),"")</f>
        <v/>
      </c>
      <c r="Z347">
        <f>IF(OR($A347="",PESQUISA!$C$4=""),0,IF(OR(ISNUMBER(SEARCH(PESQUISA!$C$4,$G347)),ISNUMBER(SEARCH(PESQUISA!$C$4,$K347)),ISNUMBER(SEARCH(PESQUISA!$C$4,$L347))),1,0))</f>
        <v/>
      </c>
      <c r="AA347">
        <f>IF($Z347=1,SUM($Z$3:$Z347),"")</f>
        <v/>
      </c>
      <c r="AB347">
        <f>IF(OR($A347="",PESQUISA!$C$50=""),0,IF(ISNUMBER(SEARCH(PESQUISA!$C$50,$I347)),1,0))</f>
        <v/>
      </c>
      <c r="AC347">
        <f>IF($AB347=1,SUM($AB$3:$AB347),"")</f>
        <v/>
      </c>
    </row>
    <row r="348">
      <c r="A348" s="20" t="n"/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>
        <f>IFERROR(INDEX(CONFIGURACOES!$G$37:$G$300,MATCH($I348,CONFIGURACOES!$B$37:$B$300,0)),"")</f>
        <v/>
      </c>
      <c r="K348" s="20">
        <f>IFERROR(INDEX(CONFIGURACOES!$H$37:$H$300,MATCH($I348,CONFIGURACOES!$B$37:$B$300,0)),"")</f>
        <v/>
      </c>
      <c r="L348" s="20" t="n"/>
      <c r="M348" s="20">
        <f>IFERROR(INDEX(CONFIGURACOES!$I$37:$I$300,MATCH($I348,CONFIGURACOES!$B$37:$B$300,0)),"")</f>
        <v/>
      </c>
      <c r="N348" s="21" t="n"/>
      <c r="O348" s="21" t="n"/>
      <c r="P348" s="21" t="n"/>
      <c r="Q348" s="21" t="n"/>
      <c r="R348" s="21">
        <f>IF($N348="","",$N348*IF($Q348="",1,$Q348)*IF($P348="",1,$P348)*IF($O348="",1,$O348))</f>
        <v/>
      </c>
      <c r="S348" s="22">
        <f>IFERROR(INDEX(CONFIGURACOES!$J$37:$J$300,MATCH($I348,CONFIGURACOES!$B$37:$B$300,0)),"")</f>
        <v/>
      </c>
      <c r="T348" s="22">
        <f>IF(OR($R348="",$S348=""),"",$R348*$S348)</f>
        <v/>
      </c>
      <c r="U348" s="20" t="n"/>
      <c r="V348" s="20" t="n"/>
      <c r="W348" s="20" t="n"/>
      <c r="X348">
        <f>IF($A348="","",$A348&amp;"|"&amp;$C348&amp;"|"&amp;$I348)</f>
        <v/>
      </c>
      <c r="Y348">
        <f>IF(AND($A348=RELATORIO_MEDICAO!$C$5,$C348=RELATORIO_MEDICAO!$F$5,$A348&lt;&gt;""),COUNTIFS($A$3:$A348,RELATORIO_MEDICAO!$C$5,$C$3:$C348,RELATORIO_MEDICAO!$F$5),"")</f>
        <v/>
      </c>
      <c r="Z348">
        <f>IF(OR($A348="",PESQUISA!$C$4=""),0,IF(OR(ISNUMBER(SEARCH(PESQUISA!$C$4,$G348)),ISNUMBER(SEARCH(PESQUISA!$C$4,$K348)),ISNUMBER(SEARCH(PESQUISA!$C$4,$L348))),1,0))</f>
        <v/>
      </c>
      <c r="AA348">
        <f>IF($Z348=1,SUM($Z$3:$Z348),"")</f>
        <v/>
      </c>
      <c r="AB348">
        <f>IF(OR($A348="",PESQUISA!$C$50=""),0,IF(ISNUMBER(SEARCH(PESQUISA!$C$50,$I348)),1,0))</f>
        <v/>
      </c>
      <c r="AC348">
        <f>IF($AB348=1,SUM($AB$3:$AB348),"")</f>
        <v/>
      </c>
    </row>
    <row r="349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>
        <f>IFERROR(INDEX(CONFIGURACOES!$G$37:$G$300,MATCH($I349,CONFIGURACOES!$B$37:$B$300,0)),"")</f>
        <v/>
      </c>
      <c r="K349" s="20">
        <f>IFERROR(INDEX(CONFIGURACOES!$H$37:$H$300,MATCH($I349,CONFIGURACOES!$B$37:$B$300,0)),"")</f>
        <v/>
      </c>
      <c r="L349" s="20" t="n"/>
      <c r="M349" s="20">
        <f>IFERROR(INDEX(CONFIGURACOES!$I$37:$I$300,MATCH($I349,CONFIGURACOES!$B$37:$B$300,0)),"")</f>
        <v/>
      </c>
      <c r="N349" s="21" t="n"/>
      <c r="O349" s="21" t="n"/>
      <c r="P349" s="21" t="n"/>
      <c r="Q349" s="21" t="n"/>
      <c r="R349" s="21">
        <f>IF($N349="","",$N349*IF($Q349="",1,$Q349)*IF($P349="",1,$P349)*IF($O349="",1,$O349))</f>
        <v/>
      </c>
      <c r="S349" s="22">
        <f>IFERROR(INDEX(CONFIGURACOES!$J$37:$J$300,MATCH($I349,CONFIGURACOES!$B$37:$B$300,0)),"")</f>
        <v/>
      </c>
      <c r="T349" s="22">
        <f>IF(OR($R349="",$S349=""),"",$R349*$S349)</f>
        <v/>
      </c>
      <c r="U349" s="20" t="n"/>
      <c r="V349" s="20" t="n"/>
      <c r="W349" s="20" t="n"/>
      <c r="X349">
        <f>IF($A349="","",$A349&amp;"|"&amp;$C349&amp;"|"&amp;$I349)</f>
        <v/>
      </c>
      <c r="Y349">
        <f>IF(AND($A349=RELATORIO_MEDICAO!$C$5,$C349=RELATORIO_MEDICAO!$F$5,$A349&lt;&gt;""),COUNTIFS($A$3:$A349,RELATORIO_MEDICAO!$C$5,$C$3:$C349,RELATORIO_MEDICAO!$F$5),"")</f>
        <v/>
      </c>
      <c r="Z349">
        <f>IF(OR($A349="",PESQUISA!$C$4=""),0,IF(OR(ISNUMBER(SEARCH(PESQUISA!$C$4,$G349)),ISNUMBER(SEARCH(PESQUISA!$C$4,$K349)),ISNUMBER(SEARCH(PESQUISA!$C$4,$L349))),1,0))</f>
        <v/>
      </c>
      <c r="AA349">
        <f>IF($Z349=1,SUM($Z$3:$Z349),"")</f>
        <v/>
      </c>
      <c r="AB349">
        <f>IF(OR($A349="",PESQUISA!$C$50=""),0,IF(ISNUMBER(SEARCH(PESQUISA!$C$50,$I349)),1,0))</f>
        <v/>
      </c>
      <c r="AC349">
        <f>IF($AB349=1,SUM($AB$3:$AB349),"")</f>
        <v/>
      </c>
    </row>
    <row r="350">
      <c r="A350" s="20" t="n"/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>
        <f>IFERROR(INDEX(CONFIGURACOES!$G$37:$G$300,MATCH($I350,CONFIGURACOES!$B$37:$B$300,0)),"")</f>
        <v/>
      </c>
      <c r="K350" s="20">
        <f>IFERROR(INDEX(CONFIGURACOES!$H$37:$H$300,MATCH($I350,CONFIGURACOES!$B$37:$B$300,0)),"")</f>
        <v/>
      </c>
      <c r="L350" s="20" t="n"/>
      <c r="M350" s="20">
        <f>IFERROR(INDEX(CONFIGURACOES!$I$37:$I$300,MATCH($I350,CONFIGURACOES!$B$37:$B$300,0)),"")</f>
        <v/>
      </c>
      <c r="N350" s="21" t="n"/>
      <c r="O350" s="21" t="n"/>
      <c r="P350" s="21" t="n"/>
      <c r="Q350" s="21" t="n"/>
      <c r="R350" s="21">
        <f>IF($N350="","",$N350*IF($Q350="",1,$Q350)*IF($P350="",1,$P350)*IF($O350="",1,$O350))</f>
        <v/>
      </c>
      <c r="S350" s="22">
        <f>IFERROR(INDEX(CONFIGURACOES!$J$37:$J$300,MATCH($I350,CONFIGURACOES!$B$37:$B$300,0)),"")</f>
        <v/>
      </c>
      <c r="T350" s="22">
        <f>IF(OR($R350="",$S350=""),"",$R350*$S350)</f>
        <v/>
      </c>
      <c r="U350" s="20" t="n"/>
      <c r="V350" s="20" t="n"/>
      <c r="W350" s="20" t="n"/>
      <c r="X350">
        <f>IF($A350="","",$A350&amp;"|"&amp;$C350&amp;"|"&amp;$I350)</f>
        <v/>
      </c>
      <c r="Y350">
        <f>IF(AND($A350=RELATORIO_MEDICAO!$C$5,$C350=RELATORIO_MEDICAO!$F$5,$A350&lt;&gt;""),COUNTIFS($A$3:$A350,RELATORIO_MEDICAO!$C$5,$C$3:$C350,RELATORIO_MEDICAO!$F$5),"")</f>
        <v/>
      </c>
      <c r="Z350">
        <f>IF(OR($A350="",PESQUISA!$C$4=""),0,IF(OR(ISNUMBER(SEARCH(PESQUISA!$C$4,$G350)),ISNUMBER(SEARCH(PESQUISA!$C$4,$K350)),ISNUMBER(SEARCH(PESQUISA!$C$4,$L350))),1,0))</f>
        <v/>
      </c>
      <c r="AA350">
        <f>IF($Z350=1,SUM($Z$3:$Z350),"")</f>
        <v/>
      </c>
      <c r="AB350">
        <f>IF(OR($A350="",PESQUISA!$C$50=""),0,IF(ISNUMBER(SEARCH(PESQUISA!$C$50,$I350)),1,0))</f>
        <v/>
      </c>
      <c r="AC350">
        <f>IF($AB350=1,SUM($AB$3:$AB350),"")</f>
        <v/>
      </c>
    </row>
    <row r="351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>
        <f>IFERROR(INDEX(CONFIGURACOES!$G$37:$G$300,MATCH($I351,CONFIGURACOES!$B$37:$B$300,0)),"")</f>
        <v/>
      </c>
      <c r="K351" s="20">
        <f>IFERROR(INDEX(CONFIGURACOES!$H$37:$H$300,MATCH($I351,CONFIGURACOES!$B$37:$B$300,0)),"")</f>
        <v/>
      </c>
      <c r="L351" s="20" t="n"/>
      <c r="M351" s="20">
        <f>IFERROR(INDEX(CONFIGURACOES!$I$37:$I$300,MATCH($I351,CONFIGURACOES!$B$37:$B$300,0)),"")</f>
        <v/>
      </c>
      <c r="N351" s="21" t="n"/>
      <c r="O351" s="21" t="n"/>
      <c r="P351" s="21" t="n"/>
      <c r="Q351" s="21" t="n"/>
      <c r="R351" s="21">
        <f>IF($N351="","",$N351*IF($Q351="",1,$Q351)*IF($P351="",1,$P351)*IF($O351="",1,$O351))</f>
        <v/>
      </c>
      <c r="S351" s="22">
        <f>IFERROR(INDEX(CONFIGURACOES!$J$37:$J$300,MATCH($I351,CONFIGURACOES!$B$37:$B$300,0)),"")</f>
        <v/>
      </c>
      <c r="T351" s="22">
        <f>IF(OR($R351="",$S351=""),"",$R351*$S351)</f>
        <v/>
      </c>
      <c r="U351" s="20" t="n"/>
      <c r="V351" s="20" t="n"/>
      <c r="W351" s="20" t="n"/>
      <c r="X351">
        <f>IF($A351="","",$A351&amp;"|"&amp;$C351&amp;"|"&amp;$I351)</f>
        <v/>
      </c>
      <c r="Y351">
        <f>IF(AND($A351=RELATORIO_MEDICAO!$C$5,$C351=RELATORIO_MEDICAO!$F$5,$A351&lt;&gt;""),COUNTIFS($A$3:$A351,RELATORIO_MEDICAO!$C$5,$C$3:$C351,RELATORIO_MEDICAO!$F$5),"")</f>
        <v/>
      </c>
      <c r="Z351">
        <f>IF(OR($A351="",PESQUISA!$C$4=""),0,IF(OR(ISNUMBER(SEARCH(PESQUISA!$C$4,$G351)),ISNUMBER(SEARCH(PESQUISA!$C$4,$K351)),ISNUMBER(SEARCH(PESQUISA!$C$4,$L351))),1,0))</f>
        <v/>
      </c>
      <c r="AA351">
        <f>IF($Z351=1,SUM($Z$3:$Z351),"")</f>
        <v/>
      </c>
      <c r="AB351">
        <f>IF(OR($A351="",PESQUISA!$C$50=""),0,IF(ISNUMBER(SEARCH(PESQUISA!$C$50,$I351)),1,0))</f>
        <v/>
      </c>
      <c r="AC351">
        <f>IF($AB351=1,SUM($AB$3:$AB351),"")</f>
        <v/>
      </c>
    </row>
    <row r="352">
      <c r="A352" s="20" t="n"/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>
        <f>IFERROR(INDEX(CONFIGURACOES!$G$37:$G$300,MATCH($I352,CONFIGURACOES!$B$37:$B$300,0)),"")</f>
        <v/>
      </c>
      <c r="K352" s="20">
        <f>IFERROR(INDEX(CONFIGURACOES!$H$37:$H$300,MATCH($I352,CONFIGURACOES!$B$37:$B$300,0)),"")</f>
        <v/>
      </c>
      <c r="L352" s="20" t="n"/>
      <c r="M352" s="20">
        <f>IFERROR(INDEX(CONFIGURACOES!$I$37:$I$300,MATCH($I352,CONFIGURACOES!$B$37:$B$300,0)),"")</f>
        <v/>
      </c>
      <c r="N352" s="21" t="n"/>
      <c r="O352" s="21" t="n"/>
      <c r="P352" s="21" t="n"/>
      <c r="Q352" s="21" t="n"/>
      <c r="R352" s="21">
        <f>IF($N352="","",$N352*IF($Q352="",1,$Q352)*IF($P352="",1,$P352)*IF($O352="",1,$O352))</f>
        <v/>
      </c>
      <c r="S352" s="22">
        <f>IFERROR(INDEX(CONFIGURACOES!$J$37:$J$300,MATCH($I352,CONFIGURACOES!$B$37:$B$300,0)),"")</f>
        <v/>
      </c>
      <c r="T352" s="22">
        <f>IF(OR($R352="",$S352=""),"",$R352*$S352)</f>
        <v/>
      </c>
      <c r="U352" s="20" t="n"/>
      <c r="V352" s="20" t="n"/>
      <c r="W352" s="20" t="n"/>
      <c r="X352">
        <f>IF($A352="","",$A352&amp;"|"&amp;$C352&amp;"|"&amp;$I352)</f>
        <v/>
      </c>
      <c r="Y352">
        <f>IF(AND($A352=RELATORIO_MEDICAO!$C$5,$C352=RELATORIO_MEDICAO!$F$5,$A352&lt;&gt;""),COUNTIFS($A$3:$A352,RELATORIO_MEDICAO!$C$5,$C$3:$C352,RELATORIO_MEDICAO!$F$5),"")</f>
        <v/>
      </c>
      <c r="Z352">
        <f>IF(OR($A352="",PESQUISA!$C$4=""),0,IF(OR(ISNUMBER(SEARCH(PESQUISA!$C$4,$G352)),ISNUMBER(SEARCH(PESQUISA!$C$4,$K352)),ISNUMBER(SEARCH(PESQUISA!$C$4,$L352))),1,0))</f>
        <v/>
      </c>
      <c r="AA352">
        <f>IF($Z352=1,SUM($Z$3:$Z352),"")</f>
        <v/>
      </c>
      <c r="AB352">
        <f>IF(OR($A352="",PESQUISA!$C$50=""),0,IF(ISNUMBER(SEARCH(PESQUISA!$C$50,$I352)),1,0))</f>
        <v/>
      </c>
      <c r="AC352">
        <f>IF($AB352=1,SUM($AB$3:$AB352),"")</f>
        <v/>
      </c>
    </row>
    <row r="353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>
        <f>IFERROR(INDEX(CONFIGURACOES!$G$37:$G$300,MATCH($I353,CONFIGURACOES!$B$37:$B$300,0)),"")</f>
        <v/>
      </c>
      <c r="K353" s="20">
        <f>IFERROR(INDEX(CONFIGURACOES!$H$37:$H$300,MATCH($I353,CONFIGURACOES!$B$37:$B$300,0)),"")</f>
        <v/>
      </c>
      <c r="L353" s="20" t="n"/>
      <c r="M353" s="20">
        <f>IFERROR(INDEX(CONFIGURACOES!$I$37:$I$300,MATCH($I353,CONFIGURACOES!$B$37:$B$300,0)),"")</f>
        <v/>
      </c>
      <c r="N353" s="21" t="n"/>
      <c r="O353" s="21" t="n"/>
      <c r="P353" s="21" t="n"/>
      <c r="Q353" s="21" t="n"/>
      <c r="R353" s="21">
        <f>IF($N353="","",$N353*IF($Q353="",1,$Q353)*IF($P353="",1,$P353)*IF($O353="",1,$O353))</f>
        <v/>
      </c>
      <c r="S353" s="22">
        <f>IFERROR(INDEX(CONFIGURACOES!$J$37:$J$300,MATCH($I353,CONFIGURACOES!$B$37:$B$300,0)),"")</f>
        <v/>
      </c>
      <c r="T353" s="22">
        <f>IF(OR($R353="",$S353=""),"",$R353*$S353)</f>
        <v/>
      </c>
      <c r="U353" s="20" t="n"/>
      <c r="V353" s="20" t="n"/>
      <c r="W353" s="20" t="n"/>
      <c r="X353">
        <f>IF($A353="","",$A353&amp;"|"&amp;$C353&amp;"|"&amp;$I353)</f>
        <v/>
      </c>
      <c r="Y353">
        <f>IF(AND($A353=RELATORIO_MEDICAO!$C$5,$C353=RELATORIO_MEDICAO!$F$5,$A353&lt;&gt;""),COUNTIFS($A$3:$A353,RELATORIO_MEDICAO!$C$5,$C$3:$C353,RELATORIO_MEDICAO!$F$5),"")</f>
        <v/>
      </c>
      <c r="Z353">
        <f>IF(OR($A353="",PESQUISA!$C$4=""),0,IF(OR(ISNUMBER(SEARCH(PESQUISA!$C$4,$G353)),ISNUMBER(SEARCH(PESQUISA!$C$4,$K353)),ISNUMBER(SEARCH(PESQUISA!$C$4,$L353))),1,0))</f>
        <v/>
      </c>
      <c r="AA353">
        <f>IF($Z353=1,SUM($Z$3:$Z353),"")</f>
        <v/>
      </c>
      <c r="AB353">
        <f>IF(OR($A353="",PESQUISA!$C$50=""),0,IF(ISNUMBER(SEARCH(PESQUISA!$C$50,$I353)),1,0))</f>
        <v/>
      </c>
      <c r="AC353">
        <f>IF($AB353=1,SUM($AB$3:$AB353),"")</f>
        <v/>
      </c>
    </row>
    <row r="354">
      <c r="A354" s="20" t="n"/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>
        <f>IFERROR(INDEX(CONFIGURACOES!$G$37:$G$300,MATCH($I354,CONFIGURACOES!$B$37:$B$300,0)),"")</f>
        <v/>
      </c>
      <c r="K354" s="20">
        <f>IFERROR(INDEX(CONFIGURACOES!$H$37:$H$300,MATCH($I354,CONFIGURACOES!$B$37:$B$300,0)),"")</f>
        <v/>
      </c>
      <c r="L354" s="20" t="n"/>
      <c r="M354" s="20">
        <f>IFERROR(INDEX(CONFIGURACOES!$I$37:$I$300,MATCH($I354,CONFIGURACOES!$B$37:$B$300,0)),"")</f>
        <v/>
      </c>
      <c r="N354" s="21" t="n"/>
      <c r="O354" s="21" t="n"/>
      <c r="P354" s="21" t="n"/>
      <c r="Q354" s="21" t="n"/>
      <c r="R354" s="21">
        <f>IF($N354="","",$N354*IF($Q354="",1,$Q354)*IF($P354="",1,$P354)*IF($O354="",1,$O354))</f>
        <v/>
      </c>
      <c r="S354" s="22">
        <f>IFERROR(INDEX(CONFIGURACOES!$J$37:$J$300,MATCH($I354,CONFIGURACOES!$B$37:$B$300,0)),"")</f>
        <v/>
      </c>
      <c r="T354" s="22">
        <f>IF(OR($R354="",$S354=""),"",$R354*$S354)</f>
        <v/>
      </c>
      <c r="U354" s="20" t="n"/>
      <c r="V354" s="20" t="n"/>
      <c r="W354" s="20" t="n"/>
      <c r="X354">
        <f>IF($A354="","",$A354&amp;"|"&amp;$C354&amp;"|"&amp;$I354)</f>
        <v/>
      </c>
      <c r="Y354">
        <f>IF(AND($A354=RELATORIO_MEDICAO!$C$5,$C354=RELATORIO_MEDICAO!$F$5,$A354&lt;&gt;""),COUNTIFS($A$3:$A354,RELATORIO_MEDICAO!$C$5,$C$3:$C354,RELATORIO_MEDICAO!$F$5),"")</f>
        <v/>
      </c>
      <c r="Z354">
        <f>IF(OR($A354="",PESQUISA!$C$4=""),0,IF(OR(ISNUMBER(SEARCH(PESQUISA!$C$4,$G354)),ISNUMBER(SEARCH(PESQUISA!$C$4,$K354)),ISNUMBER(SEARCH(PESQUISA!$C$4,$L354))),1,0))</f>
        <v/>
      </c>
      <c r="AA354">
        <f>IF($Z354=1,SUM($Z$3:$Z354),"")</f>
        <v/>
      </c>
      <c r="AB354">
        <f>IF(OR($A354="",PESQUISA!$C$50=""),0,IF(ISNUMBER(SEARCH(PESQUISA!$C$50,$I354)),1,0))</f>
        <v/>
      </c>
      <c r="AC354">
        <f>IF($AB354=1,SUM($AB$3:$AB354),"")</f>
        <v/>
      </c>
    </row>
    <row r="355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>
        <f>IFERROR(INDEX(CONFIGURACOES!$G$37:$G$300,MATCH($I355,CONFIGURACOES!$B$37:$B$300,0)),"")</f>
        <v/>
      </c>
      <c r="K355" s="20">
        <f>IFERROR(INDEX(CONFIGURACOES!$H$37:$H$300,MATCH($I355,CONFIGURACOES!$B$37:$B$300,0)),"")</f>
        <v/>
      </c>
      <c r="L355" s="20" t="n"/>
      <c r="M355" s="20">
        <f>IFERROR(INDEX(CONFIGURACOES!$I$37:$I$300,MATCH($I355,CONFIGURACOES!$B$37:$B$300,0)),"")</f>
        <v/>
      </c>
      <c r="N355" s="21" t="n"/>
      <c r="O355" s="21" t="n"/>
      <c r="P355" s="21" t="n"/>
      <c r="Q355" s="21" t="n"/>
      <c r="R355" s="21">
        <f>IF($N355="","",$N355*IF($Q355="",1,$Q355)*IF($P355="",1,$P355)*IF($O355="",1,$O355))</f>
        <v/>
      </c>
      <c r="S355" s="22">
        <f>IFERROR(INDEX(CONFIGURACOES!$J$37:$J$300,MATCH($I355,CONFIGURACOES!$B$37:$B$300,0)),"")</f>
        <v/>
      </c>
      <c r="T355" s="22">
        <f>IF(OR($R355="",$S355=""),"",$R355*$S355)</f>
        <v/>
      </c>
      <c r="U355" s="20" t="n"/>
      <c r="V355" s="20" t="n"/>
      <c r="W355" s="20" t="n"/>
      <c r="X355">
        <f>IF($A355="","",$A355&amp;"|"&amp;$C355&amp;"|"&amp;$I355)</f>
        <v/>
      </c>
      <c r="Y355">
        <f>IF(AND($A355=RELATORIO_MEDICAO!$C$5,$C355=RELATORIO_MEDICAO!$F$5,$A355&lt;&gt;""),COUNTIFS($A$3:$A355,RELATORIO_MEDICAO!$C$5,$C$3:$C355,RELATORIO_MEDICAO!$F$5),"")</f>
        <v/>
      </c>
      <c r="Z355">
        <f>IF(OR($A355="",PESQUISA!$C$4=""),0,IF(OR(ISNUMBER(SEARCH(PESQUISA!$C$4,$G355)),ISNUMBER(SEARCH(PESQUISA!$C$4,$K355)),ISNUMBER(SEARCH(PESQUISA!$C$4,$L355))),1,0))</f>
        <v/>
      </c>
      <c r="AA355">
        <f>IF($Z355=1,SUM($Z$3:$Z355),"")</f>
        <v/>
      </c>
      <c r="AB355">
        <f>IF(OR($A355="",PESQUISA!$C$50=""),0,IF(ISNUMBER(SEARCH(PESQUISA!$C$50,$I355)),1,0))</f>
        <v/>
      </c>
      <c r="AC355">
        <f>IF($AB355=1,SUM($AB$3:$AB355),"")</f>
        <v/>
      </c>
    </row>
    <row r="356">
      <c r="A356" s="20" t="n"/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>
        <f>IFERROR(INDEX(CONFIGURACOES!$G$37:$G$300,MATCH($I356,CONFIGURACOES!$B$37:$B$300,0)),"")</f>
        <v/>
      </c>
      <c r="K356" s="20">
        <f>IFERROR(INDEX(CONFIGURACOES!$H$37:$H$300,MATCH($I356,CONFIGURACOES!$B$37:$B$300,0)),"")</f>
        <v/>
      </c>
      <c r="L356" s="20" t="n"/>
      <c r="M356" s="20">
        <f>IFERROR(INDEX(CONFIGURACOES!$I$37:$I$300,MATCH($I356,CONFIGURACOES!$B$37:$B$300,0)),"")</f>
        <v/>
      </c>
      <c r="N356" s="21" t="n"/>
      <c r="O356" s="21" t="n"/>
      <c r="P356" s="21" t="n"/>
      <c r="Q356" s="21" t="n"/>
      <c r="R356" s="21">
        <f>IF($N356="","",$N356*IF($Q356="",1,$Q356)*IF($P356="",1,$P356)*IF($O356="",1,$O356))</f>
        <v/>
      </c>
      <c r="S356" s="22">
        <f>IFERROR(INDEX(CONFIGURACOES!$J$37:$J$300,MATCH($I356,CONFIGURACOES!$B$37:$B$300,0)),"")</f>
        <v/>
      </c>
      <c r="T356" s="22">
        <f>IF(OR($R356="",$S356=""),"",$R356*$S356)</f>
        <v/>
      </c>
      <c r="U356" s="20" t="n"/>
      <c r="V356" s="20" t="n"/>
      <c r="W356" s="20" t="n"/>
      <c r="X356">
        <f>IF($A356="","",$A356&amp;"|"&amp;$C356&amp;"|"&amp;$I356)</f>
        <v/>
      </c>
      <c r="Y356">
        <f>IF(AND($A356=RELATORIO_MEDICAO!$C$5,$C356=RELATORIO_MEDICAO!$F$5,$A356&lt;&gt;""),COUNTIFS($A$3:$A356,RELATORIO_MEDICAO!$C$5,$C$3:$C356,RELATORIO_MEDICAO!$F$5),"")</f>
        <v/>
      </c>
      <c r="Z356">
        <f>IF(OR($A356="",PESQUISA!$C$4=""),0,IF(OR(ISNUMBER(SEARCH(PESQUISA!$C$4,$G356)),ISNUMBER(SEARCH(PESQUISA!$C$4,$K356)),ISNUMBER(SEARCH(PESQUISA!$C$4,$L356))),1,0))</f>
        <v/>
      </c>
      <c r="AA356">
        <f>IF($Z356=1,SUM($Z$3:$Z356),"")</f>
        <v/>
      </c>
      <c r="AB356">
        <f>IF(OR($A356="",PESQUISA!$C$50=""),0,IF(ISNUMBER(SEARCH(PESQUISA!$C$50,$I356)),1,0))</f>
        <v/>
      </c>
      <c r="AC356">
        <f>IF($AB356=1,SUM($AB$3:$AB356),"")</f>
        <v/>
      </c>
    </row>
    <row r="357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>
        <f>IFERROR(INDEX(CONFIGURACOES!$G$37:$G$300,MATCH($I357,CONFIGURACOES!$B$37:$B$300,0)),"")</f>
        <v/>
      </c>
      <c r="K357" s="20">
        <f>IFERROR(INDEX(CONFIGURACOES!$H$37:$H$300,MATCH($I357,CONFIGURACOES!$B$37:$B$300,0)),"")</f>
        <v/>
      </c>
      <c r="L357" s="20" t="n"/>
      <c r="M357" s="20">
        <f>IFERROR(INDEX(CONFIGURACOES!$I$37:$I$300,MATCH($I357,CONFIGURACOES!$B$37:$B$300,0)),"")</f>
        <v/>
      </c>
      <c r="N357" s="21" t="n"/>
      <c r="O357" s="21" t="n"/>
      <c r="P357" s="21" t="n"/>
      <c r="Q357" s="21" t="n"/>
      <c r="R357" s="21">
        <f>IF($N357="","",$N357*IF($Q357="",1,$Q357)*IF($P357="",1,$P357)*IF($O357="",1,$O357))</f>
        <v/>
      </c>
      <c r="S357" s="22">
        <f>IFERROR(INDEX(CONFIGURACOES!$J$37:$J$300,MATCH($I357,CONFIGURACOES!$B$37:$B$300,0)),"")</f>
        <v/>
      </c>
      <c r="T357" s="22">
        <f>IF(OR($R357="",$S357=""),"",$R357*$S357)</f>
        <v/>
      </c>
      <c r="U357" s="20" t="n"/>
      <c r="V357" s="20" t="n"/>
      <c r="W357" s="20" t="n"/>
      <c r="X357">
        <f>IF($A357="","",$A357&amp;"|"&amp;$C357&amp;"|"&amp;$I357)</f>
        <v/>
      </c>
      <c r="Y357">
        <f>IF(AND($A357=RELATORIO_MEDICAO!$C$5,$C357=RELATORIO_MEDICAO!$F$5,$A357&lt;&gt;""),COUNTIFS($A$3:$A357,RELATORIO_MEDICAO!$C$5,$C$3:$C357,RELATORIO_MEDICAO!$F$5),"")</f>
        <v/>
      </c>
      <c r="Z357">
        <f>IF(OR($A357="",PESQUISA!$C$4=""),0,IF(OR(ISNUMBER(SEARCH(PESQUISA!$C$4,$G357)),ISNUMBER(SEARCH(PESQUISA!$C$4,$K357)),ISNUMBER(SEARCH(PESQUISA!$C$4,$L357))),1,0))</f>
        <v/>
      </c>
      <c r="AA357">
        <f>IF($Z357=1,SUM($Z$3:$Z357),"")</f>
        <v/>
      </c>
      <c r="AB357">
        <f>IF(OR($A357="",PESQUISA!$C$50=""),0,IF(ISNUMBER(SEARCH(PESQUISA!$C$50,$I357)),1,0))</f>
        <v/>
      </c>
      <c r="AC357">
        <f>IF($AB357=1,SUM($AB$3:$AB357),"")</f>
        <v/>
      </c>
    </row>
    <row r="358">
      <c r="A358" s="20" t="n"/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>
        <f>IFERROR(INDEX(CONFIGURACOES!$G$37:$G$300,MATCH($I358,CONFIGURACOES!$B$37:$B$300,0)),"")</f>
        <v/>
      </c>
      <c r="K358" s="20">
        <f>IFERROR(INDEX(CONFIGURACOES!$H$37:$H$300,MATCH($I358,CONFIGURACOES!$B$37:$B$300,0)),"")</f>
        <v/>
      </c>
      <c r="L358" s="20" t="n"/>
      <c r="M358" s="20">
        <f>IFERROR(INDEX(CONFIGURACOES!$I$37:$I$300,MATCH($I358,CONFIGURACOES!$B$37:$B$300,0)),"")</f>
        <v/>
      </c>
      <c r="N358" s="21" t="n"/>
      <c r="O358" s="21" t="n"/>
      <c r="P358" s="21" t="n"/>
      <c r="Q358" s="21" t="n"/>
      <c r="R358" s="21">
        <f>IF($N358="","",$N358*IF($Q358="",1,$Q358)*IF($P358="",1,$P358)*IF($O358="",1,$O358))</f>
        <v/>
      </c>
      <c r="S358" s="22">
        <f>IFERROR(INDEX(CONFIGURACOES!$J$37:$J$300,MATCH($I358,CONFIGURACOES!$B$37:$B$300,0)),"")</f>
        <v/>
      </c>
      <c r="T358" s="22">
        <f>IF(OR($R358="",$S358=""),"",$R358*$S358)</f>
        <v/>
      </c>
      <c r="U358" s="20" t="n"/>
      <c r="V358" s="20" t="n"/>
      <c r="W358" s="20" t="n"/>
      <c r="X358">
        <f>IF($A358="","",$A358&amp;"|"&amp;$C358&amp;"|"&amp;$I358)</f>
        <v/>
      </c>
      <c r="Y358">
        <f>IF(AND($A358=RELATORIO_MEDICAO!$C$5,$C358=RELATORIO_MEDICAO!$F$5,$A358&lt;&gt;""),COUNTIFS($A$3:$A358,RELATORIO_MEDICAO!$C$5,$C$3:$C358,RELATORIO_MEDICAO!$F$5),"")</f>
        <v/>
      </c>
      <c r="Z358">
        <f>IF(OR($A358="",PESQUISA!$C$4=""),0,IF(OR(ISNUMBER(SEARCH(PESQUISA!$C$4,$G358)),ISNUMBER(SEARCH(PESQUISA!$C$4,$K358)),ISNUMBER(SEARCH(PESQUISA!$C$4,$L358))),1,0))</f>
        <v/>
      </c>
      <c r="AA358">
        <f>IF($Z358=1,SUM($Z$3:$Z358),"")</f>
        <v/>
      </c>
      <c r="AB358">
        <f>IF(OR($A358="",PESQUISA!$C$50=""),0,IF(ISNUMBER(SEARCH(PESQUISA!$C$50,$I358)),1,0))</f>
        <v/>
      </c>
      <c r="AC358">
        <f>IF($AB358=1,SUM($AB$3:$AB358),"")</f>
        <v/>
      </c>
    </row>
    <row r="359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>
        <f>IFERROR(INDEX(CONFIGURACOES!$G$37:$G$300,MATCH($I359,CONFIGURACOES!$B$37:$B$300,0)),"")</f>
        <v/>
      </c>
      <c r="K359" s="20">
        <f>IFERROR(INDEX(CONFIGURACOES!$H$37:$H$300,MATCH($I359,CONFIGURACOES!$B$37:$B$300,0)),"")</f>
        <v/>
      </c>
      <c r="L359" s="20" t="n"/>
      <c r="M359" s="20">
        <f>IFERROR(INDEX(CONFIGURACOES!$I$37:$I$300,MATCH($I359,CONFIGURACOES!$B$37:$B$300,0)),"")</f>
        <v/>
      </c>
      <c r="N359" s="21" t="n"/>
      <c r="O359" s="21" t="n"/>
      <c r="P359" s="21" t="n"/>
      <c r="Q359" s="21" t="n"/>
      <c r="R359" s="21">
        <f>IF($N359="","",$N359*IF($Q359="",1,$Q359)*IF($P359="",1,$P359)*IF($O359="",1,$O359))</f>
        <v/>
      </c>
      <c r="S359" s="22">
        <f>IFERROR(INDEX(CONFIGURACOES!$J$37:$J$300,MATCH($I359,CONFIGURACOES!$B$37:$B$300,0)),"")</f>
        <v/>
      </c>
      <c r="T359" s="22">
        <f>IF(OR($R359="",$S359=""),"",$R359*$S359)</f>
        <v/>
      </c>
      <c r="U359" s="20" t="n"/>
      <c r="V359" s="20" t="n"/>
      <c r="W359" s="20" t="n"/>
      <c r="X359">
        <f>IF($A359="","",$A359&amp;"|"&amp;$C359&amp;"|"&amp;$I359)</f>
        <v/>
      </c>
      <c r="Y359">
        <f>IF(AND($A359=RELATORIO_MEDICAO!$C$5,$C359=RELATORIO_MEDICAO!$F$5,$A359&lt;&gt;""),COUNTIFS($A$3:$A359,RELATORIO_MEDICAO!$C$5,$C$3:$C359,RELATORIO_MEDICAO!$F$5),"")</f>
        <v/>
      </c>
      <c r="Z359">
        <f>IF(OR($A359="",PESQUISA!$C$4=""),0,IF(OR(ISNUMBER(SEARCH(PESQUISA!$C$4,$G359)),ISNUMBER(SEARCH(PESQUISA!$C$4,$K359)),ISNUMBER(SEARCH(PESQUISA!$C$4,$L359))),1,0))</f>
        <v/>
      </c>
      <c r="AA359">
        <f>IF($Z359=1,SUM($Z$3:$Z359),"")</f>
        <v/>
      </c>
      <c r="AB359">
        <f>IF(OR($A359="",PESQUISA!$C$50=""),0,IF(ISNUMBER(SEARCH(PESQUISA!$C$50,$I359)),1,0))</f>
        <v/>
      </c>
      <c r="AC359">
        <f>IF($AB359=1,SUM($AB$3:$AB359),"")</f>
        <v/>
      </c>
    </row>
    <row r="360">
      <c r="A360" s="20" t="n"/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>
        <f>IFERROR(INDEX(CONFIGURACOES!$G$37:$G$300,MATCH($I360,CONFIGURACOES!$B$37:$B$300,0)),"")</f>
        <v/>
      </c>
      <c r="K360" s="20">
        <f>IFERROR(INDEX(CONFIGURACOES!$H$37:$H$300,MATCH($I360,CONFIGURACOES!$B$37:$B$300,0)),"")</f>
        <v/>
      </c>
      <c r="L360" s="20" t="n"/>
      <c r="M360" s="20">
        <f>IFERROR(INDEX(CONFIGURACOES!$I$37:$I$300,MATCH($I360,CONFIGURACOES!$B$37:$B$300,0)),"")</f>
        <v/>
      </c>
      <c r="N360" s="21" t="n"/>
      <c r="O360" s="21" t="n"/>
      <c r="P360" s="21" t="n"/>
      <c r="Q360" s="21" t="n"/>
      <c r="R360" s="21">
        <f>IF($N360="","",$N360*IF($Q360="",1,$Q360)*IF($P360="",1,$P360)*IF($O360="",1,$O360))</f>
        <v/>
      </c>
      <c r="S360" s="22">
        <f>IFERROR(INDEX(CONFIGURACOES!$J$37:$J$300,MATCH($I360,CONFIGURACOES!$B$37:$B$300,0)),"")</f>
        <v/>
      </c>
      <c r="T360" s="22">
        <f>IF(OR($R360="",$S360=""),"",$R360*$S360)</f>
        <v/>
      </c>
      <c r="U360" s="20" t="n"/>
      <c r="V360" s="20" t="n"/>
      <c r="W360" s="20" t="n"/>
      <c r="X360">
        <f>IF($A360="","",$A360&amp;"|"&amp;$C360&amp;"|"&amp;$I360)</f>
        <v/>
      </c>
      <c r="Y360">
        <f>IF(AND($A360=RELATORIO_MEDICAO!$C$5,$C360=RELATORIO_MEDICAO!$F$5,$A360&lt;&gt;""),COUNTIFS($A$3:$A360,RELATORIO_MEDICAO!$C$5,$C$3:$C360,RELATORIO_MEDICAO!$F$5),"")</f>
        <v/>
      </c>
      <c r="Z360">
        <f>IF(OR($A360="",PESQUISA!$C$4=""),0,IF(OR(ISNUMBER(SEARCH(PESQUISA!$C$4,$G360)),ISNUMBER(SEARCH(PESQUISA!$C$4,$K360)),ISNUMBER(SEARCH(PESQUISA!$C$4,$L360))),1,0))</f>
        <v/>
      </c>
      <c r="AA360">
        <f>IF($Z360=1,SUM($Z$3:$Z360),"")</f>
        <v/>
      </c>
      <c r="AB360">
        <f>IF(OR($A360="",PESQUISA!$C$50=""),0,IF(ISNUMBER(SEARCH(PESQUISA!$C$50,$I360)),1,0))</f>
        <v/>
      </c>
      <c r="AC360">
        <f>IF($AB360=1,SUM($AB$3:$AB360),"")</f>
        <v/>
      </c>
    </row>
    <row r="361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>
        <f>IFERROR(INDEX(CONFIGURACOES!$G$37:$G$300,MATCH($I361,CONFIGURACOES!$B$37:$B$300,0)),"")</f>
        <v/>
      </c>
      <c r="K361" s="20">
        <f>IFERROR(INDEX(CONFIGURACOES!$H$37:$H$300,MATCH($I361,CONFIGURACOES!$B$37:$B$300,0)),"")</f>
        <v/>
      </c>
      <c r="L361" s="20" t="n"/>
      <c r="M361" s="20">
        <f>IFERROR(INDEX(CONFIGURACOES!$I$37:$I$300,MATCH($I361,CONFIGURACOES!$B$37:$B$300,0)),"")</f>
        <v/>
      </c>
      <c r="N361" s="21" t="n"/>
      <c r="O361" s="21" t="n"/>
      <c r="P361" s="21" t="n"/>
      <c r="Q361" s="21" t="n"/>
      <c r="R361" s="21">
        <f>IF($N361="","",$N361*IF($Q361="",1,$Q361)*IF($P361="",1,$P361)*IF($O361="",1,$O361))</f>
        <v/>
      </c>
      <c r="S361" s="22">
        <f>IFERROR(INDEX(CONFIGURACOES!$J$37:$J$300,MATCH($I361,CONFIGURACOES!$B$37:$B$300,0)),"")</f>
        <v/>
      </c>
      <c r="T361" s="22">
        <f>IF(OR($R361="",$S361=""),"",$R361*$S361)</f>
        <v/>
      </c>
      <c r="U361" s="20" t="n"/>
      <c r="V361" s="20" t="n"/>
      <c r="W361" s="20" t="n"/>
      <c r="X361">
        <f>IF($A361="","",$A361&amp;"|"&amp;$C361&amp;"|"&amp;$I361)</f>
        <v/>
      </c>
      <c r="Y361">
        <f>IF(AND($A361=RELATORIO_MEDICAO!$C$5,$C361=RELATORIO_MEDICAO!$F$5,$A361&lt;&gt;""),COUNTIFS($A$3:$A361,RELATORIO_MEDICAO!$C$5,$C$3:$C361,RELATORIO_MEDICAO!$F$5),"")</f>
        <v/>
      </c>
      <c r="Z361">
        <f>IF(OR($A361="",PESQUISA!$C$4=""),0,IF(OR(ISNUMBER(SEARCH(PESQUISA!$C$4,$G361)),ISNUMBER(SEARCH(PESQUISA!$C$4,$K361)),ISNUMBER(SEARCH(PESQUISA!$C$4,$L361))),1,0))</f>
        <v/>
      </c>
      <c r="AA361">
        <f>IF($Z361=1,SUM($Z$3:$Z361),"")</f>
        <v/>
      </c>
      <c r="AB361">
        <f>IF(OR($A361="",PESQUISA!$C$50=""),0,IF(ISNUMBER(SEARCH(PESQUISA!$C$50,$I361)),1,0))</f>
        <v/>
      </c>
      <c r="AC361">
        <f>IF($AB361=1,SUM($AB$3:$AB361),"")</f>
        <v/>
      </c>
    </row>
    <row r="362">
      <c r="A362" s="20" t="n"/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>
        <f>IFERROR(INDEX(CONFIGURACOES!$G$37:$G$300,MATCH($I362,CONFIGURACOES!$B$37:$B$300,0)),"")</f>
        <v/>
      </c>
      <c r="K362" s="20">
        <f>IFERROR(INDEX(CONFIGURACOES!$H$37:$H$300,MATCH($I362,CONFIGURACOES!$B$37:$B$300,0)),"")</f>
        <v/>
      </c>
      <c r="L362" s="20" t="n"/>
      <c r="M362" s="20">
        <f>IFERROR(INDEX(CONFIGURACOES!$I$37:$I$300,MATCH($I362,CONFIGURACOES!$B$37:$B$300,0)),"")</f>
        <v/>
      </c>
      <c r="N362" s="21" t="n"/>
      <c r="O362" s="21" t="n"/>
      <c r="P362" s="21" t="n"/>
      <c r="Q362" s="21" t="n"/>
      <c r="R362" s="21">
        <f>IF($N362="","",$N362*IF($Q362="",1,$Q362)*IF($P362="",1,$P362)*IF($O362="",1,$O362))</f>
        <v/>
      </c>
      <c r="S362" s="22">
        <f>IFERROR(INDEX(CONFIGURACOES!$J$37:$J$300,MATCH($I362,CONFIGURACOES!$B$37:$B$300,0)),"")</f>
        <v/>
      </c>
      <c r="T362" s="22">
        <f>IF(OR($R362="",$S362=""),"",$R362*$S362)</f>
        <v/>
      </c>
      <c r="U362" s="20" t="n"/>
      <c r="V362" s="20" t="n"/>
      <c r="W362" s="20" t="n"/>
      <c r="X362">
        <f>IF($A362="","",$A362&amp;"|"&amp;$C362&amp;"|"&amp;$I362)</f>
        <v/>
      </c>
      <c r="Y362">
        <f>IF(AND($A362=RELATORIO_MEDICAO!$C$5,$C362=RELATORIO_MEDICAO!$F$5,$A362&lt;&gt;""),COUNTIFS($A$3:$A362,RELATORIO_MEDICAO!$C$5,$C$3:$C362,RELATORIO_MEDICAO!$F$5),"")</f>
        <v/>
      </c>
      <c r="Z362">
        <f>IF(OR($A362="",PESQUISA!$C$4=""),0,IF(OR(ISNUMBER(SEARCH(PESQUISA!$C$4,$G362)),ISNUMBER(SEARCH(PESQUISA!$C$4,$K362)),ISNUMBER(SEARCH(PESQUISA!$C$4,$L362))),1,0))</f>
        <v/>
      </c>
      <c r="AA362">
        <f>IF($Z362=1,SUM($Z$3:$Z362),"")</f>
        <v/>
      </c>
      <c r="AB362">
        <f>IF(OR($A362="",PESQUISA!$C$50=""),0,IF(ISNUMBER(SEARCH(PESQUISA!$C$50,$I362)),1,0))</f>
        <v/>
      </c>
      <c r="AC362">
        <f>IF($AB362=1,SUM($AB$3:$AB362),"")</f>
        <v/>
      </c>
    </row>
    <row r="363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>
        <f>IFERROR(INDEX(CONFIGURACOES!$G$37:$G$300,MATCH($I363,CONFIGURACOES!$B$37:$B$300,0)),"")</f>
        <v/>
      </c>
      <c r="K363" s="20">
        <f>IFERROR(INDEX(CONFIGURACOES!$H$37:$H$300,MATCH($I363,CONFIGURACOES!$B$37:$B$300,0)),"")</f>
        <v/>
      </c>
      <c r="L363" s="20" t="n"/>
      <c r="M363" s="20">
        <f>IFERROR(INDEX(CONFIGURACOES!$I$37:$I$300,MATCH($I363,CONFIGURACOES!$B$37:$B$300,0)),"")</f>
        <v/>
      </c>
      <c r="N363" s="21" t="n"/>
      <c r="O363" s="21" t="n"/>
      <c r="P363" s="21" t="n"/>
      <c r="Q363" s="21" t="n"/>
      <c r="R363" s="21">
        <f>IF($N363="","",$N363*IF($Q363="",1,$Q363)*IF($P363="",1,$P363)*IF($O363="",1,$O363))</f>
        <v/>
      </c>
      <c r="S363" s="22">
        <f>IFERROR(INDEX(CONFIGURACOES!$J$37:$J$300,MATCH($I363,CONFIGURACOES!$B$37:$B$300,0)),"")</f>
        <v/>
      </c>
      <c r="T363" s="22">
        <f>IF(OR($R363="",$S363=""),"",$R363*$S363)</f>
        <v/>
      </c>
      <c r="U363" s="20" t="n"/>
      <c r="V363" s="20" t="n"/>
      <c r="W363" s="20" t="n"/>
      <c r="X363">
        <f>IF($A363="","",$A363&amp;"|"&amp;$C363&amp;"|"&amp;$I363)</f>
        <v/>
      </c>
      <c r="Y363">
        <f>IF(AND($A363=RELATORIO_MEDICAO!$C$5,$C363=RELATORIO_MEDICAO!$F$5,$A363&lt;&gt;""),COUNTIFS($A$3:$A363,RELATORIO_MEDICAO!$C$5,$C$3:$C363,RELATORIO_MEDICAO!$F$5),"")</f>
        <v/>
      </c>
      <c r="Z363">
        <f>IF(OR($A363="",PESQUISA!$C$4=""),0,IF(OR(ISNUMBER(SEARCH(PESQUISA!$C$4,$G363)),ISNUMBER(SEARCH(PESQUISA!$C$4,$K363)),ISNUMBER(SEARCH(PESQUISA!$C$4,$L363))),1,0))</f>
        <v/>
      </c>
      <c r="AA363">
        <f>IF($Z363=1,SUM($Z$3:$Z363),"")</f>
        <v/>
      </c>
      <c r="AB363">
        <f>IF(OR($A363="",PESQUISA!$C$50=""),0,IF(ISNUMBER(SEARCH(PESQUISA!$C$50,$I363)),1,0))</f>
        <v/>
      </c>
      <c r="AC363">
        <f>IF($AB363=1,SUM($AB$3:$AB363),"")</f>
        <v/>
      </c>
    </row>
    <row r="364">
      <c r="A364" s="20" t="n"/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>
        <f>IFERROR(INDEX(CONFIGURACOES!$G$37:$G$300,MATCH($I364,CONFIGURACOES!$B$37:$B$300,0)),"")</f>
        <v/>
      </c>
      <c r="K364" s="20">
        <f>IFERROR(INDEX(CONFIGURACOES!$H$37:$H$300,MATCH($I364,CONFIGURACOES!$B$37:$B$300,0)),"")</f>
        <v/>
      </c>
      <c r="L364" s="20" t="n"/>
      <c r="M364" s="20">
        <f>IFERROR(INDEX(CONFIGURACOES!$I$37:$I$300,MATCH($I364,CONFIGURACOES!$B$37:$B$300,0)),"")</f>
        <v/>
      </c>
      <c r="N364" s="21" t="n"/>
      <c r="O364" s="21" t="n"/>
      <c r="P364" s="21" t="n"/>
      <c r="Q364" s="21" t="n"/>
      <c r="R364" s="21">
        <f>IF($N364="","",$N364*IF($Q364="",1,$Q364)*IF($P364="",1,$P364)*IF($O364="",1,$O364))</f>
        <v/>
      </c>
      <c r="S364" s="22">
        <f>IFERROR(INDEX(CONFIGURACOES!$J$37:$J$300,MATCH($I364,CONFIGURACOES!$B$37:$B$300,0)),"")</f>
        <v/>
      </c>
      <c r="T364" s="22">
        <f>IF(OR($R364="",$S364=""),"",$R364*$S364)</f>
        <v/>
      </c>
      <c r="U364" s="20" t="n"/>
      <c r="V364" s="20" t="n"/>
      <c r="W364" s="20" t="n"/>
      <c r="X364">
        <f>IF($A364="","",$A364&amp;"|"&amp;$C364&amp;"|"&amp;$I364)</f>
        <v/>
      </c>
      <c r="Y364">
        <f>IF(AND($A364=RELATORIO_MEDICAO!$C$5,$C364=RELATORIO_MEDICAO!$F$5,$A364&lt;&gt;""),COUNTIFS($A$3:$A364,RELATORIO_MEDICAO!$C$5,$C$3:$C364,RELATORIO_MEDICAO!$F$5),"")</f>
        <v/>
      </c>
      <c r="Z364">
        <f>IF(OR($A364="",PESQUISA!$C$4=""),0,IF(OR(ISNUMBER(SEARCH(PESQUISA!$C$4,$G364)),ISNUMBER(SEARCH(PESQUISA!$C$4,$K364)),ISNUMBER(SEARCH(PESQUISA!$C$4,$L364))),1,0))</f>
        <v/>
      </c>
      <c r="AA364">
        <f>IF($Z364=1,SUM($Z$3:$Z364),"")</f>
        <v/>
      </c>
      <c r="AB364">
        <f>IF(OR($A364="",PESQUISA!$C$50=""),0,IF(ISNUMBER(SEARCH(PESQUISA!$C$50,$I364)),1,0))</f>
        <v/>
      </c>
      <c r="AC364">
        <f>IF($AB364=1,SUM($AB$3:$AB364),"")</f>
        <v/>
      </c>
    </row>
    <row r="365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>
        <f>IFERROR(INDEX(CONFIGURACOES!$G$37:$G$300,MATCH($I365,CONFIGURACOES!$B$37:$B$300,0)),"")</f>
        <v/>
      </c>
      <c r="K365" s="20">
        <f>IFERROR(INDEX(CONFIGURACOES!$H$37:$H$300,MATCH($I365,CONFIGURACOES!$B$37:$B$300,0)),"")</f>
        <v/>
      </c>
      <c r="L365" s="20" t="n"/>
      <c r="M365" s="20">
        <f>IFERROR(INDEX(CONFIGURACOES!$I$37:$I$300,MATCH($I365,CONFIGURACOES!$B$37:$B$300,0)),"")</f>
        <v/>
      </c>
      <c r="N365" s="21" t="n"/>
      <c r="O365" s="21" t="n"/>
      <c r="P365" s="21" t="n"/>
      <c r="Q365" s="21" t="n"/>
      <c r="R365" s="21">
        <f>IF($N365="","",$N365*IF($Q365="",1,$Q365)*IF($P365="",1,$P365)*IF($O365="",1,$O365))</f>
        <v/>
      </c>
      <c r="S365" s="22">
        <f>IFERROR(INDEX(CONFIGURACOES!$J$37:$J$300,MATCH($I365,CONFIGURACOES!$B$37:$B$300,0)),"")</f>
        <v/>
      </c>
      <c r="T365" s="22">
        <f>IF(OR($R365="",$S365=""),"",$R365*$S365)</f>
        <v/>
      </c>
      <c r="U365" s="20" t="n"/>
      <c r="V365" s="20" t="n"/>
      <c r="W365" s="20" t="n"/>
      <c r="X365">
        <f>IF($A365="","",$A365&amp;"|"&amp;$C365&amp;"|"&amp;$I365)</f>
        <v/>
      </c>
      <c r="Y365">
        <f>IF(AND($A365=RELATORIO_MEDICAO!$C$5,$C365=RELATORIO_MEDICAO!$F$5,$A365&lt;&gt;""),COUNTIFS($A$3:$A365,RELATORIO_MEDICAO!$C$5,$C$3:$C365,RELATORIO_MEDICAO!$F$5),"")</f>
        <v/>
      </c>
      <c r="Z365">
        <f>IF(OR($A365="",PESQUISA!$C$4=""),0,IF(OR(ISNUMBER(SEARCH(PESQUISA!$C$4,$G365)),ISNUMBER(SEARCH(PESQUISA!$C$4,$K365)),ISNUMBER(SEARCH(PESQUISA!$C$4,$L365))),1,0))</f>
        <v/>
      </c>
      <c r="AA365">
        <f>IF($Z365=1,SUM($Z$3:$Z365),"")</f>
        <v/>
      </c>
      <c r="AB365">
        <f>IF(OR($A365="",PESQUISA!$C$50=""),0,IF(ISNUMBER(SEARCH(PESQUISA!$C$50,$I365)),1,0))</f>
        <v/>
      </c>
      <c r="AC365">
        <f>IF($AB365=1,SUM($AB$3:$AB365),"")</f>
        <v/>
      </c>
    </row>
    <row r="366">
      <c r="A366" s="20" t="n"/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>
        <f>IFERROR(INDEX(CONFIGURACOES!$G$37:$G$300,MATCH($I366,CONFIGURACOES!$B$37:$B$300,0)),"")</f>
        <v/>
      </c>
      <c r="K366" s="20">
        <f>IFERROR(INDEX(CONFIGURACOES!$H$37:$H$300,MATCH($I366,CONFIGURACOES!$B$37:$B$300,0)),"")</f>
        <v/>
      </c>
      <c r="L366" s="20" t="n"/>
      <c r="M366" s="20">
        <f>IFERROR(INDEX(CONFIGURACOES!$I$37:$I$300,MATCH($I366,CONFIGURACOES!$B$37:$B$300,0)),"")</f>
        <v/>
      </c>
      <c r="N366" s="21" t="n"/>
      <c r="O366" s="21" t="n"/>
      <c r="P366" s="21" t="n"/>
      <c r="Q366" s="21" t="n"/>
      <c r="R366" s="21">
        <f>IF($N366="","",$N366*IF($Q366="",1,$Q366)*IF($P366="",1,$P366)*IF($O366="",1,$O366))</f>
        <v/>
      </c>
      <c r="S366" s="22">
        <f>IFERROR(INDEX(CONFIGURACOES!$J$37:$J$300,MATCH($I366,CONFIGURACOES!$B$37:$B$300,0)),"")</f>
        <v/>
      </c>
      <c r="T366" s="22">
        <f>IF(OR($R366="",$S366=""),"",$R366*$S366)</f>
        <v/>
      </c>
      <c r="U366" s="20" t="n"/>
      <c r="V366" s="20" t="n"/>
      <c r="W366" s="20" t="n"/>
      <c r="X366">
        <f>IF($A366="","",$A366&amp;"|"&amp;$C366&amp;"|"&amp;$I366)</f>
        <v/>
      </c>
      <c r="Y366">
        <f>IF(AND($A366=RELATORIO_MEDICAO!$C$5,$C366=RELATORIO_MEDICAO!$F$5,$A366&lt;&gt;""),COUNTIFS($A$3:$A366,RELATORIO_MEDICAO!$C$5,$C$3:$C366,RELATORIO_MEDICAO!$F$5),"")</f>
        <v/>
      </c>
      <c r="Z366">
        <f>IF(OR($A366="",PESQUISA!$C$4=""),0,IF(OR(ISNUMBER(SEARCH(PESQUISA!$C$4,$G366)),ISNUMBER(SEARCH(PESQUISA!$C$4,$K366)),ISNUMBER(SEARCH(PESQUISA!$C$4,$L366))),1,0))</f>
        <v/>
      </c>
      <c r="AA366">
        <f>IF($Z366=1,SUM($Z$3:$Z366),"")</f>
        <v/>
      </c>
      <c r="AB366">
        <f>IF(OR($A366="",PESQUISA!$C$50=""),0,IF(ISNUMBER(SEARCH(PESQUISA!$C$50,$I366)),1,0))</f>
        <v/>
      </c>
      <c r="AC366">
        <f>IF($AB366=1,SUM($AB$3:$AB366),"")</f>
        <v/>
      </c>
    </row>
    <row r="367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>
        <f>IFERROR(INDEX(CONFIGURACOES!$G$37:$G$300,MATCH($I367,CONFIGURACOES!$B$37:$B$300,0)),"")</f>
        <v/>
      </c>
      <c r="K367" s="20">
        <f>IFERROR(INDEX(CONFIGURACOES!$H$37:$H$300,MATCH($I367,CONFIGURACOES!$B$37:$B$300,0)),"")</f>
        <v/>
      </c>
      <c r="L367" s="20" t="n"/>
      <c r="M367" s="20">
        <f>IFERROR(INDEX(CONFIGURACOES!$I$37:$I$300,MATCH($I367,CONFIGURACOES!$B$37:$B$300,0)),"")</f>
        <v/>
      </c>
      <c r="N367" s="21" t="n"/>
      <c r="O367" s="21" t="n"/>
      <c r="P367" s="21" t="n"/>
      <c r="Q367" s="21" t="n"/>
      <c r="R367" s="21">
        <f>IF($N367="","",$N367*IF($Q367="",1,$Q367)*IF($P367="",1,$P367)*IF($O367="",1,$O367))</f>
        <v/>
      </c>
      <c r="S367" s="22">
        <f>IFERROR(INDEX(CONFIGURACOES!$J$37:$J$300,MATCH($I367,CONFIGURACOES!$B$37:$B$300,0)),"")</f>
        <v/>
      </c>
      <c r="T367" s="22">
        <f>IF(OR($R367="",$S367=""),"",$R367*$S367)</f>
        <v/>
      </c>
      <c r="U367" s="20" t="n"/>
      <c r="V367" s="20" t="n"/>
      <c r="W367" s="20" t="n"/>
      <c r="X367">
        <f>IF($A367="","",$A367&amp;"|"&amp;$C367&amp;"|"&amp;$I367)</f>
        <v/>
      </c>
      <c r="Y367">
        <f>IF(AND($A367=RELATORIO_MEDICAO!$C$5,$C367=RELATORIO_MEDICAO!$F$5,$A367&lt;&gt;""),COUNTIFS($A$3:$A367,RELATORIO_MEDICAO!$C$5,$C$3:$C367,RELATORIO_MEDICAO!$F$5),"")</f>
        <v/>
      </c>
      <c r="Z367">
        <f>IF(OR($A367="",PESQUISA!$C$4=""),0,IF(OR(ISNUMBER(SEARCH(PESQUISA!$C$4,$G367)),ISNUMBER(SEARCH(PESQUISA!$C$4,$K367)),ISNUMBER(SEARCH(PESQUISA!$C$4,$L367))),1,0))</f>
        <v/>
      </c>
      <c r="AA367">
        <f>IF($Z367=1,SUM($Z$3:$Z367),"")</f>
        <v/>
      </c>
      <c r="AB367">
        <f>IF(OR($A367="",PESQUISA!$C$50=""),0,IF(ISNUMBER(SEARCH(PESQUISA!$C$50,$I367)),1,0))</f>
        <v/>
      </c>
      <c r="AC367">
        <f>IF($AB367=1,SUM($AB$3:$AB367),"")</f>
        <v/>
      </c>
    </row>
    <row r="368">
      <c r="A368" s="20" t="n"/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>
        <f>IFERROR(INDEX(CONFIGURACOES!$G$37:$G$300,MATCH($I368,CONFIGURACOES!$B$37:$B$300,0)),"")</f>
        <v/>
      </c>
      <c r="K368" s="20">
        <f>IFERROR(INDEX(CONFIGURACOES!$H$37:$H$300,MATCH($I368,CONFIGURACOES!$B$37:$B$300,0)),"")</f>
        <v/>
      </c>
      <c r="L368" s="20" t="n"/>
      <c r="M368" s="20">
        <f>IFERROR(INDEX(CONFIGURACOES!$I$37:$I$300,MATCH($I368,CONFIGURACOES!$B$37:$B$300,0)),"")</f>
        <v/>
      </c>
      <c r="N368" s="21" t="n"/>
      <c r="O368" s="21" t="n"/>
      <c r="P368" s="21" t="n"/>
      <c r="Q368" s="21" t="n"/>
      <c r="R368" s="21">
        <f>IF($N368="","",$N368*IF($Q368="",1,$Q368)*IF($P368="",1,$P368)*IF($O368="",1,$O368))</f>
        <v/>
      </c>
      <c r="S368" s="22">
        <f>IFERROR(INDEX(CONFIGURACOES!$J$37:$J$300,MATCH($I368,CONFIGURACOES!$B$37:$B$300,0)),"")</f>
        <v/>
      </c>
      <c r="T368" s="22">
        <f>IF(OR($R368="",$S368=""),"",$R368*$S368)</f>
        <v/>
      </c>
      <c r="U368" s="20" t="n"/>
      <c r="V368" s="20" t="n"/>
      <c r="W368" s="20" t="n"/>
      <c r="X368">
        <f>IF($A368="","",$A368&amp;"|"&amp;$C368&amp;"|"&amp;$I368)</f>
        <v/>
      </c>
      <c r="Y368">
        <f>IF(AND($A368=RELATORIO_MEDICAO!$C$5,$C368=RELATORIO_MEDICAO!$F$5,$A368&lt;&gt;""),COUNTIFS($A$3:$A368,RELATORIO_MEDICAO!$C$5,$C$3:$C368,RELATORIO_MEDICAO!$F$5),"")</f>
        <v/>
      </c>
      <c r="Z368">
        <f>IF(OR($A368="",PESQUISA!$C$4=""),0,IF(OR(ISNUMBER(SEARCH(PESQUISA!$C$4,$G368)),ISNUMBER(SEARCH(PESQUISA!$C$4,$K368)),ISNUMBER(SEARCH(PESQUISA!$C$4,$L368))),1,0))</f>
        <v/>
      </c>
      <c r="AA368">
        <f>IF($Z368=1,SUM($Z$3:$Z368),"")</f>
        <v/>
      </c>
      <c r="AB368">
        <f>IF(OR($A368="",PESQUISA!$C$50=""),0,IF(ISNUMBER(SEARCH(PESQUISA!$C$50,$I368)),1,0))</f>
        <v/>
      </c>
      <c r="AC368">
        <f>IF($AB368=1,SUM($AB$3:$AB368),"")</f>
        <v/>
      </c>
    </row>
    <row r="369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>
        <f>IFERROR(INDEX(CONFIGURACOES!$G$37:$G$300,MATCH($I369,CONFIGURACOES!$B$37:$B$300,0)),"")</f>
        <v/>
      </c>
      <c r="K369" s="20">
        <f>IFERROR(INDEX(CONFIGURACOES!$H$37:$H$300,MATCH($I369,CONFIGURACOES!$B$37:$B$300,0)),"")</f>
        <v/>
      </c>
      <c r="L369" s="20" t="n"/>
      <c r="M369" s="20">
        <f>IFERROR(INDEX(CONFIGURACOES!$I$37:$I$300,MATCH($I369,CONFIGURACOES!$B$37:$B$300,0)),"")</f>
        <v/>
      </c>
      <c r="N369" s="21" t="n"/>
      <c r="O369" s="21" t="n"/>
      <c r="P369" s="21" t="n"/>
      <c r="Q369" s="21" t="n"/>
      <c r="R369" s="21">
        <f>IF($N369="","",$N369*IF($Q369="",1,$Q369)*IF($P369="",1,$P369)*IF($O369="",1,$O369))</f>
        <v/>
      </c>
      <c r="S369" s="22">
        <f>IFERROR(INDEX(CONFIGURACOES!$J$37:$J$300,MATCH($I369,CONFIGURACOES!$B$37:$B$300,0)),"")</f>
        <v/>
      </c>
      <c r="T369" s="22">
        <f>IF(OR($R369="",$S369=""),"",$R369*$S369)</f>
        <v/>
      </c>
      <c r="U369" s="20" t="n"/>
      <c r="V369" s="20" t="n"/>
      <c r="W369" s="20" t="n"/>
      <c r="X369">
        <f>IF($A369="","",$A369&amp;"|"&amp;$C369&amp;"|"&amp;$I369)</f>
        <v/>
      </c>
      <c r="Y369">
        <f>IF(AND($A369=RELATORIO_MEDICAO!$C$5,$C369=RELATORIO_MEDICAO!$F$5,$A369&lt;&gt;""),COUNTIFS($A$3:$A369,RELATORIO_MEDICAO!$C$5,$C$3:$C369,RELATORIO_MEDICAO!$F$5),"")</f>
        <v/>
      </c>
      <c r="Z369">
        <f>IF(OR($A369="",PESQUISA!$C$4=""),0,IF(OR(ISNUMBER(SEARCH(PESQUISA!$C$4,$G369)),ISNUMBER(SEARCH(PESQUISA!$C$4,$K369)),ISNUMBER(SEARCH(PESQUISA!$C$4,$L369))),1,0))</f>
        <v/>
      </c>
      <c r="AA369">
        <f>IF($Z369=1,SUM($Z$3:$Z369),"")</f>
        <v/>
      </c>
      <c r="AB369">
        <f>IF(OR($A369="",PESQUISA!$C$50=""),0,IF(ISNUMBER(SEARCH(PESQUISA!$C$50,$I369)),1,0))</f>
        <v/>
      </c>
      <c r="AC369">
        <f>IF($AB369=1,SUM($AB$3:$AB369),"")</f>
        <v/>
      </c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>
        <f>IFERROR(INDEX(CONFIGURACOES!$G$37:$G$300,MATCH($I370,CONFIGURACOES!$B$37:$B$300,0)),"")</f>
        <v/>
      </c>
      <c r="K370" s="20">
        <f>IFERROR(INDEX(CONFIGURACOES!$H$37:$H$300,MATCH($I370,CONFIGURACOES!$B$37:$B$300,0)),"")</f>
        <v/>
      </c>
      <c r="L370" s="20" t="n"/>
      <c r="M370" s="20">
        <f>IFERROR(INDEX(CONFIGURACOES!$I$37:$I$300,MATCH($I370,CONFIGURACOES!$B$37:$B$300,0)),"")</f>
        <v/>
      </c>
      <c r="N370" s="21" t="n"/>
      <c r="O370" s="21" t="n"/>
      <c r="P370" s="21" t="n"/>
      <c r="Q370" s="21" t="n"/>
      <c r="R370" s="21">
        <f>IF($N370="","",$N370*IF($Q370="",1,$Q370)*IF($P370="",1,$P370)*IF($O370="",1,$O370))</f>
        <v/>
      </c>
      <c r="S370" s="22">
        <f>IFERROR(INDEX(CONFIGURACOES!$J$37:$J$300,MATCH($I370,CONFIGURACOES!$B$37:$B$300,0)),"")</f>
        <v/>
      </c>
      <c r="T370" s="22">
        <f>IF(OR($R370="",$S370=""),"",$R370*$S370)</f>
        <v/>
      </c>
      <c r="U370" s="20" t="n"/>
      <c r="V370" s="20" t="n"/>
      <c r="W370" s="20" t="n"/>
      <c r="X370">
        <f>IF($A370="","",$A370&amp;"|"&amp;$C370&amp;"|"&amp;$I370)</f>
        <v/>
      </c>
      <c r="Y370">
        <f>IF(AND($A370=RELATORIO_MEDICAO!$C$5,$C370=RELATORIO_MEDICAO!$F$5,$A370&lt;&gt;""),COUNTIFS($A$3:$A370,RELATORIO_MEDICAO!$C$5,$C$3:$C370,RELATORIO_MEDICAO!$F$5),"")</f>
        <v/>
      </c>
      <c r="Z370">
        <f>IF(OR($A370="",PESQUISA!$C$4=""),0,IF(OR(ISNUMBER(SEARCH(PESQUISA!$C$4,$G370)),ISNUMBER(SEARCH(PESQUISA!$C$4,$K370)),ISNUMBER(SEARCH(PESQUISA!$C$4,$L370))),1,0))</f>
        <v/>
      </c>
      <c r="AA370">
        <f>IF($Z370=1,SUM($Z$3:$Z370),"")</f>
        <v/>
      </c>
      <c r="AB370">
        <f>IF(OR($A370="",PESQUISA!$C$50=""),0,IF(ISNUMBER(SEARCH(PESQUISA!$C$50,$I370)),1,0))</f>
        <v/>
      </c>
      <c r="AC370">
        <f>IF($AB370=1,SUM($AB$3:$AB370),"")</f>
        <v/>
      </c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>
        <f>IFERROR(INDEX(CONFIGURACOES!$G$37:$G$300,MATCH($I371,CONFIGURACOES!$B$37:$B$300,0)),"")</f>
        <v/>
      </c>
      <c r="K371" s="20">
        <f>IFERROR(INDEX(CONFIGURACOES!$H$37:$H$300,MATCH($I371,CONFIGURACOES!$B$37:$B$300,0)),"")</f>
        <v/>
      </c>
      <c r="L371" s="20" t="n"/>
      <c r="M371" s="20">
        <f>IFERROR(INDEX(CONFIGURACOES!$I$37:$I$300,MATCH($I371,CONFIGURACOES!$B$37:$B$300,0)),"")</f>
        <v/>
      </c>
      <c r="N371" s="21" t="n"/>
      <c r="O371" s="21" t="n"/>
      <c r="P371" s="21" t="n"/>
      <c r="Q371" s="21" t="n"/>
      <c r="R371" s="21">
        <f>IF($N371="","",$N371*IF($Q371="",1,$Q371)*IF($P371="",1,$P371)*IF($O371="",1,$O371))</f>
        <v/>
      </c>
      <c r="S371" s="22">
        <f>IFERROR(INDEX(CONFIGURACOES!$J$37:$J$300,MATCH($I371,CONFIGURACOES!$B$37:$B$300,0)),"")</f>
        <v/>
      </c>
      <c r="T371" s="22">
        <f>IF(OR($R371="",$S371=""),"",$R371*$S371)</f>
        <v/>
      </c>
      <c r="U371" s="20" t="n"/>
      <c r="V371" s="20" t="n"/>
      <c r="W371" s="20" t="n"/>
      <c r="X371">
        <f>IF($A371="","",$A371&amp;"|"&amp;$C371&amp;"|"&amp;$I371)</f>
        <v/>
      </c>
      <c r="Y371">
        <f>IF(AND($A371=RELATORIO_MEDICAO!$C$5,$C371=RELATORIO_MEDICAO!$F$5,$A371&lt;&gt;""),COUNTIFS($A$3:$A371,RELATORIO_MEDICAO!$C$5,$C$3:$C371,RELATORIO_MEDICAO!$F$5),"")</f>
        <v/>
      </c>
      <c r="Z371">
        <f>IF(OR($A371="",PESQUISA!$C$4=""),0,IF(OR(ISNUMBER(SEARCH(PESQUISA!$C$4,$G371)),ISNUMBER(SEARCH(PESQUISA!$C$4,$K371)),ISNUMBER(SEARCH(PESQUISA!$C$4,$L371))),1,0))</f>
        <v/>
      </c>
      <c r="AA371">
        <f>IF($Z371=1,SUM($Z$3:$Z371),"")</f>
        <v/>
      </c>
      <c r="AB371">
        <f>IF(OR($A371="",PESQUISA!$C$50=""),0,IF(ISNUMBER(SEARCH(PESQUISA!$C$50,$I371)),1,0))</f>
        <v/>
      </c>
      <c r="AC371">
        <f>IF($AB371=1,SUM($AB$3:$AB371),"")</f>
        <v/>
      </c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>
        <f>IFERROR(INDEX(CONFIGURACOES!$G$37:$G$300,MATCH($I372,CONFIGURACOES!$B$37:$B$300,0)),"")</f>
        <v/>
      </c>
      <c r="K372" s="20">
        <f>IFERROR(INDEX(CONFIGURACOES!$H$37:$H$300,MATCH($I372,CONFIGURACOES!$B$37:$B$300,0)),"")</f>
        <v/>
      </c>
      <c r="L372" s="20" t="n"/>
      <c r="M372" s="20">
        <f>IFERROR(INDEX(CONFIGURACOES!$I$37:$I$300,MATCH($I372,CONFIGURACOES!$B$37:$B$300,0)),"")</f>
        <v/>
      </c>
      <c r="N372" s="21" t="n"/>
      <c r="O372" s="21" t="n"/>
      <c r="P372" s="21" t="n"/>
      <c r="Q372" s="21" t="n"/>
      <c r="R372" s="21">
        <f>IF($N372="","",$N372*IF($Q372="",1,$Q372)*IF($P372="",1,$P372)*IF($O372="",1,$O372))</f>
        <v/>
      </c>
      <c r="S372" s="22">
        <f>IFERROR(INDEX(CONFIGURACOES!$J$37:$J$300,MATCH($I372,CONFIGURACOES!$B$37:$B$300,0)),"")</f>
        <v/>
      </c>
      <c r="T372" s="22">
        <f>IF(OR($R372="",$S372=""),"",$R372*$S372)</f>
        <v/>
      </c>
      <c r="U372" s="20" t="n"/>
      <c r="V372" s="20" t="n"/>
      <c r="W372" s="20" t="n"/>
      <c r="X372">
        <f>IF($A372="","",$A372&amp;"|"&amp;$C372&amp;"|"&amp;$I372)</f>
        <v/>
      </c>
      <c r="Y372">
        <f>IF(AND($A372=RELATORIO_MEDICAO!$C$5,$C372=RELATORIO_MEDICAO!$F$5,$A372&lt;&gt;""),COUNTIFS($A$3:$A372,RELATORIO_MEDICAO!$C$5,$C$3:$C372,RELATORIO_MEDICAO!$F$5),"")</f>
        <v/>
      </c>
      <c r="Z372">
        <f>IF(OR($A372="",PESQUISA!$C$4=""),0,IF(OR(ISNUMBER(SEARCH(PESQUISA!$C$4,$G372)),ISNUMBER(SEARCH(PESQUISA!$C$4,$K372)),ISNUMBER(SEARCH(PESQUISA!$C$4,$L372))),1,0))</f>
        <v/>
      </c>
      <c r="AA372">
        <f>IF($Z372=1,SUM($Z$3:$Z372),"")</f>
        <v/>
      </c>
      <c r="AB372">
        <f>IF(OR($A372="",PESQUISA!$C$50=""),0,IF(ISNUMBER(SEARCH(PESQUISA!$C$50,$I372)),1,0))</f>
        <v/>
      </c>
      <c r="AC372">
        <f>IF($AB372=1,SUM($AB$3:$AB372),"")</f>
        <v/>
      </c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>
        <f>IFERROR(INDEX(CONFIGURACOES!$G$37:$G$300,MATCH($I373,CONFIGURACOES!$B$37:$B$300,0)),"")</f>
        <v/>
      </c>
      <c r="K373" s="20">
        <f>IFERROR(INDEX(CONFIGURACOES!$H$37:$H$300,MATCH($I373,CONFIGURACOES!$B$37:$B$300,0)),"")</f>
        <v/>
      </c>
      <c r="L373" s="20" t="n"/>
      <c r="M373" s="20">
        <f>IFERROR(INDEX(CONFIGURACOES!$I$37:$I$300,MATCH($I373,CONFIGURACOES!$B$37:$B$300,0)),"")</f>
        <v/>
      </c>
      <c r="N373" s="21" t="n"/>
      <c r="O373" s="21" t="n"/>
      <c r="P373" s="21" t="n"/>
      <c r="Q373" s="21" t="n"/>
      <c r="R373" s="21">
        <f>IF($N373="","",$N373*IF($Q373="",1,$Q373)*IF($P373="",1,$P373)*IF($O373="",1,$O373))</f>
        <v/>
      </c>
      <c r="S373" s="22">
        <f>IFERROR(INDEX(CONFIGURACOES!$J$37:$J$300,MATCH($I373,CONFIGURACOES!$B$37:$B$300,0)),"")</f>
        <v/>
      </c>
      <c r="T373" s="22">
        <f>IF(OR($R373="",$S373=""),"",$R373*$S373)</f>
        <v/>
      </c>
      <c r="U373" s="20" t="n"/>
      <c r="V373" s="20" t="n"/>
      <c r="W373" s="20" t="n"/>
      <c r="X373">
        <f>IF($A373="","",$A373&amp;"|"&amp;$C373&amp;"|"&amp;$I373)</f>
        <v/>
      </c>
      <c r="Y373">
        <f>IF(AND($A373=RELATORIO_MEDICAO!$C$5,$C373=RELATORIO_MEDICAO!$F$5,$A373&lt;&gt;""),COUNTIFS($A$3:$A373,RELATORIO_MEDICAO!$C$5,$C$3:$C373,RELATORIO_MEDICAO!$F$5),"")</f>
        <v/>
      </c>
      <c r="Z373">
        <f>IF(OR($A373="",PESQUISA!$C$4=""),0,IF(OR(ISNUMBER(SEARCH(PESQUISA!$C$4,$G373)),ISNUMBER(SEARCH(PESQUISA!$C$4,$K373)),ISNUMBER(SEARCH(PESQUISA!$C$4,$L373))),1,0))</f>
        <v/>
      </c>
      <c r="AA373">
        <f>IF($Z373=1,SUM($Z$3:$Z373),"")</f>
        <v/>
      </c>
      <c r="AB373">
        <f>IF(OR($A373="",PESQUISA!$C$50=""),0,IF(ISNUMBER(SEARCH(PESQUISA!$C$50,$I373)),1,0))</f>
        <v/>
      </c>
      <c r="AC373">
        <f>IF($AB373=1,SUM($AB$3:$AB373),"")</f>
        <v/>
      </c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>
        <f>IFERROR(INDEX(CONFIGURACOES!$G$37:$G$300,MATCH($I374,CONFIGURACOES!$B$37:$B$300,0)),"")</f>
        <v/>
      </c>
      <c r="K374" s="20">
        <f>IFERROR(INDEX(CONFIGURACOES!$H$37:$H$300,MATCH($I374,CONFIGURACOES!$B$37:$B$300,0)),"")</f>
        <v/>
      </c>
      <c r="L374" s="20" t="n"/>
      <c r="M374" s="20">
        <f>IFERROR(INDEX(CONFIGURACOES!$I$37:$I$300,MATCH($I374,CONFIGURACOES!$B$37:$B$300,0)),"")</f>
        <v/>
      </c>
      <c r="N374" s="21" t="n"/>
      <c r="O374" s="21" t="n"/>
      <c r="P374" s="21" t="n"/>
      <c r="Q374" s="21" t="n"/>
      <c r="R374" s="21">
        <f>IF($N374="","",$N374*IF($Q374="",1,$Q374)*IF($P374="",1,$P374)*IF($O374="",1,$O374))</f>
        <v/>
      </c>
      <c r="S374" s="22">
        <f>IFERROR(INDEX(CONFIGURACOES!$J$37:$J$300,MATCH($I374,CONFIGURACOES!$B$37:$B$300,0)),"")</f>
        <v/>
      </c>
      <c r="T374" s="22">
        <f>IF(OR($R374="",$S374=""),"",$R374*$S374)</f>
        <v/>
      </c>
      <c r="U374" s="20" t="n"/>
      <c r="V374" s="20" t="n"/>
      <c r="W374" s="20" t="n"/>
      <c r="X374">
        <f>IF($A374="","",$A374&amp;"|"&amp;$C374&amp;"|"&amp;$I374)</f>
        <v/>
      </c>
      <c r="Y374">
        <f>IF(AND($A374=RELATORIO_MEDICAO!$C$5,$C374=RELATORIO_MEDICAO!$F$5,$A374&lt;&gt;""),COUNTIFS($A$3:$A374,RELATORIO_MEDICAO!$C$5,$C$3:$C374,RELATORIO_MEDICAO!$F$5),"")</f>
        <v/>
      </c>
      <c r="Z374">
        <f>IF(OR($A374="",PESQUISA!$C$4=""),0,IF(OR(ISNUMBER(SEARCH(PESQUISA!$C$4,$G374)),ISNUMBER(SEARCH(PESQUISA!$C$4,$K374)),ISNUMBER(SEARCH(PESQUISA!$C$4,$L374))),1,0))</f>
        <v/>
      </c>
      <c r="AA374">
        <f>IF($Z374=1,SUM($Z$3:$Z374),"")</f>
        <v/>
      </c>
      <c r="AB374">
        <f>IF(OR($A374="",PESQUISA!$C$50=""),0,IF(ISNUMBER(SEARCH(PESQUISA!$C$50,$I374)),1,0))</f>
        <v/>
      </c>
      <c r="AC374">
        <f>IF($AB374=1,SUM($AB$3:$AB374),"")</f>
        <v/>
      </c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>
        <f>IFERROR(INDEX(CONFIGURACOES!$G$37:$G$300,MATCH($I375,CONFIGURACOES!$B$37:$B$300,0)),"")</f>
        <v/>
      </c>
      <c r="K375" s="20">
        <f>IFERROR(INDEX(CONFIGURACOES!$H$37:$H$300,MATCH($I375,CONFIGURACOES!$B$37:$B$300,0)),"")</f>
        <v/>
      </c>
      <c r="L375" s="20" t="n"/>
      <c r="M375" s="20">
        <f>IFERROR(INDEX(CONFIGURACOES!$I$37:$I$300,MATCH($I375,CONFIGURACOES!$B$37:$B$300,0)),"")</f>
        <v/>
      </c>
      <c r="N375" s="21" t="n"/>
      <c r="O375" s="21" t="n"/>
      <c r="P375" s="21" t="n"/>
      <c r="Q375" s="21" t="n"/>
      <c r="R375" s="21">
        <f>IF($N375="","",$N375*IF($Q375="",1,$Q375)*IF($P375="",1,$P375)*IF($O375="",1,$O375))</f>
        <v/>
      </c>
      <c r="S375" s="22">
        <f>IFERROR(INDEX(CONFIGURACOES!$J$37:$J$300,MATCH($I375,CONFIGURACOES!$B$37:$B$300,0)),"")</f>
        <v/>
      </c>
      <c r="T375" s="22">
        <f>IF(OR($R375="",$S375=""),"",$R375*$S375)</f>
        <v/>
      </c>
      <c r="U375" s="20" t="n"/>
      <c r="V375" s="20" t="n"/>
      <c r="W375" s="20" t="n"/>
      <c r="X375">
        <f>IF($A375="","",$A375&amp;"|"&amp;$C375&amp;"|"&amp;$I375)</f>
        <v/>
      </c>
      <c r="Y375">
        <f>IF(AND($A375=RELATORIO_MEDICAO!$C$5,$C375=RELATORIO_MEDICAO!$F$5,$A375&lt;&gt;""),COUNTIFS($A$3:$A375,RELATORIO_MEDICAO!$C$5,$C$3:$C375,RELATORIO_MEDICAO!$F$5),"")</f>
        <v/>
      </c>
      <c r="Z375">
        <f>IF(OR($A375="",PESQUISA!$C$4=""),0,IF(OR(ISNUMBER(SEARCH(PESQUISA!$C$4,$G375)),ISNUMBER(SEARCH(PESQUISA!$C$4,$K375)),ISNUMBER(SEARCH(PESQUISA!$C$4,$L375))),1,0))</f>
        <v/>
      </c>
      <c r="AA375">
        <f>IF($Z375=1,SUM($Z$3:$Z375),"")</f>
        <v/>
      </c>
      <c r="AB375">
        <f>IF(OR($A375="",PESQUISA!$C$50=""),0,IF(ISNUMBER(SEARCH(PESQUISA!$C$50,$I375)),1,0))</f>
        <v/>
      </c>
      <c r="AC375">
        <f>IF($AB375=1,SUM($AB$3:$AB375),"")</f>
        <v/>
      </c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>
        <f>IFERROR(INDEX(CONFIGURACOES!$G$37:$G$300,MATCH($I376,CONFIGURACOES!$B$37:$B$300,0)),"")</f>
        <v/>
      </c>
      <c r="K376" s="20">
        <f>IFERROR(INDEX(CONFIGURACOES!$H$37:$H$300,MATCH($I376,CONFIGURACOES!$B$37:$B$300,0)),"")</f>
        <v/>
      </c>
      <c r="L376" s="20" t="n"/>
      <c r="M376" s="20">
        <f>IFERROR(INDEX(CONFIGURACOES!$I$37:$I$300,MATCH($I376,CONFIGURACOES!$B$37:$B$300,0)),"")</f>
        <v/>
      </c>
      <c r="N376" s="21" t="n"/>
      <c r="O376" s="21" t="n"/>
      <c r="P376" s="21" t="n"/>
      <c r="Q376" s="21" t="n"/>
      <c r="R376" s="21">
        <f>IF($N376="","",$N376*IF($Q376="",1,$Q376)*IF($P376="",1,$P376)*IF($O376="",1,$O376))</f>
        <v/>
      </c>
      <c r="S376" s="22">
        <f>IFERROR(INDEX(CONFIGURACOES!$J$37:$J$300,MATCH($I376,CONFIGURACOES!$B$37:$B$300,0)),"")</f>
        <v/>
      </c>
      <c r="T376" s="22">
        <f>IF(OR($R376="",$S376=""),"",$R376*$S376)</f>
        <v/>
      </c>
      <c r="U376" s="20" t="n"/>
      <c r="V376" s="20" t="n"/>
      <c r="W376" s="20" t="n"/>
      <c r="X376">
        <f>IF($A376="","",$A376&amp;"|"&amp;$C376&amp;"|"&amp;$I376)</f>
        <v/>
      </c>
      <c r="Y376">
        <f>IF(AND($A376=RELATORIO_MEDICAO!$C$5,$C376=RELATORIO_MEDICAO!$F$5,$A376&lt;&gt;""),COUNTIFS($A$3:$A376,RELATORIO_MEDICAO!$C$5,$C$3:$C376,RELATORIO_MEDICAO!$F$5),"")</f>
        <v/>
      </c>
      <c r="Z376">
        <f>IF(OR($A376="",PESQUISA!$C$4=""),0,IF(OR(ISNUMBER(SEARCH(PESQUISA!$C$4,$G376)),ISNUMBER(SEARCH(PESQUISA!$C$4,$K376)),ISNUMBER(SEARCH(PESQUISA!$C$4,$L376))),1,0))</f>
        <v/>
      </c>
      <c r="AA376">
        <f>IF($Z376=1,SUM($Z$3:$Z376),"")</f>
        <v/>
      </c>
      <c r="AB376">
        <f>IF(OR($A376="",PESQUISA!$C$50=""),0,IF(ISNUMBER(SEARCH(PESQUISA!$C$50,$I376)),1,0))</f>
        <v/>
      </c>
      <c r="AC376">
        <f>IF($AB376=1,SUM($AB$3:$AB376),"")</f>
        <v/>
      </c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>
        <f>IFERROR(INDEX(CONFIGURACOES!$G$37:$G$300,MATCH($I377,CONFIGURACOES!$B$37:$B$300,0)),"")</f>
        <v/>
      </c>
      <c r="K377" s="20">
        <f>IFERROR(INDEX(CONFIGURACOES!$H$37:$H$300,MATCH($I377,CONFIGURACOES!$B$37:$B$300,0)),"")</f>
        <v/>
      </c>
      <c r="L377" s="20" t="n"/>
      <c r="M377" s="20">
        <f>IFERROR(INDEX(CONFIGURACOES!$I$37:$I$300,MATCH($I377,CONFIGURACOES!$B$37:$B$300,0)),"")</f>
        <v/>
      </c>
      <c r="N377" s="21" t="n"/>
      <c r="O377" s="21" t="n"/>
      <c r="P377" s="21" t="n"/>
      <c r="Q377" s="21" t="n"/>
      <c r="R377" s="21">
        <f>IF($N377="","",$N377*IF($Q377="",1,$Q377)*IF($P377="",1,$P377)*IF($O377="",1,$O377))</f>
        <v/>
      </c>
      <c r="S377" s="22">
        <f>IFERROR(INDEX(CONFIGURACOES!$J$37:$J$300,MATCH($I377,CONFIGURACOES!$B$37:$B$300,0)),"")</f>
        <v/>
      </c>
      <c r="T377" s="22">
        <f>IF(OR($R377="",$S377=""),"",$R377*$S377)</f>
        <v/>
      </c>
      <c r="U377" s="20" t="n"/>
      <c r="V377" s="20" t="n"/>
      <c r="W377" s="20" t="n"/>
      <c r="X377">
        <f>IF($A377="","",$A377&amp;"|"&amp;$C377&amp;"|"&amp;$I377)</f>
        <v/>
      </c>
      <c r="Y377">
        <f>IF(AND($A377=RELATORIO_MEDICAO!$C$5,$C377=RELATORIO_MEDICAO!$F$5,$A377&lt;&gt;""),COUNTIFS($A$3:$A377,RELATORIO_MEDICAO!$C$5,$C$3:$C377,RELATORIO_MEDICAO!$F$5),"")</f>
        <v/>
      </c>
      <c r="Z377">
        <f>IF(OR($A377="",PESQUISA!$C$4=""),0,IF(OR(ISNUMBER(SEARCH(PESQUISA!$C$4,$G377)),ISNUMBER(SEARCH(PESQUISA!$C$4,$K377)),ISNUMBER(SEARCH(PESQUISA!$C$4,$L377))),1,0))</f>
        <v/>
      </c>
      <c r="AA377">
        <f>IF($Z377=1,SUM($Z$3:$Z377),"")</f>
        <v/>
      </c>
      <c r="AB377">
        <f>IF(OR($A377="",PESQUISA!$C$50=""),0,IF(ISNUMBER(SEARCH(PESQUISA!$C$50,$I377)),1,0))</f>
        <v/>
      </c>
      <c r="AC377">
        <f>IF($AB377=1,SUM($AB$3:$AB377),"")</f>
        <v/>
      </c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>
        <f>IFERROR(INDEX(CONFIGURACOES!$G$37:$G$300,MATCH($I378,CONFIGURACOES!$B$37:$B$300,0)),"")</f>
        <v/>
      </c>
      <c r="K378" s="20">
        <f>IFERROR(INDEX(CONFIGURACOES!$H$37:$H$300,MATCH($I378,CONFIGURACOES!$B$37:$B$300,0)),"")</f>
        <v/>
      </c>
      <c r="L378" s="20" t="n"/>
      <c r="M378" s="20">
        <f>IFERROR(INDEX(CONFIGURACOES!$I$37:$I$300,MATCH($I378,CONFIGURACOES!$B$37:$B$300,0)),"")</f>
        <v/>
      </c>
      <c r="N378" s="21" t="n"/>
      <c r="O378" s="21" t="n"/>
      <c r="P378" s="21" t="n"/>
      <c r="Q378" s="21" t="n"/>
      <c r="R378" s="21">
        <f>IF($N378="","",$N378*IF($Q378="",1,$Q378)*IF($P378="",1,$P378)*IF($O378="",1,$O378))</f>
        <v/>
      </c>
      <c r="S378" s="22">
        <f>IFERROR(INDEX(CONFIGURACOES!$J$37:$J$300,MATCH($I378,CONFIGURACOES!$B$37:$B$300,0)),"")</f>
        <v/>
      </c>
      <c r="T378" s="22">
        <f>IF(OR($R378="",$S378=""),"",$R378*$S378)</f>
        <v/>
      </c>
      <c r="U378" s="20" t="n"/>
      <c r="V378" s="20" t="n"/>
      <c r="W378" s="20" t="n"/>
      <c r="X378">
        <f>IF($A378="","",$A378&amp;"|"&amp;$C378&amp;"|"&amp;$I378)</f>
        <v/>
      </c>
      <c r="Y378">
        <f>IF(AND($A378=RELATORIO_MEDICAO!$C$5,$C378=RELATORIO_MEDICAO!$F$5,$A378&lt;&gt;""),COUNTIFS($A$3:$A378,RELATORIO_MEDICAO!$C$5,$C$3:$C378,RELATORIO_MEDICAO!$F$5),"")</f>
        <v/>
      </c>
      <c r="Z378">
        <f>IF(OR($A378="",PESQUISA!$C$4=""),0,IF(OR(ISNUMBER(SEARCH(PESQUISA!$C$4,$G378)),ISNUMBER(SEARCH(PESQUISA!$C$4,$K378)),ISNUMBER(SEARCH(PESQUISA!$C$4,$L378))),1,0))</f>
        <v/>
      </c>
      <c r="AA378">
        <f>IF($Z378=1,SUM($Z$3:$Z378),"")</f>
        <v/>
      </c>
      <c r="AB378">
        <f>IF(OR($A378="",PESQUISA!$C$50=""),0,IF(ISNUMBER(SEARCH(PESQUISA!$C$50,$I378)),1,0))</f>
        <v/>
      </c>
      <c r="AC378">
        <f>IF($AB378=1,SUM($AB$3:$AB378),"")</f>
        <v/>
      </c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>
        <f>IFERROR(INDEX(CONFIGURACOES!$G$37:$G$300,MATCH($I379,CONFIGURACOES!$B$37:$B$300,0)),"")</f>
        <v/>
      </c>
      <c r="K379" s="20">
        <f>IFERROR(INDEX(CONFIGURACOES!$H$37:$H$300,MATCH($I379,CONFIGURACOES!$B$37:$B$300,0)),"")</f>
        <v/>
      </c>
      <c r="L379" s="20" t="n"/>
      <c r="M379" s="20">
        <f>IFERROR(INDEX(CONFIGURACOES!$I$37:$I$300,MATCH($I379,CONFIGURACOES!$B$37:$B$300,0)),"")</f>
        <v/>
      </c>
      <c r="N379" s="21" t="n"/>
      <c r="O379" s="21" t="n"/>
      <c r="P379" s="21" t="n"/>
      <c r="Q379" s="21" t="n"/>
      <c r="R379" s="21">
        <f>IF($N379="","",$N379*IF($Q379="",1,$Q379)*IF($P379="",1,$P379)*IF($O379="",1,$O379))</f>
        <v/>
      </c>
      <c r="S379" s="22">
        <f>IFERROR(INDEX(CONFIGURACOES!$J$37:$J$300,MATCH($I379,CONFIGURACOES!$B$37:$B$300,0)),"")</f>
        <v/>
      </c>
      <c r="T379" s="22">
        <f>IF(OR($R379="",$S379=""),"",$R379*$S379)</f>
        <v/>
      </c>
      <c r="U379" s="20" t="n"/>
      <c r="V379" s="20" t="n"/>
      <c r="W379" s="20" t="n"/>
      <c r="X379">
        <f>IF($A379="","",$A379&amp;"|"&amp;$C379&amp;"|"&amp;$I379)</f>
        <v/>
      </c>
      <c r="Y379">
        <f>IF(AND($A379=RELATORIO_MEDICAO!$C$5,$C379=RELATORIO_MEDICAO!$F$5,$A379&lt;&gt;""),COUNTIFS($A$3:$A379,RELATORIO_MEDICAO!$C$5,$C$3:$C379,RELATORIO_MEDICAO!$F$5),"")</f>
        <v/>
      </c>
      <c r="Z379">
        <f>IF(OR($A379="",PESQUISA!$C$4=""),0,IF(OR(ISNUMBER(SEARCH(PESQUISA!$C$4,$G379)),ISNUMBER(SEARCH(PESQUISA!$C$4,$K379)),ISNUMBER(SEARCH(PESQUISA!$C$4,$L379))),1,0))</f>
        <v/>
      </c>
      <c r="AA379">
        <f>IF($Z379=1,SUM($Z$3:$Z379),"")</f>
        <v/>
      </c>
      <c r="AB379">
        <f>IF(OR($A379="",PESQUISA!$C$50=""),0,IF(ISNUMBER(SEARCH(PESQUISA!$C$50,$I379)),1,0))</f>
        <v/>
      </c>
      <c r="AC379">
        <f>IF($AB379=1,SUM($AB$3:$AB379),"")</f>
        <v/>
      </c>
    </row>
    <row r="380">
      <c r="A380" s="20" t="n"/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0">
        <f>IFERROR(INDEX(CONFIGURACOES!$G$37:$G$300,MATCH($I380,CONFIGURACOES!$B$37:$B$300,0)),"")</f>
        <v/>
      </c>
      <c r="K380" s="20">
        <f>IFERROR(INDEX(CONFIGURACOES!$H$37:$H$300,MATCH($I380,CONFIGURACOES!$B$37:$B$300,0)),"")</f>
        <v/>
      </c>
      <c r="L380" s="20" t="n"/>
      <c r="M380" s="20">
        <f>IFERROR(INDEX(CONFIGURACOES!$I$37:$I$300,MATCH($I380,CONFIGURACOES!$B$37:$B$300,0)),"")</f>
        <v/>
      </c>
      <c r="N380" s="21" t="n"/>
      <c r="O380" s="21" t="n"/>
      <c r="P380" s="21" t="n"/>
      <c r="Q380" s="21" t="n"/>
      <c r="R380" s="21">
        <f>IF($N380="","",$N380*IF($Q380="",1,$Q380)*IF($P380="",1,$P380)*IF($O380="",1,$O380))</f>
        <v/>
      </c>
      <c r="S380" s="22">
        <f>IFERROR(INDEX(CONFIGURACOES!$J$37:$J$300,MATCH($I380,CONFIGURACOES!$B$37:$B$300,0)),"")</f>
        <v/>
      </c>
      <c r="T380" s="22">
        <f>IF(OR($R380="",$S380=""),"",$R380*$S380)</f>
        <v/>
      </c>
      <c r="U380" s="20" t="n"/>
      <c r="V380" s="20" t="n"/>
      <c r="W380" s="20" t="n"/>
      <c r="X380">
        <f>IF($A380="","",$A380&amp;"|"&amp;$C380&amp;"|"&amp;$I380)</f>
        <v/>
      </c>
      <c r="Y380">
        <f>IF(AND($A380=RELATORIO_MEDICAO!$C$5,$C380=RELATORIO_MEDICAO!$F$5,$A380&lt;&gt;""),COUNTIFS($A$3:$A380,RELATORIO_MEDICAO!$C$5,$C$3:$C380,RELATORIO_MEDICAO!$F$5),"")</f>
        <v/>
      </c>
      <c r="Z380">
        <f>IF(OR($A380="",PESQUISA!$C$4=""),0,IF(OR(ISNUMBER(SEARCH(PESQUISA!$C$4,$G380)),ISNUMBER(SEARCH(PESQUISA!$C$4,$K380)),ISNUMBER(SEARCH(PESQUISA!$C$4,$L380))),1,0))</f>
        <v/>
      </c>
      <c r="AA380">
        <f>IF($Z380=1,SUM($Z$3:$Z380),"")</f>
        <v/>
      </c>
      <c r="AB380">
        <f>IF(OR($A380="",PESQUISA!$C$50=""),0,IF(ISNUMBER(SEARCH(PESQUISA!$C$50,$I380)),1,0))</f>
        <v/>
      </c>
      <c r="AC380">
        <f>IF($AB380=1,SUM($AB$3:$AB380),"")</f>
        <v/>
      </c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>
        <f>IFERROR(INDEX(CONFIGURACOES!$G$37:$G$300,MATCH($I381,CONFIGURACOES!$B$37:$B$300,0)),"")</f>
        <v/>
      </c>
      <c r="K381" s="20">
        <f>IFERROR(INDEX(CONFIGURACOES!$H$37:$H$300,MATCH($I381,CONFIGURACOES!$B$37:$B$300,0)),"")</f>
        <v/>
      </c>
      <c r="L381" s="20" t="n"/>
      <c r="M381" s="20">
        <f>IFERROR(INDEX(CONFIGURACOES!$I$37:$I$300,MATCH($I381,CONFIGURACOES!$B$37:$B$300,0)),"")</f>
        <v/>
      </c>
      <c r="N381" s="21" t="n"/>
      <c r="O381" s="21" t="n"/>
      <c r="P381" s="21" t="n"/>
      <c r="Q381" s="21" t="n"/>
      <c r="R381" s="21">
        <f>IF($N381="","",$N381*IF($Q381="",1,$Q381)*IF($P381="",1,$P381)*IF($O381="",1,$O381))</f>
        <v/>
      </c>
      <c r="S381" s="22">
        <f>IFERROR(INDEX(CONFIGURACOES!$J$37:$J$300,MATCH($I381,CONFIGURACOES!$B$37:$B$300,0)),"")</f>
        <v/>
      </c>
      <c r="T381" s="22">
        <f>IF(OR($R381="",$S381=""),"",$R381*$S381)</f>
        <v/>
      </c>
      <c r="U381" s="20" t="n"/>
      <c r="V381" s="20" t="n"/>
      <c r="W381" s="20" t="n"/>
      <c r="X381">
        <f>IF($A381="","",$A381&amp;"|"&amp;$C381&amp;"|"&amp;$I381)</f>
        <v/>
      </c>
      <c r="Y381">
        <f>IF(AND($A381=RELATORIO_MEDICAO!$C$5,$C381=RELATORIO_MEDICAO!$F$5,$A381&lt;&gt;""),COUNTIFS($A$3:$A381,RELATORIO_MEDICAO!$C$5,$C$3:$C381,RELATORIO_MEDICAO!$F$5),"")</f>
        <v/>
      </c>
      <c r="Z381">
        <f>IF(OR($A381="",PESQUISA!$C$4=""),0,IF(OR(ISNUMBER(SEARCH(PESQUISA!$C$4,$G381)),ISNUMBER(SEARCH(PESQUISA!$C$4,$K381)),ISNUMBER(SEARCH(PESQUISA!$C$4,$L381))),1,0))</f>
        <v/>
      </c>
      <c r="AA381">
        <f>IF($Z381=1,SUM($Z$3:$Z381),"")</f>
        <v/>
      </c>
      <c r="AB381">
        <f>IF(OR($A381="",PESQUISA!$C$50=""),0,IF(ISNUMBER(SEARCH(PESQUISA!$C$50,$I381)),1,0))</f>
        <v/>
      </c>
      <c r="AC381">
        <f>IF($AB381=1,SUM($AB$3:$AB381),"")</f>
        <v/>
      </c>
    </row>
    <row r="382">
      <c r="A382" s="20" t="n"/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0">
        <f>IFERROR(INDEX(CONFIGURACOES!$G$37:$G$300,MATCH($I382,CONFIGURACOES!$B$37:$B$300,0)),"")</f>
        <v/>
      </c>
      <c r="K382" s="20">
        <f>IFERROR(INDEX(CONFIGURACOES!$H$37:$H$300,MATCH($I382,CONFIGURACOES!$B$37:$B$300,0)),"")</f>
        <v/>
      </c>
      <c r="L382" s="20" t="n"/>
      <c r="M382" s="20">
        <f>IFERROR(INDEX(CONFIGURACOES!$I$37:$I$300,MATCH($I382,CONFIGURACOES!$B$37:$B$300,0)),"")</f>
        <v/>
      </c>
      <c r="N382" s="21" t="n"/>
      <c r="O382" s="21" t="n"/>
      <c r="P382" s="21" t="n"/>
      <c r="Q382" s="21" t="n"/>
      <c r="R382" s="21">
        <f>IF($N382="","",$N382*IF($Q382="",1,$Q382)*IF($P382="",1,$P382)*IF($O382="",1,$O382))</f>
        <v/>
      </c>
      <c r="S382" s="22">
        <f>IFERROR(INDEX(CONFIGURACOES!$J$37:$J$300,MATCH($I382,CONFIGURACOES!$B$37:$B$300,0)),"")</f>
        <v/>
      </c>
      <c r="T382" s="22">
        <f>IF(OR($R382="",$S382=""),"",$R382*$S382)</f>
        <v/>
      </c>
      <c r="U382" s="20" t="n"/>
      <c r="V382" s="20" t="n"/>
      <c r="W382" s="20" t="n"/>
      <c r="X382">
        <f>IF($A382="","",$A382&amp;"|"&amp;$C382&amp;"|"&amp;$I382)</f>
        <v/>
      </c>
      <c r="Y382">
        <f>IF(AND($A382=RELATORIO_MEDICAO!$C$5,$C382=RELATORIO_MEDICAO!$F$5,$A382&lt;&gt;""),COUNTIFS($A$3:$A382,RELATORIO_MEDICAO!$C$5,$C$3:$C382,RELATORIO_MEDICAO!$F$5),"")</f>
        <v/>
      </c>
      <c r="Z382">
        <f>IF(OR($A382="",PESQUISA!$C$4=""),0,IF(OR(ISNUMBER(SEARCH(PESQUISA!$C$4,$G382)),ISNUMBER(SEARCH(PESQUISA!$C$4,$K382)),ISNUMBER(SEARCH(PESQUISA!$C$4,$L382))),1,0))</f>
        <v/>
      </c>
      <c r="AA382">
        <f>IF($Z382=1,SUM($Z$3:$Z382),"")</f>
        <v/>
      </c>
      <c r="AB382">
        <f>IF(OR($A382="",PESQUISA!$C$50=""),0,IF(ISNUMBER(SEARCH(PESQUISA!$C$50,$I382)),1,0))</f>
        <v/>
      </c>
      <c r="AC382">
        <f>IF($AB382=1,SUM($AB$3:$AB382),"")</f>
        <v/>
      </c>
    </row>
    <row r="383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>
        <f>IFERROR(INDEX(CONFIGURACOES!$G$37:$G$300,MATCH($I383,CONFIGURACOES!$B$37:$B$300,0)),"")</f>
        <v/>
      </c>
      <c r="K383" s="20">
        <f>IFERROR(INDEX(CONFIGURACOES!$H$37:$H$300,MATCH($I383,CONFIGURACOES!$B$37:$B$300,0)),"")</f>
        <v/>
      </c>
      <c r="L383" s="20" t="n"/>
      <c r="M383" s="20">
        <f>IFERROR(INDEX(CONFIGURACOES!$I$37:$I$300,MATCH($I383,CONFIGURACOES!$B$37:$B$300,0)),"")</f>
        <v/>
      </c>
      <c r="N383" s="21" t="n"/>
      <c r="O383" s="21" t="n"/>
      <c r="P383" s="21" t="n"/>
      <c r="Q383" s="21" t="n"/>
      <c r="R383" s="21">
        <f>IF($N383="","",$N383*IF($Q383="",1,$Q383)*IF($P383="",1,$P383)*IF($O383="",1,$O383))</f>
        <v/>
      </c>
      <c r="S383" s="22">
        <f>IFERROR(INDEX(CONFIGURACOES!$J$37:$J$300,MATCH($I383,CONFIGURACOES!$B$37:$B$300,0)),"")</f>
        <v/>
      </c>
      <c r="T383" s="22">
        <f>IF(OR($R383="",$S383=""),"",$R383*$S383)</f>
        <v/>
      </c>
      <c r="U383" s="20" t="n"/>
      <c r="V383" s="20" t="n"/>
      <c r="W383" s="20" t="n"/>
      <c r="X383">
        <f>IF($A383="","",$A383&amp;"|"&amp;$C383&amp;"|"&amp;$I383)</f>
        <v/>
      </c>
      <c r="Y383">
        <f>IF(AND($A383=RELATORIO_MEDICAO!$C$5,$C383=RELATORIO_MEDICAO!$F$5,$A383&lt;&gt;""),COUNTIFS($A$3:$A383,RELATORIO_MEDICAO!$C$5,$C$3:$C383,RELATORIO_MEDICAO!$F$5),"")</f>
        <v/>
      </c>
      <c r="Z383">
        <f>IF(OR($A383="",PESQUISA!$C$4=""),0,IF(OR(ISNUMBER(SEARCH(PESQUISA!$C$4,$G383)),ISNUMBER(SEARCH(PESQUISA!$C$4,$K383)),ISNUMBER(SEARCH(PESQUISA!$C$4,$L383))),1,0))</f>
        <v/>
      </c>
      <c r="AA383">
        <f>IF($Z383=1,SUM($Z$3:$Z383),"")</f>
        <v/>
      </c>
      <c r="AB383">
        <f>IF(OR($A383="",PESQUISA!$C$50=""),0,IF(ISNUMBER(SEARCH(PESQUISA!$C$50,$I383)),1,0))</f>
        <v/>
      </c>
      <c r="AC383">
        <f>IF($AB383=1,SUM($AB$3:$AB383),"")</f>
        <v/>
      </c>
    </row>
    <row r="384">
      <c r="A384" s="20" t="n"/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0">
        <f>IFERROR(INDEX(CONFIGURACOES!$G$37:$G$300,MATCH($I384,CONFIGURACOES!$B$37:$B$300,0)),"")</f>
        <v/>
      </c>
      <c r="K384" s="20">
        <f>IFERROR(INDEX(CONFIGURACOES!$H$37:$H$300,MATCH($I384,CONFIGURACOES!$B$37:$B$300,0)),"")</f>
        <v/>
      </c>
      <c r="L384" s="20" t="n"/>
      <c r="M384" s="20">
        <f>IFERROR(INDEX(CONFIGURACOES!$I$37:$I$300,MATCH($I384,CONFIGURACOES!$B$37:$B$300,0)),"")</f>
        <v/>
      </c>
      <c r="N384" s="21" t="n"/>
      <c r="O384" s="21" t="n"/>
      <c r="P384" s="21" t="n"/>
      <c r="Q384" s="21" t="n"/>
      <c r="R384" s="21">
        <f>IF($N384="","",$N384*IF($Q384="",1,$Q384)*IF($P384="",1,$P384)*IF($O384="",1,$O384))</f>
        <v/>
      </c>
      <c r="S384" s="22">
        <f>IFERROR(INDEX(CONFIGURACOES!$J$37:$J$300,MATCH($I384,CONFIGURACOES!$B$37:$B$300,0)),"")</f>
        <v/>
      </c>
      <c r="T384" s="22">
        <f>IF(OR($R384="",$S384=""),"",$R384*$S384)</f>
        <v/>
      </c>
      <c r="U384" s="20" t="n"/>
      <c r="V384" s="20" t="n"/>
      <c r="W384" s="20" t="n"/>
      <c r="X384">
        <f>IF($A384="","",$A384&amp;"|"&amp;$C384&amp;"|"&amp;$I384)</f>
        <v/>
      </c>
      <c r="Y384">
        <f>IF(AND($A384=RELATORIO_MEDICAO!$C$5,$C384=RELATORIO_MEDICAO!$F$5,$A384&lt;&gt;""),COUNTIFS($A$3:$A384,RELATORIO_MEDICAO!$C$5,$C$3:$C384,RELATORIO_MEDICAO!$F$5),"")</f>
        <v/>
      </c>
      <c r="Z384">
        <f>IF(OR($A384="",PESQUISA!$C$4=""),0,IF(OR(ISNUMBER(SEARCH(PESQUISA!$C$4,$G384)),ISNUMBER(SEARCH(PESQUISA!$C$4,$K384)),ISNUMBER(SEARCH(PESQUISA!$C$4,$L384))),1,0))</f>
        <v/>
      </c>
      <c r="AA384">
        <f>IF($Z384=1,SUM($Z$3:$Z384),"")</f>
        <v/>
      </c>
      <c r="AB384">
        <f>IF(OR($A384="",PESQUISA!$C$50=""),0,IF(ISNUMBER(SEARCH(PESQUISA!$C$50,$I384)),1,0))</f>
        <v/>
      </c>
      <c r="AC384">
        <f>IF($AB384=1,SUM($AB$3:$AB384),"")</f>
        <v/>
      </c>
    </row>
    <row r="385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>
        <f>IFERROR(INDEX(CONFIGURACOES!$G$37:$G$300,MATCH($I385,CONFIGURACOES!$B$37:$B$300,0)),"")</f>
        <v/>
      </c>
      <c r="K385" s="20">
        <f>IFERROR(INDEX(CONFIGURACOES!$H$37:$H$300,MATCH($I385,CONFIGURACOES!$B$37:$B$300,0)),"")</f>
        <v/>
      </c>
      <c r="L385" s="20" t="n"/>
      <c r="M385" s="20">
        <f>IFERROR(INDEX(CONFIGURACOES!$I$37:$I$300,MATCH($I385,CONFIGURACOES!$B$37:$B$300,0)),"")</f>
        <v/>
      </c>
      <c r="N385" s="21" t="n"/>
      <c r="O385" s="21" t="n"/>
      <c r="P385" s="21" t="n"/>
      <c r="Q385" s="21" t="n"/>
      <c r="R385" s="21">
        <f>IF($N385="","",$N385*IF($Q385="",1,$Q385)*IF($P385="",1,$P385)*IF($O385="",1,$O385))</f>
        <v/>
      </c>
      <c r="S385" s="22">
        <f>IFERROR(INDEX(CONFIGURACOES!$J$37:$J$300,MATCH($I385,CONFIGURACOES!$B$37:$B$300,0)),"")</f>
        <v/>
      </c>
      <c r="T385" s="22">
        <f>IF(OR($R385="",$S385=""),"",$R385*$S385)</f>
        <v/>
      </c>
      <c r="U385" s="20" t="n"/>
      <c r="V385" s="20" t="n"/>
      <c r="W385" s="20" t="n"/>
      <c r="X385">
        <f>IF($A385="","",$A385&amp;"|"&amp;$C385&amp;"|"&amp;$I385)</f>
        <v/>
      </c>
      <c r="Y385">
        <f>IF(AND($A385=RELATORIO_MEDICAO!$C$5,$C385=RELATORIO_MEDICAO!$F$5,$A385&lt;&gt;""),COUNTIFS($A$3:$A385,RELATORIO_MEDICAO!$C$5,$C$3:$C385,RELATORIO_MEDICAO!$F$5),"")</f>
        <v/>
      </c>
      <c r="Z385">
        <f>IF(OR($A385="",PESQUISA!$C$4=""),0,IF(OR(ISNUMBER(SEARCH(PESQUISA!$C$4,$G385)),ISNUMBER(SEARCH(PESQUISA!$C$4,$K385)),ISNUMBER(SEARCH(PESQUISA!$C$4,$L385))),1,0))</f>
        <v/>
      </c>
      <c r="AA385">
        <f>IF($Z385=1,SUM($Z$3:$Z385),"")</f>
        <v/>
      </c>
      <c r="AB385">
        <f>IF(OR($A385="",PESQUISA!$C$50=""),0,IF(ISNUMBER(SEARCH(PESQUISA!$C$50,$I385)),1,0))</f>
        <v/>
      </c>
      <c r="AC385">
        <f>IF($AB385=1,SUM($AB$3:$AB385),"")</f>
        <v/>
      </c>
    </row>
    <row r="386">
      <c r="A386" s="20" t="n"/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>
        <f>IFERROR(INDEX(CONFIGURACOES!$G$37:$G$300,MATCH($I386,CONFIGURACOES!$B$37:$B$300,0)),"")</f>
        <v/>
      </c>
      <c r="K386" s="20">
        <f>IFERROR(INDEX(CONFIGURACOES!$H$37:$H$300,MATCH($I386,CONFIGURACOES!$B$37:$B$300,0)),"")</f>
        <v/>
      </c>
      <c r="L386" s="20" t="n"/>
      <c r="M386" s="20">
        <f>IFERROR(INDEX(CONFIGURACOES!$I$37:$I$300,MATCH($I386,CONFIGURACOES!$B$37:$B$300,0)),"")</f>
        <v/>
      </c>
      <c r="N386" s="21" t="n"/>
      <c r="O386" s="21" t="n"/>
      <c r="P386" s="21" t="n"/>
      <c r="Q386" s="21" t="n"/>
      <c r="R386" s="21">
        <f>IF($N386="","",$N386*IF($Q386="",1,$Q386)*IF($P386="",1,$P386)*IF($O386="",1,$O386))</f>
        <v/>
      </c>
      <c r="S386" s="22">
        <f>IFERROR(INDEX(CONFIGURACOES!$J$37:$J$300,MATCH($I386,CONFIGURACOES!$B$37:$B$300,0)),"")</f>
        <v/>
      </c>
      <c r="T386" s="22">
        <f>IF(OR($R386="",$S386=""),"",$R386*$S386)</f>
        <v/>
      </c>
      <c r="U386" s="20" t="n"/>
      <c r="V386" s="20" t="n"/>
      <c r="W386" s="20" t="n"/>
      <c r="X386">
        <f>IF($A386="","",$A386&amp;"|"&amp;$C386&amp;"|"&amp;$I386)</f>
        <v/>
      </c>
      <c r="Y386">
        <f>IF(AND($A386=RELATORIO_MEDICAO!$C$5,$C386=RELATORIO_MEDICAO!$F$5,$A386&lt;&gt;""),COUNTIFS($A$3:$A386,RELATORIO_MEDICAO!$C$5,$C$3:$C386,RELATORIO_MEDICAO!$F$5),"")</f>
        <v/>
      </c>
      <c r="Z386">
        <f>IF(OR($A386="",PESQUISA!$C$4=""),0,IF(OR(ISNUMBER(SEARCH(PESQUISA!$C$4,$G386)),ISNUMBER(SEARCH(PESQUISA!$C$4,$K386)),ISNUMBER(SEARCH(PESQUISA!$C$4,$L386))),1,0))</f>
        <v/>
      </c>
      <c r="AA386">
        <f>IF($Z386=1,SUM($Z$3:$Z386),"")</f>
        <v/>
      </c>
      <c r="AB386">
        <f>IF(OR($A386="",PESQUISA!$C$50=""),0,IF(ISNUMBER(SEARCH(PESQUISA!$C$50,$I386)),1,0))</f>
        <v/>
      </c>
      <c r="AC386">
        <f>IF($AB386=1,SUM($AB$3:$AB386),"")</f>
        <v/>
      </c>
    </row>
    <row r="387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>
        <f>IFERROR(INDEX(CONFIGURACOES!$G$37:$G$300,MATCH($I387,CONFIGURACOES!$B$37:$B$300,0)),"")</f>
        <v/>
      </c>
      <c r="K387" s="20">
        <f>IFERROR(INDEX(CONFIGURACOES!$H$37:$H$300,MATCH($I387,CONFIGURACOES!$B$37:$B$300,0)),"")</f>
        <v/>
      </c>
      <c r="L387" s="20" t="n"/>
      <c r="M387" s="20">
        <f>IFERROR(INDEX(CONFIGURACOES!$I$37:$I$300,MATCH($I387,CONFIGURACOES!$B$37:$B$300,0)),"")</f>
        <v/>
      </c>
      <c r="N387" s="21" t="n"/>
      <c r="O387" s="21" t="n"/>
      <c r="P387" s="21" t="n"/>
      <c r="Q387" s="21" t="n"/>
      <c r="R387" s="21">
        <f>IF($N387="","",$N387*IF($Q387="",1,$Q387)*IF($P387="",1,$P387)*IF($O387="",1,$O387))</f>
        <v/>
      </c>
      <c r="S387" s="22">
        <f>IFERROR(INDEX(CONFIGURACOES!$J$37:$J$300,MATCH($I387,CONFIGURACOES!$B$37:$B$300,0)),"")</f>
        <v/>
      </c>
      <c r="T387" s="22">
        <f>IF(OR($R387="",$S387=""),"",$R387*$S387)</f>
        <v/>
      </c>
      <c r="U387" s="20" t="n"/>
      <c r="V387" s="20" t="n"/>
      <c r="W387" s="20" t="n"/>
      <c r="X387">
        <f>IF($A387="","",$A387&amp;"|"&amp;$C387&amp;"|"&amp;$I387)</f>
        <v/>
      </c>
      <c r="Y387">
        <f>IF(AND($A387=RELATORIO_MEDICAO!$C$5,$C387=RELATORIO_MEDICAO!$F$5,$A387&lt;&gt;""),COUNTIFS($A$3:$A387,RELATORIO_MEDICAO!$C$5,$C$3:$C387,RELATORIO_MEDICAO!$F$5),"")</f>
        <v/>
      </c>
      <c r="Z387">
        <f>IF(OR($A387="",PESQUISA!$C$4=""),0,IF(OR(ISNUMBER(SEARCH(PESQUISA!$C$4,$G387)),ISNUMBER(SEARCH(PESQUISA!$C$4,$K387)),ISNUMBER(SEARCH(PESQUISA!$C$4,$L387))),1,0))</f>
        <v/>
      </c>
      <c r="AA387">
        <f>IF($Z387=1,SUM($Z$3:$Z387),"")</f>
        <v/>
      </c>
      <c r="AB387">
        <f>IF(OR($A387="",PESQUISA!$C$50=""),0,IF(ISNUMBER(SEARCH(PESQUISA!$C$50,$I387)),1,0))</f>
        <v/>
      </c>
      <c r="AC387">
        <f>IF($AB387=1,SUM($AB$3:$AB387),"")</f>
        <v/>
      </c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>
        <f>IFERROR(INDEX(CONFIGURACOES!$G$37:$G$300,MATCH($I388,CONFIGURACOES!$B$37:$B$300,0)),"")</f>
        <v/>
      </c>
      <c r="K388" s="20">
        <f>IFERROR(INDEX(CONFIGURACOES!$H$37:$H$300,MATCH($I388,CONFIGURACOES!$B$37:$B$300,0)),"")</f>
        <v/>
      </c>
      <c r="L388" s="20" t="n"/>
      <c r="M388" s="20">
        <f>IFERROR(INDEX(CONFIGURACOES!$I$37:$I$300,MATCH($I388,CONFIGURACOES!$B$37:$B$300,0)),"")</f>
        <v/>
      </c>
      <c r="N388" s="21" t="n"/>
      <c r="O388" s="21" t="n"/>
      <c r="P388" s="21" t="n"/>
      <c r="Q388" s="21" t="n"/>
      <c r="R388" s="21">
        <f>IF($N388="","",$N388*IF($Q388="",1,$Q388)*IF($P388="",1,$P388)*IF($O388="",1,$O388))</f>
        <v/>
      </c>
      <c r="S388" s="22">
        <f>IFERROR(INDEX(CONFIGURACOES!$J$37:$J$300,MATCH($I388,CONFIGURACOES!$B$37:$B$300,0)),"")</f>
        <v/>
      </c>
      <c r="T388" s="22">
        <f>IF(OR($R388="",$S388=""),"",$R388*$S388)</f>
        <v/>
      </c>
      <c r="U388" s="20" t="n"/>
      <c r="V388" s="20" t="n"/>
      <c r="W388" s="20" t="n"/>
      <c r="X388">
        <f>IF($A388="","",$A388&amp;"|"&amp;$C388&amp;"|"&amp;$I388)</f>
        <v/>
      </c>
      <c r="Y388">
        <f>IF(AND($A388=RELATORIO_MEDICAO!$C$5,$C388=RELATORIO_MEDICAO!$F$5,$A388&lt;&gt;""),COUNTIFS($A$3:$A388,RELATORIO_MEDICAO!$C$5,$C$3:$C388,RELATORIO_MEDICAO!$F$5),"")</f>
        <v/>
      </c>
      <c r="Z388">
        <f>IF(OR($A388="",PESQUISA!$C$4=""),0,IF(OR(ISNUMBER(SEARCH(PESQUISA!$C$4,$G388)),ISNUMBER(SEARCH(PESQUISA!$C$4,$K388)),ISNUMBER(SEARCH(PESQUISA!$C$4,$L388))),1,0))</f>
        <v/>
      </c>
      <c r="AA388">
        <f>IF($Z388=1,SUM($Z$3:$Z388),"")</f>
        <v/>
      </c>
      <c r="AB388">
        <f>IF(OR($A388="",PESQUISA!$C$50=""),0,IF(ISNUMBER(SEARCH(PESQUISA!$C$50,$I388)),1,0))</f>
        <v/>
      </c>
      <c r="AC388">
        <f>IF($AB388=1,SUM($AB$3:$AB388),"")</f>
        <v/>
      </c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>
        <f>IFERROR(INDEX(CONFIGURACOES!$G$37:$G$300,MATCH($I389,CONFIGURACOES!$B$37:$B$300,0)),"")</f>
        <v/>
      </c>
      <c r="K389" s="20">
        <f>IFERROR(INDEX(CONFIGURACOES!$H$37:$H$300,MATCH($I389,CONFIGURACOES!$B$37:$B$300,0)),"")</f>
        <v/>
      </c>
      <c r="L389" s="20" t="n"/>
      <c r="M389" s="20">
        <f>IFERROR(INDEX(CONFIGURACOES!$I$37:$I$300,MATCH($I389,CONFIGURACOES!$B$37:$B$300,0)),"")</f>
        <v/>
      </c>
      <c r="N389" s="21" t="n"/>
      <c r="O389" s="21" t="n"/>
      <c r="P389" s="21" t="n"/>
      <c r="Q389" s="21" t="n"/>
      <c r="R389" s="21">
        <f>IF($N389="","",$N389*IF($Q389="",1,$Q389)*IF($P389="",1,$P389)*IF($O389="",1,$O389))</f>
        <v/>
      </c>
      <c r="S389" s="22">
        <f>IFERROR(INDEX(CONFIGURACOES!$J$37:$J$300,MATCH($I389,CONFIGURACOES!$B$37:$B$300,0)),"")</f>
        <v/>
      </c>
      <c r="T389" s="22">
        <f>IF(OR($R389="",$S389=""),"",$R389*$S389)</f>
        <v/>
      </c>
      <c r="U389" s="20" t="n"/>
      <c r="V389" s="20" t="n"/>
      <c r="W389" s="20" t="n"/>
      <c r="X389">
        <f>IF($A389="","",$A389&amp;"|"&amp;$C389&amp;"|"&amp;$I389)</f>
        <v/>
      </c>
      <c r="Y389">
        <f>IF(AND($A389=RELATORIO_MEDICAO!$C$5,$C389=RELATORIO_MEDICAO!$F$5,$A389&lt;&gt;""),COUNTIFS($A$3:$A389,RELATORIO_MEDICAO!$C$5,$C$3:$C389,RELATORIO_MEDICAO!$F$5),"")</f>
        <v/>
      </c>
      <c r="Z389">
        <f>IF(OR($A389="",PESQUISA!$C$4=""),0,IF(OR(ISNUMBER(SEARCH(PESQUISA!$C$4,$G389)),ISNUMBER(SEARCH(PESQUISA!$C$4,$K389)),ISNUMBER(SEARCH(PESQUISA!$C$4,$L389))),1,0))</f>
        <v/>
      </c>
      <c r="AA389">
        <f>IF($Z389=1,SUM($Z$3:$Z389),"")</f>
        <v/>
      </c>
      <c r="AB389">
        <f>IF(OR($A389="",PESQUISA!$C$50=""),0,IF(ISNUMBER(SEARCH(PESQUISA!$C$50,$I389)),1,0))</f>
        <v/>
      </c>
      <c r="AC389">
        <f>IF($AB389=1,SUM($AB$3:$AB389),"")</f>
        <v/>
      </c>
    </row>
    <row r="390">
      <c r="A390" s="20" t="n"/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>
        <f>IFERROR(INDEX(CONFIGURACOES!$G$37:$G$300,MATCH($I390,CONFIGURACOES!$B$37:$B$300,0)),"")</f>
        <v/>
      </c>
      <c r="K390" s="20">
        <f>IFERROR(INDEX(CONFIGURACOES!$H$37:$H$300,MATCH($I390,CONFIGURACOES!$B$37:$B$300,0)),"")</f>
        <v/>
      </c>
      <c r="L390" s="20" t="n"/>
      <c r="M390" s="20">
        <f>IFERROR(INDEX(CONFIGURACOES!$I$37:$I$300,MATCH($I390,CONFIGURACOES!$B$37:$B$300,0)),"")</f>
        <v/>
      </c>
      <c r="N390" s="21" t="n"/>
      <c r="O390" s="21" t="n"/>
      <c r="P390" s="21" t="n"/>
      <c r="Q390" s="21" t="n"/>
      <c r="R390" s="21">
        <f>IF($N390="","",$N390*IF($Q390="",1,$Q390)*IF($P390="",1,$P390)*IF($O390="",1,$O390))</f>
        <v/>
      </c>
      <c r="S390" s="22">
        <f>IFERROR(INDEX(CONFIGURACOES!$J$37:$J$300,MATCH($I390,CONFIGURACOES!$B$37:$B$300,0)),"")</f>
        <v/>
      </c>
      <c r="T390" s="22">
        <f>IF(OR($R390="",$S390=""),"",$R390*$S390)</f>
        <v/>
      </c>
      <c r="U390" s="20" t="n"/>
      <c r="V390" s="20" t="n"/>
      <c r="W390" s="20" t="n"/>
      <c r="X390">
        <f>IF($A390="","",$A390&amp;"|"&amp;$C390&amp;"|"&amp;$I390)</f>
        <v/>
      </c>
      <c r="Y390">
        <f>IF(AND($A390=RELATORIO_MEDICAO!$C$5,$C390=RELATORIO_MEDICAO!$F$5,$A390&lt;&gt;""),COUNTIFS($A$3:$A390,RELATORIO_MEDICAO!$C$5,$C$3:$C390,RELATORIO_MEDICAO!$F$5),"")</f>
        <v/>
      </c>
      <c r="Z390">
        <f>IF(OR($A390="",PESQUISA!$C$4=""),0,IF(OR(ISNUMBER(SEARCH(PESQUISA!$C$4,$G390)),ISNUMBER(SEARCH(PESQUISA!$C$4,$K390)),ISNUMBER(SEARCH(PESQUISA!$C$4,$L390))),1,0))</f>
        <v/>
      </c>
      <c r="AA390">
        <f>IF($Z390=1,SUM($Z$3:$Z390),"")</f>
        <v/>
      </c>
      <c r="AB390">
        <f>IF(OR($A390="",PESQUISA!$C$50=""),0,IF(ISNUMBER(SEARCH(PESQUISA!$C$50,$I390)),1,0))</f>
        <v/>
      </c>
      <c r="AC390">
        <f>IF($AB390=1,SUM($AB$3:$AB390),"")</f>
        <v/>
      </c>
    </row>
    <row r="391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>
        <f>IFERROR(INDEX(CONFIGURACOES!$G$37:$G$300,MATCH($I391,CONFIGURACOES!$B$37:$B$300,0)),"")</f>
        <v/>
      </c>
      <c r="K391" s="20">
        <f>IFERROR(INDEX(CONFIGURACOES!$H$37:$H$300,MATCH($I391,CONFIGURACOES!$B$37:$B$300,0)),"")</f>
        <v/>
      </c>
      <c r="L391" s="20" t="n"/>
      <c r="M391" s="20">
        <f>IFERROR(INDEX(CONFIGURACOES!$I$37:$I$300,MATCH($I391,CONFIGURACOES!$B$37:$B$300,0)),"")</f>
        <v/>
      </c>
      <c r="N391" s="21" t="n"/>
      <c r="O391" s="21" t="n"/>
      <c r="P391" s="21" t="n"/>
      <c r="Q391" s="21" t="n"/>
      <c r="R391" s="21">
        <f>IF($N391="","",$N391*IF($Q391="",1,$Q391)*IF($P391="",1,$P391)*IF($O391="",1,$O391))</f>
        <v/>
      </c>
      <c r="S391" s="22">
        <f>IFERROR(INDEX(CONFIGURACOES!$J$37:$J$300,MATCH($I391,CONFIGURACOES!$B$37:$B$300,0)),"")</f>
        <v/>
      </c>
      <c r="T391" s="22">
        <f>IF(OR($R391="",$S391=""),"",$R391*$S391)</f>
        <v/>
      </c>
      <c r="U391" s="20" t="n"/>
      <c r="V391" s="20" t="n"/>
      <c r="W391" s="20" t="n"/>
      <c r="X391">
        <f>IF($A391="","",$A391&amp;"|"&amp;$C391&amp;"|"&amp;$I391)</f>
        <v/>
      </c>
      <c r="Y391">
        <f>IF(AND($A391=RELATORIO_MEDICAO!$C$5,$C391=RELATORIO_MEDICAO!$F$5,$A391&lt;&gt;""),COUNTIFS($A$3:$A391,RELATORIO_MEDICAO!$C$5,$C$3:$C391,RELATORIO_MEDICAO!$F$5),"")</f>
        <v/>
      </c>
      <c r="Z391">
        <f>IF(OR($A391="",PESQUISA!$C$4=""),0,IF(OR(ISNUMBER(SEARCH(PESQUISA!$C$4,$G391)),ISNUMBER(SEARCH(PESQUISA!$C$4,$K391)),ISNUMBER(SEARCH(PESQUISA!$C$4,$L391))),1,0))</f>
        <v/>
      </c>
      <c r="AA391">
        <f>IF($Z391=1,SUM($Z$3:$Z391),"")</f>
        <v/>
      </c>
      <c r="AB391">
        <f>IF(OR($A391="",PESQUISA!$C$50=""),0,IF(ISNUMBER(SEARCH(PESQUISA!$C$50,$I391)),1,0))</f>
        <v/>
      </c>
      <c r="AC391">
        <f>IF($AB391=1,SUM($AB$3:$AB391),"")</f>
        <v/>
      </c>
    </row>
    <row r="392">
      <c r="A392" s="20" t="n"/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>
        <f>IFERROR(INDEX(CONFIGURACOES!$G$37:$G$300,MATCH($I392,CONFIGURACOES!$B$37:$B$300,0)),"")</f>
        <v/>
      </c>
      <c r="K392" s="20">
        <f>IFERROR(INDEX(CONFIGURACOES!$H$37:$H$300,MATCH($I392,CONFIGURACOES!$B$37:$B$300,0)),"")</f>
        <v/>
      </c>
      <c r="L392" s="20" t="n"/>
      <c r="M392" s="20">
        <f>IFERROR(INDEX(CONFIGURACOES!$I$37:$I$300,MATCH($I392,CONFIGURACOES!$B$37:$B$300,0)),"")</f>
        <v/>
      </c>
      <c r="N392" s="21" t="n"/>
      <c r="O392" s="21" t="n"/>
      <c r="P392" s="21" t="n"/>
      <c r="Q392" s="21" t="n"/>
      <c r="R392" s="21">
        <f>IF($N392="","",$N392*IF($Q392="",1,$Q392)*IF($P392="",1,$P392)*IF($O392="",1,$O392))</f>
        <v/>
      </c>
      <c r="S392" s="22">
        <f>IFERROR(INDEX(CONFIGURACOES!$J$37:$J$300,MATCH($I392,CONFIGURACOES!$B$37:$B$300,0)),"")</f>
        <v/>
      </c>
      <c r="T392" s="22">
        <f>IF(OR($R392="",$S392=""),"",$R392*$S392)</f>
        <v/>
      </c>
      <c r="U392" s="20" t="n"/>
      <c r="V392" s="20" t="n"/>
      <c r="W392" s="20" t="n"/>
      <c r="X392">
        <f>IF($A392="","",$A392&amp;"|"&amp;$C392&amp;"|"&amp;$I392)</f>
        <v/>
      </c>
      <c r="Y392">
        <f>IF(AND($A392=RELATORIO_MEDICAO!$C$5,$C392=RELATORIO_MEDICAO!$F$5,$A392&lt;&gt;""),COUNTIFS($A$3:$A392,RELATORIO_MEDICAO!$C$5,$C$3:$C392,RELATORIO_MEDICAO!$F$5),"")</f>
        <v/>
      </c>
      <c r="Z392">
        <f>IF(OR($A392="",PESQUISA!$C$4=""),0,IF(OR(ISNUMBER(SEARCH(PESQUISA!$C$4,$G392)),ISNUMBER(SEARCH(PESQUISA!$C$4,$K392)),ISNUMBER(SEARCH(PESQUISA!$C$4,$L392))),1,0))</f>
        <v/>
      </c>
      <c r="AA392">
        <f>IF($Z392=1,SUM($Z$3:$Z392),"")</f>
        <v/>
      </c>
      <c r="AB392">
        <f>IF(OR($A392="",PESQUISA!$C$50=""),0,IF(ISNUMBER(SEARCH(PESQUISA!$C$50,$I392)),1,0))</f>
        <v/>
      </c>
      <c r="AC392">
        <f>IF($AB392=1,SUM($AB$3:$AB392),"")</f>
        <v/>
      </c>
    </row>
    <row r="393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>
        <f>IFERROR(INDEX(CONFIGURACOES!$G$37:$G$300,MATCH($I393,CONFIGURACOES!$B$37:$B$300,0)),"")</f>
        <v/>
      </c>
      <c r="K393" s="20">
        <f>IFERROR(INDEX(CONFIGURACOES!$H$37:$H$300,MATCH($I393,CONFIGURACOES!$B$37:$B$300,0)),"")</f>
        <v/>
      </c>
      <c r="L393" s="20" t="n"/>
      <c r="M393" s="20">
        <f>IFERROR(INDEX(CONFIGURACOES!$I$37:$I$300,MATCH($I393,CONFIGURACOES!$B$37:$B$300,0)),"")</f>
        <v/>
      </c>
      <c r="N393" s="21" t="n"/>
      <c r="O393" s="21" t="n"/>
      <c r="P393" s="21" t="n"/>
      <c r="Q393" s="21" t="n"/>
      <c r="R393" s="21">
        <f>IF($N393="","",$N393*IF($Q393="",1,$Q393)*IF($P393="",1,$P393)*IF($O393="",1,$O393))</f>
        <v/>
      </c>
      <c r="S393" s="22">
        <f>IFERROR(INDEX(CONFIGURACOES!$J$37:$J$300,MATCH($I393,CONFIGURACOES!$B$37:$B$300,0)),"")</f>
        <v/>
      </c>
      <c r="T393" s="22">
        <f>IF(OR($R393="",$S393=""),"",$R393*$S393)</f>
        <v/>
      </c>
      <c r="U393" s="20" t="n"/>
      <c r="V393" s="20" t="n"/>
      <c r="W393" s="20" t="n"/>
      <c r="X393">
        <f>IF($A393="","",$A393&amp;"|"&amp;$C393&amp;"|"&amp;$I393)</f>
        <v/>
      </c>
      <c r="Y393">
        <f>IF(AND($A393=RELATORIO_MEDICAO!$C$5,$C393=RELATORIO_MEDICAO!$F$5,$A393&lt;&gt;""),COUNTIFS($A$3:$A393,RELATORIO_MEDICAO!$C$5,$C$3:$C393,RELATORIO_MEDICAO!$F$5),"")</f>
        <v/>
      </c>
      <c r="Z393">
        <f>IF(OR($A393="",PESQUISA!$C$4=""),0,IF(OR(ISNUMBER(SEARCH(PESQUISA!$C$4,$G393)),ISNUMBER(SEARCH(PESQUISA!$C$4,$K393)),ISNUMBER(SEARCH(PESQUISA!$C$4,$L393))),1,0))</f>
        <v/>
      </c>
      <c r="AA393">
        <f>IF($Z393=1,SUM($Z$3:$Z393),"")</f>
        <v/>
      </c>
      <c r="AB393">
        <f>IF(OR($A393="",PESQUISA!$C$50=""),0,IF(ISNUMBER(SEARCH(PESQUISA!$C$50,$I393)),1,0))</f>
        <v/>
      </c>
      <c r="AC393">
        <f>IF($AB393=1,SUM($AB$3:$AB393),"")</f>
        <v/>
      </c>
    </row>
    <row r="394">
      <c r="A394" s="20" t="n"/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0">
        <f>IFERROR(INDEX(CONFIGURACOES!$G$37:$G$300,MATCH($I394,CONFIGURACOES!$B$37:$B$300,0)),"")</f>
        <v/>
      </c>
      <c r="K394" s="20">
        <f>IFERROR(INDEX(CONFIGURACOES!$H$37:$H$300,MATCH($I394,CONFIGURACOES!$B$37:$B$300,0)),"")</f>
        <v/>
      </c>
      <c r="L394" s="20" t="n"/>
      <c r="M394" s="20">
        <f>IFERROR(INDEX(CONFIGURACOES!$I$37:$I$300,MATCH($I394,CONFIGURACOES!$B$37:$B$300,0)),"")</f>
        <v/>
      </c>
      <c r="N394" s="21" t="n"/>
      <c r="O394" s="21" t="n"/>
      <c r="P394" s="21" t="n"/>
      <c r="Q394" s="21" t="n"/>
      <c r="R394" s="21">
        <f>IF($N394="","",$N394*IF($Q394="",1,$Q394)*IF($P394="",1,$P394)*IF($O394="",1,$O394))</f>
        <v/>
      </c>
      <c r="S394" s="22">
        <f>IFERROR(INDEX(CONFIGURACOES!$J$37:$J$300,MATCH($I394,CONFIGURACOES!$B$37:$B$300,0)),"")</f>
        <v/>
      </c>
      <c r="T394" s="22">
        <f>IF(OR($R394="",$S394=""),"",$R394*$S394)</f>
        <v/>
      </c>
      <c r="U394" s="20" t="n"/>
      <c r="V394" s="20" t="n"/>
      <c r="W394" s="20" t="n"/>
      <c r="X394">
        <f>IF($A394="","",$A394&amp;"|"&amp;$C394&amp;"|"&amp;$I394)</f>
        <v/>
      </c>
      <c r="Y394">
        <f>IF(AND($A394=RELATORIO_MEDICAO!$C$5,$C394=RELATORIO_MEDICAO!$F$5,$A394&lt;&gt;""),COUNTIFS($A$3:$A394,RELATORIO_MEDICAO!$C$5,$C$3:$C394,RELATORIO_MEDICAO!$F$5),"")</f>
        <v/>
      </c>
      <c r="Z394">
        <f>IF(OR($A394="",PESQUISA!$C$4=""),0,IF(OR(ISNUMBER(SEARCH(PESQUISA!$C$4,$G394)),ISNUMBER(SEARCH(PESQUISA!$C$4,$K394)),ISNUMBER(SEARCH(PESQUISA!$C$4,$L394))),1,0))</f>
        <v/>
      </c>
      <c r="AA394">
        <f>IF($Z394=1,SUM($Z$3:$Z394),"")</f>
        <v/>
      </c>
      <c r="AB394">
        <f>IF(OR($A394="",PESQUISA!$C$50=""),0,IF(ISNUMBER(SEARCH(PESQUISA!$C$50,$I394)),1,0))</f>
        <v/>
      </c>
      <c r="AC394">
        <f>IF($AB394=1,SUM($AB$3:$AB394),"")</f>
        <v/>
      </c>
    </row>
    <row r="395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>
        <f>IFERROR(INDEX(CONFIGURACOES!$G$37:$G$300,MATCH($I395,CONFIGURACOES!$B$37:$B$300,0)),"")</f>
        <v/>
      </c>
      <c r="K395" s="20">
        <f>IFERROR(INDEX(CONFIGURACOES!$H$37:$H$300,MATCH($I395,CONFIGURACOES!$B$37:$B$300,0)),"")</f>
        <v/>
      </c>
      <c r="L395" s="20" t="n"/>
      <c r="M395" s="20">
        <f>IFERROR(INDEX(CONFIGURACOES!$I$37:$I$300,MATCH($I395,CONFIGURACOES!$B$37:$B$300,0)),"")</f>
        <v/>
      </c>
      <c r="N395" s="21" t="n"/>
      <c r="O395" s="21" t="n"/>
      <c r="P395" s="21" t="n"/>
      <c r="Q395" s="21" t="n"/>
      <c r="R395" s="21">
        <f>IF($N395="","",$N395*IF($Q395="",1,$Q395)*IF($P395="",1,$P395)*IF($O395="",1,$O395))</f>
        <v/>
      </c>
      <c r="S395" s="22">
        <f>IFERROR(INDEX(CONFIGURACOES!$J$37:$J$300,MATCH($I395,CONFIGURACOES!$B$37:$B$300,0)),"")</f>
        <v/>
      </c>
      <c r="T395" s="22">
        <f>IF(OR($R395="",$S395=""),"",$R395*$S395)</f>
        <v/>
      </c>
      <c r="U395" s="20" t="n"/>
      <c r="V395" s="20" t="n"/>
      <c r="W395" s="20" t="n"/>
      <c r="X395">
        <f>IF($A395="","",$A395&amp;"|"&amp;$C395&amp;"|"&amp;$I395)</f>
        <v/>
      </c>
      <c r="Y395">
        <f>IF(AND($A395=RELATORIO_MEDICAO!$C$5,$C395=RELATORIO_MEDICAO!$F$5,$A395&lt;&gt;""),COUNTIFS($A$3:$A395,RELATORIO_MEDICAO!$C$5,$C$3:$C395,RELATORIO_MEDICAO!$F$5),"")</f>
        <v/>
      </c>
      <c r="Z395">
        <f>IF(OR($A395="",PESQUISA!$C$4=""),0,IF(OR(ISNUMBER(SEARCH(PESQUISA!$C$4,$G395)),ISNUMBER(SEARCH(PESQUISA!$C$4,$K395)),ISNUMBER(SEARCH(PESQUISA!$C$4,$L395))),1,0))</f>
        <v/>
      </c>
      <c r="AA395">
        <f>IF($Z395=1,SUM($Z$3:$Z395),"")</f>
        <v/>
      </c>
      <c r="AB395">
        <f>IF(OR($A395="",PESQUISA!$C$50=""),0,IF(ISNUMBER(SEARCH(PESQUISA!$C$50,$I395)),1,0))</f>
        <v/>
      </c>
      <c r="AC395">
        <f>IF($AB395=1,SUM($AB$3:$AB395),"")</f>
        <v/>
      </c>
    </row>
    <row r="396">
      <c r="A396" s="20" t="n"/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>
        <f>IFERROR(INDEX(CONFIGURACOES!$G$37:$G$300,MATCH($I396,CONFIGURACOES!$B$37:$B$300,0)),"")</f>
        <v/>
      </c>
      <c r="K396" s="20">
        <f>IFERROR(INDEX(CONFIGURACOES!$H$37:$H$300,MATCH($I396,CONFIGURACOES!$B$37:$B$300,0)),"")</f>
        <v/>
      </c>
      <c r="L396" s="20" t="n"/>
      <c r="M396" s="20">
        <f>IFERROR(INDEX(CONFIGURACOES!$I$37:$I$300,MATCH($I396,CONFIGURACOES!$B$37:$B$300,0)),"")</f>
        <v/>
      </c>
      <c r="N396" s="21" t="n"/>
      <c r="O396" s="21" t="n"/>
      <c r="P396" s="21" t="n"/>
      <c r="Q396" s="21" t="n"/>
      <c r="R396" s="21">
        <f>IF($N396="","",$N396*IF($Q396="",1,$Q396)*IF($P396="",1,$P396)*IF($O396="",1,$O396))</f>
        <v/>
      </c>
      <c r="S396" s="22">
        <f>IFERROR(INDEX(CONFIGURACOES!$J$37:$J$300,MATCH($I396,CONFIGURACOES!$B$37:$B$300,0)),"")</f>
        <v/>
      </c>
      <c r="T396" s="22">
        <f>IF(OR($R396="",$S396=""),"",$R396*$S396)</f>
        <v/>
      </c>
      <c r="U396" s="20" t="n"/>
      <c r="V396" s="20" t="n"/>
      <c r="W396" s="20" t="n"/>
      <c r="X396">
        <f>IF($A396="","",$A396&amp;"|"&amp;$C396&amp;"|"&amp;$I396)</f>
        <v/>
      </c>
      <c r="Y396">
        <f>IF(AND($A396=RELATORIO_MEDICAO!$C$5,$C396=RELATORIO_MEDICAO!$F$5,$A396&lt;&gt;""),COUNTIFS($A$3:$A396,RELATORIO_MEDICAO!$C$5,$C$3:$C396,RELATORIO_MEDICAO!$F$5),"")</f>
        <v/>
      </c>
      <c r="Z396">
        <f>IF(OR($A396="",PESQUISA!$C$4=""),0,IF(OR(ISNUMBER(SEARCH(PESQUISA!$C$4,$G396)),ISNUMBER(SEARCH(PESQUISA!$C$4,$K396)),ISNUMBER(SEARCH(PESQUISA!$C$4,$L396))),1,0))</f>
        <v/>
      </c>
      <c r="AA396">
        <f>IF($Z396=1,SUM($Z$3:$Z396),"")</f>
        <v/>
      </c>
      <c r="AB396">
        <f>IF(OR($A396="",PESQUISA!$C$50=""),0,IF(ISNUMBER(SEARCH(PESQUISA!$C$50,$I396)),1,0))</f>
        <v/>
      </c>
      <c r="AC396">
        <f>IF($AB396=1,SUM($AB$3:$AB396),"")</f>
        <v/>
      </c>
    </row>
    <row r="397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>
        <f>IFERROR(INDEX(CONFIGURACOES!$G$37:$G$300,MATCH($I397,CONFIGURACOES!$B$37:$B$300,0)),"")</f>
        <v/>
      </c>
      <c r="K397" s="20">
        <f>IFERROR(INDEX(CONFIGURACOES!$H$37:$H$300,MATCH($I397,CONFIGURACOES!$B$37:$B$300,0)),"")</f>
        <v/>
      </c>
      <c r="L397" s="20" t="n"/>
      <c r="M397" s="20">
        <f>IFERROR(INDEX(CONFIGURACOES!$I$37:$I$300,MATCH($I397,CONFIGURACOES!$B$37:$B$300,0)),"")</f>
        <v/>
      </c>
      <c r="N397" s="21" t="n"/>
      <c r="O397" s="21" t="n"/>
      <c r="P397" s="21" t="n"/>
      <c r="Q397" s="21" t="n"/>
      <c r="R397" s="21">
        <f>IF($N397="","",$N397*IF($Q397="",1,$Q397)*IF($P397="",1,$P397)*IF($O397="",1,$O397))</f>
        <v/>
      </c>
      <c r="S397" s="22">
        <f>IFERROR(INDEX(CONFIGURACOES!$J$37:$J$300,MATCH($I397,CONFIGURACOES!$B$37:$B$300,0)),"")</f>
        <v/>
      </c>
      <c r="T397" s="22">
        <f>IF(OR($R397="",$S397=""),"",$R397*$S397)</f>
        <v/>
      </c>
      <c r="U397" s="20" t="n"/>
      <c r="V397" s="20" t="n"/>
      <c r="W397" s="20" t="n"/>
      <c r="X397">
        <f>IF($A397="","",$A397&amp;"|"&amp;$C397&amp;"|"&amp;$I397)</f>
        <v/>
      </c>
      <c r="Y397">
        <f>IF(AND($A397=RELATORIO_MEDICAO!$C$5,$C397=RELATORIO_MEDICAO!$F$5,$A397&lt;&gt;""),COUNTIFS($A$3:$A397,RELATORIO_MEDICAO!$C$5,$C$3:$C397,RELATORIO_MEDICAO!$F$5),"")</f>
        <v/>
      </c>
      <c r="Z397">
        <f>IF(OR($A397="",PESQUISA!$C$4=""),0,IF(OR(ISNUMBER(SEARCH(PESQUISA!$C$4,$G397)),ISNUMBER(SEARCH(PESQUISA!$C$4,$K397)),ISNUMBER(SEARCH(PESQUISA!$C$4,$L397))),1,0))</f>
        <v/>
      </c>
      <c r="AA397">
        <f>IF($Z397=1,SUM($Z$3:$Z397),"")</f>
        <v/>
      </c>
      <c r="AB397">
        <f>IF(OR($A397="",PESQUISA!$C$50=""),0,IF(ISNUMBER(SEARCH(PESQUISA!$C$50,$I397)),1,0))</f>
        <v/>
      </c>
      <c r="AC397">
        <f>IF($AB397=1,SUM($AB$3:$AB397),"")</f>
        <v/>
      </c>
    </row>
    <row r="398">
      <c r="A398" s="20" t="n"/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>
        <f>IFERROR(INDEX(CONFIGURACOES!$G$37:$G$300,MATCH($I398,CONFIGURACOES!$B$37:$B$300,0)),"")</f>
        <v/>
      </c>
      <c r="K398" s="20">
        <f>IFERROR(INDEX(CONFIGURACOES!$H$37:$H$300,MATCH($I398,CONFIGURACOES!$B$37:$B$300,0)),"")</f>
        <v/>
      </c>
      <c r="L398" s="20" t="n"/>
      <c r="M398" s="20">
        <f>IFERROR(INDEX(CONFIGURACOES!$I$37:$I$300,MATCH($I398,CONFIGURACOES!$B$37:$B$300,0)),"")</f>
        <v/>
      </c>
      <c r="N398" s="21" t="n"/>
      <c r="O398" s="21" t="n"/>
      <c r="P398" s="21" t="n"/>
      <c r="Q398" s="21" t="n"/>
      <c r="R398" s="21">
        <f>IF($N398="","",$N398*IF($Q398="",1,$Q398)*IF($P398="",1,$P398)*IF($O398="",1,$O398))</f>
        <v/>
      </c>
      <c r="S398" s="22">
        <f>IFERROR(INDEX(CONFIGURACOES!$J$37:$J$300,MATCH($I398,CONFIGURACOES!$B$37:$B$300,0)),"")</f>
        <v/>
      </c>
      <c r="T398" s="22">
        <f>IF(OR($R398="",$S398=""),"",$R398*$S398)</f>
        <v/>
      </c>
      <c r="U398" s="20" t="n"/>
      <c r="V398" s="20" t="n"/>
      <c r="W398" s="20" t="n"/>
      <c r="X398">
        <f>IF($A398="","",$A398&amp;"|"&amp;$C398&amp;"|"&amp;$I398)</f>
        <v/>
      </c>
      <c r="Y398">
        <f>IF(AND($A398=RELATORIO_MEDICAO!$C$5,$C398=RELATORIO_MEDICAO!$F$5,$A398&lt;&gt;""),COUNTIFS($A$3:$A398,RELATORIO_MEDICAO!$C$5,$C$3:$C398,RELATORIO_MEDICAO!$F$5),"")</f>
        <v/>
      </c>
      <c r="Z398">
        <f>IF(OR($A398="",PESQUISA!$C$4=""),0,IF(OR(ISNUMBER(SEARCH(PESQUISA!$C$4,$G398)),ISNUMBER(SEARCH(PESQUISA!$C$4,$K398)),ISNUMBER(SEARCH(PESQUISA!$C$4,$L398))),1,0))</f>
        <v/>
      </c>
      <c r="AA398">
        <f>IF($Z398=1,SUM($Z$3:$Z398),"")</f>
        <v/>
      </c>
      <c r="AB398">
        <f>IF(OR($A398="",PESQUISA!$C$50=""),0,IF(ISNUMBER(SEARCH(PESQUISA!$C$50,$I398)),1,0))</f>
        <v/>
      </c>
      <c r="AC398">
        <f>IF($AB398=1,SUM($AB$3:$AB398),"")</f>
        <v/>
      </c>
    </row>
    <row r="399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>
        <f>IFERROR(INDEX(CONFIGURACOES!$G$37:$G$300,MATCH($I399,CONFIGURACOES!$B$37:$B$300,0)),"")</f>
        <v/>
      </c>
      <c r="K399" s="20">
        <f>IFERROR(INDEX(CONFIGURACOES!$H$37:$H$300,MATCH($I399,CONFIGURACOES!$B$37:$B$300,0)),"")</f>
        <v/>
      </c>
      <c r="L399" s="20" t="n"/>
      <c r="M399" s="20">
        <f>IFERROR(INDEX(CONFIGURACOES!$I$37:$I$300,MATCH($I399,CONFIGURACOES!$B$37:$B$300,0)),"")</f>
        <v/>
      </c>
      <c r="N399" s="21" t="n"/>
      <c r="O399" s="21" t="n"/>
      <c r="P399" s="21" t="n"/>
      <c r="Q399" s="21" t="n"/>
      <c r="R399" s="21">
        <f>IF($N399="","",$N399*IF($Q399="",1,$Q399)*IF($P399="",1,$P399)*IF($O399="",1,$O399))</f>
        <v/>
      </c>
      <c r="S399" s="22">
        <f>IFERROR(INDEX(CONFIGURACOES!$J$37:$J$300,MATCH($I399,CONFIGURACOES!$B$37:$B$300,0)),"")</f>
        <v/>
      </c>
      <c r="T399" s="22">
        <f>IF(OR($R399="",$S399=""),"",$R399*$S399)</f>
        <v/>
      </c>
      <c r="U399" s="20" t="n"/>
      <c r="V399" s="20" t="n"/>
      <c r="W399" s="20" t="n"/>
      <c r="X399">
        <f>IF($A399="","",$A399&amp;"|"&amp;$C399&amp;"|"&amp;$I399)</f>
        <v/>
      </c>
      <c r="Y399">
        <f>IF(AND($A399=RELATORIO_MEDICAO!$C$5,$C399=RELATORIO_MEDICAO!$F$5,$A399&lt;&gt;""),COUNTIFS($A$3:$A399,RELATORIO_MEDICAO!$C$5,$C$3:$C399,RELATORIO_MEDICAO!$F$5),"")</f>
        <v/>
      </c>
      <c r="Z399">
        <f>IF(OR($A399="",PESQUISA!$C$4=""),0,IF(OR(ISNUMBER(SEARCH(PESQUISA!$C$4,$G399)),ISNUMBER(SEARCH(PESQUISA!$C$4,$K399)),ISNUMBER(SEARCH(PESQUISA!$C$4,$L399))),1,0))</f>
        <v/>
      </c>
      <c r="AA399">
        <f>IF($Z399=1,SUM($Z$3:$Z399),"")</f>
        <v/>
      </c>
      <c r="AB399">
        <f>IF(OR($A399="",PESQUISA!$C$50=""),0,IF(ISNUMBER(SEARCH(PESQUISA!$C$50,$I399)),1,0))</f>
        <v/>
      </c>
      <c r="AC399">
        <f>IF($AB399=1,SUM($AB$3:$AB399),"")</f>
        <v/>
      </c>
    </row>
    <row r="400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>
        <f>IFERROR(INDEX(CONFIGURACOES!$G$37:$G$300,MATCH($I400,CONFIGURACOES!$B$37:$B$300,0)),"")</f>
        <v/>
      </c>
      <c r="K400" s="20">
        <f>IFERROR(INDEX(CONFIGURACOES!$H$37:$H$300,MATCH($I400,CONFIGURACOES!$B$37:$B$300,0)),"")</f>
        <v/>
      </c>
      <c r="L400" s="20" t="n"/>
      <c r="M400" s="20">
        <f>IFERROR(INDEX(CONFIGURACOES!$I$37:$I$300,MATCH($I400,CONFIGURACOES!$B$37:$B$300,0)),"")</f>
        <v/>
      </c>
      <c r="N400" s="21" t="n"/>
      <c r="O400" s="21" t="n"/>
      <c r="P400" s="21" t="n"/>
      <c r="Q400" s="21" t="n"/>
      <c r="R400" s="21">
        <f>IF($N400="","",$N400*IF($Q400="",1,$Q400)*IF($P400="",1,$P400)*IF($O400="",1,$O400))</f>
        <v/>
      </c>
      <c r="S400" s="22">
        <f>IFERROR(INDEX(CONFIGURACOES!$J$37:$J$300,MATCH($I400,CONFIGURACOES!$B$37:$B$300,0)),"")</f>
        <v/>
      </c>
      <c r="T400" s="22">
        <f>IF(OR($R400="",$S400=""),"",$R400*$S400)</f>
        <v/>
      </c>
      <c r="U400" s="20" t="n"/>
      <c r="V400" s="20" t="n"/>
      <c r="W400" s="20" t="n"/>
      <c r="X400">
        <f>IF($A400="","",$A400&amp;"|"&amp;$C400&amp;"|"&amp;$I400)</f>
        <v/>
      </c>
      <c r="Y400">
        <f>IF(AND($A400=RELATORIO_MEDICAO!$C$5,$C400=RELATORIO_MEDICAO!$F$5,$A400&lt;&gt;""),COUNTIFS($A$3:$A400,RELATORIO_MEDICAO!$C$5,$C$3:$C400,RELATORIO_MEDICAO!$F$5),"")</f>
        <v/>
      </c>
      <c r="Z400">
        <f>IF(OR($A400="",PESQUISA!$C$4=""),0,IF(OR(ISNUMBER(SEARCH(PESQUISA!$C$4,$G400)),ISNUMBER(SEARCH(PESQUISA!$C$4,$K400)),ISNUMBER(SEARCH(PESQUISA!$C$4,$L400))),1,0))</f>
        <v/>
      </c>
      <c r="AA400">
        <f>IF($Z400=1,SUM($Z$3:$Z400),"")</f>
        <v/>
      </c>
      <c r="AB400">
        <f>IF(OR($A400="",PESQUISA!$C$50=""),0,IF(ISNUMBER(SEARCH(PESQUISA!$C$50,$I400)),1,0))</f>
        <v/>
      </c>
      <c r="AC400">
        <f>IF($AB400=1,SUM($AB$3:$AB400),"")</f>
        <v/>
      </c>
    </row>
    <row r="401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>
        <f>IFERROR(INDEX(CONFIGURACOES!$G$37:$G$300,MATCH($I401,CONFIGURACOES!$B$37:$B$300,0)),"")</f>
        <v/>
      </c>
      <c r="K401" s="20">
        <f>IFERROR(INDEX(CONFIGURACOES!$H$37:$H$300,MATCH($I401,CONFIGURACOES!$B$37:$B$300,0)),"")</f>
        <v/>
      </c>
      <c r="L401" s="20" t="n"/>
      <c r="M401" s="20">
        <f>IFERROR(INDEX(CONFIGURACOES!$I$37:$I$300,MATCH($I401,CONFIGURACOES!$B$37:$B$300,0)),"")</f>
        <v/>
      </c>
      <c r="N401" s="21" t="n"/>
      <c r="O401" s="21" t="n"/>
      <c r="P401" s="21" t="n"/>
      <c r="Q401" s="21" t="n"/>
      <c r="R401" s="21">
        <f>IF($N401="","",$N401*IF($Q401="",1,$Q401)*IF($P401="",1,$P401)*IF($O401="",1,$O401))</f>
        <v/>
      </c>
      <c r="S401" s="22">
        <f>IFERROR(INDEX(CONFIGURACOES!$J$37:$J$300,MATCH($I401,CONFIGURACOES!$B$37:$B$300,0)),"")</f>
        <v/>
      </c>
      <c r="T401" s="22">
        <f>IF(OR($R401="",$S401=""),"",$R401*$S401)</f>
        <v/>
      </c>
      <c r="U401" s="20" t="n"/>
      <c r="V401" s="20" t="n"/>
      <c r="W401" s="20" t="n"/>
      <c r="X401">
        <f>IF($A401="","",$A401&amp;"|"&amp;$C401&amp;"|"&amp;$I401)</f>
        <v/>
      </c>
      <c r="Y401">
        <f>IF(AND($A401=RELATORIO_MEDICAO!$C$5,$C401=RELATORIO_MEDICAO!$F$5,$A401&lt;&gt;""),COUNTIFS($A$3:$A401,RELATORIO_MEDICAO!$C$5,$C$3:$C401,RELATORIO_MEDICAO!$F$5),"")</f>
        <v/>
      </c>
      <c r="Z401">
        <f>IF(OR($A401="",PESQUISA!$C$4=""),0,IF(OR(ISNUMBER(SEARCH(PESQUISA!$C$4,$G401)),ISNUMBER(SEARCH(PESQUISA!$C$4,$K401)),ISNUMBER(SEARCH(PESQUISA!$C$4,$L401))),1,0))</f>
        <v/>
      </c>
      <c r="AA401">
        <f>IF($Z401=1,SUM($Z$3:$Z401),"")</f>
        <v/>
      </c>
      <c r="AB401">
        <f>IF(OR($A401="",PESQUISA!$C$50=""),0,IF(ISNUMBER(SEARCH(PESQUISA!$C$50,$I401)),1,0))</f>
        <v/>
      </c>
      <c r="AC401">
        <f>IF($AB401=1,SUM($AB$3:$AB401),"")</f>
        <v/>
      </c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>
        <f>IFERROR(INDEX(CONFIGURACOES!$G$37:$G$300,MATCH($I402,CONFIGURACOES!$B$37:$B$300,0)),"")</f>
        <v/>
      </c>
      <c r="K402" s="20">
        <f>IFERROR(INDEX(CONFIGURACOES!$H$37:$H$300,MATCH($I402,CONFIGURACOES!$B$37:$B$300,0)),"")</f>
        <v/>
      </c>
      <c r="L402" s="20" t="n"/>
      <c r="M402" s="20">
        <f>IFERROR(INDEX(CONFIGURACOES!$I$37:$I$300,MATCH($I402,CONFIGURACOES!$B$37:$B$300,0)),"")</f>
        <v/>
      </c>
      <c r="N402" s="21" t="n"/>
      <c r="O402" s="21" t="n"/>
      <c r="P402" s="21" t="n"/>
      <c r="Q402" s="21" t="n"/>
      <c r="R402" s="21">
        <f>IF($N402="","",$N402*IF($Q402="",1,$Q402)*IF($P402="",1,$P402)*IF($O402="",1,$O402))</f>
        <v/>
      </c>
      <c r="S402" s="22">
        <f>IFERROR(INDEX(CONFIGURACOES!$J$37:$J$300,MATCH($I402,CONFIGURACOES!$B$37:$B$300,0)),"")</f>
        <v/>
      </c>
      <c r="T402" s="22">
        <f>IF(OR($R402="",$S402=""),"",$R402*$S402)</f>
        <v/>
      </c>
      <c r="U402" s="20" t="n"/>
      <c r="V402" s="20" t="n"/>
      <c r="W402" s="20" t="n"/>
      <c r="X402">
        <f>IF($A402="","",$A402&amp;"|"&amp;$C402&amp;"|"&amp;$I402)</f>
        <v/>
      </c>
      <c r="Y402">
        <f>IF(AND($A402=RELATORIO_MEDICAO!$C$5,$C402=RELATORIO_MEDICAO!$F$5,$A402&lt;&gt;""),COUNTIFS($A$3:$A402,RELATORIO_MEDICAO!$C$5,$C$3:$C402,RELATORIO_MEDICAO!$F$5),"")</f>
        <v/>
      </c>
      <c r="Z402">
        <f>IF(OR($A402="",PESQUISA!$C$4=""),0,IF(OR(ISNUMBER(SEARCH(PESQUISA!$C$4,$G402)),ISNUMBER(SEARCH(PESQUISA!$C$4,$K402)),ISNUMBER(SEARCH(PESQUISA!$C$4,$L402))),1,0))</f>
        <v/>
      </c>
      <c r="AA402">
        <f>IF($Z402=1,SUM($Z$3:$Z402),"")</f>
        <v/>
      </c>
      <c r="AB402">
        <f>IF(OR($A402="",PESQUISA!$C$50=""),0,IF(ISNUMBER(SEARCH(PESQUISA!$C$50,$I402)),1,0))</f>
        <v/>
      </c>
      <c r="AC402">
        <f>IF($AB402=1,SUM($AB$3:$AB402),"")</f>
        <v/>
      </c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>
        <f>IFERROR(INDEX(CONFIGURACOES!$G$37:$G$300,MATCH($I403,CONFIGURACOES!$B$37:$B$300,0)),"")</f>
        <v/>
      </c>
      <c r="K403" s="20">
        <f>IFERROR(INDEX(CONFIGURACOES!$H$37:$H$300,MATCH($I403,CONFIGURACOES!$B$37:$B$300,0)),"")</f>
        <v/>
      </c>
      <c r="L403" s="20" t="n"/>
      <c r="M403" s="20">
        <f>IFERROR(INDEX(CONFIGURACOES!$I$37:$I$300,MATCH($I403,CONFIGURACOES!$B$37:$B$300,0)),"")</f>
        <v/>
      </c>
      <c r="N403" s="21" t="n"/>
      <c r="O403" s="21" t="n"/>
      <c r="P403" s="21" t="n"/>
      <c r="Q403" s="21" t="n"/>
      <c r="R403" s="21">
        <f>IF($N403="","",$N403*IF($Q403="",1,$Q403)*IF($P403="",1,$P403)*IF($O403="",1,$O403))</f>
        <v/>
      </c>
      <c r="S403" s="22">
        <f>IFERROR(INDEX(CONFIGURACOES!$J$37:$J$300,MATCH($I403,CONFIGURACOES!$B$37:$B$300,0)),"")</f>
        <v/>
      </c>
      <c r="T403" s="22">
        <f>IF(OR($R403="",$S403=""),"",$R403*$S403)</f>
        <v/>
      </c>
      <c r="U403" s="20" t="n"/>
      <c r="V403" s="20" t="n"/>
      <c r="W403" s="20" t="n"/>
      <c r="X403">
        <f>IF($A403="","",$A403&amp;"|"&amp;$C403&amp;"|"&amp;$I403)</f>
        <v/>
      </c>
      <c r="Y403">
        <f>IF(AND($A403=RELATORIO_MEDICAO!$C$5,$C403=RELATORIO_MEDICAO!$F$5,$A403&lt;&gt;""),COUNTIFS($A$3:$A403,RELATORIO_MEDICAO!$C$5,$C$3:$C403,RELATORIO_MEDICAO!$F$5),"")</f>
        <v/>
      </c>
      <c r="Z403">
        <f>IF(OR($A403="",PESQUISA!$C$4=""),0,IF(OR(ISNUMBER(SEARCH(PESQUISA!$C$4,$G403)),ISNUMBER(SEARCH(PESQUISA!$C$4,$K403)),ISNUMBER(SEARCH(PESQUISA!$C$4,$L403))),1,0))</f>
        <v/>
      </c>
      <c r="AA403">
        <f>IF($Z403=1,SUM($Z$3:$Z403),"")</f>
        <v/>
      </c>
      <c r="AB403">
        <f>IF(OR($A403="",PESQUISA!$C$50=""),0,IF(ISNUMBER(SEARCH(PESQUISA!$C$50,$I403)),1,0))</f>
        <v/>
      </c>
      <c r="AC403">
        <f>IF($AB403=1,SUM($AB$3:$AB403),"")</f>
        <v/>
      </c>
    </row>
    <row r="404">
      <c r="A404" s="20" t="n"/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>
        <f>IFERROR(INDEX(CONFIGURACOES!$G$37:$G$300,MATCH($I404,CONFIGURACOES!$B$37:$B$300,0)),"")</f>
        <v/>
      </c>
      <c r="K404" s="20">
        <f>IFERROR(INDEX(CONFIGURACOES!$H$37:$H$300,MATCH($I404,CONFIGURACOES!$B$37:$B$300,0)),"")</f>
        <v/>
      </c>
      <c r="L404" s="20" t="n"/>
      <c r="M404" s="20">
        <f>IFERROR(INDEX(CONFIGURACOES!$I$37:$I$300,MATCH($I404,CONFIGURACOES!$B$37:$B$300,0)),"")</f>
        <v/>
      </c>
      <c r="N404" s="21" t="n"/>
      <c r="O404" s="21" t="n"/>
      <c r="P404" s="21" t="n"/>
      <c r="Q404" s="21" t="n"/>
      <c r="R404" s="21">
        <f>IF($N404="","",$N404*IF($Q404="",1,$Q404)*IF($P404="",1,$P404)*IF($O404="",1,$O404))</f>
        <v/>
      </c>
      <c r="S404" s="22">
        <f>IFERROR(INDEX(CONFIGURACOES!$J$37:$J$300,MATCH($I404,CONFIGURACOES!$B$37:$B$300,0)),"")</f>
        <v/>
      </c>
      <c r="T404" s="22">
        <f>IF(OR($R404="",$S404=""),"",$R404*$S404)</f>
        <v/>
      </c>
      <c r="U404" s="20" t="n"/>
      <c r="V404" s="20" t="n"/>
      <c r="W404" s="20" t="n"/>
      <c r="X404">
        <f>IF($A404="","",$A404&amp;"|"&amp;$C404&amp;"|"&amp;$I404)</f>
        <v/>
      </c>
      <c r="Y404">
        <f>IF(AND($A404=RELATORIO_MEDICAO!$C$5,$C404=RELATORIO_MEDICAO!$F$5,$A404&lt;&gt;""),COUNTIFS($A$3:$A404,RELATORIO_MEDICAO!$C$5,$C$3:$C404,RELATORIO_MEDICAO!$F$5),"")</f>
        <v/>
      </c>
      <c r="Z404">
        <f>IF(OR($A404="",PESQUISA!$C$4=""),0,IF(OR(ISNUMBER(SEARCH(PESQUISA!$C$4,$G404)),ISNUMBER(SEARCH(PESQUISA!$C$4,$K404)),ISNUMBER(SEARCH(PESQUISA!$C$4,$L404))),1,0))</f>
        <v/>
      </c>
      <c r="AA404">
        <f>IF($Z404=1,SUM($Z$3:$Z404),"")</f>
        <v/>
      </c>
      <c r="AB404">
        <f>IF(OR($A404="",PESQUISA!$C$50=""),0,IF(ISNUMBER(SEARCH(PESQUISA!$C$50,$I404)),1,0))</f>
        <v/>
      </c>
      <c r="AC404">
        <f>IF($AB404=1,SUM($AB$3:$AB404),"")</f>
        <v/>
      </c>
    </row>
    <row r="405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>
        <f>IFERROR(INDEX(CONFIGURACOES!$G$37:$G$300,MATCH($I405,CONFIGURACOES!$B$37:$B$300,0)),"")</f>
        <v/>
      </c>
      <c r="K405" s="20">
        <f>IFERROR(INDEX(CONFIGURACOES!$H$37:$H$300,MATCH($I405,CONFIGURACOES!$B$37:$B$300,0)),"")</f>
        <v/>
      </c>
      <c r="L405" s="20" t="n"/>
      <c r="M405" s="20">
        <f>IFERROR(INDEX(CONFIGURACOES!$I$37:$I$300,MATCH($I405,CONFIGURACOES!$B$37:$B$300,0)),"")</f>
        <v/>
      </c>
      <c r="N405" s="21" t="n"/>
      <c r="O405" s="21" t="n"/>
      <c r="P405" s="21" t="n"/>
      <c r="Q405" s="21" t="n"/>
      <c r="R405" s="21">
        <f>IF($N405="","",$N405*IF($Q405="",1,$Q405)*IF($P405="",1,$P405)*IF($O405="",1,$O405))</f>
        <v/>
      </c>
      <c r="S405" s="22">
        <f>IFERROR(INDEX(CONFIGURACOES!$J$37:$J$300,MATCH($I405,CONFIGURACOES!$B$37:$B$300,0)),"")</f>
        <v/>
      </c>
      <c r="T405" s="22">
        <f>IF(OR($R405="",$S405=""),"",$R405*$S405)</f>
        <v/>
      </c>
      <c r="U405" s="20" t="n"/>
      <c r="V405" s="20" t="n"/>
      <c r="W405" s="20" t="n"/>
      <c r="X405">
        <f>IF($A405="","",$A405&amp;"|"&amp;$C405&amp;"|"&amp;$I405)</f>
        <v/>
      </c>
      <c r="Y405">
        <f>IF(AND($A405=RELATORIO_MEDICAO!$C$5,$C405=RELATORIO_MEDICAO!$F$5,$A405&lt;&gt;""),COUNTIFS($A$3:$A405,RELATORIO_MEDICAO!$C$5,$C$3:$C405,RELATORIO_MEDICAO!$F$5),"")</f>
        <v/>
      </c>
      <c r="Z405">
        <f>IF(OR($A405="",PESQUISA!$C$4=""),0,IF(OR(ISNUMBER(SEARCH(PESQUISA!$C$4,$G405)),ISNUMBER(SEARCH(PESQUISA!$C$4,$K405)),ISNUMBER(SEARCH(PESQUISA!$C$4,$L405))),1,0))</f>
        <v/>
      </c>
      <c r="AA405">
        <f>IF($Z405=1,SUM($Z$3:$Z405),"")</f>
        <v/>
      </c>
      <c r="AB405">
        <f>IF(OR($A405="",PESQUISA!$C$50=""),0,IF(ISNUMBER(SEARCH(PESQUISA!$C$50,$I405)),1,0))</f>
        <v/>
      </c>
      <c r="AC405">
        <f>IF($AB405=1,SUM($AB$3:$AB405),"")</f>
        <v/>
      </c>
    </row>
    <row r="406">
      <c r="A406" s="20" t="n"/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>
        <f>IFERROR(INDEX(CONFIGURACOES!$G$37:$G$300,MATCH($I406,CONFIGURACOES!$B$37:$B$300,0)),"")</f>
        <v/>
      </c>
      <c r="K406" s="20">
        <f>IFERROR(INDEX(CONFIGURACOES!$H$37:$H$300,MATCH($I406,CONFIGURACOES!$B$37:$B$300,0)),"")</f>
        <v/>
      </c>
      <c r="L406" s="20" t="n"/>
      <c r="M406" s="20">
        <f>IFERROR(INDEX(CONFIGURACOES!$I$37:$I$300,MATCH($I406,CONFIGURACOES!$B$37:$B$300,0)),"")</f>
        <v/>
      </c>
      <c r="N406" s="21" t="n"/>
      <c r="O406" s="21" t="n"/>
      <c r="P406" s="21" t="n"/>
      <c r="Q406" s="21" t="n"/>
      <c r="R406" s="21">
        <f>IF($N406="","",$N406*IF($Q406="",1,$Q406)*IF($P406="",1,$P406)*IF($O406="",1,$O406))</f>
        <v/>
      </c>
      <c r="S406" s="22">
        <f>IFERROR(INDEX(CONFIGURACOES!$J$37:$J$300,MATCH($I406,CONFIGURACOES!$B$37:$B$300,0)),"")</f>
        <v/>
      </c>
      <c r="T406" s="22">
        <f>IF(OR($R406="",$S406=""),"",$R406*$S406)</f>
        <v/>
      </c>
      <c r="U406" s="20" t="n"/>
      <c r="V406" s="20" t="n"/>
      <c r="W406" s="20" t="n"/>
      <c r="X406">
        <f>IF($A406="","",$A406&amp;"|"&amp;$C406&amp;"|"&amp;$I406)</f>
        <v/>
      </c>
      <c r="Y406">
        <f>IF(AND($A406=RELATORIO_MEDICAO!$C$5,$C406=RELATORIO_MEDICAO!$F$5,$A406&lt;&gt;""),COUNTIFS($A$3:$A406,RELATORIO_MEDICAO!$C$5,$C$3:$C406,RELATORIO_MEDICAO!$F$5),"")</f>
        <v/>
      </c>
      <c r="Z406">
        <f>IF(OR($A406="",PESQUISA!$C$4=""),0,IF(OR(ISNUMBER(SEARCH(PESQUISA!$C$4,$G406)),ISNUMBER(SEARCH(PESQUISA!$C$4,$K406)),ISNUMBER(SEARCH(PESQUISA!$C$4,$L406))),1,0))</f>
        <v/>
      </c>
      <c r="AA406">
        <f>IF($Z406=1,SUM($Z$3:$Z406),"")</f>
        <v/>
      </c>
      <c r="AB406">
        <f>IF(OR($A406="",PESQUISA!$C$50=""),0,IF(ISNUMBER(SEARCH(PESQUISA!$C$50,$I406)),1,0))</f>
        <v/>
      </c>
      <c r="AC406">
        <f>IF($AB406=1,SUM($AB$3:$AB406),"")</f>
        <v/>
      </c>
    </row>
    <row r="407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>
        <f>IFERROR(INDEX(CONFIGURACOES!$G$37:$G$300,MATCH($I407,CONFIGURACOES!$B$37:$B$300,0)),"")</f>
        <v/>
      </c>
      <c r="K407" s="20">
        <f>IFERROR(INDEX(CONFIGURACOES!$H$37:$H$300,MATCH($I407,CONFIGURACOES!$B$37:$B$300,0)),"")</f>
        <v/>
      </c>
      <c r="L407" s="20" t="n"/>
      <c r="M407" s="20">
        <f>IFERROR(INDEX(CONFIGURACOES!$I$37:$I$300,MATCH($I407,CONFIGURACOES!$B$37:$B$300,0)),"")</f>
        <v/>
      </c>
      <c r="N407" s="21" t="n"/>
      <c r="O407" s="21" t="n"/>
      <c r="P407" s="21" t="n"/>
      <c r="Q407" s="21" t="n"/>
      <c r="R407" s="21">
        <f>IF($N407="","",$N407*IF($Q407="",1,$Q407)*IF($P407="",1,$P407)*IF($O407="",1,$O407))</f>
        <v/>
      </c>
      <c r="S407" s="22">
        <f>IFERROR(INDEX(CONFIGURACOES!$J$37:$J$300,MATCH($I407,CONFIGURACOES!$B$37:$B$300,0)),"")</f>
        <v/>
      </c>
      <c r="T407" s="22">
        <f>IF(OR($R407="",$S407=""),"",$R407*$S407)</f>
        <v/>
      </c>
      <c r="U407" s="20" t="n"/>
      <c r="V407" s="20" t="n"/>
      <c r="W407" s="20" t="n"/>
      <c r="X407">
        <f>IF($A407="","",$A407&amp;"|"&amp;$C407&amp;"|"&amp;$I407)</f>
        <v/>
      </c>
      <c r="Y407">
        <f>IF(AND($A407=RELATORIO_MEDICAO!$C$5,$C407=RELATORIO_MEDICAO!$F$5,$A407&lt;&gt;""),COUNTIFS($A$3:$A407,RELATORIO_MEDICAO!$C$5,$C$3:$C407,RELATORIO_MEDICAO!$F$5),"")</f>
        <v/>
      </c>
      <c r="Z407">
        <f>IF(OR($A407="",PESQUISA!$C$4=""),0,IF(OR(ISNUMBER(SEARCH(PESQUISA!$C$4,$G407)),ISNUMBER(SEARCH(PESQUISA!$C$4,$K407)),ISNUMBER(SEARCH(PESQUISA!$C$4,$L407))),1,0))</f>
        <v/>
      </c>
      <c r="AA407">
        <f>IF($Z407=1,SUM($Z$3:$Z407),"")</f>
        <v/>
      </c>
      <c r="AB407">
        <f>IF(OR($A407="",PESQUISA!$C$50=""),0,IF(ISNUMBER(SEARCH(PESQUISA!$C$50,$I407)),1,0))</f>
        <v/>
      </c>
      <c r="AC407">
        <f>IF($AB407=1,SUM($AB$3:$AB407),"")</f>
        <v/>
      </c>
    </row>
    <row r="408">
      <c r="A408" s="20" t="n"/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>
        <f>IFERROR(INDEX(CONFIGURACOES!$G$37:$G$300,MATCH($I408,CONFIGURACOES!$B$37:$B$300,0)),"")</f>
        <v/>
      </c>
      <c r="K408" s="20">
        <f>IFERROR(INDEX(CONFIGURACOES!$H$37:$H$300,MATCH($I408,CONFIGURACOES!$B$37:$B$300,0)),"")</f>
        <v/>
      </c>
      <c r="L408" s="20" t="n"/>
      <c r="M408" s="20">
        <f>IFERROR(INDEX(CONFIGURACOES!$I$37:$I$300,MATCH($I408,CONFIGURACOES!$B$37:$B$300,0)),"")</f>
        <v/>
      </c>
      <c r="N408" s="21" t="n"/>
      <c r="O408" s="21" t="n"/>
      <c r="P408" s="21" t="n"/>
      <c r="Q408" s="21" t="n"/>
      <c r="R408" s="21">
        <f>IF($N408="","",$N408*IF($Q408="",1,$Q408)*IF($P408="",1,$P408)*IF($O408="",1,$O408))</f>
        <v/>
      </c>
      <c r="S408" s="22">
        <f>IFERROR(INDEX(CONFIGURACOES!$J$37:$J$300,MATCH($I408,CONFIGURACOES!$B$37:$B$300,0)),"")</f>
        <v/>
      </c>
      <c r="T408" s="22">
        <f>IF(OR($R408="",$S408=""),"",$R408*$S408)</f>
        <v/>
      </c>
      <c r="U408" s="20" t="n"/>
      <c r="V408" s="20" t="n"/>
      <c r="W408" s="20" t="n"/>
      <c r="X408">
        <f>IF($A408="","",$A408&amp;"|"&amp;$C408&amp;"|"&amp;$I408)</f>
        <v/>
      </c>
      <c r="Y408">
        <f>IF(AND($A408=RELATORIO_MEDICAO!$C$5,$C408=RELATORIO_MEDICAO!$F$5,$A408&lt;&gt;""),COUNTIFS($A$3:$A408,RELATORIO_MEDICAO!$C$5,$C$3:$C408,RELATORIO_MEDICAO!$F$5),"")</f>
        <v/>
      </c>
      <c r="Z408">
        <f>IF(OR($A408="",PESQUISA!$C$4=""),0,IF(OR(ISNUMBER(SEARCH(PESQUISA!$C$4,$G408)),ISNUMBER(SEARCH(PESQUISA!$C$4,$K408)),ISNUMBER(SEARCH(PESQUISA!$C$4,$L408))),1,0))</f>
        <v/>
      </c>
      <c r="AA408">
        <f>IF($Z408=1,SUM($Z$3:$Z408),"")</f>
        <v/>
      </c>
      <c r="AB408">
        <f>IF(OR($A408="",PESQUISA!$C$50=""),0,IF(ISNUMBER(SEARCH(PESQUISA!$C$50,$I408)),1,0))</f>
        <v/>
      </c>
      <c r="AC408">
        <f>IF($AB408=1,SUM($AB$3:$AB408),"")</f>
        <v/>
      </c>
    </row>
    <row r="409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>
        <f>IFERROR(INDEX(CONFIGURACOES!$G$37:$G$300,MATCH($I409,CONFIGURACOES!$B$37:$B$300,0)),"")</f>
        <v/>
      </c>
      <c r="K409" s="20">
        <f>IFERROR(INDEX(CONFIGURACOES!$H$37:$H$300,MATCH($I409,CONFIGURACOES!$B$37:$B$300,0)),"")</f>
        <v/>
      </c>
      <c r="L409" s="20" t="n"/>
      <c r="M409" s="20">
        <f>IFERROR(INDEX(CONFIGURACOES!$I$37:$I$300,MATCH($I409,CONFIGURACOES!$B$37:$B$300,0)),"")</f>
        <v/>
      </c>
      <c r="N409" s="21" t="n"/>
      <c r="O409" s="21" t="n"/>
      <c r="P409" s="21" t="n"/>
      <c r="Q409" s="21" t="n"/>
      <c r="R409" s="21">
        <f>IF($N409="","",$N409*IF($Q409="",1,$Q409)*IF($P409="",1,$P409)*IF($O409="",1,$O409))</f>
        <v/>
      </c>
      <c r="S409" s="22">
        <f>IFERROR(INDEX(CONFIGURACOES!$J$37:$J$300,MATCH($I409,CONFIGURACOES!$B$37:$B$300,0)),"")</f>
        <v/>
      </c>
      <c r="T409" s="22">
        <f>IF(OR($R409="",$S409=""),"",$R409*$S409)</f>
        <v/>
      </c>
      <c r="U409" s="20" t="n"/>
      <c r="V409" s="20" t="n"/>
      <c r="W409" s="20" t="n"/>
      <c r="X409">
        <f>IF($A409="","",$A409&amp;"|"&amp;$C409&amp;"|"&amp;$I409)</f>
        <v/>
      </c>
      <c r="Y409">
        <f>IF(AND($A409=RELATORIO_MEDICAO!$C$5,$C409=RELATORIO_MEDICAO!$F$5,$A409&lt;&gt;""),COUNTIFS($A$3:$A409,RELATORIO_MEDICAO!$C$5,$C$3:$C409,RELATORIO_MEDICAO!$F$5),"")</f>
        <v/>
      </c>
      <c r="Z409">
        <f>IF(OR($A409="",PESQUISA!$C$4=""),0,IF(OR(ISNUMBER(SEARCH(PESQUISA!$C$4,$G409)),ISNUMBER(SEARCH(PESQUISA!$C$4,$K409)),ISNUMBER(SEARCH(PESQUISA!$C$4,$L409))),1,0))</f>
        <v/>
      </c>
      <c r="AA409">
        <f>IF($Z409=1,SUM($Z$3:$Z409),"")</f>
        <v/>
      </c>
      <c r="AB409">
        <f>IF(OR($A409="",PESQUISA!$C$50=""),0,IF(ISNUMBER(SEARCH(PESQUISA!$C$50,$I409)),1,0))</f>
        <v/>
      </c>
      <c r="AC409">
        <f>IF($AB409=1,SUM($AB$3:$AB409),"")</f>
        <v/>
      </c>
    </row>
    <row r="410">
      <c r="A410" s="20" t="n"/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>
        <f>IFERROR(INDEX(CONFIGURACOES!$G$37:$G$300,MATCH($I410,CONFIGURACOES!$B$37:$B$300,0)),"")</f>
        <v/>
      </c>
      <c r="K410" s="20">
        <f>IFERROR(INDEX(CONFIGURACOES!$H$37:$H$300,MATCH($I410,CONFIGURACOES!$B$37:$B$300,0)),"")</f>
        <v/>
      </c>
      <c r="L410" s="20" t="n"/>
      <c r="M410" s="20">
        <f>IFERROR(INDEX(CONFIGURACOES!$I$37:$I$300,MATCH($I410,CONFIGURACOES!$B$37:$B$300,0)),"")</f>
        <v/>
      </c>
      <c r="N410" s="21" t="n"/>
      <c r="O410" s="21" t="n"/>
      <c r="P410" s="21" t="n"/>
      <c r="Q410" s="21" t="n"/>
      <c r="R410" s="21">
        <f>IF($N410="","",$N410*IF($Q410="",1,$Q410)*IF($P410="",1,$P410)*IF($O410="",1,$O410))</f>
        <v/>
      </c>
      <c r="S410" s="22">
        <f>IFERROR(INDEX(CONFIGURACOES!$J$37:$J$300,MATCH($I410,CONFIGURACOES!$B$37:$B$300,0)),"")</f>
        <v/>
      </c>
      <c r="T410" s="22">
        <f>IF(OR($R410="",$S410=""),"",$R410*$S410)</f>
        <v/>
      </c>
      <c r="U410" s="20" t="n"/>
      <c r="V410" s="20" t="n"/>
      <c r="W410" s="20" t="n"/>
      <c r="X410">
        <f>IF($A410="","",$A410&amp;"|"&amp;$C410&amp;"|"&amp;$I410)</f>
        <v/>
      </c>
      <c r="Y410">
        <f>IF(AND($A410=RELATORIO_MEDICAO!$C$5,$C410=RELATORIO_MEDICAO!$F$5,$A410&lt;&gt;""),COUNTIFS($A$3:$A410,RELATORIO_MEDICAO!$C$5,$C$3:$C410,RELATORIO_MEDICAO!$F$5),"")</f>
        <v/>
      </c>
      <c r="Z410">
        <f>IF(OR($A410="",PESQUISA!$C$4=""),0,IF(OR(ISNUMBER(SEARCH(PESQUISA!$C$4,$G410)),ISNUMBER(SEARCH(PESQUISA!$C$4,$K410)),ISNUMBER(SEARCH(PESQUISA!$C$4,$L410))),1,0))</f>
        <v/>
      </c>
      <c r="AA410">
        <f>IF($Z410=1,SUM($Z$3:$Z410),"")</f>
        <v/>
      </c>
      <c r="AB410">
        <f>IF(OR($A410="",PESQUISA!$C$50=""),0,IF(ISNUMBER(SEARCH(PESQUISA!$C$50,$I410)),1,0))</f>
        <v/>
      </c>
      <c r="AC410">
        <f>IF($AB410=1,SUM($AB$3:$AB410),"")</f>
        <v/>
      </c>
    </row>
    <row r="411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>
        <f>IFERROR(INDEX(CONFIGURACOES!$G$37:$G$300,MATCH($I411,CONFIGURACOES!$B$37:$B$300,0)),"")</f>
        <v/>
      </c>
      <c r="K411" s="20">
        <f>IFERROR(INDEX(CONFIGURACOES!$H$37:$H$300,MATCH($I411,CONFIGURACOES!$B$37:$B$300,0)),"")</f>
        <v/>
      </c>
      <c r="L411" s="20" t="n"/>
      <c r="M411" s="20">
        <f>IFERROR(INDEX(CONFIGURACOES!$I$37:$I$300,MATCH($I411,CONFIGURACOES!$B$37:$B$300,0)),"")</f>
        <v/>
      </c>
      <c r="N411" s="21" t="n"/>
      <c r="O411" s="21" t="n"/>
      <c r="P411" s="21" t="n"/>
      <c r="Q411" s="21" t="n"/>
      <c r="R411" s="21">
        <f>IF($N411="","",$N411*IF($Q411="",1,$Q411)*IF($P411="",1,$P411)*IF($O411="",1,$O411))</f>
        <v/>
      </c>
      <c r="S411" s="22">
        <f>IFERROR(INDEX(CONFIGURACOES!$J$37:$J$300,MATCH($I411,CONFIGURACOES!$B$37:$B$300,0)),"")</f>
        <v/>
      </c>
      <c r="T411" s="22">
        <f>IF(OR($R411="",$S411=""),"",$R411*$S411)</f>
        <v/>
      </c>
      <c r="U411" s="20" t="n"/>
      <c r="V411" s="20" t="n"/>
      <c r="W411" s="20" t="n"/>
      <c r="X411">
        <f>IF($A411="","",$A411&amp;"|"&amp;$C411&amp;"|"&amp;$I411)</f>
        <v/>
      </c>
      <c r="Y411">
        <f>IF(AND($A411=RELATORIO_MEDICAO!$C$5,$C411=RELATORIO_MEDICAO!$F$5,$A411&lt;&gt;""),COUNTIFS($A$3:$A411,RELATORIO_MEDICAO!$C$5,$C$3:$C411,RELATORIO_MEDICAO!$F$5),"")</f>
        <v/>
      </c>
      <c r="Z411">
        <f>IF(OR($A411="",PESQUISA!$C$4=""),0,IF(OR(ISNUMBER(SEARCH(PESQUISA!$C$4,$G411)),ISNUMBER(SEARCH(PESQUISA!$C$4,$K411)),ISNUMBER(SEARCH(PESQUISA!$C$4,$L411))),1,0))</f>
        <v/>
      </c>
      <c r="AA411">
        <f>IF($Z411=1,SUM($Z$3:$Z411),"")</f>
        <v/>
      </c>
      <c r="AB411">
        <f>IF(OR($A411="",PESQUISA!$C$50=""),0,IF(ISNUMBER(SEARCH(PESQUISA!$C$50,$I411)),1,0))</f>
        <v/>
      </c>
      <c r="AC411">
        <f>IF($AB411=1,SUM($AB$3:$AB411),"")</f>
        <v/>
      </c>
    </row>
    <row r="412">
      <c r="A412" s="20" t="n"/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>
        <f>IFERROR(INDEX(CONFIGURACOES!$G$37:$G$300,MATCH($I412,CONFIGURACOES!$B$37:$B$300,0)),"")</f>
        <v/>
      </c>
      <c r="K412" s="20">
        <f>IFERROR(INDEX(CONFIGURACOES!$H$37:$H$300,MATCH($I412,CONFIGURACOES!$B$37:$B$300,0)),"")</f>
        <v/>
      </c>
      <c r="L412" s="20" t="n"/>
      <c r="M412" s="20">
        <f>IFERROR(INDEX(CONFIGURACOES!$I$37:$I$300,MATCH($I412,CONFIGURACOES!$B$37:$B$300,0)),"")</f>
        <v/>
      </c>
      <c r="N412" s="21" t="n"/>
      <c r="O412" s="21" t="n"/>
      <c r="P412" s="21" t="n"/>
      <c r="Q412" s="21" t="n"/>
      <c r="R412" s="21">
        <f>IF($N412="","",$N412*IF($Q412="",1,$Q412)*IF($P412="",1,$P412)*IF($O412="",1,$O412))</f>
        <v/>
      </c>
      <c r="S412" s="22">
        <f>IFERROR(INDEX(CONFIGURACOES!$J$37:$J$300,MATCH($I412,CONFIGURACOES!$B$37:$B$300,0)),"")</f>
        <v/>
      </c>
      <c r="T412" s="22">
        <f>IF(OR($R412="",$S412=""),"",$R412*$S412)</f>
        <v/>
      </c>
      <c r="U412" s="20" t="n"/>
      <c r="V412" s="20" t="n"/>
      <c r="W412" s="20" t="n"/>
      <c r="X412">
        <f>IF($A412="","",$A412&amp;"|"&amp;$C412&amp;"|"&amp;$I412)</f>
        <v/>
      </c>
      <c r="Y412">
        <f>IF(AND($A412=RELATORIO_MEDICAO!$C$5,$C412=RELATORIO_MEDICAO!$F$5,$A412&lt;&gt;""),COUNTIFS($A$3:$A412,RELATORIO_MEDICAO!$C$5,$C$3:$C412,RELATORIO_MEDICAO!$F$5),"")</f>
        <v/>
      </c>
      <c r="Z412">
        <f>IF(OR($A412="",PESQUISA!$C$4=""),0,IF(OR(ISNUMBER(SEARCH(PESQUISA!$C$4,$G412)),ISNUMBER(SEARCH(PESQUISA!$C$4,$K412)),ISNUMBER(SEARCH(PESQUISA!$C$4,$L412))),1,0))</f>
        <v/>
      </c>
      <c r="AA412">
        <f>IF($Z412=1,SUM($Z$3:$Z412),"")</f>
        <v/>
      </c>
      <c r="AB412">
        <f>IF(OR($A412="",PESQUISA!$C$50=""),0,IF(ISNUMBER(SEARCH(PESQUISA!$C$50,$I412)),1,0))</f>
        <v/>
      </c>
      <c r="AC412">
        <f>IF($AB412=1,SUM($AB$3:$AB412),"")</f>
        <v/>
      </c>
    </row>
    <row r="413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>
        <f>IFERROR(INDEX(CONFIGURACOES!$G$37:$G$300,MATCH($I413,CONFIGURACOES!$B$37:$B$300,0)),"")</f>
        <v/>
      </c>
      <c r="K413" s="20">
        <f>IFERROR(INDEX(CONFIGURACOES!$H$37:$H$300,MATCH($I413,CONFIGURACOES!$B$37:$B$300,0)),"")</f>
        <v/>
      </c>
      <c r="L413" s="20" t="n"/>
      <c r="M413" s="20">
        <f>IFERROR(INDEX(CONFIGURACOES!$I$37:$I$300,MATCH($I413,CONFIGURACOES!$B$37:$B$300,0)),"")</f>
        <v/>
      </c>
      <c r="N413" s="21" t="n"/>
      <c r="O413" s="21" t="n"/>
      <c r="P413" s="21" t="n"/>
      <c r="Q413" s="21" t="n"/>
      <c r="R413" s="21">
        <f>IF($N413="","",$N413*IF($Q413="",1,$Q413)*IF($P413="",1,$P413)*IF($O413="",1,$O413))</f>
        <v/>
      </c>
      <c r="S413" s="22">
        <f>IFERROR(INDEX(CONFIGURACOES!$J$37:$J$300,MATCH($I413,CONFIGURACOES!$B$37:$B$300,0)),"")</f>
        <v/>
      </c>
      <c r="T413" s="22">
        <f>IF(OR($R413="",$S413=""),"",$R413*$S413)</f>
        <v/>
      </c>
      <c r="U413" s="20" t="n"/>
      <c r="V413" s="20" t="n"/>
      <c r="W413" s="20" t="n"/>
      <c r="X413">
        <f>IF($A413="","",$A413&amp;"|"&amp;$C413&amp;"|"&amp;$I413)</f>
        <v/>
      </c>
      <c r="Y413">
        <f>IF(AND($A413=RELATORIO_MEDICAO!$C$5,$C413=RELATORIO_MEDICAO!$F$5,$A413&lt;&gt;""),COUNTIFS($A$3:$A413,RELATORIO_MEDICAO!$C$5,$C$3:$C413,RELATORIO_MEDICAO!$F$5),"")</f>
        <v/>
      </c>
      <c r="Z413">
        <f>IF(OR($A413="",PESQUISA!$C$4=""),0,IF(OR(ISNUMBER(SEARCH(PESQUISA!$C$4,$G413)),ISNUMBER(SEARCH(PESQUISA!$C$4,$K413)),ISNUMBER(SEARCH(PESQUISA!$C$4,$L413))),1,0))</f>
        <v/>
      </c>
      <c r="AA413">
        <f>IF($Z413=1,SUM($Z$3:$Z413),"")</f>
        <v/>
      </c>
      <c r="AB413">
        <f>IF(OR($A413="",PESQUISA!$C$50=""),0,IF(ISNUMBER(SEARCH(PESQUISA!$C$50,$I413)),1,0))</f>
        <v/>
      </c>
      <c r="AC413">
        <f>IF($AB413=1,SUM($AB$3:$AB413),"")</f>
        <v/>
      </c>
    </row>
    <row r="414">
      <c r="A414" s="20" t="n"/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>
        <f>IFERROR(INDEX(CONFIGURACOES!$G$37:$G$300,MATCH($I414,CONFIGURACOES!$B$37:$B$300,0)),"")</f>
        <v/>
      </c>
      <c r="K414" s="20">
        <f>IFERROR(INDEX(CONFIGURACOES!$H$37:$H$300,MATCH($I414,CONFIGURACOES!$B$37:$B$300,0)),"")</f>
        <v/>
      </c>
      <c r="L414" s="20" t="n"/>
      <c r="M414" s="20">
        <f>IFERROR(INDEX(CONFIGURACOES!$I$37:$I$300,MATCH($I414,CONFIGURACOES!$B$37:$B$300,0)),"")</f>
        <v/>
      </c>
      <c r="N414" s="21" t="n"/>
      <c r="O414" s="21" t="n"/>
      <c r="P414" s="21" t="n"/>
      <c r="Q414" s="21" t="n"/>
      <c r="R414" s="21">
        <f>IF($N414="","",$N414*IF($Q414="",1,$Q414)*IF($P414="",1,$P414)*IF($O414="",1,$O414))</f>
        <v/>
      </c>
      <c r="S414" s="22">
        <f>IFERROR(INDEX(CONFIGURACOES!$J$37:$J$300,MATCH($I414,CONFIGURACOES!$B$37:$B$300,0)),"")</f>
        <v/>
      </c>
      <c r="T414" s="22">
        <f>IF(OR($R414="",$S414=""),"",$R414*$S414)</f>
        <v/>
      </c>
      <c r="U414" s="20" t="n"/>
      <c r="V414" s="20" t="n"/>
      <c r="W414" s="20" t="n"/>
      <c r="X414">
        <f>IF($A414="","",$A414&amp;"|"&amp;$C414&amp;"|"&amp;$I414)</f>
        <v/>
      </c>
      <c r="Y414">
        <f>IF(AND($A414=RELATORIO_MEDICAO!$C$5,$C414=RELATORIO_MEDICAO!$F$5,$A414&lt;&gt;""),COUNTIFS($A$3:$A414,RELATORIO_MEDICAO!$C$5,$C$3:$C414,RELATORIO_MEDICAO!$F$5),"")</f>
        <v/>
      </c>
      <c r="Z414">
        <f>IF(OR($A414="",PESQUISA!$C$4=""),0,IF(OR(ISNUMBER(SEARCH(PESQUISA!$C$4,$G414)),ISNUMBER(SEARCH(PESQUISA!$C$4,$K414)),ISNUMBER(SEARCH(PESQUISA!$C$4,$L414))),1,0))</f>
        <v/>
      </c>
      <c r="AA414">
        <f>IF($Z414=1,SUM($Z$3:$Z414),"")</f>
        <v/>
      </c>
      <c r="AB414">
        <f>IF(OR($A414="",PESQUISA!$C$50=""),0,IF(ISNUMBER(SEARCH(PESQUISA!$C$50,$I414)),1,0))</f>
        <v/>
      </c>
      <c r="AC414">
        <f>IF($AB414=1,SUM($AB$3:$AB414),"")</f>
        <v/>
      </c>
    </row>
    <row r="415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>
        <f>IFERROR(INDEX(CONFIGURACOES!$G$37:$G$300,MATCH($I415,CONFIGURACOES!$B$37:$B$300,0)),"")</f>
        <v/>
      </c>
      <c r="K415" s="20">
        <f>IFERROR(INDEX(CONFIGURACOES!$H$37:$H$300,MATCH($I415,CONFIGURACOES!$B$37:$B$300,0)),"")</f>
        <v/>
      </c>
      <c r="L415" s="20" t="n"/>
      <c r="M415" s="20">
        <f>IFERROR(INDEX(CONFIGURACOES!$I$37:$I$300,MATCH($I415,CONFIGURACOES!$B$37:$B$300,0)),"")</f>
        <v/>
      </c>
      <c r="N415" s="21" t="n"/>
      <c r="O415" s="21" t="n"/>
      <c r="P415" s="21" t="n"/>
      <c r="Q415" s="21" t="n"/>
      <c r="R415" s="21">
        <f>IF($N415="","",$N415*IF($Q415="",1,$Q415)*IF($P415="",1,$P415)*IF($O415="",1,$O415))</f>
        <v/>
      </c>
      <c r="S415" s="22">
        <f>IFERROR(INDEX(CONFIGURACOES!$J$37:$J$300,MATCH($I415,CONFIGURACOES!$B$37:$B$300,0)),"")</f>
        <v/>
      </c>
      <c r="T415" s="22">
        <f>IF(OR($R415="",$S415=""),"",$R415*$S415)</f>
        <v/>
      </c>
      <c r="U415" s="20" t="n"/>
      <c r="V415" s="20" t="n"/>
      <c r="W415" s="20" t="n"/>
      <c r="X415">
        <f>IF($A415="","",$A415&amp;"|"&amp;$C415&amp;"|"&amp;$I415)</f>
        <v/>
      </c>
      <c r="Y415">
        <f>IF(AND($A415=RELATORIO_MEDICAO!$C$5,$C415=RELATORIO_MEDICAO!$F$5,$A415&lt;&gt;""),COUNTIFS($A$3:$A415,RELATORIO_MEDICAO!$C$5,$C$3:$C415,RELATORIO_MEDICAO!$F$5),"")</f>
        <v/>
      </c>
      <c r="Z415">
        <f>IF(OR($A415="",PESQUISA!$C$4=""),0,IF(OR(ISNUMBER(SEARCH(PESQUISA!$C$4,$G415)),ISNUMBER(SEARCH(PESQUISA!$C$4,$K415)),ISNUMBER(SEARCH(PESQUISA!$C$4,$L415))),1,0))</f>
        <v/>
      </c>
      <c r="AA415">
        <f>IF($Z415=1,SUM($Z$3:$Z415),"")</f>
        <v/>
      </c>
      <c r="AB415">
        <f>IF(OR($A415="",PESQUISA!$C$50=""),0,IF(ISNUMBER(SEARCH(PESQUISA!$C$50,$I415)),1,0))</f>
        <v/>
      </c>
      <c r="AC415">
        <f>IF($AB415=1,SUM($AB$3:$AB415),"")</f>
        <v/>
      </c>
    </row>
    <row r="416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>
        <f>IFERROR(INDEX(CONFIGURACOES!$G$37:$G$300,MATCH($I416,CONFIGURACOES!$B$37:$B$300,0)),"")</f>
        <v/>
      </c>
      <c r="K416" s="20">
        <f>IFERROR(INDEX(CONFIGURACOES!$H$37:$H$300,MATCH($I416,CONFIGURACOES!$B$37:$B$300,0)),"")</f>
        <v/>
      </c>
      <c r="L416" s="20" t="n"/>
      <c r="M416" s="20">
        <f>IFERROR(INDEX(CONFIGURACOES!$I$37:$I$300,MATCH($I416,CONFIGURACOES!$B$37:$B$300,0)),"")</f>
        <v/>
      </c>
      <c r="N416" s="21" t="n"/>
      <c r="O416" s="21" t="n"/>
      <c r="P416" s="21" t="n"/>
      <c r="Q416" s="21" t="n"/>
      <c r="R416" s="21">
        <f>IF($N416="","",$N416*IF($Q416="",1,$Q416)*IF($P416="",1,$P416)*IF($O416="",1,$O416))</f>
        <v/>
      </c>
      <c r="S416" s="22">
        <f>IFERROR(INDEX(CONFIGURACOES!$J$37:$J$300,MATCH($I416,CONFIGURACOES!$B$37:$B$300,0)),"")</f>
        <v/>
      </c>
      <c r="T416" s="22">
        <f>IF(OR($R416="",$S416=""),"",$R416*$S416)</f>
        <v/>
      </c>
      <c r="U416" s="20" t="n"/>
      <c r="V416" s="20" t="n"/>
      <c r="W416" s="20" t="n"/>
      <c r="X416">
        <f>IF($A416="","",$A416&amp;"|"&amp;$C416&amp;"|"&amp;$I416)</f>
        <v/>
      </c>
      <c r="Y416">
        <f>IF(AND($A416=RELATORIO_MEDICAO!$C$5,$C416=RELATORIO_MEDICAO!$F$5,$A416&lt;&gt;""),COUNTIFS($A$3:$A416,RELATORIO_MEDICAO!$C$5,$C$3:$C416,RELATORIO_MEDICAO!$F$5),"")</f>
        <v/>
      </c>
      <c r="Z416">
        <f>IF(OR($A416="",PESQUISA!$C$4=""),0,IF(OR(ISNUMBER(SEARCH(PESQUISA!$C$4,$G416)),ISNUMBER(SEARCH(PESQUISA!$C$4,$K416)),ISNUMBER(SEARCH(PESQUISA!$C$4,$L416))),1,0))</f>
        <v/>
      </c>
      <c r="AA416">
        <f>IF($Z416=1,SUM($Z$3:$Z416),"")</f>
        <v/>
      </c>
      <c r="AB416">
        <f>IF(OR($A416="",PESQUISA!$C$50=""),0,IF(ISNUMBER(SEARCH(PESQUISA!$C$50,$I416)),1,0))</f>
        <v/>
      </c>
      <c r="AC416">
        <f>IF($AB416=1,SUM($AB$3:$AB416),"")</f>
        <v/>
      </c>
    </row>
    <row r="417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>
        <f>IFERROR(INDEX(CONFIGURACOES!$G$37:$G$300,MATCH($I417,CONFIGURACOES!$B$37:$B$300,0)),"")</f>
        <v/>
      </c>
      <c r="K417" s="20">
        <f>IFERROR(INDEX(CONFIGURACOES!$H$37:$H$300,MATCH($I417,CONFIGURACOES!$B$37:$B$300,0)),"")</f>
        <v/>
      </c>
      <c r="L417" s="20" t="n"/>
      <c r="M417" s="20">
        <f>IFERROR(INDEX(CONFIGURACOES!$I$37:$I$300,MATCH($I417,CONFIGURACOES!$B$37:$B$300,0)),"")</f>
        <v/>
      </c>
      <c r="N417" s="21" t="n"/>
      <c r="O417" s="21" t="n"/>
      <c r="P417" s="21" t="n"/>
      <c r="Q417" s="21" t="n"/>
      <c r="R417" s="21">
        <f>IF($N417="","",$N417*IF($Q417="",1,$Q417)*IF($P417="",1,$P417)*IF($O417="",1,$O417))</f>
        <v/>
      </c>
      <c r="S417" s="22">
        <f>IFERROR(INDEX(CONFIGURACOES!$J$37:$J$300,MATCH($I417,CONFIGURACOES!$B$37:$B$300,0)),"")</f>
        <v/>
      </c>
      <c r="T417" s="22">
        <f>IF(OR($R417="",$S417=""),"",$R417*$S417)</f>
        <v/>
      </c>
      <c r="U417" s="20" t="n"/>
      <c r="V417" s="20" t="n"/>
      <c r="W417" s="20" t="n"/>
      <c r="X417">
        <f>IF($A417="","",$A417&amp;"|"&amp;$C417&amp;"|"&amp;$I417)</f>
        <v/>
      </c>
      <c r="Y417">
        <f>IF(AND($A417=RELATORIO_MEDICAO!$C$5,$C417=RELATORIO_MEDICAO!$F$5,$A417&lt;&gt;""),COUNTIFS($A$3:$A417,RELATORIO_MEDICAO!$C$5,$C$3:$C417,RELATORIO_MEDICAO!$F$5),"")</f>
        <v/>
      </c>
      <c r="Z417">
        <f>IF(OR($A417="",PESQUISA!$C$4=""),0,IF(OR(ISNUMBER(SEARCH(PESQUISA!$C$4,$G417)),ISNUMBER(SEARCH(PESQUISA!$C$4,$K417)),ISNUMBER(SEARCH(PESQUISA!$C$4,$L417))),1,0))</f>
        <v/>
      </c>
      <c r="AA417">
        <f>IF($Z417=1,SUM($Z$3:$Z417),"")</f>
        <v/>
      </c>
      <c r="AB417">
        <f>IF(OR($A417="",PESQUISA!$C$50=""),0,IF(ISNUMBER(SEARCH(PESQUISA!$C$50,$I417)),1,0))</f>
        <v/>
      </c>
      <c r="AC417">
        <f>IF($AB417=1,SUM($AB$3:$AB417),"")</f>
        <v/>
      </c>
    </row>
    <row r="418">
      <c r="A418" s="20" t="n"/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>
        <f>IFERROR(INDEX(CONFIGURACOES!$G$37:$G$300,MATCH($I418,CONFIGURACOES!$B$37:$B$300,0)),"")</f>
        <v/>
      </c>
      <c r="K418" s="20">
        <f>IFERROR(INDEX(CONFIGURACOES!$H$37:$H$300,MATCH($I418,CONFIGURACOES!$B$37:$B$300,0)),"")</f>
        <v/>
      </c>
      <c r="L418" s="20" t="n"/>
      <c r="M418" s="20">
        <f>IFERROR(INDEX(CONFIGURACOES!$I$37:$I$300,MATCH($I418,CONFIGURACOES!$B$37:$B$300,0)),"")</f>
        <v/>
      </c>
      <c r="N418" s="21" t="n"/>
      <c r="O418" s="21" t="n"/>
      <c r="P418" s="21" t="n"/>
      <c r="Q418" s="21" t="n"/>
      <c r="R418" s="21">
        <f>IF($N418="","",$N418*IF($Q418="",1,$Q418)*IF($P418="",1,$P418)*IF($O418="",1,$O418))</f>
        <v/>
      </c>
      <c r="S418" s="22">
        <f>IFERROR(INDEX(CONFIGURACOES!$J$37:$J$300,MATCH($I418,CONFIGURACOES!$B$37:$B$300,0)),"")</f>
        <v/>
      </c>
      <c r="T418" s="22">
        <f>IF(OR($R418="",$S418=""),"",$R418*$S418)</f>
        <v/>
      </c>
      <c r="U418" s="20" t="n"/>
      <c r="V418" s="20" t="n"/>
      <c r="W418" s="20" t="n"/>
      <c r="X418">
        <f>IF($A418="","",$A418&amp;"|"&amp;$C418&amp;"|"&amp;$I418)</f>
        <v/>
      </c>
      <c r="Y418">
        <f>IF(AND($A418=RELATORIO_MEDICAO!$C$5,$C418=RELATORIO_MEDICAO!$F$5,$A418&lt;&gt;""),COUNTIFS($A$3:$A418,RELATORIO_MEDICAO!$C$5,$C$3:$C418,RELATORIO_MEDICAO!$F$5),"")</f>
        <v/>
      </c>
      <c r="Z418">
        <f>IF(OR($A418="",PESQUISA!$C$4=""),0,IF(OR(ISNUMBER(SEARCH(PESQUISA!$C$4,$G418)),ISNUMBER(SEARCH(PESQUISA!$C$4,$K418)),ISNUMBER(SEARCH(PESQUISA!$C$4,$L418))),1,0))</f>
        <v/>
      </c>
      <c r="AA418">
        <f>IF($Z418=1,SUM($Z$3:$Z418),"")</f>
        <v/>
      </c>
      <c r="AB418">
        <f>IF(OR($A418="",PESQUISA!$C$50=""),0,IF(ISNUMBER(SEARCH(PESQUISA!$C$50,$I418)),1,0))</f>
        <v/>
      </c>
      <c r="AC418">
        <f>IF($AB418=1,SUM($AB$3:$AB418),"")</f>
        <v/>
      </c>
    </row>
    <row r="419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>
        <f>IFERROR(INDEX(CONFIGURACOES!$G$37:$G$300,MATCH($I419,CONFIGURACOES!$B$37:$B$300,0)),"")</f>
        <v/>
      </c>
      <c r="K419" s="20">
        <f>IFERROR(INDEX(CONFIGURACOES!$H$37:$H$300,MATCH($I419,CONFIGURACOES!$B$37:$B$300,0)),"")</f>
        <v/>
      </c>
      <c r="L419" s="20" t="n"/>
      <c r="M419" s="20">
        <f>IFERROR(INDEX(CONFIGURACOES!$I$37:$I$300,MATCH($I419,CONFIGURACOES!$B$37:$B$300,0)),"")</f>
        <v/>
      </c>
      <c r="N419" s="21" t="n"/>
      <c r="O419" s="21" t="n"/>
      <c r="P419" s="21" t="n"/>
      <c r="Q419" s="21" t="n"/>
      <c r="R419" s="21">
        <f>IF($N419="","",$N419*IF($Q419="",1,$Q419)*IF($P419="",1,$P419)*IF($O419="",1,$O419))</f>
        <v/>
      </c>
      <c r="S419" s="22">
        <f>IFERROR(INDEX(CONFIGURACOES!$J$37:$J$300,MATCH($I419,CONFIGURACOES!$B$37:$B$300,0)),"")</f>
        <v/>
      </c>
      <c r="T419" s="22">
        <f>IF(OR($R419="",$S419=""),"",$R419*$S419)</f>
        <v/>
      </c>
      <c r="U419" s="20" t="n"/>
      <c r="V419" s="20" t="n"/>
      <c r="W419" s="20" t="n"/>
      <c r="X419">
        <f>IF($A419="","",$A419&amp;"|"&amp;$C419&amp;"|"&amp;$I419)</f>
        <v/>
      </c>
      <c r="Y419">
        <f>IF(AND($A419=RELATORIO_MEDICAO!$C$5,$C419=RELATORIO_MEDICAO!$F$5,$A419&lt;&gt;""),COUNTIFS($A$3:$A419,RELATORIO_MEDICAO!$C$5,$C$3:$C419,RELATORIO_MEDICAO!$F$5),"")</f>
        <v/>
      </c>
      <c r="Z419">
        <f>IF(OR($A419="",PESQUISA!$C$4=""),0,IF(OR(ISNUMBER(SEARCH(PESQUISA!$C$4,$G419)),ISNUMBER(SEARCH(PESQUISA!$C$4,$K419)),ISNUMBER(SEARCH(PESQUISA!$C$4,$L419))),1,0))</f>
        <v/>
      </c>
      <c r="AA419">
        <f>IF($Z419=1,SUM($Z$3:$Z419),"")</f>
        <v/>
      </c>
      <c r="AB419">
        <f>IF(OR($A419="",PESQUISA!$C$50=""),0,IF(ISNUMBER(SEARCH(PESQUISA!$C$50,$I419)),1,0))</f>
        <v/>
      </c>
      <c r="AC419">
        <f>IF($AB419=1,SUM($AB$3:$AB419),"")</f>
        <v/>
      </c>
    </row>
    <row r="420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>
        <f>IFERROR(INDEX(CONFIGURACOES!$G$37:$G$300,MATCH($I420,CONFIGURACOES!$B$37:$B$300,0)),"")</f>
        <v/>
      </c>
      <c r="K420" s="20">
        <f>IFERROR(INDEX(CONFIGURACOES!$H$37:$H$300,MATCH($I420,CONFIGURACOES!$B$37:$B$300,0)),"")</f>
        <v/>
      </c>
      <c r="L420" s="20" t="n"/>
      <c r="M420" s="20">
        <f>IFERROR(INDEX(CONFIGURACOES!$I$37:$I$300,MATCH($I420,CONFIGURACOES!$B$37:$B$300,0)),"")</f>
        <v/>
      </c>
      <c r="N420" s="21" t="n"/>
      <c r="O420" s="21" t="n"/>
      <c r="P420" s="21" t="n"/>
      <c r="Q420" s="21" t="n"/>
      <c r="R420" s="21">
        <f>IF($N420="","",$N420*IF($Q420="",1,$Q420)*IF($P420="",1,$P420)*IF($O420="",1,$O420))</f>
        <v/>
      </c>
      <c r="S420" s="22">
        <f>IFERROR(INDEX(CONFIGURACOES!$J$37:$J$300,MATCH($I420,CONFIGURACOES!$B$37:$B$300,0)),"")</f>
        <v/>
      </c>
      <c r="T420" s="22">
        <f>IF(OR($R420="",$S420=""),"",$R420*$S420)</f>
        <v/>
      </c>
      <c r="U420" s="20" t="n"/>
      <c r="V420" s="20" t="n"/>
      <c r="W420" s="20" t="n"/>
      <c r="X420">
        <f>IF($A420="","",$A420&amp;"|"&amp;$C420&amp;"|"&amp;$I420)</f>
        <v/>
      </c>
      <c r="Y420">
        <f>IF(AND($A420=RELATORIO_MEDICAO!$C$5,$C420=RELATORIO_MEDICAO!$F$5,$A420&lt;&gt;""),COUNTIFS($A$3:$A420,RELATORIO_MEDICAO!$C$5,$C$3:$C420,RELATORIO_MEDICAO!$F$5),"")</f>
        <v/>
      </c>
      <c r="Z420">
        <f>IF(OR($A420="",PESQUISA!$C$4=""),0,IF(OR(ISNUMBER(SEARCH(PESQUISA!$C$4,$G420)),ISNUMBER(SEARCH(PESQUISA!$C$4,$K420)),ISNUMBER(SEARCH(PESQUISA!$C$4,$L420))),1,0))</f>
        <v/>
      </c>
      <c r="AA420">
        <f>IF($Z420=1,SUM($Z$3:$Z420),"")</f>
        <v/>
      </c>
      <c r="AB420">
        <f>IF(OR($A420="",PESQUISA!$C$50=""),0,IF(ISNUMBER(SEARCH(PESQUISA!$C$50,$I420)),1,0))</f>
        <v/>
      </c>
      <c r="AC420">
        <f>IF($AB420=1,SUM($AB$3:$AB420),"")</f>
        <v/>
      </c>
    </row>
    <row r="421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>
        <f>IFERROR(INDEX(CONFIGURACOES!$G$37:$G$300,MATCH($I421,CONFIGURACOES!$B$37:$B$300,0)),"")</f>
        <v/>
      </c>
      <c r="K421" s="20">
        <f>IFERROR(INDEX(CONFIGURACOES!$H$37:$H$300,MATCH($I421,CONFIGURACOES!$B$37:$B$300,0)),"")</f>
        <v/>
      </c>
      <c r="L421" s="20" t="n"/>
      <c r="M421" s="20">
        <f>IFERROR(INDEX(CONFIGURACOES!$I$37:$I$300,MATCH($I421,CONFIGURACOES!$B$37:$B$300,0)),"")</f>
        <v/>
      </c>
      <c r="N421" s="21" t="n"/>
      <c r="O421" s="21" t="n"/>
      <c r="P421" s="21" t="n"/>
      <c r="Q421" s="21" t="n"/>
      <c r="R421" s="21">
        <f>IF($N421="","",$N421*IF($Q421="",1,$Q421)*IF($P421="",1,$P421)*IF($O421="",1,$O421))</f>
        <v/>
      </c>
      <c r="S421" s="22">
        <f>IFERROR(INDEX(CONFIGURACOES!$J$37:$J$300,MATCH($I421,CONFIGURACOES!$B$37:$B$300,0)),"")</f>
        <v/>
      </c>
      <c r="T421" s="22">
        <f>IF(OR($R421="",$S421=""),"",$R421*$S421)</f>
        <v/>
      </c>
      <c r="U421" s="20" t="n"/>
      <c r="V421" s="20" t="n"/>
      <c r="W421" s="20" t="n"/>
      <c r="X421">
        <f>IF($A421="","",$A421&amp;"|"&amp;$C421&amp;"|"&amp;$I421)</f>
        <v/>
      </c>
      <c r="Y421">
        <f>IF(AND($A421=RELATORIO_MEDICAO!$C$5,$C421=RELATORIO_MEDICAO!$F$5,$A421&lt;&gt;""),COUNTIFS($A$3:$A421,RELATORIO_MEDICAO!$C$5,$C$3:$C421,RELATORIO_MEDICAO!$F$5),"")</f>
        <v/>
      </c>
      <c r="Z421">
        <f>IF(OR($A421="",PESQUISA!$C$4=""),0,IF(OR(ISNUMBER(SEARCH(PESQUISA!$C$4,$G421)),ISNUMBER(SEARCH(PESQUISA!$C$4,$K421)),ISNUMBER(SEARCH(PESQUISA!$C$4,$L421))),1,0))</f>
        <v/>
      </c>
      <c r="AA421">
        <f>IF($Z421=1,SUM($Z$3:$Z421),"")</f>
        <v/>
      </c>
      <c r="AB421">
        <f>IF(OR($A421="",PESQUISA!$C$50=""),0,IF(ISNUMBER(SEARCH(PESQUISA!$C$50,$I421)),1,0))</f>
        <v/>
      </c>
      <c r="AC421">
        <f>IF($AB421=1,SUM($AB$3:$AB421),"")</f>
        <v/>
      </c>
    </row>
    <row r="422">
      <c r="A422" s="20" t="n"/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>
        <f>IFERROR(INDEX(CONFIGURACOES!$G$37:$G$300,MATCH($I422,CONFIGURACOES!$B$37:$B$300,0)),"")</f>
        <v/>
      </c>
      <c r="K422" s="20">
        <f>IFERROR(INDEX(CONFIGURACOES!$H$37:$H$300,MATCH($I422,CONFIGURACOES!$B$37:$B$300,0)),"")</f>
        <v/>
      </c>
      <c r="L422" s="20" t="n"/>
      <c r="M422" s="20">
        <f>IFERROR(INDEX(CONFIGURACOES!$I$37:$I$300,MATCH($I422,CONFIGURACOES!$B$37:$B$300,0)),"")</f>
        <v/>
      </c>
      <c r="N422" s="21" t="n"/>
      <c r="O422" s="21" t="n"/>
      <c r="P422" s="21" t="n"/>
      <c r="Q422" s="21" t="n"/>
      <c r="R422" s="21">
        <f>IF($N422="","",$N422*IF($Q422="",1,$Q422)*IF($P422="",1,$P422)*IF($O422="",1,$O422))</f>
        <v/>
      </c>
      <c r="S422" s="22">
        <f>IFERROR(INDEX(CONFIGURACOES!$J$37:$J$300,MATCH($I422,CONFIGURACOES!$B$37:$B$300,0)),"")</f>
        <v/>
      </c>
      <c r="T422" s="22">
        <f>IF(OR($R422="",$S422=""),"",$R422*$S422)</f>
        <v/>
      </c>
      <c r="U422" s="20" t="n"/>
      <c r="V422" s="20" t="n"/>
      <c r="W422" s="20" t="n"/>
      <c r="X422">
        <f>IF($A422="","",$A422&amp;"|"&amp;$C422&amp;"|"&amp;$I422)</f>
        <v/>
      </c>
      <c r="Y422">
        <f>IF(AND($A422=RELATORIO_MEDICAO!$C$5,$C422=RELATORIO_MEDICAO!$F$5,$A422&lt;&gt;""),COUNTIFS($A$3:$A422,RELATORIO_MEDICAO!$C$5,$C$3:$C422,RELATORIO_MEDICAO!$F$5),"")</f>
        <v/>
      </c>
      <c r="Z422">
        <f>IF(OR($A422="",PESQUISA!$C$4=""),0,IF(OR(ISNUMBER(SEARCH(PESQUISA!$C$4,$G422)),ISNUMBER(SEARCH(PESQUISA!$C$4,$K422)),ISNUMBER(SEARCH(PESQUISA!$C$4,$L422))),1,0))</f>
        <v/>
      </c>
      <c r="AA422">
        <f>IF($Z422=1,SUM($Z$3:$Z422),"")</f>
        <v/>
      </c>
      <c r="AB422">
        <f>IF(OR($A422="",PESQUISA!$C$50=""),0,IF(ISNUMBER(SEARCH(PESQUISA!$C$50,$I422)),1,0))</f>
        <v/>
      </c>
      <c r="AC422">
        <f>IF($AB422=1,SUM($AB$3:$AB422),"")</f>
        <v/>
      </c>
    </row>
    <row r="423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>
        <f>IFERROR(INDEX(CONFIGURACOES!$G$37:$G$300,MATCH($I423,CONFIGURACOES!$B$37:$B$300,0)),"")</f>
        <v/>
      </c>
      <c r="K423" s="20">
        <f>IFERROR(INDEX(CONFIGURACOES!$H$37:$H$300,MATCH($I423,CONFIGURACOES!$B$37:$B$300,0)),"")</f>
        <v/>
      </c>
      <c r="L423" s="20" t="n"/>
      <c r="M423" s="20">
        <f>IFERROR(INDEX(CONFIGURACOES!$I$37:$I$300,MATCH($I423,CONFIGURACOES!$B$37:$B$300,0)),"")</f>
        <v/>
      </c>
      <c r="N423" s="21" t="n"/>
      <c r="O423" s="21" t="n"/>
      <c r="P423" s="21" t="n"/>
      <c r="Q423" s="21" t="n"/>
      <c r="R423" s="21">
        <f>IF($N423="","",$N423*IF($Q423="",1,$Q423)*IF($P423="",1,$P423)*IF($O423="",1,$O423))</f>
        <v/>
      </c>
      <c r="S423" s="22">
        <f>IFERROR(INDEX(CONFIGURACOES!$J$37:$J$300,MATCH($I423,CONFIGURACOES!$B$37:$B$300,0)),"")</f>
        <v/>
      </c>
      <c r="T423" s="22">
        <f>IF(OR($R423="",$S423=""),"",$R423*$S423)</f>
        <v/>
      </c>
      <c r="U423" s="20" t="n"/>
      <c r="V423" s="20" t="n"/>
      <c r="W423" s="20" t="n"/>
      <c r="X423">
        <f>IF($A423="","",$A423&amp;"|"&amp;$C423&amp;"|"&amp;$I423)</f>
        <v/>
      </c>
      <c r="Y423">
        <f>IF(AND($A423=RELATORIO_MEDICAO!$C$5,$C423=RELATORIO_MEDICAO!$F$5,$A423&lt;&gt;""),COUNTIFS($A$3:$A423,RELATORIO_MEDICAO!$C$5,$C$3:$C423,RELATORIO_MEDICAO!$F$5),"")</f>
        <v/>
      </c>
      <c r="Z423">
        <f>IF(OR($A423="",PESQUISA!$C$4=""),0,IF(OR(ISNUMBER(SEARCH(PESQUISA!$C$4,$G423)),ISNUMBER(SEARCH(PESQUISA!$C$4,$K423)),ISNUMBER(SEARCH(PESQUISA!$C$4,$L423))),1,0))</f>
        <v/>
      </c>
      <c r="AA423">
        <f>IF($Z423=1,SUM($Z$3:$Z423),"")</f>
        <v/>
      </c>
      <c r="AB423">
        <f>IF(OR($A423="",PESQUISA!$C$50=""),0,IF(ISNUMBER(SEARCH(PESQUISA!$C$50,$I423)),1,0))</f>
        <v/>
      </c>
      <c r="AC423">
        <f>IF($AB423=1,SUM($AB$3:$AB423),"")</f>
        <v/>
      </c>
    </row>
    <row r="424">
      <c r="A424" s="20" t="n"/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>
        <f>IFERROR(INDEX(CONFIGURACOES!$G$37:$G$300,MATCH($I424,CONFIGURACOES!$B$37:$B$300,0)),"")</f>
        <v/>
      </c>
      <c r="K424" s="20">
        <f>IFERROR(INDEX(CONFIGURACOES!$H$37:$H$300,MATCH($I424,CONFIGURACOES!$B$37:$B$300,0)),"")</f>
        <v/>
      </c>
      <c r="L424" s="20" t="n"/>
      <c r="M424" s="20">
        <f>IFERROR(INDEX(CONFIGURACOES!$I$37:$I$300,MATCH($I424,CONFIGURACOES!$B$37:$B$300,0)),"")</f>
        <v/>
      </c>
      <c r="N424" s="21" t="n"/>
      <c r="O424" s="21" t="n"/>
      <c r="P424" s="21" t="n"/>
      <c r="Q424" s="21" t="n"/>
      <c r="R424" s="21">
        <f>IF($N424="","",$N424*IF($Q424="",1,$Q424)*IF($P424="",1,$P424)*IF($O424="",1,$O424))</f>
        <v/>
      </c>
      <c r="S424" s="22">
        <f>IFERROR(INDEX(CONFIGURACOES!$J$37:$J$300,MATCH($I424,CONFIGURACOES!$B$37:$B$300,0)),"")</f>
        <v/>
      </c>
      <c r="T424" s="22">
        <f>IF(OR($R424="",$S424=""),"",$R424*$S424)</f>
        <v/>
      </c>
      <c r="U424" s="20" t="n"/>
      <c r="V424" s="20" t="n"/>
      <c r="W424" s="20" t="n"/>
      <c r="X424">
        <f>IF($A424="","",$A424&amp;"|"&amp;$C424&amp;"|"&amp;$I424)</f>
        <v/>
      </c>
      <c r="Y424">
        <f>IF(AND($A424=RELATORIO_MEDICAO!$C$5,$C424=RELATORIO_MEDICAO!$F$5,$A424&lt;&gt;""),COUNTIFS($A$3:$A424,RELATORIO_MEDICAO!$C$5,$C$3:$C424,RELATORIO_MEDICAO!$F$5),"")</f>
        <v/>
      </c>
      <c r="Z424">
        <f>IF(OR($A424="",PESQUISA!$C$4=""),0,IF(OR(ISNUMBER(SEARCH(PESQUISA!$C$4,$G424)),ISNUMBER(SEARCH(PESQUISA!$C$4,$K424)),ISNUMBER(SEARCH(PESQUISA!$C$4,$L424))),1,0))</f>
        <v/>
      </c>
      <c r="AA424">
        <f>IF($Z424=1,SUM($Z$3:$Z424),"")</f>
        <v/>
      </c>
      <c r="AB424">
        <f>IF(OR($A424="",PESQUISA!$C$50=""),0,IF(ISNUMBER(SEARCH(PESQUISA!$C$50,$I424)),1,0))</f>
        <v/>
      </c>
      <c r="AC424">
        <f>IF($AB424=1,SUM($AB$3:$AB424),"")</f>
        <v/>
      </c>
    </row>
    <row r="425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>
        <f>IFERROR(INDEX(CONFIGURACOES!$G$37:$G$300,MATCH($I425,CONFIGURACOES!$B$37:$B$300,0)),"")</f>
        <v/>
      </c>
      <c r="K425" s="20">
        <f>IFERROR(INDEX(CONFIGURACOES!$H$37:$H$300,MATCH($I425,CONFIGURACOES!$B$37:$B$300,0)),"")</f>
        <v/>
      </c>
      <c r="L425" s="20" t="n"/>
      <c r="M425" s="20">
        <f>IFERROR(INDEX(CONFIGURACOES!$I$37:$I$300,MATCH($I425,CONFIGURACOES!$B$37:$B$300,0)),"")</f>
        <v/>
      </c>
      <c r="N425" s="21" t="n"/>
      <c r="O425" s="21" t="n"/>
      <c r="P425" s="21" t="n"/>
      <c r="Q425" s="21" t="n"/>
      <c r="R425" s="21">
        <f>IF($N425="","",$N425*IF($Q425="",1,$Q425)*IF($P425="",1,$P425)*IF($O425="",1,$O425))</f>
        <v/>
      </c>
      <c r="S425" s="22">
        <f>IFERROR(INDEX(CONFIGURACOES!$J$37:$J$300,MATCH($I425,CONFIGURACOES!$B$37:$B$300,0)),"")</f>
        <v/>
      </c>
      <c r="T425" s="22">
        <f>IF(OR($R425="",$S425=""),"",$R425*$S425)</f>
        <v/>
      </c>
      <c r="U425" s="20" t="n"/>
      <c r="V425" s="20" t="n"/>
      <c r="W425" s="20" t="n"/>
      <c r="X425">
        <f>IF($A425="","",$A425&amp;"|"&amp;$C425&amp;"|"&amp;$I425)</f>
        <v/>
      </c>
      <c r="Y425">
        <f>IF(AND($A425=RELATORIO_MEDICAO!$C$5,$C425=RELATORIO_MEDICAO!$F$5,$A425&lt;&gt;""),COUNTIFS($A$3:$A425,RELATORIO_MEDICAO!$C$5,$C$3:$C425,RELATORIO_MEDICAO!$F$5),"")</f>
        <v/>
      </c>
      <c r="Z425">
        <f>IF(OR($A425="",PESQUISA!$C$4=""),0,IF(OR(ISNUMBER(SEARCH(PESQUISA!$C$4,$G425)),ISNUMBER(SEARCH(PESQUISA!$C$4,$K425)),ISNUMBER(SEARCH(PESQUISA!$C$4,$L425))),1,0))</f>
        <v/>
      </c>
      <c r="AA425">
        <f>IF($Z425=1,SUM($Z$3:$Z425),"")</f>
        <v/>
      </c>
      <c r="AB425">
        <f>IF(OR($A425="",PESQUISA!$C$50=""),0,IF(ISNUMBER(SEARCH(PESQUISA!$C$50,$I425)),1,0))</f>
        <v/>
      </c>
      <c r="AC425">
        <f>IF($AB425=1,SUM($AB$3:$AB425),"")</f>
        <v/>
      </c>
    </row>
    <row r="426">
      <c r="A426" s="20" t="n"/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>
        <f>IFERROR(INDEX(CONFIGURACOES!$G$37:$G$300,MATCH($I426,CONFIGURACOES!$B$37:$B$300,0)),"")</f>
        <v/>
      </c>
      <c r="K426" s="20">
        <f>IFERROR(INDEX(CONFIGURACOES!$H$37:$H$300,MATCH($I426,CONFIGURACOES!$B$37:$B$300,0)),"")</f>
        <v/>
      </c>
      <c r="L426" s="20" t="n"/>
      <c r="M426" s="20">
        <f>IFERROR(INDEX(CONFIGURACOES!$I$37:$I$300,MATCH($I426,CONFIGURACOES!$B$37:$B$300,0)),"")</f>
        <v/>
      </c>
      <c r="N426" s="21" t="n"/>
      <c r="O426" s="21" t="n"/>
      <c r="P426" s="21" t="n"/>
      <c r="Q426" s="21" t="n"/>
      <c r="R426" s="21">
        <f>IF($N426="","",$N426*IF($Q426="",1,$Q426)*IF($P426="",1,$P426)*IF($O426="",1,$O426))</f>
        <v/>
      </c>
      <c r="S426" s="22">
        <f>IFERROR(INDEX(CONFIGURACOES!$J$37:$J$300,MATCH($I426,CONFIGURACOES!$B$37:$B$300,0)),"")</f>
        <v/>
      </c>
      <c r="T426" s="22">
        <f>IF(OR($R426="",$S426=""),"",$R426*$S426)</f>
        <v/>
      </c>
      <c r="U426" s="20" t="n"/>
      <c r="V426" s="20" t="n"/>
      <c r="W426" s="20" t="n"/>
      <c r="X426">
        <f>IF($A426="","",$A426&amp;"|"&amp;$C426&amp;"|"&amp;$I426)</f>
        <v/>
      </c>
      <c r="Y426">
        <f>IF(AND($A426=RELATORIO_MEDICAO!$C$5,$C426=RELATORIO_MEDICAO!$F$5,$A426&lt;&gt;""),COUNTIFS($A$3:$A426,RELATORIO_MEDICAO!$C$5,$C$3:$C426,RELATORIO_MEDICAO!$F$5),"")</f>
        <v/>
      </c>
      <c r="Z426">
        <f>IF(OR($A426="",PESQUISA!$C$4=""),0,IF(OR(ISNUMBER(SEARCH(PESQUISA!$C$4,$G426)),ISNUMBER(SEARCH(PESQUISA!$C$4,$K426)),ISNUMBER(SEARCH(PESQUISA!$C$4,$L426))),1,0))</f>
        <v/>
      </c>
      <c r="AA426">
        <f>IF($Z426=1,SUM($Z$3:$Z426),"")</f>
        <v/>
      </c>
      <c r="AB426">
        <f>IF(OR($A426="",PESQUISA!$C$50=""),0,IF(ISNUMBER(SEARCH(PESQUISA!$C$50,$I426)),1,0))</f>
        <v/>
      </c>
      <c r="AC426">
        <f>IF($AB426=1,SUM($AB$3:$AB426),"")</f>
        <v/>
      </c>
    </row>
    <row r="427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>
        <f>IFERROR(INDEX(CONFIGURACOES!$G$37:$G$300,MATCH($I427,CONFIGURACOES!$B$37:$B$300,0)),"")</f>
        <v/>
      </c>
      <c r="K427" s="20">
        <f>IFERROR(INDEX(CONFIGURACOES!$H$37:$H$300,MATCH($I427,CONFIGURACOES!$B$37:$B$300,0)),"")</f>
        <v/>
      </c>
      <c r="L427" s="20" t="n"/>
      <c r="M427" s="20">
        <f>IFERROR(INDEX(CONFIGURACOES!$I$37:$I$300,MATCH($I427,CONFIGURACOES!$B$37:$B$300,0)),"")</f>
        <v/>
      </c>
      <c r="N427" s="21" t="n"/>
      <c r="O427" s="21" t="n"/>
      <c r="P427" s="21" t="n"/>
      <c r="Q427" s="21" t="n"/>
      <c r="R427" s="21">
        <f>IF($N427="","",$N427*IF($Q427="",1,$Q427)*IF($P427="",1,$P427)*IF($O427="",1,$O427))</f>
        <v/>
      </c>
      <c r="S427" s="22">
        <f>IFERROR(INDEX(CONFIGURACOES!$J$37:$J$300,MATCH($I427,CONFIGURACOES!$B$37:$B$300,0)),"")</f>
        <v/>
      </c>
      <c r="T427" s="22">
        <f>IF(OR($R427="",$S427=""),"",$R427*$S427)</f>
        <v/>
      </c>
      <c r="U427" s="20" t="n"/>
      <c r="V427" s="20" t="n"/>
      <c r="W427" s="20" t="n"/>
      <c r="X427">
        <f>IF($A427="","",$A427&amp;"|"&amp;$C427&amp;"|"&amp;$I427)</f>
        <v/>
      </c>
      <c r="Y427">
        <f>IF(AND($A427=RELATORIO_MEDICAO!$C$5,$C427=RELATORIO_MEDICAO!$F$5,$A427&lt;&gt;""),COUNTIFS($A$3:$A427,RELATORIO_MEDICAO!$C$5,$C$3:$C427,RELATORIO_MEDICAO!$F$5),"")</f>
        <v/>
      </c>
      <c r="Z427">
        <f>IF(OR($A427="",PESQUISA!$C$4=""),0,IF(OR(ISNUMBER(SEARCH(PESQUISA!$C$4,$G427)),ISNUMBER(SEARCH(PESQUISA!$C$4,$K427)),ISNUMBER(SEARCH(PESQUISA!$C$4,$L427))),1,0))</f>
        <v/>
      </c>
      <c r="AA427">
        <f>IF($Z427=1,SUM($Z$3:$Z427),"")</f>
        <v/>
      </c>
      <c r="AB427">
        <f>IF(OR($A427="",PESQUISA!$C$50=""),0,IF(ISNUMBER(SEARCH(PESQUISA!$C$50,$I427)),1,0))</f>
        <v/>
      </c>
      <c r="AC427">
        <f>IF($AB427=1,SUM($AB$3:$AB427),"")</f>
        <v/>
      </c>
    </row>
    <row r="428">
      <c r="A428" s="20" t="n"/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>
        <f>IFERROR(INDEX(CONFIGURACOES!$G$37:$G$300,MATCH($I428,CONFIGURACOES!$B$37:$B$300,0)),"")</f>
        <v/>
      </c>
      <c r="K428" s="20">
        <f>IFERROR(INDEX(CONFIGURACOES!$H$37:$H$300,MATCH($I428,CONFIGURACOES!$B$37:$B$300,0)),"")</f>
        <v/>
      </c>
      <c r="L428" s="20" t="n"/>
      <c r="M428" s="20">
        <f>IFERROR(INDEX(CONFIGURACOES!$I$37:$I$300,MATCH($I428,CONFIGURACOES!$B$37:$B$300,0)),"")</f>
        <v/>
      </c>
      <c r="N428" s="21" t="n"/>
      <c r="O428" s="21" t="n"/>
      <c r="P428" s="21" t="n"/>
      <c r="Q428" s="21" t="n"/>
      <c r="R428" s="21">
        <f>IF($N428="","",$N428*IF($Q428="",1,$Q428)*IF($P428="",1,$P428)*IF($O428="",1,$O428))</f>
        <v/>
      </c>
      <c r="S428" s="22">
        <f>IFERROR(INDEX(CONFIGURACOES!$J$37:$J$300,MATCH($I428,CONFIGURACOES!$B$37:$B$300,0)),"")</f>
        <v/>
      </c>
      <c r="T428" s="22">
        <f>IF(OR($R428="",$S428=""),"",$R428*$S428)</f>
        <v/>
      </c>
      <c r="U428" s="20" t="n"/>
      <c r="V428" s="20" t="n"/>
      <c r="W428" s="20" t="n"/>
      <c r="X428">
        <f>IF($A428="","",$A428&amp;"|"&amp;$C428&amp;"|"&amp;$I428)</f>
        <v/>
      </c>
      <c r="Y428">
        <f>IF(AND($A428=RELATORIO_MEDICAO!$C$5,$C428=RELATORIO_MEDICAO!$F$5,$A428&lt;&gt;""),COUNTIFS($A$3:$A428,RELATORIO_MEDICAO!$C$5,$C$3:$C428,RELATORIO_MEDICAO!$F$5),"")</f>
        <v/>
      </c>
      <c r="Z428">
        <f>IF(OR($A428="",PESQUISA!$C$4=""),0,IF(OR(ISNUMBER(SEARCH(PESQUISA!$C$4,$G428)),ISNUMBER(SEARCH(PESQUISA!$C$4,$K428)),ISNUMBER(SEARCH(PESQUISA!$C$4,$L428))),1,0))</f>
        <v/>
      </c>
      <c r="AA428">
        <f>IF($Z428=1,SUM($Z$3:$Z428),"")</f>
        <v/>
      </c>
      <c r="AB428">
        <f>IF(OR($A428="",PESQUISA!$C$50=""),0,IF(ISNUMBER(SEARCH(PESQUISA!$C$50,$I428)),1,0))</f>
        <v/>
      </c>
      <c r="AC428">
        <f>IF($AB428=1,SUM($AB$3:$AB428),"")</f>
        <v/>
      </c>
    </row>
    <row r="429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>
        <f>IFERROR(INDEX(CONFIGURACOES!$G$37:$G$300,MATCH($I429,CONFIGURACOES!$B$37:$B$300,0)),"")</f>
        <v/>
      </c>
      <c r="K429" s="20">
        <f>IFERROR(INDEX(CONFIGURACOES!$H$37:$H$300,MATCH($I429,CONFIGURACOES!$B$37:$B$300,0)),"")</f>
        <v/>
      </c>
      <c r="L429" s="20" t="n"/>
      <c r="M429" s="20">
        <f>IFERROR(INDEX(CONFIGURACOES!$I$37:$I$300,MATCH($I429,CONFIGURACOES!$B$37:$B$300,0)),"")</f>
        <v/>
      </c>
      <c r="N429" s="21" t="n"/>
      <c r="O429" s="21" t="n"/>
      <c r="P429" s="21" t="n"/>
      <c r="Q429" s="21" t="n"/>
      <c r="R429" s="21">
        <f>IF($N429="","",$N429*IF($Q429="",1,$Q429)*IF($P429="",1,$P429)*IF($O429="",1,$O429))</f>
        <v/>
      </c>
      <c r="S429" s="22">
        <f>IFERROR(INDEX(CONFIGURACOES!$J$37:$J$300,MATCH($I429,CONFIGURACOES!$B$37:$B$300,0)),"")</f>
        <v/>
      </c>
      <c r="T429" s="22">
        <f>IF(OR($R429="",$S429=""),"",$R429*$S429)</f>
        <v/>
      </c>
      <c r="U429" s="20" t="n"/>
      <c r="V429" s="20" t="n"/>
      <c r="W429" s="20" t="n"/>
      <c r="X429">
        <f>IF($A429="","",$A429&amp;"|"&amp;$C429&amp;"|"&amp;$I429)</f>
        <v/>
      </c>
      <c r="Y429">
        <f>IF(AND($A429=RELATORIO_MEDICAO!$C$5,$C429=RELATORIO_MEDICAO!$F$5,$A429&lt;&gt;""),COUNTIFS($A$3:$A429,RELATORIO_MEDICAO!$C$5,$C$3:$C429,RELATORIO_MEDICAO!$F$5),"")</f>
        <v/>
      </c>
      <c r="Z429">
        <f>IF(OR($A429="",PESQUISA!$C$4=""),0,IF(OR(ISNUMBER(SEARCH(PESQUISA!$C$4,$G429)),ISNUMBER(SEARCH(PESQUISA!$C$4,$K429)),ISNUMBER(SEARCH(PESQUISA!$C$4,$L429))),1,0))</f>
        <v/>
      </c>
      <c r="AA429">
        <f>IF($Z429=1,SUM($Z$3:$Z429),"")</f>
        <v/>
      </c>
      <c r="AB429">
        <f>IF(OR($A429="",PESQUISA!$C$50=""),0,IF(ISNUMBER(SEARCH(PESQUISA!$C$50,$I429)),1,0))</f>
        <v/>
      </c>
      <c r="AC429">
        <f>IF($AB429=1,SUM($AB$3:$AB429),"")</f>
        <v/>
      </c>
    </row>
    <row r="430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>
        <f>IFERROR(INDEX(CONFIGURACOES!$G$37:$G$300,MATCH($I430,CONFIGURACOES!$B$37:$B$300,0)),"")</f>
        <v/>
      </c>
      <c r="K430" s="20">
        <f>IFERROR(INDEX(CONFIGURACOES!$H$37:$H$300,MATCH($I430,CONFIGURACOES!$B$37:$B$300,0)),"")</f>
        <v/>
      </c>
      <c r="L430" s="20" t="n"/>
      <c r="M430" s="20">
        <f>IFERROR(INDEX(CONFIGURACOES!$I$37:$I$300,MATCH($I430,CONFIGURACOES!$B$37:$B$300,0)),"")</f>
        <v/>
      </c>
      <c r="N430" s="21" t="n"/>
      <c r="O430" s="21" t="n"/>
      <c r="P430" s="21" t="n"/>
      <c r="Q430" s="21" t="n"/>
      <c r="R430" s="21">
        <f>IF($N430="","",$N430*IF($Q430="",1,$Q430)*IF($P430="",1,$P430)*IF($O430="",1,$O430))</f>
        <v/>
      </c>
      <c r="S430" s="22">
        <f>IFERROR(INDEX(CONFIGURACOES!$J$37:$J$300,MATCH($I430,CONFIGURACOES!$B$37:$B$300,0)),"")</f>
        <v/>
      </c>
      <c r="T430" s="22">
        <f>IF(OR($R430="",$S430=""),"",$R430*$S430)</f>
        <v/>
      </c>
      <c r="U430" s="20" t="n"/>
      <c r="V430" s="20" t="n"/>
      <c r="W430" s="20" t="n"/>
      <c r="X430">
        <f>IF($A430="","",$A430&amp;"|"&amp;$C430&amp;"|"&amp;$I430)</f>
        <v/>
      </c>
      <c r="Y430">
        <f>IF(AND($A430=RELATORIO_MEDICAO!$C$5,$C430=RELATORIO_MEDICAO!$F$5,$A430&lt;&gt;""),COUNTIFS($A$3:$A430,RELATORIO_MEDICAO!$C$5,$C$3:$C430,RELATORIO_MEDICAO!$F$5),"")</f>
        <v/>
      </c>
      <c r="Z430">
        <f>IF(OR($A430="",PESQUISA!$C$4=""),0,IF(OR(ISNUMBER(SEARCH(PESQUISA!$C$4,$G430)),ISNUMBER(SEARCH(PESQUISA!$C$4,$K430)),ISNUMBER(SEARCH(PESQUISA!$C$4,$L430))),1,0))</f>
        <v/>
      </c>
      <c r="AA430">
        <f>IF($Z430=1,SUM($Z$3:$Z430),"")</f>
        <v/>
      </c>
      <c r="AB430">
        <f>IF(OR($A430="",PESQUISA!$C$50=""),0,IF(ISNUMBER(SEARCH(PESQUISA!$C$50,$I430)),1,0))</f>
        <v/>
      </c>
      <c r="AC430">
        <f>IF($AB430=1,SUM($AB$3:$AB430),"")</f>
        <v/>
      </c>
    </row>
    <row r="431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>
        <f>IFERROR(INDEX(CONFIGURACOES!$G$37:$G$300,MATCH($I431,CONFIGURACOES!$B$37:$B$300,0)),"")</f>
        <v/>
      </c>
      <c r="K431" s="20">
        <f>IFERROR(INDEX(CONFIGURACOES!$H$37:$H$300,MATCH($I431,CONFIGURACOES!$B$37:$B$300,0)),"")</f>
        <v/>
      </c>
      <c r="L431" s="20" t="n"/>
      <c r="M431" s="20">
        <f>IFERROR(INDEX(CONFIGURACOES!$I$37:$I$300,MATCH($I431,CONFIGURACOES!$B$37:$B$300,0)),"")</f>
        <v/>
      </c>
      <c r="N431" s="21" t="n"/>
      <c r="O431" s="21" t="n"/>
      <c r="P431" s="21" t="n"/>
      <c r="Q431" s="21" t="n"/>
      <c r="R431" s="21">
        <f>IF($N431="","",$N431*IF($Q431="",1,$Q431)*IF($P431="",1,$P431)*IF($O431="",1,$O431))</f>
        <v/>
      </c>
      <c r="S431" s="22">
        <f>IFERROR(INDEX(CONFIGURACOES!$J$37:$J$300,MATCH($I431,CONFIGURACOES!$B$37:$B$300,0)),"")</f>
        <v/>
      </c>
      <c r="T431" s="22">
        <f>IF(OR($R431="",$S431=""),"",$R431*$S431)</f>
        <v/>
      </c>
      <c r="U431" s="20" t="n"/>
      <c r="V431" s="20" t="n"/>
      <c r="W431" s="20" t="n"/>
      <c r="X431">
        <f>IF($A431="","",$A431&amp;"|"&amp;$C431&amp;"|"&amp;$I431)</f>
        <v/>
      </c>
      <c r="Y431">
        <f>IF(AND($A431=RELATORIO_MEDICAO!$C$5,$C431=RELATORIO_MEDICAO!$F$5,$A431&lt;&gt;""),COUNTIFS($A$3:$A431,RELATORIO_MEDICAO!$C$5,$C$3:$C431,RELATORIO_MEDICAO!$F$5),"")</f>
        <v/>
      </c>
      <c r="Z431">
        <f>IF(OR($A431="",PESQUISA!$C$4=""),0,IF(OR(ISNUMBER(SEARCH(PESQUISA!$C$4,$G431)),ISNUMBER(SEARCH(PESQUISA!$C$4,$K431)),ISNUMBER(SEARCH(PESQUISA!$C$4,$L431))),1,0))</f>
        <v/>
      </c>
      <c r="AA431">
        <f>IF($Z431=1,SUM($Z$3:$Z431),"")</f>
        <v/>
      </c>
      <c r="AB431">
        <f>IF(OR($A431="",PESQUISA!$C$50=""),0,IF(ISNUMBER(SEARCH(PESQUISA!$C$50,$I431)),1,0))</f>
        <v/>
      </c>
      <c r="AC431">
        <f>IF($AB431=1,SUM($AB$3:$AB431),"")</f>
        <v/>
      </c>
    </row>
    <row r="432">
      <c r="A432" s="20" t="n"/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>
        <f>IFERROR(INDEX(CONFIGURACOES!$G$37:$G$300,MATCH($I432,CONFIGURACOES!$B$37:$B$300,0)),"")</f>
        <v/>
      </c>
      <c r="K432" s="20">
        <f>IFERROR(INDEX(CONFIGURACOES!$H$37:$H$300,MATCH($I432,CONFIGURACOES!$B$37:$B$300,0)),"")</f>
        <v/>
      </c>
      <c r="L432" s="20" t="n"/>
      <c r="M432" s="20">
        <f>IFERROR(INDEX(CONFIGURACOES!$I$37:$I$300,MATCH($I432,CONFIGURACOES!$B$37:$B$300,0)),"")</f>
        <v/>
      </c>
      <c r="N432" s="21" t="n"/>
      <c r="O432" s="21" t="n"/>
      <c r="P432" s="21" t="n"/>
      <c r="Q432" s="21" t="n"/>
      <c r="R432" s="21">
        <f>IF($N432="","",$N432*IF($Q432="",1,$Q432)*IF($P432="",1,$P432)*IF($O432="",1,$O432))</f>
        <v/>
      </c>
      <c r="S432" s="22">
        <f>IFERROR(INDEX(CONFIGURACOES!$J$37:$J$300,MATCH($I432,CONFIGURACOES!$B$37:$B$300,0)),"")</f>
        <v/>
      </c>
      <c r="T432" s="22">
        <f>IF(OR($R432="",$S432=""),"",$R432*$S432)</f>
        <v/>
      </c>
      <c r="U432" s="20" t="n"/>
      <c r="V432" s="20" t="n"/>
      <c r="W432" s="20" t="n"/>
      <c r="X432">
        <f>IF($A432="","",$A432&amp;"|"&amp;$C432&amp;"|"&amp;$I432)</f>
        <v/>
      </c>
      <c r="Y432">
        <f>IF(AND($A432=RELATORIO_MEDICAO!$C$5,$C432=RELATORIO_MEDICAO!$F$5,$A432&lt;&gt;""),COUNTIFS($A$3:$A432,RELATORIO_MEDICAO!$C$5,$C$3:$C432,RELATORIO_MEDICAO!$F$5),"")</f>
        <v/>
      </c>
      <c r="Z432">
        <f>IF(OR($A432="",PESQUISA!$C$4=""),0,IF(OR(ISNUMBER(SEARCH(PESQUISA!$C$4,$G432)),ISNUMBER(SEARCH(PESQUISA!$C$4,$K432)),ISNUMBER(SEARCH(PESQUISA!$C$4,$L432))),1,0))</f>
        <v/>
      </c>
      <c r="AA432">
        <f>IF($Z432=1,SUM($Z$3:$Z432),"")</f>
        <v/>
      </c>
      <c r="AB432">
        <f>IF(OR($A432="",PESQUISA!$C$50=""),0,IF(ISNUMBER(SEARCH(PESQUISA!$C$50,$I432)),1,0))</f>
        <v/>
      </c>
      <c r="AC432">
        <f>IF($AB432=1,SUM($AB$3:$AB432),"")</f>
        <v/>
      </c>
    </row>
    <row r="433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>
        <f>IFERROR(INDEX(CONFIGURACOES!$G$37:$G$300,MATCH($I433,CONFIGURACOES!$B$37:$B$300,0)),"")</f>
        <v/>
      </c>
      <c r="K433" s="20">
        <f>IFERROR(INDEX(CONFIGURACOES!$H$37:$H$300,MATCH($I433,CONFIGURACOES!$B$37:$B$300,0)),"")</f>
        <v/>
      </c>
      <c r="L433" s="20" t="n"/>
      <c r="M433" s="20">
        <f>IFERROR(INDEX(CONFIGURACOES!$I$37:$I$300,MATCH($I433,CONFIGURACOES!$B$37:$B$300,0)),"")</f>
        <v/>
      </c>
      <c r="N433" s="21" t="n"/>
      <c r="O433" s="21" t="n"/>
      <c r="P433" s="21" t="n"/>
      <c r="Q433" s="21" t="n"/>
      <c r="R433" s="21">
        <f>IF($N433="","",$N433*IF($Q433="",1,$Q433)*IF($P433="",1,$P433)*IF($O433="",1,$O433))</f>
        <v/>
      </c>
      <c r="S433" s="22">
        <f>IFERROR(INDEX(CONFIGURACOES!$J$37:$J$300,MATCH($I433,CONFIGURACOES!$B$37:$B$300,0)),"")</f>
        <v/>
      </c>
      <c r="T433" s="22">
        <f>IF(OR($R433="",$S433=""),"",$R433*$S433)</f>
        <v/>
      </c>
      <c r="U433" s="20" t="n"/>
      <c r="V433" s="20" t="n"/>
      <c r="W433" s="20" t="n"/>
      <c r="X433">
        <f>IF($A433="","",$A433&amp;"|"&amp;$C433&amp;"|"&amp;$I433)</f>
        <v/>
      </c>
      <c r="Y433">
        <f>IF(AND($A433=RELATORIO_MEDICAO!$C$5,$C433=RELATORIO_MEDICAO!$F$5,$A433&lt;&gt;""),COUNTIFS($A$3:$A433,RELATORIO_MEDICAO!$C$5,$C$3:$C433,RELATORIO_MEDICAO!$F$5),"")</f>
        <v/>
      </c>
      <c r="Z433">
        <f>IF(OR($A433="",PESQUISA!$C$4=""),0,IF(OR(ISNUMBER(SEARCH(PESQUISA!$C$4,$G433)),ISNUMBER(SEARCH(PESQUISA!$C$4,$K433)),ISNUMBER(SEARCH(PESQUISA!$C$4,$L433))),1,0))</f>
        <v/>
      </c>
      <c r="AA433">
        <f>IF($Z433=1,SUM($Z$3:$Z433),"")</f>
        <v/>
      </c>
      <c r="AB433">
        <f>IF(OR($A433="",PESQUISA!$C$50=""),0,IF(ISNUMBER(SEARCH(PESQUISA!$C$50,$I433)),1,0))</f>
        <v/>
      </c>
      <c r="AC433">
        <f>IF($AB433=1,SUM($AB$3:$AB433),"")</f>
        <v/>
      </c>
    </row>
    <row r="434">
      <c r="A434" s="20" t="n"/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>
        <f>IFERROR(INDEX(CONFIGURACOES!$G$37:$G$300,MATCH($I434,CONFIGURACOES!$B$37:$B$300,0)),"")</f>
        <v/>
      </c>
      <c r="K434" s="20">
        <f>IFERROR(INDEX(CONFIGURACOES!$H$37:$H$300,MATCH($I434,CONFIGURACOES!$B$37:$B$300,0)),"")</f>
        <v/>
      </c>
      <c r="L434" s="20" t="n"/>
      <c r="M434" s="20">
        <f>IFERROR(INDEX(CONFIGURACOES!$I$37:$I$300,MATCH($I434,CONFIGURACOES!$B$37:$B$300,0)),"")</f>
        <v/>
      </c>
      <c r="N434" s="21" t="n"/>
      <c r="O434" s="21" t="n"/>
      <c r="P434" s="21" t="n"/>
      <c r="Q434" s="21" t="n"/>
      <c r="R434" s="21">
        <f>IF($N434="","",$N434*IF($Q434="",1,$Q434)*IF($P434="",1,$P434)*IF($O434="",1,$O434))</f>
        <v/>
      </c>
      <c r="S434" s="22">
        <f>IFERROR(INDEX(CONFIGURACOES!$J$37:$J$300,MATCH($I434,CONFIGURACOES!$B$37:$B$300,0)),"")</f>
        <v/>
      </c>
      <c r="T434" s="22">
        <f>IF(OR($R434="",$S434=""),"",$R434*$S434)</f>
        <v/>
      </c>
      <c r="U434" s="20" t="n"/>
      <c r="V434" s="20" t="n"/>
      <c r="W434" s="20" t="n"/>
      <c r="X434">
        <f>IF($A434="","",$A434&amp;"|"&amp;$C434&amp;"|"&amp;$I434)</f>
        <v/>
      </c>
      <c r="Y434">
        <f>IF(AND($A434=RELATORIO_MEDICAO!$C$5,$C434=RELATORIO_MEDICAO!$F$5,$A434&lt;&gt;""),COUNTIFS($A$3:$A434,RELATORIO_MEDICAO!$C$5,$C$3:$C434,RELATORIO_MEDICAO!$F$5),"")</f>
        <v/>
      </c>
      <c r="Z434">
        <f>IF(OR($A434="",PESQUISA!$C$4=""),0,IF(OR(ISNUMBER(SEARCH(PESQUISA!$C$4,$G434)),ISNUMBER(SEARCH(PESQUISA!$C$4,$K434)),ISNUMBER(SEARCH(PESQUISA!$C$4,$L434))),1,0))</f>
        <v/>
      </c>
      <c r="AA434">
        <f>IF($Z434=1,SUM($Z$3:$Z434),"")</f>
        <v/>
      </c>
      <c r="AB434">
        <f>IF(OR($A434="",PESQUISA!$C$50=""),0,IF(ISNUMBER(SEARCH(PESQUISA!$C$50,$I434)),1,0))</f>
        <v/>
      </c>
      <c r="AC434">
        <f>IF($AB434=1,SUM($AB$3:$AB434),"")</f>
        <v/>
      </c>
    </row>
    <row r="435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>
        <f>IFERROR(INDEX(CONFIGURACOES!$G$37:$G$300,MATCH($I435,CONFIGURACOES!$B$37:$B$300,0)),"")</f>
        <v/>
      </c>
      <c r="K435" s="20">
        <f>IFERROR(INDEX(CONFIGURACOES!$H$37:$H$300,MATCH($I435,CONFIGURACOES!$B$37:$B$300,0)),"")</f>
        <v/>
      </c>
      <c r="L435" s="20" t="n"/>
      <c r="M435" s="20">
        <f>IFERROR(INDEX(CONFIGURACOES!$I$37:$I$300,MATCH($I435,CONFIGURACOES!$B$37:$B$300,0)),"")</f>
        <v/>
      </c>
      <c r="N435" s="21" t="n"/>
      <c r="O435" s="21" t="n"/>
      <c r="P435" s="21" t="n"/>
      <c r="Q435" s="21" t="n"/>
      <c r="R435" s="21">
        <f>IF($N435="","",$N435*IF($Q435="",1,$Q435)*IF($P435="",1,$P435)*IF($O435="",1,$O435))</f>
        <v/>
      </c>
      <c r="S435" s="22">
        <f>IFERROR(INDEX(CONFIGURACOES!$J$37:$J$300,MATCH($I435,CONFIGURACOES!$B$37:$B$300,0)),"")</f>
        <v/>
      </c>
      <c r="T435" s="22">
        <f>IF(OR($R435="",$S435=""),"",$R435*$S435)</f>
        <v/>
      </c>
      <c r="U435" s="20" t="n"/>
      <c r="V435" s="20" t="n"/>
      <c r="W435" s="20" t="n"/>
      <c r="X435">
        <f>IF($A435="","",$A435&amp;"|"&amp;$C435&amp;"|"&amp;$I435)</f>
        <v/>
      </c>
      <c r="Y435">
        <f>IF(AND($A435=RELATORIO_MEDICAO!$C$5,$C435=RELATORIO_MEDICAO!$F$5,$A435&lt;&gt;""),COUNTIFS($A$3:$A435,RELATORIO_MEDICAO!$C$5,$C$3:$C435,RELATORIO_MEDICAO!$F$5),"")</f>
        <v/>
      </c>
      <c r="Z435">
        <f>IF(OR($A435="",PESQUISA!$C$4=""),0,IF(OR(ISNUMBER(SEARCH(PESQUISA!$C$4,$G435)),ISNUMBER(SEARCH(PESQUISA!$C$4,$K435)),ISNUMBER(SEARCH(PESQUISA!$C$4,$L435))),1,0))</f>
        <v/>
      </c>
      <c r="AA435">
        <f>IF($Z435=1,SUM($Z$3:$Z435),"")</f>
        <v/>
      </c>
      <c r="AB435">
        <f>IF(OR($A435="",PESQUISA!$C$50=""),0,IF(ISNUMBER(SEARCH(PESQUISA!$C$50,$I435)),1,0))</f>
        <v/>
      </c>
      <c r="AC435">
        <f>IF($AB435=1,SUM($AB$3:$AB435),"")</f>
        <v/>
      </c>
    </row>
    <row r="436">
      <c r="A436" s="20" t="n"/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>
        <f>IFERROR(INDEX(CONFIGURACOES!$G$37:$G$300,MATCH($I436,CONFIGURACOES!$B$37:$B$300,0)),"")</f>
        <v/>
      </c>
      <c r="K436" s="20">
        <f>IFERROR(INDEX(CONFIGURACOES!$H$37:$H$300,MATCH($I436,CONFIGURACOES!$B$37:$B$300,0)),"")</f>
        <v/>
      </c>
      <c r="L436" s="20" t="n"/>
      <c r="M436" s="20">
        <f>IFERROR(INDEX(CONFIGURACOES!$I$37:$I$300,MATCH($I436,CONFIGURACOES!$B$37:$B$300,0)),"")</f>
        <v/>
      </c>
      <c r="N436" s="21" t="n"/>
      <c r="O436" s="21" t="n"/>
      <c r="P436" s="21" t="n"/>
      <c r="Q436" s="21" t="n"/>
      <c r="R436" s="21">
        <f>IF($N436="","",$N436*IF($Q436="",1,$Q436)*IF($P436="",1,$P436)*IF($O436="",1,$O436))</f>
        <v/>
      </c>
      <c r="S436" s="22">
        <f>IFERROR(INDEX(CONFIGURACOES!$J$37:$J$300,MATCH($I436,CONFIGURACOES!$B$37:$B$300,0)),"")</f>
        <v/>
      </c>
      <c r="T436" s="22">
        <f>IF(OR($R436="",$S436=""),"",$R436*$S436)</f>
        <v/>
      </c>
      <c r="U436" s="20" t="n"/>
      <c r="V436" s="20" t="n"/>
      <c r="W436" s="20" t="n"/>
      <c r="X436">
        <f>IF($A436="","",$A436&amp;"|"&amp;$C436&amp;"|"&amp;$I436)</f>
        <v/>
      </c>
      <c r="Y436">
        <f>IF(AND($A436=RELATORIO_MEDICAO!$C$5,$C436=RELATORIO_MEDICAO!$F$5,$A436&lt;&gt;""),COUNTIFS($A$3:$A436,RELATORIO_MEDICAO!$C$5,$C$3:$C436,RELATORIO_MEDICAO!$F$5),"")</f>
        <v/>
      </c>
      <c r="Z436">
        <f>IF(OR($A436="",PESQUISA!$C$4=""),0,IF(OR(ISNUMBER(SEARCH(PESQUISA!$C$4,$G436)),ISNUMBER(SEARCH(PESQUISA!$C$4,$K436)),ISNUMBER(SEARCH(PESQUISA!$C$4,$L436))),1,0))</f>
        <v/>
      </c>
      <c r="AA436">
        <f>IF($Z436=1,SUM($Z$3:$Z436),"")</f>
        <v/>
      </c>
      <c r="AB436">
        <f>IF(OR($A436="",PESQUISA!$C$50=""),0,IF(ISNUMBER(SEARCH(PESQUISA!$C$50,$I436)),1,0))</f>
        <v/>
      </c>
      <c r="AC436">
        <f>IF($AB436=1,SUM($AB$3:$AB436),"")</f>
        <v/>
      </c>
    </row>
    <row r="437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>
        <f>IFERROR(INDEX(CONFIGURACOES!$G$37:$G$300,MATCH($I437,CONFIGURACOES!$B$37:$B$300,0)),"")</f>
        <v/>
      </c>
      <c r="K437" s="20">
        <f>IFERROR(INDEX(CONFIGURACOES!$H$37:$H$300,MATCH($I437,CONFIGURACOES!$B$37:$B$300,0)),"")</f>
        <v/>
      </c>
      <c r="L437" s="20" t="n"/>
      <c r="M437" s="20">
        <f>IFERROR(INDEX(CONFIGURACOES!$I$37:$I$300,MATCH($I437,CONFIGURACOES!$B$37:$B$300,0)),"")</f>
        <v/>
      </c>
      <c r="N437" s="21" t="n"/>
      <c r="O437" s="21" t="n"/>
      <c r="P437" s="21" t="n"/>
      <c r="Q437" s="21" t="n"/>
      <c r="R437" s="21">
        <f>IF($N437="","",$N437*IF($Q437="",1,$Q437)*IF($P437="",1,$P437)*IF($O437="",1,$O437))</f>
        <v/>
      </c>
      <c r="S437" s="22">
        <f>IFERROR(INDEX(CONFIGURACOES!$J$37:$J$300,MATCH($I437,CONFIGURACOES!$B$37:$B$300,0)),"")</f>
        <v/>
      </c>
      <c r="T437" s="22">
        <f>IF(OR($R437="",$S437=""),"",$R437*$S437)</f>
        <v/>
      </c>
      <c r="U437" s="20" t="n"/>
      <c r="V437" s="20" t="n"/>
      <c r="W437" s="20" t="n"/>
      <c r="X437">
        <f>IF($A437="","",$A437&amp;"|"&amp;$C437&amp;"|"&amp;$I437)</f>
        <v/>
      </c>
      <c r="Y437">
        <f>IF(AND($A437=RELATORIO_MEDICAO!$C$5,$C437=RELATORIO_MEDICAO!$F$5,$A437&lt;&gt;""),COUNTIFS($A$3:$A437,RELATORIO_MEDICAO!$C$5,$C$3:$C437,RELATORIO_MEDICAO!$F$5),"")</f>
        <v/>
      </c>
      <c r="Z437">
        <f>IF(OR($A437="",PESQUISA!$C$4=""),0,IF(OR(ISNUMBER(SEARCH(PESQUISA!$C$4,$G437)),ISNUMBER(SEARCH(PESQUISA!$C$4,$K437)),ISNUMBER(SEARCH(PESQUISA!$C$4,$L437))),1,0))</f>
        <v/>
      </c>
      <c r="AA437">
        <f>IF($Z437=1,SUM($Z$3:$Z437),"")</f>
        <v/>
      </c>
      <c r="AB437">
        <f>IF(OR($A437="",PESQUISA!$C$50=""),0,IF(ISNUMBER(SEARCH(PESQUISA!$C$50,$I437)),1,0))</f>
        <v/>
      </c>
      <c r="AC437">
        <f>IF($AB437=1,SUM($AB$3:$AB437),"")</f>
        <v/>
      </c>
    </row>
    <row r="438">
      <c r="A438" s="20" t="n"/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>
        <f>IFERROR(INDEX(CONFIGURACOES!$G$37:$G$300,MATCH($I438,CONFIGURACOES!$B$37:$B$300,0)),"")</f>
        <v/>
      </c>
      <c r="K438" s="20">
        <f>IFERROR(INDEX(CONFIGURACOES!$H$37:$H$300,MATCH($I438,CONFIGURACOES!$B$37:$B$300,0)),"")</f>
        <v/>
      </c>
      <c r="L438" s="20" t="n"/>
      <c r="M438" s="20">
        <f>IFERROR(INDEX(CONFIGURACOES!$I$37:$I$300,MATCH($I438,CONFIGURACOES!$B$37:$B$300,0)),"")</f>
        <v/>
      </c>
      <c r="N438" s="21" t="n"/>
      <c r="O438" s="21" t="n"/>
      <c r="P438" s="21" t="n"/>
      <c r="Q438" s="21" t="n"/>
      <c r="R438" s="21">
        <f>IF($N438="","",$N438*IF($Q438="",1,$Q438)*IF($P438="",1,$P438)*IF($O438="",1,$O438))</f>
        <v/>
      </c>
      <c r="S438" s="22">
        <f>IFERROR(INDEX(CONFIGURACOES!$J$37:$J$300,MATCH($I438,CONFIGURACOES!$B$37:$B$300,0)),"")</f>
        <v/>
      </c>
      <c r="T438" s="22">
        <f>IF(OR($R438="",$S438=""),"",$R438*$S438)</f>
        <v/>
      </c>
      <c r="U438" s="20" t="n"/>
      <c r="V438" s="20" t="n"/>
      <c r="W438" s="20" t="n"/>
      <c r="X438">
        <f>IF($A438="","",$A438&amp;"|"&amp;$C438&amp;"|"&amp;$I438)</f>
        <v/>
      </c>
      <c r="Y438">
        <f>IF(AND($A438=RELATORIO_MEDICAO!$C$5,$C438=RELATORIO_MEDICAO!$F$5,$A438&lt;&gt;""),COUNTIFS($A$3:$A438,RELATORIO_MEDICAO!$C$5,$C$3:$C438,RELATORIO_MEDICAO!$F$5),"")</f>
        <v/>
      </c>
      <c r="Z438">
        <f>IF(OR($A438="",PESQUISA!$C$4=""),0,IF(OR(ISNUMBER(SEARCH(PESQUISA!$C$4,$G438)),ISNUMBER(SEARCH(PESQUISA!$C$4,$K438)),ISNUMBER(SEARCH(PESQUISA!$C$4,$L438))),1,0))</f>
        <v/>
      </c>
      <c r="AA438">
        <f>IF($Z438=1,SUM($Z$3:$Z438),"")</f>
        <v/>
      </c>
      <c r="AB438">
        <f>IF(OR($A438="",PESQUISA!$C$50=""),0,IF(ISNUMBER(SEARCH(PESQUISA!$C$50,$I438)),1,0))</f>
        <v/>
      </c>
      <c r="AC438">
        <f>IF($AB438=1,SUM($AB$3:$AB438),"")</f>
        <v/>
      </c>
    </row>
    <row r="439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>
        <f>IFERROR(INDEX(CONFIGURACOES!$G$37:$G$300,MATCH($I439,CONFIGURACOES!$B$37:$B$300,0)),"")</f>
        <v/>
      </c>
      <c r="K439" s="20">
        <f>IFERROR(INDEX(CONFIGURACOES!$H$37:$H$300,MATCH($I439,CONFIGURACOES!$B$37:$B$300,0)),"")</f>
        <v/>
      </c>
      <c r="L439" s="20" t="n"/>
      <c r="M439" s="20">
        <f>IFERROR(INDEX(CONFIGURACOES!$I$37:$I$300,MATCH($I439,CONFIGURACOES!$B$37:$B$300,0)),"")</f>
        <v/>
      </c>
      <c r="N439" s="21" t="n"/>
      <c r="O439" s="21" t="n"/>
      <c r="P439" s="21" t="n"/>
      <c r="Q439" s="21" t="n"/>
      <c r="R439" s="21">
        <f>IF($N439="","",$N439*IF($Q439="",1,$Q439)*IF($P439="",1,$P439)*IF($O439="",1,$O439))</f>
        <v/>
      </c>
      <c r="S439" s="22">
        <f>IFERROR(INDEX(CONFIGURACOES!$J$37:$J$300,MATCH($I439,CONFIGURACOES!$B$37:$B$300,0)),"")</f>
        <v/>
      </c>
      <c r="T439" s="22">
        <f>IF(OR($R439="",$S439=""),"",$R439*$S439)</f>
        <v/>
      </c>
      <c r="U439" s="20" t="n"/>
      <c r="V439" s="20" t="n"/>
      <c r="W439" s="20" t="n"/>
      <c r="X439">
        <f>IF($A439="","",$A439&amp;"|"&amp;$C439&amp;"|"&amp;$I439)</f>
        <v/>
      </c>
      <c r="Y439">
        <f>IF(AND($A439=RELATORIO_MEDICAO!$C$5,$C439=RELATORIO_MEDICAO!$F$5,$A439&lt;&gt;""),COUNTIFS($A$3:$A439,RELATORIO_MEDICAO!$C$5,$C$3:$C439,RELATORIO_MEDICAO!$F$5),"")</f>
        <v/>
      </c>
      <c r="Z439">
        <f>IF(OR($A439="",PESQUISA!$C$4=""),0,IF(OR(ISNUMBER(SEARCH(PESQUISA!$C$4,$G439)),ISNUMBER(SEARCH(PESQUISA!$C$4,$K439)),ISNUMBER(SEARCH(PESQUISA!$C$4,$L439))),1,0))</f>
        <v/>
      </c>
      <c r="AA439">
        <f>IF($Z439=1,SUM($Z$3:$Z439),"")</f>
        <v/>
      </c>
      <c r="AB439">
        <f>IF(OR($A439="",PESQUISA!$C$50=""),0,IF(ISNUMBER(SEARCH(PESQUISA!$C$50,$I439)),1,0))</f>
        <v/>
      </c>
      <c r="AC439">
        <f>IF($AB439=1,SUM($AB$3:$AB439),"")</f>
        <v/>
      </c>
    </row>
    <row r="440">
      <c r="A440" s="20" t="n"/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>
        <f>IFERROR(INDEX(CONFIGURACOES!$G$37:$G$300,MATCH($I440,CONFIGURACOES!$B$37:$B$300,0)),"")</f>
        <v/>
      </c>
      <c r="K440" s="20">
        <f>IFERROR(INDEX(CONFIGURACOES!$H$37:$H$300,MATCH($I440,CONFIGURACOES!$B$37:$B$300,0)),"")</f>
        <v/>
      </c>
      <c r="L440" s="20" t="n"/>
      <c r="M440" s="20">
        <f>IFERROR(INDEX(CONFIGURACOES!$I$37:$I$300,MATCH($I440,CONFIGURACOES!$B$37:$B$300,0)),"")</f>
        <v/>
      </c>
      <c r="N440" s="21" t="n"/>
      <c r="O440" s="21" t="n"/>
      <c r="P440" s="21" t="n"/>
      <c r="Q440" s="21" t="n"/>
      <c r="R440" s="21">
        <f>IF($N440="","",$N440*IF($Q440="",1,$Q440)*IF($P440="",1,$P440)*IF($O440="",1,$O440))</f>
        <v/>
      </c>
      <c r="S440" s="22">
        <f>IFERROR(INDEX(CONFIGURACOES!$J$37:$J$300,MATCH($I440,CONFIGURACOES!$B$37:$B$300,0)),"")</f>
        <v/>
      </c>
      <c r="T440" s="22">
        <f>IF(OR($R440="",$S440=""),"",$R440*$S440)</f>
        <v/>
      </c>
      <c r="U440" s="20" t="n"/>
      <c r="V440" s="20" t="n"/>
      <c r="W440" s="20" t="n"/>
      <c r="X440">
        <f>IF($A440="","",$A440&amp;"|"&amp;$C440&amp;"|"&amp;$I440)</f>
        <v/>
      </c>
      <c r="Y440">
        <f>IF(AND($A440=RELATORIO_MEDICAO!$C$5,$C440=RELATORIO_MEDICAO!$F$5,$A440&lt;&gt;""),COUNTIFS($A$3:$A440,RELATORIO_MEDICAO!$C$5,$C$3:$C440,RELATORIO_MEDICAO!$F$5),"")</f>
        <v/>
      </c>
      <c r="Z440">
        <f>IF(OR($A440="",PESQUISA!$C$4=""),0,IF(OR(ISNUMBER(SEARCH(PESQUISA!$C$4,$G440)),ISNUMBER(SEARCH(PESQUISA!$C$4,$K440)),ISNUMBER(SEARCH(PESQUISA!$C$4,$L440))),1,0))</f>
        <v/>
      </c>
      <c r="AA440">
        <f>IF($Z440=1,SUM($Z$3:$Z440),"")</f>
        <v/>
      </c>
      <c r="AB440">
        <f>IF(OR($A440="",PESQUISA!$C$50=""),0,IF(ISNUMBER(SEARCH(PESQUISA!$C$50,$I440)),1,0))</f>
        <v/>
      </c>
      <c r="AC440">
        <f>IF($AB440=1,SUM($AB$3:$AB440),"")</f>
        <v/>
      </c>
    </row>
    <row r="441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>
        <f>IFERROR(INDEX(CONFIGURACOES!$G$37:$G$300,MATCH($I441,CONFIGURACOES!$B$37:$B$300,0)),"")</f>
        <v/>
      </c>
      <c r="K441" s="20">
        <f>IFERROR(INDEX(CONFIGURACOES!$H$37:$H$300,MATCH($I441,CONFIGURACOES!$B$37:$B$300,0)),"")</f>
        <v/>
      </c>
      <c r="L441" s="20" t="n"/>
      <c r="M441" s="20">
        <f>IFERROR(INDEX(CONFIGURACOES!$I$37:$I$300,MATCH($I441,CONFIGURACOES!$B$37:$B$300,0)),"")</f>
        <v/>
      </c>
      <c r="N441" s="21" t="n"/>
      <c r="O441" s="21" t="n"/>
      <c r="P441" s="21" t="n"/>
      <c r="Q441" s="21" t="n"/>
      <c r="R441" s="21">
        <f>IF($N441="","",$N441*IF($Q441="",1,$Q441)*IF($P441="",1,$P441)*IF($O441="",1,$O441))</f>
        <v/>
      </c>
      <c r="S441" s="22">
        <f>IFERROR(INDEX(CONFIGURACOES!$J$37:$J$300,MATCH($I441,CONFIGURACOES!$B$37:$B$300,0)),"")</f>
        <v/>
      </c>
      <c r="T441" s="22">
        <f>IF(OR($R441="",$S441=""),"",$R441*$S441)</f>
        <v/>
      </c>
      <c r="U441" s="20" t="n"/>
      <c r="V441" s="20" t="n"/>
      <c r="W441" s="20" t="n"/>
      <c r="X441">
        <f>IF($A441="","",$A441&amp;"|"&amp;$C441&amp;"|"&amp;$I441)</f>
        <v/>
      </c>
      <c r="Y441">
        <f>IF(AND($A441=RELATORIO_MEDICAO!$C$5,$C441=RELATORIO_MEDICAO!$F$5,$A441&lt;&gt;""),COUNTIFS($A$3:$A441,RELATORIO_MEDICAO!$C$5,$C$3:$C441,RELATORIO_MEDICAO!$F$5),"")</f>
        <v/>
      </c>
      <c r="Z441">
        <f>IF(OR($A441="",PESQUISA!$C$4=""),0,IF(OR(ISNUMBER(SEARCH(PESQUISA!$C$4,$G441)),ISNUMBER(SEARCH(PESQUISA!$C$4,$K441)),ISNUMBER(SEARCH(PESQUISA!$C$4,$L441))),1,0))</f>
        <v/>
      </c>
      <c r="AA441">
        <f>IF($Z441=1,SUM($Z$3:$Z441),"")</f>
        <v/>
      </c>
      <c r="AB441">
        <f>IF(OR($A441="",PESQUISA!$C$50=""),0,IF(ISNUMBER(SEARCH(PESQUISA!$C$50,$I441)),1,0))</f>
        <v/>
      </c>
      <c r="AC441">
        <f>IF($AB441=1,SUM($AB$3:$AB441),"")</f>
        <v/>
      </c>
    </row>
    <row r="442">
      <c r="A442" s="20" t="n"/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>
        <f>IFERROR(INDEX(CONFIGURACOES!$G$37:$G$300,MATCH($I442,CONFIGURACOES!$B$37:$B$300,0)),"")</f>
        <v/>
      </c>
      <c r="K442" s="20">
        <f>IFERROR(INDEX(CONFIGURACOES!$H$37:$H$300,MATCH($I442,CONFIGURACOES!$B$37:$B$300,0)),"")</f>
        <v/>
      </c>
      <c r="L442" s="20" t="n"/>
      <c r="M442" s="20">
        <f>IFERROR(INDEX(CONFIGURACOES!$I$37:$I$300,MATCH($I442,CONFIGURACOES!$B$37:$B$300,0)),"")</f>
        <v/>
      </c>
      <c r="N442" s="21" t="n"/>
      <c r="O442" s="21" t="n"/>
      <c r="P442" s="21" t="n"/>
      <c r="Q442" s="21" t="n"/>
      <c r="R442" s="21">
        <f>IF($N442="","",$N442*IF($Q442="",1,$Q442)*IF($P442="",1,$P442)*IF($O442="",1,$O442))</f>
        <v/>
      </c>
      <c r="S442" s="22">
        <f>IFERROR(INDEX(CONFIGURACOES!$J$37:$J$300,MATCH($I442,CONFIGURACOES!$B$37:$B$300,0)),"")</f>
        <v/>
      </c>
      <c r="T442" s="22">
        <f>IF(OR($R442="",$S442=""),"",$R442*$S442)</f>
        <v/>
      </c>
      <c r="U442" s="20" t="n"/>
      <c r="V442" s="20" t="n"/>
      <c r="W442" s="20" t="n"/>
      <c r="X442">
        <f>IF($A442="","",$A442&amp;"|"&amp;$C442&amp;"|"&amp;$I442)</f>
        <v/>
      </c>
      <c r="Y442">
        <f>IF(AND($A442=RELATORIO_MEDICAO!$C$5,$C442=RELATORIO_MEDICAO!$F$5,$A442&lt;&gt;""),COUNTIFS($A$3:$A442,RELATORIO_MEDICAO!$C$5,$C$3:$C442,RELATORIO_MEDICAO!$F$5),"")</f>
        <v/>
      </c>
      <c r="Z442">
        <f>IF(OR($A442="",PESQUISA!$C$4=""),0,IF(OR(ISNUMBER(SEARCH(PESQUISA!$C$4,$G442)),ISNUMBER(SEARCH(PESQUISA!$C$4,$K442)),ISNUMBER(SEARCH(PESQUISA!$C$4,$L442))),1,0))</f>
        <v/>
      </c>
      <c r="AA442">
        <f>IF($Z442=1,SUM($Z$3:$Z442),"")</f>
        <v/>
      </c>
      <c r="AB442">
        <f>IF(OR($A442="",PESQUISA!$C$50=""),0,IF(ISNUMBER(SEARCH(PESQUISA!$C$50,$I442)),1,0))</f>
        <v/>
      </c>
      <c r="AC442">
        <f>IF($AB442=1,SUM($AB$3:$AB442),"")</f>
        <v/>
      </c>
    </row>
    <row r="443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>
        <f>IFERROR(INDEX(CONFIGURACOES!$G$37:$G$300,MATCH($I443,CONFIGURACOES!$B$37:$B$300,0)),"")</f>
        <v/>
      </c>
      <c r="K443" s="20">
        <f>IFERROR(INDEX(CONFIGURACOES!$H$37:$H$300,MATCH($I443,CONFIGURACOES!$B$37:$B$300,0)),"")</f>
        <v/>
      </c>
      <c r="L443" s="20" t="n"/>
      <c r="M443" s="20">
        <f>IFERROR(INDEX(CONFIGURACOES!$I$37:$I$300,MATCH($I443,CONFIGURACOES!$B$37:$B$300,0)),"")</f>
        <v/>
      </c>
      <c r="N443" s="21" t="n"/>
      <c r="O443" s="21" t="n"/>
      <c r="P443" s="21" t="n"/>
      <c r="Q443" s="21" t="n"/>
      <c r="R443" s="21">
        <f>IF($N443="","",$N443*IF($Q443="",1,$Q443)*IF($P443="",1,$P443)*IF($O443="",1,$O443))</f>
        <v/>
      </c>
      <c r="S443" s="22">
        <f>IFERROR(INDEX(CONFIGURACOES!$J$37:$J$300,MATCH($I443,CONFIGURACOES!$B$37:$B$300,0)),"")</f>
        <v/>
      </c>
      <c r="T443" s="22">
        <f>IF(OR($R443="",$S443=""),"",$R443*$S443)</f>
        <v/>
      </c>
      <c r="U443" s="20" t="n"/>
      <c r="V443" s="20" t="n"/>
      <c r="W443" s="20" t="n"/>
      <c r="X443">
        <f>IF($A443="","",$A443&amp;"|"&amp;$C443&amp;"|"&amp;$I443)</f>
        <v/>
      </c>
      <c r="Y443">
        <f>IF(AND($A443=RELATORIO_MEDICAO!$C$5,$C443=RELATORIO_MEDICAO!$F$5,$A443&lt;&gt;""),COUNTIFS($A$3:$A443,RELATORIO_MEDICAO!$C$5,$C$3:$C443,RELATORIO_MEDICAO!$F$5),"")</f>
        <v/>
      </c>
      <c r="Z443">
        <f>IF(OR($A443="",PESQUISA!$C$4=""),0,IF(OR(ISNUMBER(SEARCH(PESQUISA!$C$4,$G443)),ISNUMBER(SEARCH(PESQUISA!$C$4,$K443)),ISNUMBER(SEARCH(PESQUISA!$C$4,$L443))),1,0))</f>
        <v/>
      </c>
      <c r="AA443">
        <f>IF($Z443=1,SUM($Z$3:$Z443),"")</f>
        <v/>
      </c>
      <c r="AB443">
        <f>IF(OR($A443="",PESQUISA!$C$50=""),0,IF(ISNUMBER(SEARCH(PESQUISA!$C$50,$I443)),1,0))</f>
        <v/>
      </c>
      <c r="AC443">
        <f>IF($AB443=1,SUM($AB$3:$AB443),"")</f>
        <v/>
      </c>
    </row>
    <row r="444">
      <c r="A444" s="20" t="n"/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>
        <f>IFERROR(INDEX(CONFIGURACOES!$G$37:$G$300,MATCH($I444,CONFIGURACOES!$B$37:$B$300,0)),"")</f>
        <v/>
      </c>
      <c r="K444" s="20">
        <f>IFERROR(INDEX(CONFIGURACOES!$H$37:$H$300,MATCH($I444,CONFIGURACOES!$B$37:$B$300,0)),"")</f>
        <v/>
      </c>
      <c r="L444" s="20" t="n"/>
      <c r="M444" s="20">
        <f>IFERROR(INDEX(CONFIGURACOES!$I$37:$I$300,MATCH($I444,CONFIGURACOES!$B$37:$B$300,0)),"")</f>
        <v/>
      </c>
      <c r="N444" s="21" t="n"/>
      <c r="O444" s="21" t="n"/>
      <c r="P444" s="21" t="n"/>
      <c r="Q444" s="21" t="n"/>
      <c r="R444" s="21">
        <f>IF($N444="","",$N444*IF($Q444="",1,$Q444)*IF($P444="",1,$P444)*IF($O444="",1,$O444))</f>
        <v/>
      </c>
      <c r="S444" s="22">
        <f>IFERROR(INDEX(CONFIGURACOES!$J$37:$J$300,MATCH($I444,CONFIGURACOES!$B$37:$B$300,0)),"")</f>
        <v/>
      </c>
      <c r="T444" s="22">
        <f>IF(OR($R444="",$S444=""),"",$R444*$S444)</f>
        <v/>
      </c>
      <c r="U444" s="20" t="n"/>
      <c r="V444" s="20" t="n"/>
      <c r="W444" s="20" t="n"/>
      <c r="X444">
        <f>IF($A444="","",$A444&amp;"|"&amp;$C444&amp;"|"&amp;$I444)</f>
        <v/>
      </c>
      <c r="Y444">
        <f>IF(AND($A444=RELATORIO_MEDICAO!$C$5,$C444=RELATORIO_MEDICAO!$F$5,$A444&lt;&gt;""),COUNTIFS($A$3:$A444,RELATORIO_MEDICAO!$C$5,$C$3:$C444,RELATORIO_MEDICAO!$F$5),"")</f>
        <v/>
      </c>
      <c r="Z444">
        <f>IF(OR($A444="",PESQUISA!$C$4=""),0,IF(OR(ISNUMBER(SEARCH(PESQUISA!$C$4,$G444)),ISNUMBER(SEARCH(PESQUISA!$C$4,$K444)),ISNUMBER(SEARCH(PESQUISA!$C$4,$L444))),1,0))</f>
        <v/>
      </c>
      <c r="AA444">
        <f>IF($Z444=1,SUM($Z$3:$Z444),"")</f>
        <v/>
      </c>
      <c r="AB444">
        <f>IF(OR($A444="",PESQUISA!$C$50=""),0,IF(ISNUMBER(SEARCH(PESQUISA!$C$50,$I444)),1,0))</f>
        <v/>
      </c>
      <c r="AC444">
        <f>IF($AB444=1,SUM($AB$3:$AB444),"")</f>
        <v/>
      </c>
    </row>
    <row r="445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>
        <f>IFERROR(INDEX(CONFIGURACOES!$G$37:$G$300,MATCH($I445,CONFIGURACOES!$B$37:$B$300,0)),"")</f>
        <v/>
      </c>
      <c r="K445" s="20">
        <f>IFERROR(INDEX(CONFIGURACOES!$H$37:$H$300,MATCH($I445,CONFIGURACOES!$B$37:$B$300,0)),"")</f>
        <v/>
      </c>
      <c r="L445" s="20" t="n"/>
      <c r="M445" s="20">
        <f>IFERROR(INDEX(CONFIGURACOES!$I$37:$I$300,MATCH($I445,CONFIGURACOES!$B$37:$B$300,0)),"")</f>
        <v/>
      </c>
      <c r="N445" s="21" t="n"/>
      <c r="O445" s="21" t="n"/>
      <c r="P445" s="21" t="n"/>
      <c r="Q445" s="21" t="n"/>
      <c r="R445" s="21">
        <f>IF($N445="","",$N445*IF($Q445="",1,$Q445)*IF($P445="",1,$P445)*IF($O445="",1,$O445))</f>
        <v/>
      </c>
      <c r="S445" s="22">
        <f>IFERROR(INDEX(CONFIGURACOES!$J$37:$J$300,MATCH($I445,CONFIGURACOES!$B$37:$B$300,0)),"")</f>
        <v/>
      </c>
      <c r="T445" s="22">
        <f>IF(OR($R445="",$S445=""),"",$R445*$S445)</f>
        <v/>
      </c>
      <c r="U445" s="20" t="n"/>
      <c r="V445" s="20" t="n"/>
      <c r="W445" s="20" t="n"/>
      <c r="X445">
        <f>IF($A445="","",$A445&amp;"|"&amp;$C445&amp;"|"&amp;$I445)</f>
        <v/>
      </c>
      <c r="Y445">
        <f>IF(AND($A445=RELATORIO_MEDICAO!$C$5,$C445=RELATORIO_MEDICAO!$F$5,$A445&lt;&gt;""),COUNTIFS($A$3:$A445,RELATORIO_MEDICAO!$C$5,$C$3:$C445,RELATORIO_MEDICAO!$F$5),"")</f>
        <v/>
      </c>
      <c r="Z445">
        <f>IF(OR($A445="",PESQUISA!$C$4=""),0,IF(OR(ISNUMBER(SEARCH(PESQUISA!$C$4,$G445)),ISNUMBER(SEARCH(PESQUISA!$C$4,$K445)),ISNUMBER(SEARCH(PESQUISA!$C$4,$L445))),1,0))</f>
        <v/>
      </c>
      <c r="AA445">
        <f>IF($Z445=1,SUM($Z$3:$Z445),"")</f>
        <v/>
      </c>
      <c r="AB445">
        <f>IF(OR($A445="",PESQUISA!$C$50=""),0,IF(ISNUMBER(SEARCH(PESQUISA!$C$50,$I445)),1,0))</f>
        <v/>
      </c>
      <c r="AC445">
        <f>IF($AB445=1,SUM($AB$3:$AB445),"")</f>
        <v/>
      </c>
    </row>
    <row r="446">
      <c r="A446" s="20" t="n"/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>
        <f>IFERROR(INDEX(CONFIGURACOES!$G$37:$G$300,MATCH($I446,CONFIGURACOES!$B$37:$B$300,0)),"")</f>
        <v/>
      </c>
      <c r="K446" s="20">
        <f>IFERROR(INDEX(CONFIGURACOES!$H$37:$H$300,MATCH($I446,CONFIGURACOES!$B$37:$B$300,0)),"")</f>
        <v/>
      </c>
      <c r="L446" s="20" t="n"/>
      <c r="M446" s="20">
        <f>IFERROR(INDEX(CONFIGURACOES!$I$37:$I$300,MATCH($I446,CONFIGURACOES!$B$37:$B$300,0)),"")</f>
        <v/>
      </c>
      <c r="N446" s="21" t="n"/>
      <c r="O446" s="21" t="n"/>
      <c r="P446" s="21" t="n"/>
      <c r="Q446" s="21" t="n"/>
      <c r="R446" s="21">
        <f>IF($N446="","",$N446*IF($Q446="",1,$Q446)*IF($P446="",1,$P446)*IF($O446="",1,$O446))</f>
        <v/>
      </c>
      <c r="S446" s="22">
        <f>IFERROR(INDEX(CONFIGURACOES!$J$37:$J$300,MATCH($I446,CONFIGURACOES!$B$37:$B$300,0)),"")</f>
        <v/>
      </c>
      <c r="T446" s="22">
        <f>IF(OR($R446="",$S446=""),"",$R446*$S446)</f>
        <v/>
      </c>
      <c r="U446" s="20" t="n"/>
      <c r="V446" s="20" t="n"/>
      <c r="W446" s="20" t="n"/>
      <c r="X446">
        <f>IF($A446="","",$A446&amp;"|"&amp;$C446&amp;"|"&amp;$I446)</f>
        <v/>
      </c>
      <c r="Y446">
        <f>IF(AND($A446=RELATORIO_MEDICAO!$C$5,$C446=RELATORIO_MEDICAO!$F$5,$A446&lt;&gt;""),COUNTIFS($A$3:$A446,RELATORIO_MEDICAO!$C$5,$C$3:$C446,RELATORIO_MEDICAO!$F$5),"")</f>
        <v/>
      </c>
      <c r="Z446">
        <f>IF(OR($A446="",PESQUISA!$C$4=""),0,IF(OR(ISNUMBER(SEARCH(PESQUISA!$C$4,$G446)),ISNUMBER(SEARCH(PESQUISA!$C$4,$K446)),ISNUMBER(SEARCH(PESQUISA!$C$4,$L446))),1,0))</f>
        <v/>
      </c>
      <c r="AA446">
        <f>IF($Z446=1,SUM($Z$3:$Z446),"")</f>
        <v/>
      </c>
      <c r="AB446">
        <f>IF(OR($A446="",PESQUISA!$C$50=""),0,IF(ISNUMBER(SEARCH(PESQUISA!$C$50,$I446)),1,0))</f>
        <v/>
      </c>
      <c r="AC446">
        <f>IF($AB446=1,SUM($AB$3:$AB446),"")</f>
        <v/>
      </c>
    </row>
    <row r="447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>
        <f>IFERROR(INDEX(CONFIGURACOES!$G$37:$G$300,MATCH($I447,CONFIGURACOES!$B$37:$B$300,0)),"")</f>
        <v/>
      </c>
      <c r="K447" s="20">
        <f>IFERROR(INDEX(CONFIGURACOES!$H$37:$H$300,MATCH($I447,CONFIGURACOES!$B$37:$B$300,0)),"")</f>
        <v/>
      </c>
      <c r="L447" s="20" t="n"/>
      <c r="M447" s="20">
        <f>IFERROR(INDEX(CONFIGURACOES!$I$37:$I$300,MATCH($I447,CONFIGURACOES!$B$37:$B$300,0)),"")</f>
        <v/>
      </c>
      <c r="N447" s="21" t="n"/>
      <c r="O447" s="21" t="n"/>
      <c r="P447" s="21" t="n"/>
      <c r="Q447" s="21" t="n"/>
      <c r="R447" s="21">
        <f>IF($N447="","",$N447*IF($Q447="",1,$Q447)*IF($P447="",1,$P447)*IF($O447="",1,$O447))</f>
        <v/>
      </c>
      <c r="S447" s="22">
        <f>IFERROR(INDEX(CONFIGURACOES!$J$37:$J$300,MATCH($I447,CONFIGURACOES!$B$37:$B$300,0)),"")</f>
        <v/>
      </c>
      <c r="T447" s="22">
        <f>IF(OR($R447="",$S447=""),"",$R447*$S447)</f>
        <v/>
      </c>
      <c r="U447" s="20" t="n"/>
      <c r="V447" s="20" t="n"/>
      <c r="W447" s="20" t="n"/>
      <c r="X447">
        <f>IF($A447="","",$A447&amp;"|"&amp;$C447&amp;"|"&amp;$I447)</f>
        <v/>
      </c>
      <c r="Y447">
        <f>IF(AND($A447=RELATORIO_MEDICAO!$C$5,$C447=RELATORIO_MEDICAO!$F$5,$A447&lt;&gt;""),COUNTIFS($A$3:$A447,RELATORIO_MEDICAO!$C$5,$C$3:$C447,RELATORIO_MEDICAO!$F$5),"")</f>
        <v/>
      </c>
      <c r="Z447">
        <f>IF(OR($A447="",PESQUISA!$C$4=""),0,IF(OR(ISNUMBER(SEARCH(PESQUISA!$C$4,$G447)),ISNUMBER(SEARCH(PESQUISA!$C$4,$K447)),ISNUMBER(SEARCH(PESQUISA!$C$4,$L447))),1,0))</f>
        <v/>
      </c>
      <c r="AA447">
        <f>IF($Z447=1,SUM($Z$3:$Z447),"")</f>
        <v/>
      </c>
      <c r="AB447">
        <f>IF(OR($A447="",PESQUISA!$C$50=""),0,IF(ISNUMBER(SEARCH(PESQUISA!$C$50,$I447)),1,0))</f>
        <v/>
      </c>
      <c r="AC447">
        <f>IF($AB447=1,SUM($AB$3:$AB447),"")</f>
        <v/>
      </c>
    </row>
    <row r="448">
      <c r="A448" s="20" t="n"/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>
        <f>IFERROR(INDEX(CONFIGURACOES!$G$37:$G$300,MATCH($I448,CONFIGURACOES!$B$37:$B$300,0)),"")</f>
        <v/>
      </c>
      <c r="K448" s="20">
        <f>IFERROR(INDEX(CONFIGURACOES!$H$37:$H$300,MATCH($I448,CONFIGURACOES!$B$37:$B$300,0)),"")</f>
        <v/>
      </c>
      <c r="L448" s="20" t="n"/>
      <c r="M448" s="20">
        <f>IFERROR(INDEX(CONFIGURACOES!$I$37:$I$300,MATCH($I448,CONFIGURACOES!$B$37:$B$300,0)),"")</f>
        <v/>
      </c>
      <c r="N448" s="21" t="n"/>
      <c r="O448" s="21" t="n"/>
      <c r="P448" s="21" t="n"/>
      <c r="Q448" s="21" t="n"/>
      <c r="R448" s="21">
        <f>IF($N448="","",$N448*IF($Q448="",1,$Q448)*IF($P448="",1,$P448)*IF($O448="",1,$O448))</f>
        <v/>
      </c>
      <c r="S448" s="22">
        <f>IFERROR(INDEX(CONFIGURACOES!$J$37:$J$300,MATCH($I448,CONFIGURACOES!$B$37:$B$300,0)),"")</f>
        <v/>
      </c>
      <c r="T448" s="22">
        <f>IF(OR($R448="",$S448=""),"",$R448*$S448)</f>
        <v/>
      </c>
      <c r="U448" s="20" t="n"/>
      <c r="V448" s="20" t="n"/>
      <c r="W448" s="20" t="n"/>
      <c r="X448">
        <f>IF($A448="","",$A448&amp;"|"&amp;$C448&amp;"|"&amp;$I448)</f>
        <v/>
      </c>
      <c r="Y448">
        <f>IF(AND($A448=RELATORIO_MEDICAO!$C$5,$C448=RELATORIO_MEDICAO!$F$5,$A448&lt;&gt;""),COUNTIFS($A$3:$A448,RELATORIO_MEDICAO!$C$5,$C$3:$C448,RELATORIO_MEDICAO!$F$5),"")</f>
        <v/>
      </c>
      <c r="Z448">
        <f>IF(OR($A448="",PESQUISA!$C$4=""),0,IF(OR(ISNUMBER(SEARCH(PESQUISA!$C$4,$G448)),ISNUMBER(SEARCH(PESQUISA!$C$4,$K448)),ISNUMBER(SEARCH(PESQUISA!$C$4,$L448))),1,0))</f>
        <v/>
      </c>
      <c r="AA448">
        <f>IF($Z448=1,SUM($Z$3:$Z448),"")</f>
        <v/>
      </c>
      <c r="AB448">
        <f>IF(OR($A448="",PESQUISA!$C$50=""),0,IF(ISNUMBER(SEARCH(PESQUISA!$C$50,$I448)),1,0))</f>
        <v/>
      </c>
      <c r="AC448">
        <f>IF($AB448=1,SUM($AB$3:$AB448),"")</f>
        <v/>
      </c>
    </row>
    <row r="449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>
        <f>IFERROR(INDEX(CONFIGURACOES!$G$37:$G$300,MATCH($I449,CONFIGURACOES!$B$37:$B$300,0)),"")</f>
        <v/>
      </c>
      <c r="K449" s="20">
        <f>IFERROR(INDEX(CONFIGURACOES!$H$37:$H$300,MATCH($I449,CONFIGURACOES!$B$37:$B$300,0)),"")</f>
        <v/>
      </c>
      <c r="L449" s="20" t="n"/>
      <c r="M449" s="20">
        <f>IFERROR(INDEX(CONFIGURACOES!$I$37:$I$300,MATCH($I449,CONFIGURACOES!$B$37:$B$300,0)),"")</f>
        <v/>
      </c>
      <c r="N449" s="21" t="n"/>
      <c r="O449" s="21" t="n"/>
      <c r="P449" s="21" t="n"/>
      <c r="Q449" s="21" t="n"/>
      <c r="R449" s="21">
        <f>IF($N449="","",$N449*IF($Q449="",1,$Q449)*IF($P449="",1,$P449)*IF($O449="",1,$O449))</f>
        <v/>
      </c>
      <c r="S449" s="22">
        <f>IFERROR(INDEX(CONFIGURACOES!$J$37:$J$300,MATCH($I449,CONFIGURACOES!$B$37:$B$300,0)),"")</f>
        <v/>
      </c>
      <c r="T449" s="22">
        <f>IF(OR($R449="",$S449=""),"",$R449*$S449)</f>
        <v/>
      </c>
      <c r="U449" s="20" t="n"/>
      <c r="V449" s="20" t="n"/>
      <c r="W449" s="20" t="n"/>
      <c r="X449">
        <f>IF($A449="","",$A449&amp;"|"&amp;$C449&amp;"|"&amp;$I449)</f>
        <v/>
      </c>
      <c r="Y449">
        <f>IF(AND($A449=RELATORIO_MEDICAO!$C$5,$C449=RELATORIO_MEDICAO!$F$5,$A449&lt;&gt;""),COUNTIFS($A$3:$A449,RELATORIO_MEDICAO!$C$5,$C$3:$C449,RELATORIO_MEDICAO!$F$5),"")</f>
        <v/>
      </c>
      <c r="Z449">
        <f>IF(OR($A449="",PESQUISA!$C$4=""),0,IF(OR(ISNUMBER(SEARCH(PESQUISA!$C$4,$G449)),ISNUMBER(SEARCH(PESQUISA!$C$4,$K449)),ISNUMBER(SEARCH(PESQUISA!$C$4,$L449))),1,0))</f>
        <v/>
      </c>
      <c r="AA449">
        <f>IF($Z449=1,SUM($Z$3:$Z449),"")</f>
        <v/>
      </c>
      <c r="AB449">
        <f>IF(OR($A449="",PESQUISA!$C$50=""),0,IF(ISNUMBER(SEARCH(PESQUISA!$C$50,$I449)),1,0))</f>
        <v/>
      </c>
      <c r="AC449">
        <f>IF($AB449=1,SUM($AB$3:$AB449),"")</f>
        <v/>
      </c>
    </row>
    <row r="450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>
        <f>IFERROR(INDEX(CONFIGURACOES!$G$37:$G$300,MATCH($I450,CONFIGURACOES!$B$37:$B$300,0)),"")</f>
        <v/>
      </c>
      <c r="K450" s="20">
        <f>IFERROR(INDEX(CONFIGURACOES!$H$37:$H$300,MATCH($I450,CONFIGURACOES!$B$37:$B$300,0)),"")</f>
        <v/>
      </c>
      <c r="L450" s="20" t="n"/>
      <c r="M450" s="20">
        <f>IFERROR(INDEX(CONFIGURACOES!$I$37:$I$300,MATCH($I450,CONFIGURACOES!$B$37:$B$300,0)),"")</f>
        <v/>
      </c>
      <c r="N450" s="21" t="n"/>
      <c r="O450" s="21" t="n"/>
      <c r="P450" s="21" t="n"/>
      <c r="Q450" s="21" t="n"/>
      <c r="R450" s="21">
        <f>IF($N450="","",$N450*IF($Q450="",1,$Q450)*IF($P450="",1,$P450)*IF($O450="",1,$O450))</f>
        <v/>
      </c>
      <c r="S450" s="22">
        <f>IFERROR(INDEX(CONFIGURACOES!$J$37:$J$300,MATCH($I450,CONFIGURACOES!$B$37:$B$300,0)),"")</f>
        <v/>
      </c>
      <c r="T450" s="22">
        <f>IF(OR($R450="",$S450=""),"",$R450*$S450)</f>
        <v/>
      </c>
      <c r="U450" s="20" t="n"/>
      <c r="V450" s="20" t="n"/>
      <c r="W450" s="20" t="n"/>
      <c r="X450">
        <f>IF($A450="","",$A450&amp;"|"&amp;$C450&amp;"|"&amp;$I450)</f>
        <v/>
      </c>
      <c r="Y450">
        <f>IF(AND($A450=RELATORIO_MEDICAO!$C$5,$C450=RELATORIO_MEDICAO!$F$5,$A450&lt;&gt;""),COUNTIFS($A$3:$A450,RELATORIO_MEDICAO!$C$5,$C$3:$C450,RELATORIO_MEDICAO!$F$5),"")</f>
        <v/>
      </c>
      <c r="Z450">
        <f>IF(OR($A450="",PESQUISA!$C$4=""),0,IF(OR(ISNUMBER(SEARCH(PESQUISA!$C$4,$G450)),ISNUMBER(SEARCH(PESQUISA!$C$4,$K450)),ISNUMBER(SEARCH(PESQUISA!$C$4,$L450))),1,0))</f>
        <v/>
      </c>
      <c r="AA450">
        <f>IF($Z450=1,SUM($Z$3:$Z450),"")</f>
        <v/>
      </c>
      <c r="AB450">
        <f>IF(OR($A450="",PESQUISA!$C$50=""),0,IF(ISNUMBER(SEARCH(PESQUISA!$C$50,$I450)),1,0))</f>
        <v/>
      </c>
      <c r="AC450">
        <f>IF($AB450=1,SUM($AB$3:$AB450),"")</f>
        <v/>
      </c>
    </row>
    <row r="45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>
        <f>IFERROR(INDEX(CONFIGURACOES!$G$37:$G$300,MATCH($I451,CONFIGURACOES!$B$37:$B$300,0)),"")</f>
        <v/>
      </c>
      <c r="K451" s="20">
        <f>IFERROR(INDEX(CONFIGURACOES!$H$37:$H$300,MATCH($I451,CONFIGURACOES!$B$37:$B$300,0)),"")</f>
        <v/>
      </c>
      <c r="L451" s="20" t="n"/>
      <c r="M451" s="20">
        <f>IFERROR(INDEX(CONFIGURACOES!$I$37:$I$300,MATCH($I451,CONFIGURACOES!$B$37:$B$300,0)),"")</f>
        <v/>
      </c>
      <c r="N451" s="21" t="n"/>
      <c r="O451" s="21" t="n"/>
      <c r="P451" s="21" t="n"/>
      <c r="Q451" s="21" t="n"/>
      <c r="R451" s="21">
        <f>IF($N451="","",$N451*IF($Q451="",1,$Q451)*IF($P451="",1,$P451)*IF($O451="",1,$O451))</f>
        <v/>
      </c>
      <c r="S451" s="22">
        <f>IFERROR(INDEX(CONFIGURACOES!$J$37:$J$300,MATCH($I451,CONFIGURACOES!$B$37:$B$300,0)),"")</f>
        <v/>
      </c>
      <c r="T451" s="22">
        <f>IF(OR($R451="",$S451=""),"",$R451*$S451)</f>
        <v/>
      </c>
      <c r="U451" s="20" t="n"/>
      <c r="V451" s="20" t="n"/>
      <c r="W451" s="20" t="n"/>
      <c r="X451">
        <f>IF($A451="","",$A451&amp;"|"&amp;$C451&amp;"|"&amp;$I451)</f>
        <v/>
      </c>
      <c r="Y451">
        <f>IF(AND($A451=RELATORIO_MEDICAO!$C$5,$C451=RELATORIO_MEDICAO!$F$5,$A451&lt;&gt;""),COUNTIFS($A$3:$A451,RELATORIO_MEDICAO!$C$5,$C$3:$C451,RELATORIO_MEDICAO!$F$5),"")</f>
        <v/>
      </c>
      <c r="Z451">
        <f>IF(OR($A451="",PESQUISA!$C$4=""),0,IF(OR(ISNUMBER(SEARCH(PESQUISA!$C$4,$G451)),ISNUMBER(SEARCH(PESQUISA!$C$4,$K451)),ISNUMBER(SEARCH(PESQUISA!$C$4,$L451))),1,0))</f>
        <v/>
      </c>
      <c r="AA451">
        <f>IF($Z451=1,SUM($Z$3:$Z451),"")</f>
        <v/>
      </c>
      <c r="AB451">
        <f>IF(OR($A451="",PESQUISA!$C$50=""),0,IF(ISNUMBER(SEARCH(PESQUISA!$C$50,$I451)),1,0))</f>
        <v/>
      </c>
      <c r="AC451">
        <f>IF($AB451=1,SUM($AB$3:$AB451),"")</f>
        <v/>
      </c>
    </row>
    <row r="452">
      <c r="A452" s="20" t="n"/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>
        <f>IFERROR(INDEX(CONFIGURACOES!$G$37:$G$300,MATCH($I452,CONFIGURACOES!$B$37:$B$300,0)),"")</f>
        <v/>
      </c>
      <c r="K452" s="20">
        <f>IFERROR(INDEX(CONFIGURACOES!$H$37:$H$300,MATCH($I452,CONFIGURACOES!$B$37:$B$300,0)),"")</f>
        <v/>
      </c>
      <c r="L452" s="20" t="n"/>
      <c r="M452" s="20">
        <f>IFERROR(INDEX(CONFIGURACOES!$I$37:$I$300,MATCH($I452,CONFIGURACOES!$B$37:$B$300,0)),"")</f>
        <v/>
      </c>
      <c r="N452" s="21" t="n"/>
      <c r="O452" s="21" t="n"/>
      <c r="P452" s="21" t="n"/>
      <c r="Q452" s="21" t="n"/>
      <c r="R452" s="21">
        <f>IF($N452="","",$N452*IF($Q452="",1,$Q452)*IF($P452="",1,$P452)*IF($O452="",1,$O452))</f>
        <v/>
      </c>
      <c r="S452" s="22">
        <f>IFERROR(INDEX(CONFIGURACOES!$J$37:$J$300,MATCH($I452,CONFIGURACOES!$B$37:$B$300,0)),"")</f>
        <v/>
      </c>
      <c r="T452" s="22">
        <f>IF(OR($R452="",$S452=""),"",$R452*$S452)</f>
        <v/>
      </c>
      <c r="U452" s="20" t="n"/>
      <c r="V452" s="20" t="n"/>
      <c r="W452" s="20" t="n"/>
      <c r="X452">
        <f>IF($A452="","",$A452&amp;"|"&amp;$C452&amp;"|"&amp;$I452)</f>
        <v/>
      </c>
      <c r="Y452">
        <f>IF(AND($A452=RELATORIO_MEDICAO!$C$5,$C452=RELATORIO_MEDICAO!$F$5,$A452&lt;&gt;""),COUNTIFS($A$3:$A452,RELATORIO_MEDICAO!$C$5,$C$3:$C452,RELATORIO_MEDICAO!$F$5),"")</f>
        <v/>
      </c>
      <c r="Z452">
        <f>IF(OR($A452="",PESQUISA!$C$4=""),0,IF(OR(ISNUMBER(SEARCH(PESQUISA!$C$4,$G452)),ISNUMBER(SEARCH(PESQUISA!$C$4,$K452)),ISNUMBER(SEARCH(PESQUISA!$C$4,$L452))),1,0))</f>
        <v/>
      </c>
      <c r="AA452">
        <f>IF($Z452=1,SUM($Z$3:$Z452),"")</f>
        <v/>
      </c>
      <c r="AB452">
        <f>IF(OR($A452="",PESQUISA!$C$50=""),0,IF(ISNUMBER(SEARCH(PESQUISA!$C$50,$I452)),1,0))</f>
        <v/>
      </c>
      <c r="AC452">
        <f>IF($AB452=1,SUM($AB$3:$AB452),"")</f>
        <v/>
      </c>
    </row>
    <row r="453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>
        <f>IFERROR(INDEX(CONFIGURACOES!$G$37:$G$300,MATCH($I453,CONFIGURACOES!$B$37:$B$300,0)),"")</f>
        <v/>
      </c>
      <c r="K453" s="20">
        <f>IFERROR(INDEX(CONFIGURACOES!$H$37:$H$300,MATCH($I453,CONFIGURACOES!$B$37:$B$300,0)),"")</f>
        <v/>
      </c>
      <c r="L453" s="20" t="n"/>
      <c r="M453" s="20">
        <f>IFERROR(INDEX(CONFIGURACOES!$I$37:$I$300,MATCH($I453,CONFIGURACOES!$B$37:$B$300,0)),"")</f>
        <v/>
      </c>
      <c r="N453" s="21" t="n"/>
      <c r="O453" s="21" t="n"/>
      <c r="P453" s="21" t="n"/>
      <c r="Q453" s="21" t="n"/>
      <c r="R453" s="21">
        <f>IF($N453="","",$N453*IF($Q453="",1,$Q453)*IF($P453="",1,$P453)*IF($O453="",1,$O453))</f>
        <v/>
      </c>
      <c r="S453" s="22">
        <f>IFERROR(INDEX(CONFIGURACOES!$J$37:$J$300,MATCH($I453,CONFIGURACOES!$B$37:$B$300,0)),"")</f>
        <v/>
      </c>
      <c r="T453" s="22">
        <f>IF(OR($R453="",$S453=""),"",$R453*$S453)</f>
        <v/>
      </c>
      <c r="U453" s="20" t="n"/>
      <c r="V453" s="20" t="n"/>
      <c r="W453" s="20" t="n"/>
      <c r="X453">
        <f>IF($A453="","",$A453&amp;"|"&amp;$C453&amp;"|"&amp;$I453)</f>
        <v/>
      </c>
      <c r="Y453">
        <f>IF(AND($A453=RELATORIO_MEDICAO!$C$5,$C453=RELATORIO_MEDICAO!$F$5,$A453&lt;&gt;""),COUNTIFS($A$3:$A453,RELATORIO_MEDICAO!$C$5,$C$3:$C453,RELATORIO_MEDICAO!$F$5),"")</f>
        <v/>
      </c>
      <c r="Z453">
        <f>IF(OR($A453="",PESQUISA!$C$4=""),0,IF(OR(ISNUMBER(SEARCH(PESQUISA!$C$4,$G453)),ISNUMBER(SEARCH(PESQUISA!$C$4,$K453)),ISNUMBER(SEARCH(PESQUISA!$C$4,$L453))),1,0))</f>
        <v/>
      </c>
      <c r="AA453">
        <f>IF($Z453=1,SUM($Z$3:$Z453),"")</f>
        <v/>
      </c>
      <c r="AB453">
        <f>IF(OR($A453="",PESQUISA!$C$50=""),0,IF(ISNUMBER(SEARCH(PESQUISA!$C$50,$I453)),1,0))</f>
        <v/>
      </c>
      <c r="AC453">
        <f>IF($AB453=1,SUM($AB$3:$AB453),"")</f>
        <v/>
      </c>
    </row>
    <row r="454">
      <c r="A454" s="20" t="n"/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>
        <f>IFERROR(INDEX(CONFIGURACOES!$G$37:$G$300,MATCH($I454,CONFIGURACOES!$B$37:$B$300,0)),"")</f>
        <v/>
      </c>
      <c r="K454" s="20">
        <f>IFERROR(INDEX(CONFIGURACOES!$H$37:$H$300,MATCH($I454,CONFIGURACOES!$B$37:$B$300,0)),"")</f>
        <v/>
      </c>
      <c r="L454" s="20" t="n"/>
      <c r="M454" s="20">
        <f>IFERROR(INDEX(CONFIGURACOES!$I$37:$I$300,MATCH($I454,CONFIGURACOES!$B$37:$B$300,0)),"")</f>
        <v/>
      </c>
      <c r="N454" s="21" t="n"/>
      <c r="O454" s="21" t="n"/>
      <c r="P454" s="21" t="n"/>
      <c r="Q454" s="21" t="n"/>
      <c r="R454" s="21">
        <f>IF($N454="","",$N454*IF($Q454="",1,$Q454)*IF($P454="",1,$P454)*IF($O454="",1,$O454))</f>
        <v/>
      </c>
      <c r="S454" s="22">
        <f>IFERROR(INDEX(CONFIGURACOES!$J$37:$J$300,MATCH($I454,CONFIGURACOES!$B$37:$B$300,0)),"")</f>
        <v/>
      </c>
      <c r="T454" s="22">
        <f>IF(OR($R454="",$S454=""),"",$R454*$S454)</f>
        <v/>
      </c>
      <c r="U454" s="20" t="n"/>
      <c r="V454" s="20" t="n"/>
      <c r="W454" s="20" t="n"/>
      <c r="X454">
        <f>IF($A454="","",$A454&amp;"|"&amp;$C454&amp;"|"&amp;$I454)</f>
        <v/>
      </c>
      <c r="Y454">
        <f>IF(AND($A454=RELATORIO_MEDICAO!$C$5,$C454=RELATORIO_MEDICAO!$F$5,$A454&lt;&gt;""),COUNTIFS($A$3:$A454,RELATORIO_MEDICAO!$C$5,$C$3:$C454,RELATORIO_MEDICAO!$F$5),"")</f>
        <v/>
      </c>
      <c r="Z454">
        <f>IF(OR($A454="",PESQUISA!$C$4=""),0,IF(OR(ISNUMBER(SEARCH(PESQUISA!$C$4,$G454)),ISNUMBER(SEARCH(PESQUISA!$C$4,$K454)),ISNUMBER(SEARCH(PESQUISA!$C$4,$L454))),1,0))</f>
        <v/>
      </c>
      <c r="AA454">
        <f>IF($Z454=1,SUM($Z$3:$Z454),"")</f>
        <v/>
      </c>
      <c r="AB454">
        <f>IF(OR($A454="",PESQUISA!$C$50=""),0,IF(ISNUMBER(SEARCH(PESQUISA!$C$50,$I454)),1,0))</f>
        <v/>
      </c>
      <c r="AC454">
        <f>IF($AB454=1,SUM($AB$3:$AB454),"")</f>
        <v/>
      </c>
    </row>
    <row r="455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>
        <f>IFERROR(INDEX(CONFIGURACOES!$G$37:$G$300,MATCH($I455,CONFIGURACOES!$B$37:$B$300,0)),"")</f>
        <v/>
      </c>
      <c r="K455" s="20">
        <f>IFERROR(INDEX(CONFIGURACOES!$H$37:$H$300,MATCH($I455,CONFIGURACOES!$B$37:$B$300,0)),"")</f>
        <v/>
      </c>
      <c r="L455" s="20" t="n"/>
      <c r="M455" s="20">
        <f>IFERROR(INDEX(CONFIGURACOES!$I$37:$I$300,MATCH($I455,CONFIGURACOES!$B$37:$B$300,0)),"")</f>
        <v/>
      </c>
      <c r="N455" s="21" t="n"/>
      <c r="O455" s="21" t="n"/>
      <c r="P455" s="21" t="n"/>
      <c r="Q455" s="21" t="n"/>
      <c r="R455" s="21">
        <f>IF($N455="","",$N455*IF($Q455="",1,$Q455)*IF($P455="",1,$P455)*IF($O455="",1,$O455))</f>
        <v/>
      </c>
      <c r="S455" s="22">
        <f>IFERROR(INDEX(CONFIGURACOES!$J$37:$J$300,MATCH($I455,CONFIGURACOES!$B$37:$B$300,0)),"")</f>
        <v/>
      </c>
      <c r="T455" s="22">
        <f>IF(OR($R455="",$S455=""),"",$R455*$S455)</f>
        <v/>
      </c>
      <c r="U455" s="20" t="n"/>
      <c r="V455" s="20" t="n"/>
      <c r="W455" s="20" t="n"/>
      <c r="X455">
        <f>IF($A455="","",$A455&amp;"|"&amp;$C455&amp;"|"&amp;$I455)</f>
        <v/>
      </c>
      <c r="Y455">
        <f>IF(AND($A455=RELATORIO_MEDICAO!$C$5,$C455=RELATORIO_MEDICAO!$F$5,$A455&lt;&gt;""),COUNTIFS($A$3:$A455,RELATORIO_MEDICAO!$C$5,$C$3:$C455,RELATORIO_MEDICAO!$F$5),"")</f>
        <v/>
      </c>
      <c r="Z455">
        <f>IF(OR($A455="",PESQUISA!$C$4=""),0,IF(OR(ISNUMBER(SEARCH(PESQUISA!$C$4,$G455)),ISNUMBER(SEARCH(PESQUISA!$C$4,$K455)),ISNUMBER(SEARCH(PESQUISA!$C$4,$L455))),1,0))</f>
        <v/>
      </c>
      <c r="AA455">
        <f>IF($Z455=1,SUM($Z$3:$Z455),"")</f>
        <v/>
      </c>
      <c r="AB455">
        <f>IF(OR($A455="",PESQUISA!$C$50=""),0,IF(ISNUMBER(SEARCH(PESQUISA!$C$50,$I455)),1,0))</f>
        <v/>
      </c>
      <c r="AC455">
        <f>IF($AB455=1,SUM($AB$3:$AB455),"")</f>
        <v/>
      </c>
    </row>
    <row r="456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>
        <f>IFERROR(INDEX(CONFIGURACOES!$G$37:$G$300,MATCH($I456,CONFIGURACOES!$B$37:$B$300,0)),"")</f>
        <v/>
      </c>
      <c r="K456" s="20">
        <f>IFERROR(INDEX(CONFIGURACOES!$H$37:$H$300,MATCH($I456,CONFIGURACOES!$B$37:$B$300,0)),"")</f>
        <v/>
      </c>
      <c r="L456" s="20" t="n"/>
      <c r="M456" s="20">
        <f>IFERROR(INDEX(CONFIGURACOES!$I$37:$I$300,MATCH($I456,CONFIGURACOES!$B$37:$B$300,0)),"")</f>
        <v/>
      </c>
      <c r="N456" s="21" t="n"/>
      <c r="O456" s="21" t="n"/>
      <c r="P456" s="21" t="n"/>
      <c r="Q456" s="21" t="n"/>
      <c r="R456" s="21">
        <f>IF($N456="","",$N456*IF($Q456="",1,$Q456)*IF($P456="",1,$P456)*IF($O456="",1,$O456))</f>
        <v/>
      </c>
      <c r="S456" s="22">
        <f>IFERROR(INDEX(CONFIGURACOES!$J$37:$J$300,MATCH($I456,CONFIGURACOES!$B$37:$B$300,0)),"")</f>
        <v/>
      </c>
      <c r="T456" s="22">
        <f>IF(OR($R456="",$S456=""),"",$R456*$S456)</f>
        <v/>
      </c>
      <c r="U456" s="20" t="n"/>
      <c r="V456" s="20" t="n"/>
      <c r="W456" s="20" t="n"/>
      <c r="X456">
        <f>IF($A456="","",$A456&amp;"|"&amp;$C456&amp;"|"&amp;$I456)</f>
        <v/>
      </c>
      <c r="Y456">
        <f>IF(AND($A456=RELATORIO_MEDICAO!$C$5,$C456=RELATORIO_MEDICAO!$F$5,$A456&lt;&gt;""),COUNTIFS($A$3:$A456,RELATORIO_MEDICAO!$C$5,$C$3:$C456,RELATORIO_MEDICAO!$F$5),"")</f>
        <v/>
      </c>
      <c r="Z456">
        <f>IF(OR($A456="",PESQUISA!$C$4=""),0,IF(OR(ISNUMBER(SEARCH(PESQUISA!$C$4,$G456)),ISNUMBER(SEARCH(PESQUISA!$C$4,$K456)),ISNUMBER(SEARCH(PESQUISA!$C$4,$L456))),1,0))</f>
        <v/>
      </c>
      <c r="AA456">
        <f>IF($Z456=1,SUM($Z$3:$Z456),"")</f>
        <v/>
      </c>
      <c r="AB456">
        <f>IF(OR($A456="",PESQUISA!$C$50=""),0,IF(ISNUMBER(SEARCH(PESQUISA!$C$50,$I456)),1,0))</f>
        <v/>
      </c>
      <c r="AC456">
        <f>IF($AB456=1,SUM($AB$3:$AB456),"")</f>
        <v/>
      </c>
    </row>
    <row r="457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>
        <f>IFERROR(INDEX(CONFIGURACOES!$G$37:$G$300,MATCH($I457,CONFIGURACOES!$B$37:$B$300,0)),"")</f>
        <v/>
      </c>
      <c r="K457" s="20">
        <f>IFERROR(INDEX(CONFIGURACOES!$H$37:$H$300,MATCH($I457,CONFIGURACOES!$B$37:$B$300,0)),"")</f>
        <v/>
      </c>
      <c r="L457" s="20" t="n"/>
      <c r="M457" s="20">
        <f>IFERROR(INDEX(CONFIGURACOES!$I$37:$I$300,MATCH($I457,CONFIGURACOES!$B$37:$B$300,0)),"")</f>
        <v/>
      </c>
      <c r="N457" s="21" t="n"/>
      <c r="O457" s="21" t="n"/>
      <c r="P457" s="21" t="n"/>
      <c r="Q457" s="21" t="n"/>
      <c r="R457" s="21">
        <f>IF($N457="","",$N457*IF($Q457="",1,$Q457)*IF($P457="",1,$P457)*IF($O457="",1,$O457))</f>
        <v/>
      </c>
      <c r="S457" s="22">
        <f>IFERROR(INDEX(CONFIGURACOES!$J$37:$J$300,MATCH($I457,CONFIGURACOES!$B$37:$B$300,0)),"")</f>
        <v/>
      </c>
      <c r="T457" s="22">
        <f>IF(OR($R457="",$S457=""),"",$R457*$S457)</f>
        <v/>
      </c>
      <c r="U457" s="20" t="n"/>
      <c r="V457" s="20" t="n"/>
      <c r="W457" s="20" t="n"/>
      <c r="X457">
        <f>IF($A457="","",$A457&amp;"|"&amp;$C457&amp;"|"&amp;$I457)</f>
        <v/>
      </c>
      <c r="Y457">
        <f>IF(AND($A457=RELATORIO_MEDICAO!$C$5,$C457=RELATORIO_MEDICAO!$F$5,$A457&lt;&gt;""),COUNTIFS($A$3:$A457,RELATORIO_MEDICAO!$C$5,$C$3:$C457,RELATORIO_MEDICAO!$F$5),"")</f>
        <v/>
      </c>
      <c r="Z457">
        <f>IF(OR($A457="",PESQUISA!$C$4=""),0,IF(OR(ISNUMBER(SEARCH(PESQUISA!$C$4,$G457)),ISNUMBER(SEARCH(PESQUISA!$C$4,$K457)),ISNUMBER(SEARCH(PESQUISA!$C$4,$L457))),1,0))</f>
        <v/>
      </c>
      <c r="AA457">
        <f>IF($Z457=1,SUM($Z$3:$Z457),"")</f>
        <v/>
      </c>
      <c r="AB457">
        <f>IF(OR($A457="",PESQUISA!$C$50=""),0,IF(ISNUMBER(SEARCH(PESQUISA!$C$50,$I457)),1,0))</f>
        <v/>
      </c>
      <c r="AC457">
        <f>IF($AB457=1,SUM($AB$3:$AB457),"")</f>
        <v/>
      </c>
    </row>
    <row r="458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>
        <f>IFERROR(INDEX(CONFIGURACOES!$G$37:$G$300,MATCH($I458,CONFIGURACOES!$B$37:$B$300,0)),"")</f>
        <v/>
      </c>
      <c r="K458" s="20">
        <f>IFERROR(INDEX(CONFIGURACOES!$H$37:$H$300,MATCH($I458,CONFIGURACOES!$B$37:$B$300,0)),"")</f>
        <v/>
      </c>
      <c r="L458" s="20" t="n"/>
      <c r="M458" s="20">
        <f>IFERROR(INDEX(CONFIGURACOES!$I$37:$I$300,MATCH($I458,CONFIGURACOES!$B$37:$B$300,0)),"")</f>
        <v/>
      </c>
      <c r="N458" s="21" t="n"/>
      <c r="O458" s="21" t="n"/>
      <c r="P458" s="21" t="n"/>
      <c r="Q458" s="21" t="n"/>
      <c r="R458" s="21">
        <f>IF($N458="","",$N458*IF($Q458="",1,$Q458)*IF($P458="",1,$P458)*IF($O458="",1,$O458))</f>
        <v/>
      </c>
      <c r="S458" s="22">
        <f>IFERROR(INDEX(CONFIGURACOES!$J$37:$J$300,MATCH($I458,CONFIGURACOES!$B$37:$B$300,0)),"")</f>
        <v/>
      </c>
      <c r="T458" s="22">
        <f>IF(OR($R458="",$S458=""),"",$R458*$S458)</f>
        <v/>
      </c>
      <c r="U458" s="20" t="n"/>
      <c r="V458" s="20" t="n"/>
      <c r="W458" s="20" t="n"/>
      <c r="X458">
        <f>IF($A458="","",$A458&amp;"|"&amp;$C458&amp;"|"&amp;$I458)</f>
        <v/>
      </c>
      <c r="Y458">
        <f>IF(AND($A458=RELATORIO_MEDICAO!$C$5,$C458=RELATORIO_MEDICAO!$F$5,$A458&lt;&gt;""),COUNTIFS($A$3:$A458,RELATORIO_MEDICAO!$C$5,$C$3:$C458,RELATORIO_MEDICAO!$F$5),"")</f>
        <v/>
      </c>
      <c r="Z458">
        <f>IF(OR($A458="",PESQUISA!$C$4=""),0,IF(OR(ISNUMBER(SEARCH(PESQUISA!$C$4,$G458)),ISNUMBER(SEARCH(PESQUISA!$C$4,$K458)),ISNUMBER(SEARCH(PESQUISA!$C$4,$L458))),1,0))</f>
        <v/>
      </c>
      <c r="AA458">
        <f>IF($Z458=1,SUM($Z$3:$Z458),"")</f>
        <v/>
      </c>
      <c r="AB458">
        <f>IF(OR($A458="",PESQUISA!$C$50=""),0,IF(ISNUMBER(SEARCH(PESQUISA!$C$50,$I458)),1,0))</f>
        <v/>
      </c>
      <c r="AC458">
        <f>IF($AB458=1,SUM($AB$3:$AB458),"")</f>
        <v/>
      </c>
    </row>
    <row r="459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>
        <f>IFERROR(INDEX(CONFIGURACOES!$G$37:$G$300,MATCH($I459,CONFIGURACOES!$B$37:$B$300,0)),"")</f>
        <v/>
      </c>
      <c r="K459" s="20">
        <f>IFERROR(INDEX(CONFIGURACOES!$H$37:$H$300,MATCH($I459,CONFIGURACOES!$B$37:$B$300,0)),"")</f>
        <v/>
      </c>
      <c r="L459" s="20" t="n"/>
      <c r="M459" s="20">
        <f>IFERROR(INDEX(CONFIGURACOES!$I$37:$I$300,MATCH($I459,CONFIGURACOES!$B$37:$B$300,0)),"")</f>
        <v/>
      </c>
      <c r="N459" s="21" t="n"/>
      <c r="O459" s="21" t="n"/>
      <c r="P459" s="21" t="n"/>
      <c r="Q459" s="21" t="n"/>
      <c r="R459" s="21">
        <f>IF($N459="","",$N459*IF($Q459="",1,$Q459)*IF($P459="",1,$P459)*IF($O459="",1,$O459))</f>
        <v/>
      </c>
      <c r="S459" s="22">
        <f>IFERROR(INDEX(CONFIGURACOES!$J$37:$J$300,MATCH($I459,CONFIGURACOES!$B$37:$B$300,0)),"")</f>
        <v/>
      </c>
      <c r="T459" s="22">
        <f>IF(OR($R459="",$S459=""),"",$R459*$S459)</f>
        <v/>
      </c>
      <c r="U459" s="20" t="n"/>
      <c r="V459" s="20" t="n"/>
      <c r="W459" s="20" t="n"/>
      <c r="X459">
        <f>IF($A459="","",$A459&amp;"|"&amp;$C459&amp;"|"&amp;$I459)</f>
        <v/>
      </c>
      <c r="Y459">
        <f>IF(AND($A459=RELATORIO_MEDICAO!$C$5,$C459=RELATORIO_MEDICAO!$F$5,$A459&lt;&gt;""),COUNTIFS($A$3:$A459,RELATORIO_MEDICAO!$C$5,$C$3:$C459,RELATORIO_MEDICAO!$F$5),"")</f>
        <v/>
      </c>
      <c r="Z459">
        <f>IF(OR($A459="",PESQUISA!$C$4=""),0,IF(OR(ISNUMBER(SEARCH(PESQUISA!$C$4,$G459)),ISNUMBER(SEARCH(PESQUISA!$C$4,$K459)),ISNUMBER(SEARCH(PESQUISA!$C$4,$L459))),1,0))</f>
        <v/>
      </c>
      <c r="AA459">
        <f>IF($Z459=1,SUM($Z$3:$Z459),"")</f>
        <v/>
      </c>
      <c r="AB459">
        <f>IF(OR($A459="",PESQUISA!$C$50=""),0,IF(ISNUMBER(SEARCH(PESQUISA!$C$50,$I459)),1,0))</f>
        <v/>
      </c>
      <c r="AC459">
        <f>IF($AB459=1,SUM($AB$3:$AB459),"")</f>
        <v/>
      </c>
    </row>
    <row r="460">
      <c r="A460" s="20" t="n"/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>
        <f>IFERROR(INDEX(CONFIGURACOES!$G$37:$G$300,MATCH($I460,CONFIGURACOES!$B$37:$B$300,0)),"")</f>
        <v/>
      </c>
      <c r="K460" s="20">
        <f>IFERROR(INDEX(CONFIGURACOES!$H$37:$H$300,MATCH($I460,CONFIGURACOES!$B$37:$B$300,0)),"")</f>
        <v/>
      </c>
      <c r="L460" s="20" t="n"/>
      <c r="M460" s="20">
        <f>IFERROR(INDEX(CONFIGURACOES!$I$37:$I$300,MATCH($I460,CONFIGURACOES!$B$37:$B$300,0)),"")</f>
        <v/>
      </c>
      <c r="N460" s="21" t="n"/>
      <c r="O460" s="21" t="n"/>
      <c r="P460" s="21" t="n"/>
      <c r="Q460" s="21" t="n"/>
      <c r="R460" s="21">
        <f>IF($N460="","",$N460*IF($Q460="",1,$Q460)*IF($P460="",1,$P460)*IF($O460="",1,$O460))</f>
        <v/>
      </c>
      <c r="S460" s="22">
        <f>IFERROR(INDEX(CONFIGURACOES!$J$37:$J$300,MATCH($I460,CONFIGURACOES!$B$37:$B$300,0)),"")</f>
        <v/>
      </c>
      <c r="T460" s="22">
        <f>IF(OR($R460="",$S460=""),"",$R460*$S460)</f>
        <v/>
      </c>
      <c r="U460" s="20" t="n"/>
      <c r="V460" s="20" t="n"/>
      <c r="W460" s="20" t="n"/>
      <c r="X460">
        <f>IF($A460="","",$A460&amp;"|"&amp;$C460&amp;"|"&amp;$I460)</f>
        <v/>
      </c>
      <c r="Y460">
        <f>IF(AND($A460=RELATORIO_MEDICAO!$C$5,$C460=RELATORIO_MEDICAO!$F$5,$A460&lt;&gt;""),COUNTIFS($A$3:$A460,RELATORIO_MEDICAO!$C$5,$C$3:$C460,RELATORIO_MEDICAO!$F$5),"")</f>
        <v/>
      </c>
      <c r="Z460">
        <f>IF(OR($A460="",PESQUISA!$C$4=""),0,IF(OR(ISNUMBER(SEARCH(PESQUISA!$C$4,$G460)),ISNUMBER(SEARCH(PESQUISA!$C$4,$K460)),ISNUMBER(SEARCH(PESQUISA!$C$4,$L460))),1,0))</f>
        <v/>
      </c>
      <c r="AA460">
        <f>IF($Z460=1,SUM($Z$3:$Z460),"")</f>
        <v/>
      </c>
      <c r="AB460">
        <f>IF(OR($A460="",PESQUISA!$C$50=""),0,IF(ISNUMBER(SEARCH(PESQUISA!$C$50,$I460)),1,0))</f>
        <v/>
      </c>
      <c r="AC460">
        <f>IF($AB460=1,SUM($AB$3:$AB460),"")</f>
        <v/>
      </c>
    </row>
    <row r="461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>
        <f>IFERROR(INDEX(CONFIGURACOES!$G$37:$G$300,MATCH($I461,CONFIGURACOES!$B$37:$B$300,0)),"")</f>
        <v/>
      </c>
      <c r="K461" s="20">
        <f>IFERROR(INDEX(CONFIGURACOES!$H$37:$H$300,MATCH($I461,CONFIGURACOES!$B$37:$B$300,0)),"")</f>
        <v/>
      </c>
      <c r="L461" s="20" t="n"/>
      <c r="M461" s="20">
        <f>IFERROR(INDEX(CONFIGURACOES!$I$37:$I$300,MATCH($I461,CONFIGURACOES!$B$37:$B$300,0)),"")</f>
        <v/>
      </c>
      <c r="N461" s="21" t="n"/>
      <c r="O461" s="21" t="n"/>
      <c r="P461" s="21" t="n"/>
      <c r="Q461" s="21" t="n"/>
      <c r="R461" s="21">
        <f>IF($N461="","",$N461*IF($Q461="",1,$Q461)*IF($P461="",1,$P461)*IF($O461="",1,$O461))</f>
        <v/>
      </c>
      <c r="S461" s="22">
        <f>IFERROR(INDEX(CONFIGURACOES!$J$37:$J$300,MATCH($I461,CONFIGURACOES!$B$37:$B$300,0)),"")</f>
        <v/>
      </c>
      <c r="T461" s="22">
        <f>IF(OR($R461="",$S461=""),"",$R461*$S461)</f>
        <v/>
      </c>
      <c r="U461" s="20" t="n"/>
      <c r="V461" s="20" t="n"/>
      <c r="W461" s="20" t="n"/>
      <c r="X461">
        <f>IF($A461="","",$A461&amp;"|"&amp;$C461&amp;"|"&amp;$I461)</f>
        <v/>
      </c>
      <c r="Y461">
        <f>IF(AND($A461=RELATORIO_MEDICAO!$C$5,$C461=RELATORIO_MEDICAO!$F$5,$A461&lt;&gt;""),COUNTIFS($A$3:$A461,RELATORIO_MEDICAO!$C$5,$C$3:$C461,RELATORIO_MEDICAO!$F$5),"")</f>
        <v/>
      </c>
      <c r="Z461">
        <f>IF(OR($A461="",PESQUISA!$C$4=""),0,IF(OR(ISNUMBER(SEARCH(PESQUISA!$C$4,$G461)),ISNUMBER(SEARCH(PESQUISA!$C$4,$K461)),ISNUMBER(SEARCH(PESQUISA!$C$4,$L461))),1,0))</f>
        <v/>
      </c>
      <c r="AA461">
        <f>IF($Z461=1,SUM($Z$3:$Z461),"")</f>
        <v/>
      </c>
      <c r="AB461">
        <f>IF(OR($A461="",PESQUISA!$C$50=""),0,IF(ISNUMBER(SEARCH(PESQUISA!$C$50,$I461)),1,0))</f>
        <v/>
      </c>
      <c r="AC461">
        <f>IF($AB461=1,SUM($AB$3:$AB461),"")</f>
        <v/>
      </c>
    </row>
    <row r="462">
      <c r="A462" s="20" t="n"/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>
        <f>IFERROR(INDEX(CONFIGURACOES!$G$37:$G$300,MATCH($I462,CONFIGURACOES!$B$37:$B$300,0)),"")</f>
        <v/>
      </c>
      <c r="K462" s="20">
        <f>IFERROR(INDEX(CONFIGURACOES!$H$37:$H$300,MATCH($I462,CONFIGURACOES!$B$37:$B$300,0)),"")</f>
        <v/>
      </c>
      <c r="L462" s="20" t="n"/>
      <c r="M462" s="20">
        <f>IFERROR(INDEX(CONFIGURACOES!$I$37:$I$300,MATCH($I462,CONFIGURACOES!$B$37:$B$300,0)),"")</f>
        <v/>
      </c>
      <c r="N462" s="21" t="n"/>
      <c r="O462" s="21" t="n"/>
      <c r="P462" s="21" t="n"/>
      <c r="Q462" s="21" t="n"/>
      <c r="R462" s="21">
        <f>IF($N462="","",$N462*IF($Q462="",1,$Q462)*IF($P462="",1,$P462)*IF($O462="",1,$O462))</f>
        <v/>
      </c>
      <c r="S462" s="22">
        <f>IFERROR(INDEX(CONFIGURACOES!$J$37:$J$300,MATCH($I462,CONFIGURACOES!$B$37:$B$300,0)),"")</f>
        <v/>
      </c>
      <c r="T462" s="22">
        <f>IF(OR($R462="",$S462=""),"",$R462*$S462)</f>
        <v/>
      </c>
      <c r="U462" s="20" t="n"/>
      <c r="V462" s="20" t="n"/>
      <c r="W462" s="20" t="n"/>
      <c r="X462">
        <f>IF($A462="","",$A462&amp;"|"&amp;$C462&amp;"|"&amp;$I462)</f>
        <v/>
      </c>
      <c r="Y462">
        <f>IF(AND($A462=RELATORIO_MEDICAO!$C$5,$C462=RELATORIO_MEDICAO!$F$5,$A462&lt;&gt;""),COUNTIFS($A$3:$A462,RELATORIO_MEDICAO!$C$5,$C$3:$C462,RELATORIO_MEDICAO!$F$5),"")</f>
        <v/>
      </c>
      <c r="Z462">
        <f>IF(OR($A462="",PESQUISA!$C$4=""),0,IF(OR(ISNUMBER(SEARCH(PESQUISA!$C$4,$G462)),ISNUMBER(SEARCH(PESQUISA!$C$4,$K462)),ISNUMBER(SEARCH(PESQUISA!$C$4,$L462))),1,0))</f>
        <v/>
      </c>
      <c r="AA462">
        <f>IF($Z462=1,SUM($Z$3:$Z462),"")</f>
        <v/>
      </c>
      <c r="AB462">
        <f>IF(OR($A462="",PESQUISA!$C$50=""),0,IF(ISNUMBER(SEARCH(PESQUISA!$C$50,$I462)),1,0))</f>
        <v/>
      </c>
      <c r="AC462">
        <f>IF($AB462=1,SUM($AB$3:$AB462),"")</f>
        <v/>
      </c>
    </row>
    <row r="463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>
        <f>IFERROR(INDEX(CONFIGURACOES!$G$37:$G$300,MATCH($I463,CONFIGURACOES!$B$37:$B$300,0)),"")</f>
        <v/>
      </c>
      <c r="K463" s="20">
        <f>IFERROR(INDEX(CONFIGURACOES!$H$37:$H$300,MATCH($I463,CONFIGURACOES!$B$37:$B$300,0)),"")</f>
        <v/>
      </c>
      <c r="L463" s="20" t="n"/>
      <c r="M463" s="20">
        <f>IFERROR(INDEX(CONFIGURACOES!$I$37:$I$300,MATCH($I463,CONFIGURACOES!$B$37:$B$300,0)),"")</f>
        <v/>
      </c>
      <c r="N463" s="21" t="n"/>
      <c r="O463" s="21" t="n"/>
      <c r="P463" s="21" t="n"/>
      <c r="Q463" s="21" t="n"/>
      <c r="R463" s="21">
        <f>IF($N463="","",$N463*IF($Q463="",1,$Q463)*IF($P463="",1,$P463)*IF($O463="",1,$O463))</f>
        <v/>
      </c>
      <c r="S463" s="22">
        <f>IFERROR(INDEX(CONFIGURACOES!$J$37:$J$300,MATCH($I463,CONFIGURACOES!$B$37:$B$300,0)),"")</f>
        <v/>
      </c>
      <c r="T463" s="22">
        <f>IF(OR($R463="",$S463=""),"",$R463*$S463)</f>
        <v/>
      </c>
      <c r="U463" s="20" t="n"/>
      <c r="V463" s="20" t="n"/>
      <c r="W463" s="20" t="n"/>
      <c r="X463">
        <f>IF($A463="","",$A463&amp;"|"&amp;$C463&amp;"|"&amp;$I463)</f>
        <v/>
      </c>
      <c r="Y463">
        <f>IF(AND($A463=RELATORIO_MEDICAO!$C$5,$C463=RELATORIO_MEDICAO!$F$5,$A463&lt;&gt;""),COUNTIFS($A$3:$A463,RELATORIO_MEDICAO!$C$5,$C$3:$C463,RELATORIO_MEDICAO!$F$5),"")</f>
        <v/>
      </c>
      <c r="Z463">
        <f>IF(OR($A463="",PESQUISA!$C$4=""),0,IF(OR(ISNUMBER(SEARCH(PESQUISA!$C$4,$G463)),ISNUMBER(SEARCH(PESQUISA!$C$4,$K463)),ISNUMBER(SEARCH(PESQUISA!$C$4,$L463))),1,0))</f>
        <v/>
      </c>
      <c r="AA463">
        <f>IF($Z463=1,SUM($Z$3:$Z463),"")</f>
        <v/>
      </c>
      <c r="AB463">
        <f>IF(OR($A463="",PESQUISA!$C$50=""),0,IF(ISNUMBER(SEARCH(PESQUISA!$C$50,$I463)),1,0))</f>
        <v/>
      </c>
      <c r="AC463">
        <f>IF($AB463=1,SUM($AB$3:$AB463),"")</f>
        <v/>
      </c>
    </row>
    <row r="464">
      <c r="A464" s="20" t="n"/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>
        <f>IFERROR(INDEX(CONFIGURACOES!$G$37:$G$300,MATCH($I464,CONFIGURACOES!$B$37:$B$300,0)),"")</f>
        <v/>
      </c>
      <c r="K464" s="20">
        <f>IFERROR(INDEX(CONFIGURACOES!$H$37:$H$300,MATCH($I464,CONFIGURACOES!$B$37:$B$300,0)),"")</f>
        <v/>
      </c>
      <c r="L464" s="20" t="n"/>
      <c r="M464" s="20">
        <f>IFERROR(INDEX(CONFIGURACOES!$I$37:$I$300,MATCH($I464,CONFIGURACOES!$B$37:$B$300,0)),"")</f>
        <v/>
      </c>
      <c r="N464" s="21" t="n"/>
      <c r="O464" s="21" t="n"/>
      <c r="P464" s="21" t="n"/>
      <c r="Q464" s="21" t="n"/>
      <c r="R464" s="21">
        <f>IF($N464="","",$N464*IF($Q464="",1,$Q464)*IF($P464="",1,$P464)*IF($O464="",1,$O464))</f>
        <v/>
      </c>
      <c r="S464" s="22">
        <f>IFERROR(INDEX(CONFIGURACOES!$J$37:$J$300,MATCH($I464,CONFIGURACOES!$B$37:$B$300,0)),"")</f>
        <v/>
      </c>
      <c r="T464" s="22">
        <f>IF(OR($R464="",$S464=""),"",$R464*$S464)</f>
        <v/>
      </c>
      <c r="U464" s="20" t="n"/>
      <c r="V464" s="20" t="n"/>
      <c r="W464" s="20" t="n"/>
      <c r="X464">
        <f>IF($A464="","",$A464&amp;"|"&amp;$C464&amp;"|"&amp;$I464)</f>
        <v/>
      </c>
      <c r="Y464">
        <f>IF(AND($A464=RELATORIO_MEDICAO!$C$5,$C464=RELATORIO_MEDICAO!$F$5,$A464&lt;&gt;""),COUNTIFS($A$3:$A464,RELATORIO_MEDICAO!$C$5,$C$3:$C464,RELATORIO_MEDICAO!$F$5),"")</f>
        <v/>
      </c>
      <c r="Z464">
        <f>IF(OR($A464="",PESQUISA!$C$4=""),0,IF(OR(ISNUMBER(SEARCH(PESQUISA!$C$4,$G464)),ISNUMBER(SEARCH(PESQUISA!$C$4,$K464)),ISNUMBER(SEARCH(PESQUISA!$C$4,$L464))),1,0))</f>
        <v/>
      </c>
      <c r="AA464">
        <f>IF($Z464=1,SUM($Z$3:$Z464),"")</f>
        <v/>
      </c>
      <c r="AB464">
        <f>IF(OR($A464="",PESQUISA!$C$50=""),0,IF(ISNUMBER(SEARCH(PESQUISA!$C$50,$I464)),1,0))</f>
        <v/>
      </c>
      <c r="AC464">
        <f>IF($AB464=1,SUM($AB$3:$AB464),"")</f>
        <v/>
      </c>
    </row>
    <row r="465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>
        <f>IFERROR(INDEX(CONFIGURACOES!$G$37:$G$300,MATCH($I465,CONFIGURACOES!$B$37:$B$300,0)),"")</f>
        <v/>
      </c>
      <c r="K465" s="20">
        <f>IFERROR(INDEX(CONFIGURACOES!$H$37:$H$300,MATCH($I465,CONFIGURACOES!$B$37:$B$300,0)),"")</f>
        <v/>
      </c>
      <c r="L465" s="20" t="n"/>
      <c r="M465" s="20">
        <f>IFERROR(INDEX(CONFIGURACOES!$I$37:$I$300,MATCH($I465,CONFIGURACOES!$B$37:$B$300,0)),"")</f>
        <v/>
      </c>
      <c r="N465" s="21" t="n"/>
      <c r="O465" s="21" t="n"/>
      <c r="P465" s="21" t="n"/>
      <c r="Q465" s="21" t="n"/>
      <c r="R465" s="21">
        <f>IF($N465="","",$N465*IF($Q465="",1,$Q465)*IF($P465="",1,$P465)*IF($O465="",1,$O465))</f>
        <v/>
      </c>
      <c r="S465" s="22">
        <f>IFERROR(INDEX(CONFIGURACOES!$J$37:$J$300,MATCH($I465,CONFIGURACOES!$B$37:$B$300,0)),"")</f>
        <v/>
      </c>
      <c r="T465" s="22">
        <f>IF(OR($R465="",$S465=""),"",$R465*$S465)</f>
        <v/>
      </c>
      <c r="U465" s="20" t="n"/>
      <c r="V465" s="20" t="n"/>
      <c r="W465" s="20" t="n"/>
      <c r="X465">
        <f>IF($A465="","",$A465&amp;"|"&amp;$C465&amp;"|"&amp;$I465)</f>
        <v/>
      </c>
      <c r="Y465">
        <f>IF(AND($A465=RELATORIO_MEDICAO!$C$5,$C465=RELATORIO_MEDICAO!$F$5,$A465&lt;&gt;""),COUNTIFS($A$3:$A465,RELATORIO_MEDICAO!$C$5,$C$3:$C465,RELATORIO_MEDICAO!$F$5),"")</f>
        <v/>
      </c>
      <c r="Z465">
        <f>IF(OR($A465="",PESQUISA!$C$4=""),0,IF(OR(ISNUMBER(SEARCH(PESQUISA!$C$4,$G465)),ISNUMBER(SEARCH(PESQUISA!$C$4,$K465)),ISNUMBER(SEARCH(PESQUISA!$C$4,$L465))),1,0))</f>
        <v/>
      </c>
      <c r="AA465">
        <f>IF($Z465=1,SUM($Z$3:$Z465),"")</f>
        <v/>
      </c>
      <c r="AB465">
        <f>IF(OR($A465="",PESQUISA!$C$50=""),0,IF(ISNUMBER(SEARCH(PESQUISA!$C$50,$I465)),1,0))</f>
        <v/>
      </c>
      <c r="AC465">
        <f>IF($AB465=1,SUM($AB$3:$AB465),"")</f>
        <v/>
      </c>
    </row>
    <row r="466">
      <c r="A466" s="20" t="n"/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>
        <f>IFERROR(INDEX(CONFIGURACOES!$G$37:$G$300,MATCH($I466,CONFIGURACOES!$B$37:$B$300,0)),"")</f>
        <v/>
      </c>
      <c r="K466" s="20">
        <f>IFERROR(INDEX(CONFIGURACOES!$H$37:$H$300,MATCH($I466,CONFIGURACOES!$B$37:$B$300,0)),"")</f>
        <v/>
      </c>
      <c r="L466" s="20" t="n"/>
      <c r="M466" s="20">
        <f>IFERROR(INDEX(CONFIGURACOES!$I$37:$I$300,MATCH($I466,CONFIGURACOES!$B$37:$B$300,0)),"")</f>
        <v/>
      </c>
      <c r="N466" s="21" t="n"/>
      <c r="O466" s="21" t="n"/>
      <c r="P466" s="21" t="n"/>
      <c r="Q466" s="21" t="n"/>
      <c r="R466" s="21">
        <f>IF($N466="","",$N466*IF($Q466="",1,$Q466)*IF($P466="",1,$P466)*IF($O466="",1,$O466))</f>
        <v/>
      </c>
      <c r="S466" s="22">
        <f>IFERROR(INDEX(CONFIGURACOES!$J$37:$J$300,MATCH($I466,CONFIGURACOES!$B$37:$B$300,0)),"")</f>
        <v/>
      </c>
      <c r="T466" s="22">
        <f>IF(OR($R466="",$S466=""),"",$R466*$S466)</f>
        <v/>
      </c>
      <c r="U466" s="20" t="n"/>
      <c r="V466" s="20" t="n"/>
      <c r="W466" s="20" t="n"/>
      <c r="X466">
        <f>IF($A466="","",$A466&amp;"|"&amp;$C466&amp;"|"&amp;$I466)</f>
        <v/>
      </c>
      <c r="Y466">
        <f>IF(AND($A466=RELATORIO_MEDICAO!$C$5,$C466=RELATORIO_MEDICAO!$F$5,$A466&lt;&gt;""),COUNTIFS($A$3:$A466,RELATORIO_MEDICAO!$C$5,$C$3:$C466,RELATORIO_MEDICAO!$F$5),"")</f>
        <v/>
      </c>
      <c r="Z466">
        <f>IF(OR($A466="",PESQUISA!$C$4=""),0,IF(OR(ISNUMBER(SEARCH(PESQUISA!$C$4,$G466)),ISNUMBER(SEARCH(PESQUISA!$C$4,$K466)),ISNUMBER(SEARCH(PESQUISA!$C$4,$L466))),1,0))</f>
        <v/>
      </c>
      <c r="AA466">
        <f>IF($Z466=1,SUM($Z$3:$Z466),"")</f>
        <v/>
      </c>
      <c r="AB466">
        <f>IF(OR($A466="",PESQUISA!$C$50=""),0,IF(ISNUMBER(SEARCH(PESQUISA!$C$50,$I466)),1,0))</f>
        <v/>
      </c>
      <c r="AC466">
        <f>IF($AB466=1,SUM($AB$3:$AB466),"")</f>
        <v/>
      </c>
    </row>
    <row r="467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>
        <f>IFERROR(INDEX(CONFIGURACOES!$G$37:$G$300,MATCH($I467,CONFIGURACOES!$B$37:$B$300,0)),"")</f>
        <v/>
      </c>
      <c r="K467" s="20">
        <f>IFERROR(INDEX(CONFIGURACOES!$H$37:$H$300,MATCH($I467,CONFIGURACOES!$B$37:$B$300,0)),"")</f>
        <v/>
      </c>
      <c r="L467" s="20" t="n"/>
      <c r="M467" s="20">
        <f>IFERROR(INDEX(CONFIGURACOES!$I$37:$I$300,MATCH($I467,CONFIGURACOES!$B$37:$B$300,0)),"")</f>
        <v/>
      </c>
      <c r="N467" s="21" t="n"/>
      <c r="O467" s="21" t="n"/>
      <c r="P467" s="21" t="n"/>
      <c r="Q467" s="21" t="n"/>
      <c r="R467" s="21">
        <f>IF($N467="","",$N467*IF($Q467="",1,$Q467)*IF($P467="",1,$P467)*IF($O467="",1,$O467))</f>
        <v/>
      </c>
      <c r="S467" s="22">
        <f>IFERROR(INDEX(CONFIGURACOES!$J$37:$J$300,MATCH($I467,CONFIGURACOES!$B$37:$B$300,0)),"")</f>
        <v/>
      </c>
      <c r="T467" s="22">
        <f>IF(OR($R467="",$S467=""),"",$R467*$S467)</f>
        <v/>
      </c>
      <c r="U467" s="20" t="n"/>
      <c r="V467" s="20" t="n"/>
      <c r="W467" s="20" t="n"/>
      <c r="X467">
        <f>IF($A467="","",$A467&amp;"|"&amp;$C467&amp;"|"&amp;$I467)</f>
        <v/>
      </c>
      <c r="Y467">
        <f>IF(AND($A467=RELATORIO_MEDICAO!$C$5,$C467=RELATORIO_MEDICAO!$F$5,$A467&lt;&gt;""),COUNTIFS($A$3:$A467,RELATORIO_MEDICAO!$C$5,$C$3:$C467,RELATORIO_MEDICAO!$F$5),"")</f>
        <v/>
      </c>
      <c r="Z467">
        <f>IF(OR($A467="",PESQUISA!$C$4=""),0,IF(OR(ISNUMBER(SEARCH(PESQUISA!$C$4,$G467)),ISNUMBER(SEARCH(PESQUISA!$C$4,$K467)),ISNUMBER(SEARCH(PESQUISA!$C$4,$L467))),1,0))</f>
        <v/>
      </c>
      <c r="AA467">
        <f>IF($Z467=1,SUM($Z$3:$Z467),"")</f>
        <v/>
      </c>
      <c r="AB467">
        <f>IF(OR($A467="",PESQUISA!$C$50=""),0,IF(ISNUMBER(SEARCH(PESQUISA!$C$50,$I467)),1,0))</f>
        <v/>
      </c>
      <c r="AC467">
        <f>IF($AB467=1,SUM($AB$3:$AB467),"")</f>
        <v/>
      </c>
    </row>
    <row r="468">
      <c r="A468" s="20" t="n"/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>
        <f>IFERROR(INDEX(CONFIGURACOES!$G$37:$G$300,MATCH($I468,CONFIGURACOES!$B$37:$B$300,0)),"")</f>
        <v/>
      </c>
      <c r="K468" s="20">
        <f>IFERROR(INDEX(CONFIGURACOES!$H$37:$H$300,MATCH($I468,CONFIGURACOES!$B$37:$B$300,0)),"")</f>
        <v/>
      </c>
      <c r="L468" s="20" t="n"/>
      <c r="M468" s="20">
        <f>IFERROR(INDEX(CONFIGURACOES!$I$37:$I$300,MATCH($I468,CONFIGURACOES!$B$37:$B$300,0)),"")</f>
        <v/>
      </c>
      <c r="N468" s="21" t="n"/>
      <c r="O468" s="21" t="n"/>
      <c r="P468" s="21" t="n"/>
      <c r="Q468" s="21" t="n"/>
      <c r="R468" s="21">
        <f>IF($N468="","",$N468*IF($Q468="",1,$Q468)*IF($P468="",1,$P468)*IF($O468="",1,$O468))</f>
        <v/>
      </c>
      <c r="S468" s="22">
        <f>IFERROR(INDEX(CONFIGURACOES!$J$37:$J$300,MATCH($I468,CONFIGURACOES!$B$37:$B$300,0)),"")</f>
        <v/>
      </c>
      <c r="T468" s="22">
        <f>IF(OR($R468="",$S468=""),"",$R468*$S468)</f>
        <v/>
      </c>
      <c r="U468" s="20" t="n"/>
      <c r="V468" s="20" t="n"/>
      <c r="W468" s="20" t="n"/>
      <c r="X468">
        <f>IF($A468="","",$A468&amp;"|"&amp;$C468&amp;"|"&amp;$I468)</f>
        <v/>
      </c>
      <c r="Y468">
        <f>IF(AND($A468=RELATORIO_MEDICAO!$C$5,$C468=RELATORIO_MEDICAO!$F$5,$A468&lt;&gt;""),COUNTIFS($A$3:$A468,RELATORIO_MEDICAO!$C$5,$C$3:$C468,RELATORIO_MEDICAO!$F$5),"")</f>
        <v/>
      </c>
      <c r="Z468">
        <f>IF(OR($A468="",PESQUISA!$C$4=""),0,IF(OR(ISNUMBER(SEARCH(PESQUISA!$C$4,$G468)),ISNUMBER(SEARCH(PESQUISA!$C$4,$K468)),ISNUMBER(SEARCH(PESQUISA!$C$4,$L468))),1,0))</f>
        <v/>
      </c>
      <c r="AA468">
        <f>IF($Z468=1,SUM($Z$3:$Z468),"")</f>
        <v/>
      </c>
      <c r="AB468">
        <f>IF(OR($A468="",PESQUISA!$C$50=""),0,IF(ISNUMBER(SEARCH(PESQUISA!$C$50,$I468)),1,0))</f>
        <v/>
      </c>
      <c r="AC468">
        <f>IF($AB468=1,SUM($AB$3:$AB468),"")</f>
        <v/>
      </c>
    </row>
    <row r="469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>
        <f>IFERROR(INDEX(CONFIGURACOES!$G$37:$G$300,MATCH($I469,CONFIGURACOES!$B$37:$B$300,0)),"")</f>
        <v/>
      </c>
      <c r="K469" s="20">
        <f>IFERROR(INDEX(CONFIGURACOES!$H$37:$H$300,MATCH($I469,CONFIGURACOES!$B$37:$B$300,0)),"")</f>
        <v/>
      </c>
      <c r="L469" s="20" t="n"/>
      <c r="M469" s="20">
        <f>IFERROR(INDEX(CONFIGURACOES!$I$37:$I$300,MATCH($I469,CONFIGURACOES!$B$37:$B$300,0)),"")</f>
        <v/>
      </c>
      <c r="N469" s="21" t="n"/>
      <c r="O469" s="21" t="n"/>
      <c r="P469" s="21" t="n"/>
      <c r="Q469" s="21" t="n"/>
      <c r="R469" s="21">
        <f>IF($N469="","",$N469*IF($Q469="",1,$Q469)*IF($P469="",1,$P469)*IF($O469="",1,$O469))</f>
        <v/>
      </c>
      <c r="S469" s="22">
        <f>IFERROR(INDEX(CONFIGURACOES!$J$37:$J$300,MATCH($I469,CONFIGURACOES!$B$37:$B$300,0)),"")</f>
        <v/>
      </c>
      <c r="T469" s="22">
        <f>IF(OR($R469="",$S469=""),"",$R469*$S469)</f>
        <v/>
      </c>
      <c r="U469" s="20" t="n"/>
      <c r="V469" s="20" t="n"/>
      <c r="W469" s="20" t="n"/>
      <c r="X469">
        <f>IF($A469="","",$A469&amp;"|"&amp;$C469&amp;"|"&amp;$I469)</f>
        <v/>
      </c>
      <c r="Y469">
        <f>IF(AND($A469=RELATORIO_MEDICAO!$C$5,$C469=RELATORIO_MEDICAO!$F$5,$A469&lt;&gt;""),COUNTIFS($A$3:$A469,RELATORIO_MEDICAO!$C$5,$C$3:$C469,RELATORIO_MEDICAO!$F$5),"")</f>
        <v/>
      </c>
      <c r="Z469">
        <f>IF(OR($A469="",PESQUISA!$C$4=""),0,IF(OR(ISNUMBER(SEARCH(PESQUISA!$C$4,$G469)),ISNUMBER(SEARCH(PESQUISA!$C$4,$K469)),ISNUMBER(SEARCH(PESQUISA!$C$4,$L469))),1,0))</f>
        <v/>
      </c>
      <c r="AA469">
        <f>IF($Z469=1,SUM($Z$3:$Z469),"")</f>
        <v/>
      </c>
      <c r="AB469">
        <f>IF(OR($A469="",PESQUISA!$C$50=""),0,IF(ISNUMBER(SEARCH(PESQUISA!$C$50,$I469)),1,0))</f>
        <v/>
      </c>
      <c r="AC469">
        <f>IF($AB469=1,SUM($AB$3:$AB469),"")</f>
        <v/>
      </c>
    </row>
    <row r="470">
      <c r="A470" s="20" t="n"/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>
        <f>IFERROR(INDEX(CONFIGURACOES!$G$37:$G$300,MATCH($I470,CONFIGURACOES!$B$37:$B$300,0)),"")</f>
        <v/>
      </c>
      <c r="K470" s="20">
        <f>IFERROR(INDEX(CONFIGURACOES!$H$37:$H$300,MATCH($I470,CONFIGURACOES!$B$37:$B$300,0)),"")</f>
        <v/>
      </c>
      <c r="L470" s="20" t="n"/>
      <c r="M470" s="20">
        <f>IFERROR(INDEX(CONFIGURACOES!$I$37:$I$300,MATCH($I470,CONFIGURACOES!$B$37:$B$300,0)),"")</f>
        <v/>
      </c>
      <c r="N470" s="21" t="n"/>
      <c r="O470" s="21" t="n"/>
      <c r="P470" s="21" t="n"/>
      <c r="Q470" s="21" t="n"/>
      <c r="R470" s="21">
        <f>IF($N470="","",$N470*IF($Q470="",1,$Q470)*IF($P470="",1,$P470)*IF($O470="",1,$O470))</f>
        <v/>
      </c>
      <c r="S470" s="22">
        <f>IFERROR(INDEX(CONFIGURACOES!$J$37:$J$300,MATCH($I470,CONFIGURACOES!$B$37:$B$300,0)),"")</f>
        <v/>
      </c>
      <c r="T470" s="22">
        <f>IF(OR($R470="",$S470=""),"",$R470*$S470)</f>
        <v/>
      </c>
      <c r="U470" s="20" t="n"/>
      <c r="V470" s="20" t="n"/>
      <c r="W470" s="20" t="n"/>
      <c r="X470">
        <f>IF($A470="","",$A470&amp;"|"&amp;$C470&amp;"|"&amp;$I470)</f>
        <v/>
      </c>
      <c r="Y470">
        <f>IF(AND($A470=RELATORIO_MEDICAO!$C$5,$C470=RELATORIO_MEDICAO!$F$5,$A470&lt;&gt;""),COUNTIFS($A$3:$A470,RELATORIO_MEDICAO!$C$5,$C$3:$C470,RELATORIO_MEDICAO!$F$5),"")</f>
        <v/>
      </c>
      <c r="Z470">
        <f>IF(OR($A470="",PESQUISA!$C$4=""),0,IF(OR(ISNUMBER(SEARCH(PESQUISA!$C$4,$G470)),ISNUMBER(SEARCH(PESQUISA!$C$4,$K470)),ISNUMBER(SEARCH(PESQUISA!$C$4,$L470))),1,0))</f>
        <v/>
      </c>
      <c r="AA470">
        <f>IF($Z470=1,SUM($Z$3:$Z470),"")</f>
        <v/>
      </c>
      <c r="AB470">
        <f>IF(OR($A470="",PESQUISA!$C$50=""),0,IF(ISNUMBER(SEARCH(PESQUISA!$C$50,$I470)),1,0))</f>
        <v/>
      </c>
      <c r="AC470">
        <f>IF($AB470=1,SUM($AB$3:$AB470),"")</f>
        <v/>
      </c>
    </row>
    <row r="471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>
        <f>IFERROR(INDEX(CONFIGURACOES!$G$37:$G$300,MATCH($I471,CONFIGURACOES!$B$37:$B$300,0)),"")</f>
        <v/>
      </c>
      <c r="K471" s="20">
        <f>IFERROR(INDEX(CONFIGURACOES!$H$37:$H$300,MATCH($I471,CONFIGURACOES!$B$37:$B$300,0)),"")</f>
        <v/>
      </c>
      <c r="L471" s="20" t="n"/>
      <c r="M471" s="20">
        <f>IFERROR(INDEX(CONFIGURACOES!$I$37:$I$300,MATCH($I471,CONFIGURACOES!$B$37:$B$300,0)),"")</f>
        <v/>
      </c>
      <c r="N471" s="21" t="n"/>
      <c r="O471" s="21" t="n"/>
      <c r="P471" s="21" t="n"/>
      <c r="Q471" s="21" t="n"/>
      <c r="R471" s="21">
        <f>IF($N471="","",$N471*IF($Q471="",1,$Q471)*IF($P471="",1,$P471)*IF($O471="",1,$O471))</f>
        <v/>
      </c>
      <c r="S471" s="22">
        <f>IFERROR(INDEX(CONFIGURACOES!$J$37:$J$300,MATCH($I471,CONFIGURACOES!$B$37:$B$300,0)),"")</f>
        <v/>
      </c>
      <c r="T471" s="22">
        <f>IF(OR($R471="",$S471=""),"",$R471*$S471)</f>
        <v/>
      </c>
      <c r="U471" s="20" t="n"/>
      <c r="V471" s="20" t="n"/>
      <c r="W471" s="20" t="n"/>
      <c r="X471">
        <f>IF($A471="","",$A471&amp;"|"&amp;$C471&amp;"|"&amp;$I471)</f>
        <v/>
      </c>
      <c r="Y471">
        <f>IF(AND($A471=RELATORIO_MEDICAO!$C$5,$C471=RELATORIO_MEDICAO!$F$5,$A471&lt;&gt;""),COUNTIFS($A$3:$A471,RELATORIO_MEDICAO!$C$5,$C$3:$C471,RELATORIO_MEDICAO!$F$5),"")</f>
        <v/>
      </c>
      <c r="Z471">
        <f>IF(OR($A471="",PESQUISA!$C$4=""),0,IF(OR(ISNUMBER(SEARCH(PESQUISA!$C$4,$G471)),ISNUMBER(SEARCH(PESQUISA!$C$4,$K471)),ISNUMBER(SEARCH(PESQUISA!$C$4,$L471))),1,0))</f>
        <v/>
      </c>
      <c r="AA471">
        <f>IF($Z471=1,SUM($Z$3:$Z471),"")</f>
        <v/>
      </c>
      <c r="AB471">
        <f>IF(OR($A471="",PESQUISA!$C$50=""),0,IF(ISNUMBER(SEARCH(PESQUISA!$C$50,$I471)),1,0))</f>
        <v/>
      </c>
      <c r="AC471">
        <f>IF($AB471=1,SUM($AB$3:$AB471),"")</f>
        <v/>
      </c>
    </row>
    <row r="472">
      <c r="A472" s="20" t="n"/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>
        <f>IFERROR(INDEX(CONFIGURACOES!$G$37:$G$300,MATCH($I472,CONFIGURACOES!$B$37:$B$300,0)),"")</f>
        <v/>
      </c>
      <c r="K472" s="20">
        <f>IFERROR(INDEX(CONFIGURACOES!$H$37:$H$300,MATCH($I472,CONFIGURACOES!$B$37:$B$300,0)),"")</f>
        <v/>
      </c>
      <c r="L472" s="20" t="n"/>
      <c r="M472" s="20">
        <f>IFERROR(INDEX(CONFIGURACOES!$I$37:$I$300,MATCH($I472,CONFIGURACOES!$B$37:$B$300,0)),"")</f>
        <v/>
      </c>
      <c r="N472" s="21" t="n"/>
      <c r="O472" s="21" t="n"/>
      <c r="P472" s="21" t="n"/>
      <c r="Q472" s="21" t="n"/>
      <c r="R472" s="21">
        <f>IF($N472="","",$N472*IF($Q472="",1,$Q472)*IF($P472="",1,$P472)*IF($O472="",1,$O472))</f>
        <v/>
      </c>
      <c r="S472" s="22">
        <f>IFERROR(INDEX(CONFIGURACOES!$J$37:$J$300,MATCH($I472,CONFIGURACOES!$B$37:$B$300,0)),"")</f>
        <v/>
      </c>
      <c r="T472" s="22">
        <f>IF(OR($R472="",$S472=""),"",$R472*$S472)</f>
        <v/>
      </c>
      <c r="U472" s="20" t="n"/>
      <c r="V472" s="20" t="n"/>
      <c r="W472" s="20" t="n"/>
      <c r="X472">
        <f>IF($A472="","",$A472&amp;"|"&amp;$C472&amp;"|"&amp;$I472)</f>
        <v/>
      </c>
      <c r="Y472">
        <f>IF(AND($A472=RELATORIO_MEDICAO!$C$5,$C472=RELATORIO_MEDICAO!$F$5,$A472&lt;&gt;""),COUNTIFS($A$3:$A472,RELATORIO_MEDICAO!$C$5,$C$3:$C472,RELATORIO_MEDICAO!$F$5),"")</f>
        <v/>
      </c>
      <c r="Z472">
        <f>IF(OR($A472="",PESQUISA!$C$4=""),0,IF(OR(ISNUMBER(SEARCH(PESQUISA!$C$4,$G472)),ISNUMBER(SEARCH(PESQUISA!$C$4,$K472)),ISNUMBER(SEARCH(PESQUISA!$C$4,$L472))),1,0))</f>
        <v/>
      </c>
      <c r="AA472">
        <f>IF($Z472=1,SUM($Z$3:$Z472),"")</f>
        <v/>
      </c>
      <c r="AB472">
        <f>IF(OR($A472="",PESQUISA!$C$50=""),0,IF(ISNUMBER(SEARCH(PESQUISA!$C$50,$I472)),1,0))</f>
        <v/>
      </c>
      <c r="AC472">
        <f>IF($AB472=1,SUM($AB$3:$AB472),"")</f>
        <v/>
      </c>
    </row>
    <row r="473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>
        <f>IFERROR(INDEX(CONFIGURACOES!$G$37:$G$300,MATCH($I473,CONFIGURACOES!$B$37:$B$300,0)),"")</f>
        <v/>
      </c>
      <c r="K473" s="20">
        <f>IFERROR(INDEX(CONFIGURACOES!$H$37:$H$300,MATCH($I473,CONFIGURACOES!$B$37:$B$300,0)),"")</f>
        <v/>
      </c>
      <c r="L473" s="20" t="n"/>
      <c r="M473" s="20">
        <f>IFERROR(INDEX(CONFIGURACOES!$I$37:$I$300,MATCH($I473,CONFIGURACOES!$B$37:$B$300,0)),"")</f>
        <v/>
      </c>
      <c r="N473" s="21" t="n"/>
      <c r="O473" s="21" t="n"/>
      <c r="P473" s="21" t="n"/>
      <c r="Q473" s="21" t="n"/>
      <c r="R473" s="21">
        <f>IF($N473="","",$N473*IF($Q473="",1,$Q473)*IF($P473="",1,$P473)*IF($O473="",1,$O473))</f>
        <v/>
      </c>
      <c r="S473" s="22">
        <f>IFERROR(INDEX(CONFIGURACOES!$J$37:$J$300,MATCH($I473,CONFIGURACOES!$B$37:$B$300,0)),"")</f>
        <v/>
      </c>
      <c r="T473" s="22">
        <f>IF(OR($R473="",$S473=""),"",$R473*$S473)</f>
        <v/>
      </c>
      <c r="U473" s="20" t="n"/>
      <c r="V473" s="20" t="n"/>
      <c r="W473" s="20" t="n"/>
      <c r="X473">
        <f>IF($A473="","",$A473&amp;"|"&amp;$C473&amp;"|"&amp;$I473)</f>
        <v/>
      </c>
      <c r="Y473">
        <f>IF(AND($A473=RELATORIO_MEDICAO!$C$5,$C473=RELATORIO_MEDICAO!$F$5,$A473&lt;&gt;""),COUNTIFS($A$3:$A473,RELATORIO_MEDICAO!$C$5,$C$3:$C473,RELATORIO_MEDICAO!$F$5),"")</f>
        <v/>
      </c>
      <c r="Z473">
        <f>IF(OR($A473="",PESQUISA!$C$4=""),0,IF(OR(ISNUMBER(SEARCH(PESQUISA!$C$4,$G473)),ISNUMBER(SEARCH(PESQUISA!$C$4,$K473)),ISNUMBER(SEARCH(PESQUISA!$C$4,$L473))),1,0))</f>
        <v/>
      </c>
      <c r="AA473">
        <f>IF($Z473=1,SUM($Z$3:$Z473),"")</f>
        <v/>
      </c>
      <c r="AB473">
        <f>IF(OR($A473="",PESQUISA!$C$50=""),0,IF(ISNUMBER(SEARCH(PESQUISA!$C$50,$I473)),1,0))</f>
        <v/>
      </c>
      <c r="AC473">
        <f>IF($AB473=1,SUM($AB$3:$AB473),"")</f>
        <v/>
      </c>
    </row>
    <row r="474">
      <c r="A474" s="20" t="n"/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0">
        <f>IFERROR(INDEX(CONFIGURACOES!$G$37:$G$300,MATCH($I474,CONFIGURACOES!$B$37:$B$300,0)),"")</f>
        <v/>
      </c>
      <c r="K474" s="20">
        <f>IFERROR(INDEX(CONFIGURACOES!$H$37:$H$300,MATCH($I474,CONFIGURACOES!$B$37:$B$300,0)),"")</f>
        <v/>
      </c>
      <c r="L474" s="20" t="n"/>
      <c r="M474" s="20">
        <f>IFERROR(INDEX(CONFIGURACOES!$I$37:$I$300,MATCH($I474,CONFIGURACOES!$B$37:$B$300,0)),"")</f>
        <v/>
      </c>
      <c r="N474" s="21" t="n"/>
      <c r="O474" s="21" t="n"/>
      <c r="P474" s="21" t="n"/>
      <c r="Q474" s="21" t="n"/>
      <c r="R474" s="21">
        <f>IF($N474="","",$N474*IF($Q474="",1,$Q474)*IF($P474="",1,$P474)*IF($O474="",1,$O474))</f>
        <v/>
      </c>
      <c r="S474" s="22">
        <f>IFERROR(INDEX(CONFIGURACOES!$J$37:$J$300,MATCH($I474,CONFIGURACOES!$B$37:$B$300,0)),"")</f>
        <v/>
      </c>
      <c r="T474" s="22">
        <f>IF(OR($R474="",$S474=""),"",$R474*$S474)</f>
        <v/>
      </c>
      <c r="U474" s="20" t="n"/>
      <c r="V474" s="20" t="n"/>
      <c r="W474" s="20" t="n"/>
      <c r="X474">
        <f>IF($A474="","",$A474&amp;"|"&amp;$C474&amp;"|"&amp;$I474)</f>
        <v/>
      </c>
      <c r="Y474">
        <f>IF(AND($A474=RELATORIO_MEDICAO!$C$5,$C474=RELATORIO_MEDICAO!$F$5,$A474&lt;&gt;""),COUNTIFS($A$3:$A474,RELATORIO_MEDICAO!$C$5,$C$3:$C474,RELATORIO_MEDICAO!$F$5),"")</f>
        <v/>
      </c>
      <c r="Z474">
        <f>IF(OR($A474="",PESQUISA!$C$4=""),0,IF(OR(ISNUMBER(SEARCH(PESQUISA!$C$4,$G474)),ISNUMBER(SEARCH(PESQUISA!$C$4,$K474)),ISNUMBER(SEARCH(PESQUISA!$C$4,$L474))),1,0))</f>
        <v/>
      </c>
      <c r="AA474">
        <f>IF($Z474=1,SUM($Z$3:$Z474),"")</f>
        <v/>
      </c>
      <c r="AB474">
        <f>IF(OR($A474="",PESQUISA!$C$50=""),0,IF(ISNUMBER(SEARCH(PESQUISA!$C$50,$I474)),1,0))</f>
        <v/>
      </c>
      <c r="AC474">
        <f>IF($AB474=1,SUM($AB$3:$AB474),"")</f>
        <v/>
      </c>
    </row>
    <row r="475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>
        <f>IFERROR(INDEX(CONFIGURACOES!$G$37:$G$300,MATCH($I475,CONFIGURACOES!$B$37:$B$300,0)),"")</f>
        <v/>
      </c>
      <c r="K475" s="20">
        <f>IFERROR(INDEX(CONFIGURACOES!$H$37:$H$300,MATCH($I475,CONFIGURACOES!$B$37:$B$300,0)),"")</f>
        <v/>
      </c>
      <c r="L475" s="20" t="n"/>
      <c r="M475" s="20">
        <f>IFERROR(INDEX(CONFIGURACOES!$I$37:$I$300,MATCH($I475,CONFIGURACOES!$B$37:$B$300,0)),"")</f>
        <v/>
      </c>
      <c r="N475" s="21" t="n"/>
      <c r="O475" s="21" t="n"/>
      <c r="P475" s="21" t="n"/>
      <c r="Q475" s="21" t="n"/>
      <c r="R475" s="21">
        <f>IF($N475="","",$N475*IF($Q475="",1,$Q475)*IF($P475="",1,$P475)*IF($O475="",1,$O475))</f>
        <v/>
      </c>
      <c r="S475" s="22">
        <f>IFERROR(INDEX(CONFIGURACOES!$J$37:$J$300,MATCH($I475,CONFIGURACOES!$B$37:$B$300,0)),"")</f>
        <v/>
      </c>
      <c r="T475" s="22">
        <f>IF(OR($R475="",$S475=""),"",$R475*$S475)</f>
        <v/>
      </c>
      <c r="U475" s="20" t="n"/>
      <c r="V475" s="20" t="n"/>
      <c r="W475" s="20" t="n"/>
      <c r="X475">
        <f>IF($A475="","",$A475&amp;"|"&amp;$C475&amp;"|"&amp;$I475)</f>
        <v/>
      </c>
      <c r="Y475">
        <f>IF(AND($A475=RELATORIO_MEDICAO!$C$5,$C475=RELATORIO_MEDICAO!$F$5,$A475&lt;&gt;""),COUNTIFS($A$3:$A475,RELATORIO_MEDICAO!$C$5,$C$3:$C475,RELATORIO_MEDICAO!$F$5),"")</f>
        <v/>
      </c>
      <c r="Z475">
        <f>IF(OR($A475="",PESQUISA!$C$4=""),0,IF(OR(ISNUMBER(SEARCH(PESQUISA!$C$4,$G475)),ISNUMBER(SEARCH(PESQUISA!$C$4,$K475)),ISNUMBER(SEARCH(PESQUISA!$C$4,$L475))),1,0))</f>
        <v/>
      </c>
      <c r="AA475">
        <f>IF($Z475=1,SUM($Z$3:$Z475),"")</f>
        <v/>
      </c>
      <c r="AB475">
        <f>IF(OR($A475="",PESQUISA!$C$50=""),0,IF(ISNUMBER(SEARCH(PESQUISA!$C$50,$I475)),1,0))</f>
        <v/>
      </c>
      <c r="AC475">
        <f>IF($AB475=1,SUM($AB$3:$AB475),"")</f>
        <v/>
      </c>
    </row>
    <row r="476">
      <c r="A476" s="20" t="n"/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>
        <f>IFERROR(INDEX(CONFIGURACOES!$G$37:$G$300,MATCH($I476,CONFIGURACOES!$B$37:$B$300,0)),"")</f>
        <v/>
      </c>
      <c r="K476" s="20">
        <f>IFERROR(INDEX(CONFIGURACOES!$H$37:$H$300,MATCH($I476,CONFIGURACOES!$B$37:$B$300,0)),"")</f>
        <v/>
      </c>
      <c r="L476" s="20" t="n"/>
      <c r="M476" s="20">
        <f>IFERROR(INDEX(CONFIGURACOES!$I$37:$I$300,MATCH($I476,CONFIGURACOES!$B$37:$B$300,0)),"")</f>
        <v/>
      </c>
      <c r="N476" s="21" t="n"/>
      <c r="O476" s="21" t="n"/>
      <c r="P476" s="21" t="n"/>
      <c r="Q476" s="21" t="n"/>
      <c r="R476" s="21">
        <f>IF($N476="","",$N476*IF($Q476="",1,$Q476)*IF($P476="",1,$P476)*IF($O476="",1,$O476))</f>
        <v/>
      </c>
      <c r="S476" s="22">
        <f>IFERROR(INDEX(CONFIGURACOES!$J$37:$J$300,MATCH($I476,CONFIGURACOES!$B$37:$B$300,0)),"")</f>
        <v/>
      </c>
      <c r="T476" s="22">
        <f>IF(OR($R476="",$S476=""),"",$R476*$S476)</f>
        <v/>
      </c>
      <c r="U476" s="20" t="n"/>
      <c r="V476" s="20" t="n"/>
      <c r="W476" s="20" t="n"/>
      <c r="X476">
        <f>IF($A476="","",$A476&amp;"|"&amp;$C476&amp;"|"&amp;$I476)</f>
        <v/>
      </c>
      <c r="Y476">
        <f>IF(AND($A476=RELATORIO_MEDICAO!$C$5,$C476=RELATORIO_MEDICAO!$F$5,$A476&lt;&gt;""),COUNTIFS($A$3:$A476,RELATORIO_MEDICAO!$C$5,$C$3:$C476,RELATORIO_MEDICAO!$F$5),"")</f>
        <v/>
      </c>
      <c r="Z476">
        <f>IF(OR($A476="",PESQUISA!$C$4=""),0,IF(OR(ISNUMBER(SEARCH(PESQUISA!$C$4,$G476)),ISNUMBER(SEARCH(PESQUISA!$C$4,$K476)),ISNUMBER(SEARCH(PESQUISA!$C$4,$L476))),1,0))</f>
        <v/>
      </c>
      <c r="AA476">
        <f>IF($Z476=1,SUM($Z$3:$Z476),"")</f>
        <v/>
      </c>
      <c r="AB476">
        <f>IF(OR($A476="",PESQUISA!$C$50=""),0,IF(ISNUMBER(SEARCH(PESQUISA!$C$50,$I476)),1,0))</f>
        <v/>
      </c>
      <c r="AC476">
        <f>IF($AB476=1,SUM($AB$3:$AB476),"")</f>
        <v/>
      </c>
    </row>
    <row r="477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>
        <f>IFERROR(INDEX(CONFIGURACOES!$G$37:$G$300,MATCH($I477,CONFIGURACOES!$B$37:$B$300,0)),"")</f>
        <v/>
      </c>
      <c r="K477" s="20">
        <f>IFERROR(INDEX(CONFIGURACOES!$H$37:$H$300,MATCH($I477,CONFIGURACOES!$B$37:$B$300,0)),"")</f>
        <v/>
      </c>
      <c r="L477" s="20" t="n"/>
      <c r="M477" s="20">
        <f>IFERROR(INDEX(CONFIGURACOES!$I$37:$I$300,MATCH($I477,CONFIGURACOES!$B$37:$B$300,0)),"")</f>
        <v/>
      </c>
      <c r="N477" s="21" t="n"/>
      <c r="O477" s="21" t="n"/>
      <c r="P477" s="21" t="n"/>
      <c r="Q477" s="21" t="n"/>
      <c r="R477" s="21">
        <f>IF($N477="","",$N477*IF($Q477="",1,$Q477)*IF($P477="",1,$P477)*IF($O477="",1,$O477))</f>
        <v/>
      </c>
      <c r="S477" s="22">
        <f>IFERROR(INDEX(CONFIGURACOES!$J$37:$J$300,MATCH($I477,CONFIGURACOES!$B$37:$B$300,0)),"")</f>
        <v/>
      </c>
      <c r="T477" s="22">
        <f>IF(OR($R477="",$S477=""),"",$R477*$S477)</f>
        <v/>
      </c>
      <c r="U477" s="20" t="n"/>
      <c r="V477" s="20" t="n"/>
      <c r="W477" s="20" t="n"/>
      <c r="X477">
        <f>IF($A477="","",$A477&amp;"|"&amp;$C477&amp;"|"&amp;$I477)</f>
        <v/>
      </c>
      <c r="Y477">
        <f>IF(AND($A477=RELATORIO_MEDICAO!$C$5,$C477=RELATORIO_MEDICAO!$F$5,$A477&lt;&gt;""),COUNTIFS($A$3:$A477,RELATORIO_MEDICAO!$C$5,$C$3:$C477,RELATORIO_MEDICAO!$F$5),"")</f>
        <v/>
      </c>
      <c r="Z477">
        <f>IF(OR($A477="",PESQUISA!$C$4=""),0,IF(OR(ISNUMBER(SEARCH(PESQUISA!$C$4,$G477)),ISNUMBER(SEARCH(PESQUISA!$C$4,$K477)),ISNUMBER(SEARCH(PESQUISA!$C$4,$L477))),1,0))</f>
        <v/>
      </c>
      <c r="AA477">
        <f>IF($Z477=1,SUM($Z$3:$Z477),"")</f>
        <v/>
      </c>
      <c r="AB477">
        <f>IF(OR($A477="",PESQUISA!$C$50=""),0,IF(ISNUMBER(SEARCH(PESQUISA!$C$50,$I477)),1,0))</f>
        <v/>
      </c>
      <c r="AC477">
        <f>IF($AB477=1,SUM($AB$3:$AB477),"")</f>
        <v/>
      </c>
    </row>
    <row r="478">
      <c r="A478" s="20" t="n"/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>
        <f>IFERROR(INDEX(CONFIGURACOES!$G$37:$G$300,MATCH($I478,CONFIGURACOES!$B$37:$B$300,0)),"")</f>
        <v/>
      </c>
      <c r="K478" s="20">
        <f>IFERROR(INDEX(CONFIGURACOES!$H$37:$H$300,MATCH($I478,CONFIGURACOES!$B$37:$B$300,0)),"")</f>
        <v/>
      </c>
      <c r="L478" s="20" t="n"/>
      <c r="M478" s="20">
        <f>IFERROR(INDEX(CONFIGURACOES!$I$37:$I$300,MATCH($I478,CONFIGURACOES!$B$37:$B$300,0)),"")</f>
        <v/>
      </c>
      <c r="N478" s="21" t="n"/>
      <c r="O478" s="21" t="n"/>
      <c r="P478" s="21" t="n"/>
      <c r="Q478" s="21" t="n"/>
      <c r="R478" s="21">
        <f>IF($N478="","",$N478*IF($Q478="",1,$Q478)*IF($P478="",1,$P478)*IF($O478="",1,$O478))</f>
        <v/>
      </c>
      <c r="S478" s="22">
        <f>IFERROR(INDEX(CONFIGURACOES!$J$37:$J$300,MATCH($I478,CONFIGURACOES!$B$37:$B$300,0)),"")</f>
        <v/>
      </c>
      <c r="T478" s="22">
        <f>IF(OR($R478="",$S478=""),"",$R478*$S478)</f>
        <v/>
      </c>
      <c r="U478" s="20" t="n"/>
      <c r="V478" s="20" t="n"/>
      <c r="W478" s="20" t="n"/>
      <c r="X478">
        <f>IF($A478="","",$A478&amp;"|"&amp;$C478&amp;"|"&amp;$I478)</f>
        <v/>
      </c>
      <c r="Y478">
        <f>IF(AND($A478=RELATORIO_MEDICAO!$C$5,$C478=RELATORIO_MEDICAO!$F$5,$A478&lt;&gt;""),COUNTIFS($A$3:$A478,RELATORIO_MEDICAO!$C$5,$C$3:$C478,RELATORIO_MEDICAO!$F$5),"")</f>
        <v/>
      </c>
      <c r="Z478">
        <f>IF(OR($A478="",PESQUISA!$C$4=""),0,IF(OR(ISNUMBER(SEARCH(PESQUISA!$C$4,$G478)),ISNUMBER(SEARCH(PESQUISA!$C$4,$K478)),ISNUMBER(SEARCH(PESQUISA!$C$4,$L478))),1,0))</f>
        <v/>
      </c>
      <c r="AA478">
        <f>IF($Z478=1,SUM($Z$3:$Z478),"")</f>
        <v/>
      </c>
      <c r="AB478">
        <f>IF(OR($A478="",PESQUISA!$C$50=""),0,IF(ISNUMBER(SEARCH(PESQUISA!$C$50,$I478)),1,0))</f>
        <v/>
      </c>
      <c r="AC478">
        <f>IF($AB478=1,SUM($AB$3:$AB478),"")</f>
        <v/>
      </c>
    </row>
    <row r="479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>
        <f>IFERROR(INDEX(CONFIGURACOES!$G$37:$G$300,MATCH($I479,CONFIGURACOES!$B$37:$B$300,0)),"")</f>
        <v/>
      </c>
      <c r="K479" s="20">
        <f>IFERROR(INDEX(CONFIGURACOES!$H$37:$H$300,MATCH($I479,CONFIGURACOES!$B$37:$B$300,0)),"")</f>
        <v/>
      </c>
      <c r="L479" s="20" t="n"/>
      <c r="M479" s="20">
        <f>IFERROR(INDEX(CONFIGURACOES!$I$37:$I$300,MATCH($I479,CONFIGURACOES!$B$37:$B$300,0)),"")</f>
        <v/>
      </c>
      <c r="N479" s="21" t="n"/>
      <c r="O479" s="21" t="n"/>
      <c r="P479" s="21" t="n"/>
      <c r="Q479" s="21" t="n"/>
      <c r="R479" s="21">
        <f>IF($N479="","",$N479*IF($Q479="",1,$Q479)*IF($P479="",1,$P479)*IF($O479="",1,$O479))</f>
        <v/>
      </c>
      <c r="S479" s="22">
        <f>IFERROR(INDEX(CONFIGURACOES!$J$37:$J$300,MATCH($I479,CONFIGURACOES!$B$37:$B$300,0)),"")</f>
        <v/>
      </c>
      <c r="T479" s="22">
        <f>IF(OR($R479="",$S479=""),"",$R479*$S479)</f>
        <v/>
      </c>
      <c r="U479" s="20" t="n"/>
      <c r="V479" s="20" t="n"/>
      <c r="W479" s="20" t="n"/>
      <c r="X479">
        <f>IF($A479="","",$A479&amp;"|"&amp;$C479&amp;"|"&amp;$I479)</f>
        <v/>
      </c>
      <c r="Y479">
        <f>IF(AND($A479=RELATORIO_MEDICAO!$C$5,$C479=RELATORIO_MEDICAO!$F$5,$A479&lt;&gt;""),COUNTIFS($A$3:$A479,RELATORIO_MEDICAO!$C$5,$C$3:$C479,RELATORIO_MEDICAO!$F$5),"")</f>
        <v/>
      </c>
      <c r="Z479">
        <f>IF(OR($A479="",PESQUISA!$C$4=""),0,IF(OR(ISNUMBER(SEARCH(PESQUISA!$C$4,$G479)),ISNUMBER(SEARCH(PESQUISA!$C$4,$K479)),ISNUMBER(SEARCH(PESQUISA!$C$4,$L479))),1,0))</f>
        <v/>
      </c>
      <c r="AA479">
        <f>IF($Z479=1,SUM($Z$3:$Z479),"")</f>
        <v/>
      </c>
      <c r="AB479">
        <f>IF(OR($A479="",PESQUISA!$C$50=""),0,IF(ISNUMBER(SEARCH(PESQUISA!$C$50,$I479)),1,0))</f>
        <v/>
      </c>
      <c r="AC479">
        <f>IF($AB479=1,SUM($AB$3:$AB479),"")</f>
        <v/>
      </c>
    </row>
    <row r="480">
      <c r="A480" s="20" t="n"/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>
        <f>IFERROR(INDEX(CONFIGURACOES!$G$37:$G$300,MATCH($I480,CONFIGURACOES!$B$37:$B$300,0)),"")</f>
        <v/>
      </c>
      <c r="K480" s="20">
        <f>IFERROR(INDEX(CONFIGURACOES!$H$37:$H$300,MATCH($I480,CONFIGURACOES!$B$37:$B$300,0)),"")</f>
        <v/>
      </c>
      <c r="L480" s="20" t="n"/>
      <c r="M480" s="20">
        <f>IFERROR(INDEX(CONFIGURACOES!$I$37:$I$300,MATCH($I480,CONFIGURACOES!$B$37:$B$300,0)),"")</f>
        <v/>
      </c>
      <c r="N480" s="21" t="n"/>
      <c r="O480" s="21" t="n"/>
      <c r="P480" s="21" t="n"/>
      <c r="Q480" s="21" t="n"/>
      <c r="R480" s="21">
        <f>IF($N480="","",$N480*IF($Q480="",1,$Q480)*IF($P480="",1,$P480)*IF($O480="",1,$O480))</f>
        <v/>
      </c>
      <c r="S480" s="22">
        <f>IFERROR(INDEX(CONFIGURACOES!$J$37:$J$300,MATCH($I480,CONFIGURACOES!$B$37:$B$300,0)),"")</f>
        <v/>
      </c>
      <c r="T480" s="22">
        <f>IF(OR($R480="",$S480=""),"",$R480*$S480)</f>
        <v/>
      </c>
      <c r="U480" s="20" t="n"/>
      <c r="V480" s="20" t="n"/>
      <c r="W480" s="20" t="n"/>
      <c r="X480">
        <f>IF($A480="","",$A480&amp;"|"&amp;$C480&amp;"|"&amp;$I480)</f>
        <v/>
      </c>
      <c r="Y480">
        <f>IF(AND($A480=RELATORIO_MEDICAO!$C$5,$C480=RELATORIO_MEDICAO!$F$5,$A480&lt;&gt;""),COUNTIFS($A$3:$A480,RELATORIO_MEDICAO!$C$5,$C$3:$C480,RELATORIO_MEDICAO!$F$5),"")</f>
        <v/>
      </c>
      <c r="Z480">
        <f>IF(OR($A480="",PESQUISA!$C$4=""),0,IF(OR(ISNUMBER(SEARCH(PESQUISA!$C$4,$G480)),ISNUMBER(SEARCH(PESQUISA!$C$4,$K480)),ISNUMBER(SEARCH(PESQUISA!$C$4,$L480))),1,0))</f>
        <v/>
      </c>
      <c r="AA480">
        <f>IF($Z480=1,SUM($Z$3:$Z480),"")</f>
        <v/>
      </c>
      <c r="AB480">
        <f>IF(OR($A480="",PESQUISA!$C$50=""),0,IF(ISNUMBER(SEARCH(PESQUISA!$C$50,$I480)),1,0))</f>
        <v/>
      </c>
      <c r="AC480">
        <f>IF($AB480=1,SUM($AB$3:$AB480),"")</f>
        <v/>
      </c>
    </row>
    <row r="481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>
        <f>IFERROR(INDEX(CONFIGURACOES!$G$37:$G$300,MATCH($I481,CONFIGURACOES!$B$37:$B$300,0)),"")</f>
        <v/>
      </c>
      <c r="K481" s="20">
        <f>IFERROR(INDEX(CONFIGURACOES!$H$37:$H$300,MATCH($I481,CONFIGURACOES!$B$37:$B$300,0)),"")</f>
        <v/>
      </c>
      <c r="L481" s="20" t="n"/>
      <c r="M481" s="20">
        <f>IFERROR(INDEX(CONFIGURACOES!$I$37:$I$300,MATCH($I481,CONFIGURACOES!$B$37:$B$300,0)),"")</f>
        <v/>
      </c>
      <c r="N481" s="21" t="n"/>
      <c r="O481" s="21" t="n"/>
      <c r="P481" s="21" t="n"/>
      <c r="Q481" s="21" t="n"/>
      <c r="R481" s="21">
        <f>IF($N481="","",$N481*IF($Q481="",1,$Q481)*IF($P481="",1,$P481)*IF($O481="",1,$O481))</f>
        <v/>
      </c>
      <c r="S481" s="22">
        <f>IFERROR(INDEX(CONFIGURACOES!$J$37:$J$300,MATCH($I481,CONFIGURACOES!$B$37:$B$300,0)),"")</f>
        <v/>
      </c>
      <c r="T481" s="22">
        <f>IF(OR($R481="",$S481=""),"",$R481*$S481)</f>
        <v/>
      </c>
      <c r="U481" s="20" t="n"/>
      <c r="V481" s="20" t="n"/>
      <c r="W481" s="20" t="n"/>
      <c r="X481">
        <f>IF($A481="","",$A481&amp;"|"&amp;$C481&amp;"|"&amp;$I481)</f>
        <v/>
      </c>
      <c r="Y481">
        <f>IF(AND($A481=RELATORIO_MEDICAO!$C$5,$C481=RELATORIO_MEDICAO!$F$5,$A481&lt;&gt;""),COUNTIFS($A$3:$A481,RELATORIO_MEDICAO!$C$5,$C$3:$C481,RELATORIO_MEDICAO!$F$5),"")</f>
        <v/>
      </c>
      <c r="Z481">
        <f>IF(OR($A481="",PESQUISA!$C$4=""),0,IF(OR(ISNUMBER(SEARCH(PESQUISA!$C$4,$G481)),ISNUMBER(SEARCH(PESQUISA!$C$4,$K481)),ISNUMBER(SEARCH(PESQUISA!$C$4,$L481))),1,0))</f>
        <v/>
      </c>
      <c r="AA481">
        <f>IF($Z481=1,SUM($Z$3:$Z481),"")</f>
        <v/>
      </c>
      <c r="AB481">
        <f>IF(OR($A481="",PESQUISA!$C$50=""),0,IF(ISNUMBER(SEARCH(PESQUISA!$C$50,$I481)),1,0))</f>
        <v/>
      </c>
      <c r="AC481">
        <f>IF($AB481=1,SUM($AB$3:$AB481),"")</f>
        <v/>
      </c>
    </row>
    <row r="482">
      <c r="A482" s="20" t="n"/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>
        <f>IFERROR(INDEX(CONFIGURACOES!$G$37:$G$300,MATCH($I482,CONFIGURACOES!$B$37:$B$300,0)),"")</f>
        <v/>
      </c>
      <c r="K482" s="20">
        <f>IFERROR(INDEX(CONFIGURACOES!$H$37:$H$300,MATCH($I482,CONFIGURACOES!$B$37:$B$300,0)),"")</f>
        <v/>
      </c>
      <c r="L482" s="20" t="n"/>
      <c r="M482" s="20">
        <f>IFERROR(INDEX(CONFIGURACOES!$I$37:$I$300,MATCH($I482,CONFIGURACOES!$B$37:$B$300,0)),"")</f>
        <v/>
      </c>
      <c r="N482" s="21" t="n"/>
      <c r="O482" s="21" t="n"/>
      <c r="P482" s="21" t="n"/>
      <c r="Q482" s="21" t="n"/>
      <c r="R482" s="21">
        <f>IF($N482="","",$N482*IF($Q482="",1,$Q482)*IF($P482="",1,$P482)*IF($O482="",1,$O482))</f>
        <v/>
      </c>
      <c r="S482" s="22">
        <f>IFERROR(INDEX(CONFIGURACOES!$J$37:$J$300,MATCH($I482,CONFIGURACOES!$B$37:$B$300,0)),"")</f>
        <v/>
      </c>
      <c r="T482" s="22">
        <f>IF(OR($R482="",$S482=""),"",$R482*$S482)</f>
        <v/>
      </c>
      <c r="U482" s="20" t="n"/>
      <c r="V482" s="20" t="n"/>
      <c r="W482" s="20" t="n"/>
      <c r="X482">
        <f>IF($A482="","",$A482&amp;"|"&amp;$C482&amp;"|"&amp;$I482)</f>
        <v/>
      </c>
      <c r="Y482">
        <f>IF(AND($A482=RELATORIO_MEDICAO!$C$5,$C482=RELATORIO_MEDICAO!$F$5,$A482&lt;&gt;""),COUNTIFS($A$3:$A482,RELATORIO_MEDICAO!$C$5,$C$3:$C482,RELATORIO_MEDICAO!$F$5),"")</f>
        <v/>
      </c>
      <c r="Z482">
        <f>IF(OR($A482="",PESQUISA!$C$4=""),0,IF(OR(ISNUMBER(SEARCH(PESQUISA!$C$4,$G482)),ISNUMBER(SEARCH(PESQUISA!$C$4,$K482)),ISNUMBER(SEARCH(PESQUISA!$C$4,$L482))),1,0))</f>
        <v/>
      </c>
      <c r="AA482">
        <f>IF($Z482=1,SUM($Z$3:$Z482),"")</f>
        <v/>
      </c>
      <c r="AB482">
        <f>IF(OR($A482="",PESQUISA!$C$50=""),0,IF(ISNUMBER(SEARCH(PESQUISA!$C$50,$I482)),1,0))</f>
        <v/>
      </c>
      <c r="AC482">
        <f>IF($AB482=1,SUM($AB$3:$AB482),"")</f>
        <v/>
      </c>
    </row>
    <row r="483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>
        <f>IFERROR(INDEX(CONFIGURACOES!$G$37:$G$300,MATCH($I483,CONFIGURACOES!$B$37:$B$300,0)),"")</f>
        <v/>
      </c>
      <c r="K483" s="20">
        <f>IFERROR(INDEX(CONFIGURACOES!$H$37:$H$300,MATCH($I483,CONFIGURACOES!$B$37:$B$300,0)),"")</f>
        <v/>
      </c>
      <c r="L483" s="20" t="n"/>
      <c r="M483" s="20">
        <f>IFERROR(INDEX(CONFIGURACOES!$I$37:$I$300,MATCH($I483,CONFIGURACOES!$B$37:$B$300,0)),"")</f>
        <v/>
      </c>
      <c r="N483" s="21" t="n"/>
      <c r="O483" s="21" t="n"/>
      <c r="P483" s="21" t="n"/>
      <c r="Q483" s="21" t="n"/>
      <c r="R483" s="21">
        <f>IF($N483="","",$N483*IF($Q483="",1,$Q483)*IF($P483="",1,$P483)*IF($O483="",1,$O483))</f>
        <v/>
      </c>
      <c r="S483" s="22">
        <f>IFERROR(INDEX(CONFIGURACOES!$J$37:$J$300,MATCH($I483,CONFIGURACOES!$B$37:$B$300,0)),"")</f>
        <v/>
      </c>
      <c r="T483" s="22">
        <f>IF(OR($R483="",$S483=""),"",$R483*$S483)</f>
        <v/>
      </c>
      <c r="U483" s="20" t="n"/>
      <c r="V483" s="20" t="n"/>
      <c r="W483" s="20" t="n"/>
      <c r="X483">
        <f>IF($A483="","",$A483&amp;"|"&amp;$C483&amp;"|"&amp;$I483)</f>
        <v/>
      </c>
      <c r="Y483">
        <f>IF(AND($A483=RELATORIO_MEDICAO!$C$5,$C483=RELATORIO_MEDICAO!$F$5,$A483&lt;&gt;""),COUNTIFS($A$3:$A483,RELATORIO_MEDICAO!$C$5,$C$3:$C483,RELATORIO_MEDICAO!$F$5),"")</f>
        <v/>
      </c>
      <c r="Z483">
        <f>IF(OR($A483="",PESQUISA!$C$4=""),0,IF(OR(ISNUMBER(SEARCH(PESQUISA!$C$4,$G483)),ISNUMBER(SEARCH(PESQUISA!$C$4,$K483)),ISNUMBER(SEARCH(PESQUISA!$C$4,$L483))),1,0))</f>
        <v/>
      </c>
      <c r="AA483">
        <f>IF($Z483=1,SUM($Z$3:$Z483),"")</f>
        <v/>
      </c>
      <c r="AB483">
        <f>IF(OR($A483="",PESQUISA!$C$50=""),0,IF(ISNUMBER(SEARCH(PESQUISA!$C$50,$I483)),1,0))</f>
        <v/>
      </c>
      <c r="AC483">
        <f>IF($AB483=1,SUM($AB$3:$AB483),"")</f>
        <v/>
      </c>
    </row>
    <row r="484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>
        <f>IFERROR(INDEX(CONFIGURACOES!$G$37:$G$300,MATCH($I484,CONFIGURACOES!$B$37:$B$300,0)),"")</f>
        <v/>
      </c>
      <c r="K484" s="20">
        <f>IFERROR(INDEX(CONFIGURACOES!$H$37:$H$300,MATCH($I484,CONFIGURACOES!$B$37:$B$300,0)),"")</f>
        <v/>
      </c>
      <c r="L484" s="20" t="n"/>
      <c r="M484" s="20">
        <f>IFERROR(INDEX(CONFIGURACOES!$I$37:$I$300,MATCH($I484,CONFIGURACOES!$B$37:$B$300,0)),"")</f>
        <v/>
      </c>
      <c r="N484" s="21" t="n"/>
      <c r="O484" s="21" t="n"/>
      <c r="P484" s="21" t="n"/>
      <c r="Q484" s="21" t="n"/>
      <c r="R484" s="21">
        <f>IF($N484="","",$N484*IF($Q484="",1,$Q484)*IF($P484="",1,$P484)*IF($O484="",1,$O484))</f>
        <v/>
      </c>
      <c r="S484" s="22">
        <f>IFERROR(INDEX(CONFIGURACOES!$J$37:$J$300,MATCH($I484,CONFIGURACOES!$B$37:$B$300,0)),"")</f>
        <v/>
      </c>
      <c r="T484" s="22">
        <f>IF(OR($R484="",$S484=""),"",$R484*$S484)</f>
        <v/>
      </c>
      <c r="U484" s="20" t="n"/>
      <c r="V484" s="20" t="n"/>
      <c r="W484" s="20" t="n"/>
      <c r="X484">
        <f>IF($A484="","",$A484&amp;"|"&amp;$C484&amp;"|"&amp;$I484)</f>
        <v/>
      </c>
      <c r="Y484">
        <f>IF(AND($A484=RELATORIO_MEDICAO!$C$5,$C484=RELATORIO_MEDICAO!$F$5,$A484&lt;&gt;""),COUNTIFS($A$3:$A484,RELATORIO_MEDICAO!$C$5,$C$3:$C484,RELATORIO_MEDICAO!$F$5),"")</f>
        <v/>
      </c>
      <c r="Z484">
        <f>IF(OR($A484="",PESQUISA!$C$4=""),0,IF(OR(ISNUMBER(SEARCH(PESQUISA!$C$4,$G484)),ISNUMBER(SEARCH(PESQUISA!$C$4,$K484)),ISNUMBER(SEARCH(PESQUISA!$C$4,$L484))),1,0))</f>
        <v/>
      </c>
      <c r="AA484">
        <f>IF($Z484=1,SUM($Z$3:$Z484),"")</f>
        <v/>
      </c>
      <c r="AB484">
        <f>IF(OR($A484="",PESQUISA!$C$50=""),0,IF(ISNUMBER(SEARCH(PESQUISA!$C$50,$I484)),1,0))</f>
        <v/>
      </c>
      <c r="AC484">
        <f>IF($AB484=1,SUM($AB$3:$AB484),"")</f>
        <v/>
      </c>
    </row>
    <row r="48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>
        <f>IFERROR(INDEX(CONFIGURACOES!$G$37:$G$300,MATCH($I485,CONFIGURACOES!$B$37:$B$300,0)),"")</f>
        <v/>
      </c>
      <c r="K485" s="20">
        <f>IFERROR(INDEX(CONFIGURACOES!$H$37:$H$300,MATCH($I485,CONFIGURACOES!$B$37:$B$300,0)),"")</f>
        <v/>
      </c>
      <c r="L485" s="20" t="n"/>
      <c r="M485" s="20">
        <f>IFERROR(INDEX(CONFIGURACOES!$I$37:$I$300,MATCH($I485,CONFIGURACOES!$B$37:$B$300,0)),"")</f>
        <v/>
      </c>
      <c r="N485" s="21" t="n"/>
      <c r="O485" s="21" t="n"/>
      <c r="P485" s="21" t="n"/>
      <c r="Q485" s="21" t="n"/>
      <c r="R485" s="21">
        <f>IF($N485="","",$N485*IF($Q485="",1,$Q485)*IF($P485="",1,$P485)*IF($O485="",1,$O485))</f>
        <v/>
      </c>
      <c r="S485" s="22">
        <f>IFERROR(INDEX(CONFIGURACOES!$J$37:$J$300,MATCH($I485,CONFIGURACOES!$B$37:$B$300,0)),"")</f>
        <v/>
      </c>
      <c r="T485" s="22">
        <f>IF(OR($R485="",$S485=""),"",$R485*$S485)</f>
        <v/>
      </c>
      <c r="U485" s="20" t="n"/>
      <c r="V485" s="20" t="n"/>
      <c r="W485" s="20" t="n"/>
      <c r="X485">
        <f>IF($A485="","",$A485&amp;"|"&amp;$C485&amp;"|"&amp;$I485)</f>
        <v/>
      </c>
      <c r="Y485">
        <f>IF(AND($A485=RELATORIO_MEDICAO!$C$5,$C485=RELATORIO_MEDICAO!$F$5,$A485&lt;&gt;""),COUNTIFS($A$3:$A485,RELATORIO_MEDICAO!$C$5,$C$3:$C485,RELATORIO_MEDICAO!$F$5),"")</f>
        <v/>
      </c>
      <c r="Z485">
        <f>IF(OR($A485="",PESQUISA!$C$4=""),0,IF(OR(ISNUMBER(SEARCH(PESQUISA!$C$4,$G485)),ISNUMBER(SEARCH(PESQUISA!$C$4,$K485)),ISNUMBER(SEARCH(PESQUISA!$C$4,$L485))),1,0))</f>
        <v/>
      </c>
      <c r="AA485">
        <f>IF($Z485=1,SUM($Z$3:$Z485),"")</f>
        <v/>
      </c>
      <c r="AB485">
        <f>IF(OR($A485="",PESQUISA!$C$50=""),0,IF(ISNUMBER(SEARCH(PESQUISA!$C$50,$I485)),1,0))</f>
        <v/>
      </c>
      <c r="AC485">
        <f>IF($AB485=1,SUM($AB$3:$AB485),"")</f>
        <v/>
      </c>
    </row>
    <row r="486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>
        <f>IFERROR(INDEX(CONFIGURACOES!$G$37:$G$300,MATCH($I486,CONFIGURACOES!$B$37:$B$300,0)),"")</f>
        <v/>
      </c>
      <c r="K486" s="20">
        <f>IFERROR(INDEX(CONFIGURACOES!$H$37:$H$300,MATCH($I486,CONFIGURACOES!$B$37:$B$300,0)),"")</f>
        <v/>
      </c>
      <c r="L486" s="20" t="n"/>
      <c r="M486" s="20">
        <f>IFERROR(INDEX(CONFIGURACOES!$I$37:$I$300,MATCH($I486,CONFIGURACOES!$B$37:$B$300,0)),"")</f>
        <v/>
      </c>
      <c r="N486" s="21" t="n"/>
      <c r="O486" s="21" t="n"/>
      <c r="P486" s="21" t="n"/>
      <c r="Q486" s="21" t="n"/>
      <c r="R486" s="21">
        <f>IF($N486="","",$N486*IF($Q486="",1,$Q486)*IF($P486="",1,$P486)*IF($O486="",1,$O486))</f>
        <v/>
      </c>
      <c r="S486" s="22">
        <f>IFERROR(INDEX(CONFIGURACOES!$J$37:$J$300,MATCH($I486,CONFIGURACOES!$B$37:$B$300,0)),"")</f>
        <v/>
      </c>
      <c r="T486" s="22">
        <f>IF(OR($R486="",$S486=""),"",$R486*$S486)</f>
        <v/>
      </c>
      <c r="U486" s="20" t="n"/>
      <c r="V486" s="20" t="n"/>
      <c r="W486" s="20" t="n"/>
      <c r="X486">
        <f>IF($A486="","",$A486&amp;"|"&amp;$C486&amp;"|"&amp;$I486)</f>
        <v/>
      </c>
      <c r="Y486">
        <f>IF(AND($A486=RELATORIO_MEDICAO!$C$5,$C486=RELATORIO_MEDICAO!$F$5,$A486&lt;&gt;""),COUNTIFS($A$3:$A486,RELATORIO_MEDICAO!$C$5,$C$3:$C486,RELATORIO_MEDICAO!$F$5),"")</f>
        <v/>
      </c>
      <c r="Z486">
        <f>IF(OR($A486="",PESQUISA!$C$4=""),0,IF(OR(ISNUMBER(SEARCH(PESQUISA!$C$4,$G486)),ISNUMBER(SEARCH(PESQUISA!$C$4,$K486)),ISNUMBER(SEARCH(PESQUISA!$C$4,$L486))),1,0))</f>
        <v/>
      </c>
      <c r="AA486">
        <f>IF($Z486=1,SUM($Z$3:$Z486),"")</f>
        <v/>
      </c>
      <c r="AB486">
        <f>IF(OR($A486="",PESQUISA!$C$50=""),0,IF(ISNUMBER(SEARCH(PESQUISA!$C$50,$I486)),1,0))</f>
        <v/>
      </c>
      <c r="AC486">
        <f>IF($AB486=1,SUM($AB$3:$AB486),"")</f>
        <v/>
      </c>
    </row>
    <row r="487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>
        <f>IFERROR(INDEX(CONFIGURACOES!$G$37:$G$300,MATCH($I487,CONFIGURACOES!$B$37:$B$300,0)),"")</f>
        <v/>
      </c>
      <c r="K487" s="20">
        <f>IFERROR(INDEX(CONFIGURACOES!$H$37:$H$300,MATCH($I487,CONFIGURACOES!$B$37:$B$300,0)),"")</f>
        <v/>
      </c>
      <c r="L487" s="20" t="n"/>
      <c r="M487" s="20">
        <f>IFERROR(INDEX(CONFIGURACOES!$I$37:$I$300,MATCH($I487,CONFIGURACOES!$B$37:$B$300,0)),"")</f>
        <v/>
      </c>
      <c r="N487" s="21" t="n"/>
      <c r="O487" s="21" t="n"/>
      <c r="P487" s="21" t="n"/>
      <c r="Q487" s="21" t="n"/>
      <c r="R487" s="21">
        <f>IF($N487="","",$N487*IF($Q487="",1,$Q487)*IF($P487="",1,$P487)*IF($O487="",1,$O487))</f>
        <v/>
      </c>
      <c r="S487" s="22">
        <f>IFERROR(INDEX(CONFIGURACOES!$J$37:$J$300,MATCH($I487,CONFIGURACOES!$B$37:$B$300,0)),"")</f>
        <v/>
      </c>
      <c r="T487" s="22">
        <f>IF(OR($R487="",$S487=""),"",$R487*$S487)</f>
        <v/>
      </c>
      <c r="U487" s="20" t="n"/>
      <c r="V487" s="20" t="n"/>
      <c r="W487" s="20" t="n"/>
      <c r="X487">
        <f>IF($A487="","",$A487&amp;"|"&amp;$C487&amp;"|"&amp;$I487)</f>
        <v/>
      </c>
      <c r="Y487">
        <f>IF(AND($A487=RELATORIO_MEDICAO!$C$5,$C487=RELATORIO_MEDICAO!$F$5,$A487&lt;&gt;""),COUNTIFS($A$3:$A487,RELATORIO_MEDICAO!$C$5,$C$3:$C487,RELATORIO_MEDICAO!$F$5),"")</f>
        <v/>
      </c>
      <c r="Z487">
        <f>IF(OR($A487="",PESQUISA!$C$4=""),0,IF(OR(ISNUMBER(SEARCH(PESQUISA!$C$4,$G487)),ISNUMBER(SEARCH(PESQUISA!$C$4,$K487)),ISNUMBER(SEARCH(PESQUISA!$C$4,$L487))),1,0))</f>
        <v/>
      </c>
      <c r="AA487">
        <f>IF($Z487=1,SUM($Z$3:$Z487),"")</f>
        <v/>
      </c>
      <c r="AB487">
        <f>IF(OR($A487="",PESQUISA!$C$50=""),0,IF(ISNUMBER(SEARCH(PESQUISA!$C$50,$I487)),1,0))</f>
        <v/>
      </c>
      <c r="AC487">
        <f>IF($AB487=1,SUM($AB$3:$AB487),"")</f>
        <v/>
      </c>
    </row>
    <row r="48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>
        <f>IFERROR(INDEX(CONFIGURACOES!$G$37:$G$300,MATCH($I488,CONFIGURACOES!$B$37:$B$300,0)),"")</f>
        <v/>
      </c>
      <c r="K488" s="20">
        <f>IFERROR(INDEX(CONFIGURACOES!$H$37:$H$300,MATCH($I488,CONFIGURACOES!$B$37:$B$300,0)),"")</f>
        <v/>
      </c>
      <c r="L488" s="20" t="n"/>
      <c r="M488" s="20">
        <f>IFERROR(INDEX(CONFIGURACOES!$I$37:$I$300,MATCH($I488,CONFIGURACOES!$B$37:$B$300,0)),"")</f>
        <v/>
      </c>
      <c r="N488" s="21" t="n"/>
      <c r="O488" s="21" t="n"/>
      <c r="P488" s="21" t="n"/>
      <c r="Q488" s="21" t="n"/>
      <c r="R488" s="21">
        <f>IF($N488="","",$N488*IF($Q488="",1,$Q488)*IF($P488="",1,$P488)*IF($O488="",1,$O488))</f>
        <v/>
      </c>
      <c r="S488" s="22">
        <f>IFERROR(INDEX(CONFIGURACOES!$J$37:$J$300,MATCH($I488,CONFIGURACOES!$B$37:$B$300,0)),"")</f>
        <v/>
      </c>
      <c r="T488" s="22">
        <f>IF(OR($R488="",$S488=""),"",$R488*$S488)</f>
        <v/>
      </c>
      <c r="U488" s="20" t="n"/>
      <c r="V488" s="20" t="n"/>
      <c r="W488" s="20" t="n"/>
      <c r="X488">
        <f>IF($A488="","",$A488&amp;"|"&amp;$C488&amp;"|"&amp;$I488)</f>
        <v/>
      </c>
      <c r="Y488">
        <f>IF(AND($A488=RELATORIO_MEDICAO!$C$5,$C488=RELATORIO_MEDICAO!$F$5,$A488&lt;&gt;""),COUNTIFS($A$3:$A488,RELATORIO_MEDICAO!$C$5,$C$3:$C488,RELATORIO_MEDICAO!$F$5),"")</f>
        <v/>
      </c>
      <c r="Z488">
        <f>IF(OR($A488="",PESQUISA!$C$4=""),0,IF(OR(ISNUMBER(SEARCH(PESQUISA!$C$4,$G488)),ISNUMBER(SEARCH(PESQUISA!$C$4,$K488)),ISNUMBER(SEARCH(PESQUISA!$C$4,$L488))),1,0))</f>
        <v/>
      </c>
      <c r="AA488">
        <f>IF($Z488=1,SUM($Z$3:$Z488),"")</f>
        <v/>
      </c>
      <c r="AB488">
        <f>IF(OR($A488="",PESQUISA!$C$50=""),0,IF(ISNUMBER(SEARCH(PESQUISA!$C$50,$I488)),1,0))</f>
        <v/>
      </c>
      <c r="AC488">
        <f>IF($AB488=1,SUM($AB$3:$AB488),"")</f>
        <v/>
      </c>
    </row>
    <row r="489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>
        <f>IFERROR(INDEX(CONFIGURACOES!$G$37:$G$300,MATCH($I489,CONFIGURACOES!$B$37:$B$300,0)),"")</f>
        <v/>
      </c>
      <c r="K489" s="20">
        <f>IFERROR(INDEX(CONFIGURACOES!$H$37:$H$300,MATCH($I489,CONFIGURACOES!$B$37:$B$300,0)),"")</f>
        <v/>
      </c>
      <c r="L489" s="20" t="n"/>
      <c r="M489" s="20">
        <f>IFERROR(INDEX(CONFIGURACOES!$I$37:$I$300,MATCH($I489,CONFIGURACOES!$B$37:$B$300,0)),"")</f>
        <v/>
      </c>
      <c r="N489" s="21" t="n"/>
      <c r="O489" s="21" t="n"/>
      <c r="P489" s="21" t="n"/>
      <c r="Q489" s="21" t="n"/>
      <c r="R489" s="21">
        <f>IF($N489="","",$N489*IF($Q489="",1,$Q489)*IF($P489="",1,$P489)*IF($O489="",1,$O489))</f>
        <v/>
      </c>
      <c r="S489" s="22">
        <f>IFERROR(INDEX(CONFIGURACOES!$J$37:$J$300,MATCH($I489,CONFIGURACOES!$B$37:$B$300,0)),"")</f>
        <v/>
      </c>
      <c r="T489" s="22">
        <f>IF(OR($R489="",$S489=""),"",$R489*$S489)</f>
        <v/>
      </c>
      <c r="U489" s="20" t="n"/>
      <c r="V489" s="20" t="n"/>
      <c r="W489" s="20" t="n"/>
      <c r="X489">
        <f>IF($A489="","",$A489&amp;"|"&amp;$C489&amp;"|"&amp;$I489)</f>
        <v/>
      </c>
      <c r="Y489">
        <f>IF(AND($A489=RELATORIO_MEDICAO!$C$5,$C489=RELATORIO_MEDICAO!$F$5,$A489&lt;&gt;""),COUNTIFS($A$3:$A489,RELATORIO_MEDICAO!$C$5,$C$3:$C489,RELATORIO_MEDICAO!$F$5),"")</f>
        <v/>
      </c>
      <c r="Z489">
        <f>IF(OR($A489="",PESQUISA!$C$4=""),0,IF(OR(ISNUMBER(SEARCH(PESQUISA!$C$4,$G489)),ISNUMBER(SEARCH(PESQUISA!$C$4,$K489)),ISNUMBER(SEARCH(PESQUISA!$C$4,$L489))),1,0))</f>
        <v/>
      </c>
      <c r="AA489">
        <f>IF($Z489=1,SUM($Z$3:$Z489),"")</f>
        <v/>
      </c>
      <c r="AB489">
        <f>IF(OR($A489="",PESQUISA!$C$50=""),0,IF(ISNUMBER(SEARCH(PESQUISA!$C$50,$I489)),1,0))</f>
        <v/>
      </c>
      <c r="AC489">
        <f>IF($AB489=1,SUM($AB$3:$AB489),"")</f>
        <v/>
      </c>
    </row>
    <row r="490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>
        <f>IFERROR(INDEX(CONFIGURACOES!$G$37:$G$300,MATCH($I490,CONFIGURACOES!$B$37:$B$300,0)),"")</f>
        <v/>
      </c>
      <c r="K490" s="20">
        <f>IFERROR(INDEX(CONFIGURACOES!$H$37:$H$300,MATCH($I490,CONFIGURACOES!$B$37:$B$300,0)),"")</f>
        <v/>
      </c>
      <c r="L490" s="20" t="n"/>
      <c r="M490" s="20">
        <f>IFERROR(INDEX(CONFIGURACOES!$I$37:$I$300,MATCH($I490,CONFIGURACOES!$B$37:$B$300,0)),"")</f>
        <v/>
      </c>
      <c r="N490" s="21" t="n"/>
      <c r="O490" s="21" t="n"/>
      <c r="P490" s="21" t="n"/>
      <c r="Q490" s="21" t="n"/>
      <c r="R490" s="21">
        <f>IF($N490="","",$N490*IF($Q490="",1,$Q490)*IF($P490="",1,$P490)*IF($O490="",1,$O490))</f>
        <v/>
      </c>
      <c r="S490" s="22">
        <f>IFERROR(INDEX(CONFIGURACOES!$J$37:$J$300,MATCH($I490,CONFIGURACOES!$B$37:$B$300,0)),"")</f>
        <v/>
      </c>
      <c r="T490" s="22">
        <f>IF(OR($R490="",$S490=""),"",$R490*$S490)</f>
        <v/>
      </c>
      <c r="U490" s="20" t="n"/>
      <c r="V490" s="20" t="n"/>
      <c r="W490" s="20" t="n"/>
      <c r="X490">
        <f>IF($A490="","",$A490&amp;"|"&amp;$C490&amp;"|"&amp;$I490)</f>
        <v/>
      </c>
      <c r="Y490">
        <f>IF(AND($A490=RELATORIO_MEDICAO!$C$5,$C490=RELATORIO_MEDICAO!$F$5,$A490&lt;&gt;""),COUNTIFS($A$3:$A490,RELATORIO_MEDICAO!$C$5,$C$3:$C490,RELATORIO_MEDICAO!$F$5),"")</f>
        <v/>
      </c>
      <c r="Z490">
        <f>IF(OR($A490="",PESQUISA!$C$4=""),0,IF(OR(ISNUMBER(SEARCH(PESQUISA!$C$4,$G490)),ISNUMBER(SEARCH(PESQUISA!$C$4,$K490)),ISNUMBER(SEARCH(PESQUISA!$C$4,$L490))),1,0))</f>
        <v/>
      </c>
      <c r="AA490">
        <f>IF($Z490=1,SUM($Z$3:$Z490),"")</f>
        <v/>
      </c>
      <c r="AB490">
        <f>IF(OR($A490="",PESQUISA!$C$50=""),0,IF(ISNUMBER(SEARCH(PESQUISA!$C$50,$I490)),1,0))</f>
        <v/>
      </c>
      <c r="AC490">
        <f>IF($AB490=1,SUM($AB$3:$AB490),"")</f>
        <v/>
      </c>
    </row>
    <row r="49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>
        <f>IFERROR(INDEX(CONFIGURACOES!$G$37:$G$300,MATCH($I491,CONFIGURACOES!$B$37:$B$300,0)),"")</f>
        <v/>
      </c>
      <c r="K491" s="20">
        <f>IFERROR(INDEX(CONFIGURACOES!$H$37:$H$300,MATCH($I491,CONFIGURACOES!$B$37:$B$300,0)),"")</f>
        <v/>
      </c>
      <c r="L491" s="20" t="n"/>
      <c r="M491" s="20">
        <f>IFERROR(INDEX(CONFIGURACOES!$I$37:$I$300,MATCH($I491,CONFIGURACOES!$B$37:$B$300,0)),"")</f>
        <v/>
      </c>
      <c r="N491" s="21" t="n"/>
      <c r="O491" s="21" t="n"/>
      <c r="P491" s="21" t="n"/>
      <c r="Q491" s="21" t="n"/>
      <c r="R491" s="21">
        <f>IF($N491="","",$N491*IF($Q491="",1,$Q491)*IF($P491="",1,$P491)*IF($O491="",1,$O491))</f>
        <v/>
      </c>
      <c r="S491" s="22">
        <f>IFERROR(INDEX(CONFIGURACOES!$J$37:$J$300,MATCH($I491,CONFIGURACOES!$B$37:$B$300,0)),"")</f>
        <v/>
      </c>
      <c r="T491" s="22">
        <f>IF(OR($R491="",$S491=""),"",$R491*$S491)</f>
        <v/>
      </c>
      <c r="U491" s="20" t="n"/>
      <c r="V491" s="20" t="n"/>
      <c r="W491" s="20" t="n"/>
      <c r="X491">
        <f>IF($A491="","",$A491&amp;"|"&amp;$C491&amp;"|"&amp;$I491)</f>
        <v/>
      </c>
      <c r="Y491">
        <f>IF(AND($A491=RELATORIO_MEDICAO!$C$5,$C491=RELATORIO_MEDICAO!$F$5,$A491&lt;&gt;""),COUNTIFS($A$3:$A491,RELATORIO_MEDICAO!$C$5,$C$3:$C491,RELATORIO_MEDICAO!$F$5),"")</f>
        <v/>
      </c>
      <c r="Z491">
        <f>IF(OR($A491="",PESQUISA!$C$4=""),0,IF(OR(ISNUMBER(SEARCH(PESQUISA!$C$4,$G491)),ISNUMBER(SEARCH(PESQUISA!$C$4,$K491)),ISNUMBER(SEARCH(PESQUISA!$C$4,$L491))),1,0))</f>
        <v/>
      </c>
      <c r="AA491">
        <f>IF($Z491=1,SUM($Z$3:$Z491),"")</f>
        <v/>
      </c>
      <c r="AB491">
        <f>IF(OR($A491="",PESQUISA!$C$50=""),0,IF(ISNUMBER(SEARCH(PESQUISA!$C$50,$I491)),1,0))</f>
        <v/>
      </c>
      <c r="AC491">
        <f>IF($AB491=1,SUM($AB$3:$AB491),"")</f>
        <v/>
      </c>
    </row>
    <row r="492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>
        <f>IFERROR(INDEX(CONFIGURACOES!$G$37:$G$300,MATCH($I492,CONFIGURACOES!$B$37:$B$300,0)),"")</f>
        <v/>
      </c>
      <c r="K492" s="20">
        <f>IFERROR(INDEX(CONFIGURACOES!$H$37:$H$300,MATCH($I492,CONFIGURACOES!$B$37:$B$300,0)),"")</f>
        <v/>
      </c>
      <c r="L492" s="20" t="n"/>
      <c r="M492" s="20">
        <f>IFERROR(INDEX(CONFIGURACOES!$I$37:$I$300,MATCH($I492,CONFIGURACOES!$B$37:$B$300,0)),"")</f>
        <v/>
      </c>
      <c r="N492" s="21" t="n"/>
      <c r="O492" s="21" t="n"/>
      <c r="P492" s="21" t="n"/>
      <c r="Q492" s="21" t="n"/>
      <c r="R492" s="21">
        <f>IF($N492="","",$N492*IF($Q492="",1,$Q492)*IF($P492="",1,$P492)*IF($O492="",1,$O492))</f>
        <v/>
      </c>
      <c r="S492" s="22">
        <f>IFERROR(INDEX(CONFIGURACOES!$J$37:$J$300,MATCH($I492,CONFIGURACOES!$B$37:$B$300,0)),"")</f>
        <v/>
      </c>
      <c r="T492" s="22">
        <f>IF(OR($R492="",$S492=""),"",$R492*$S492)</f>
        <v/>
      </c>
      <c r="U492" s="20" t="n"/>
      <c r="V492" s="20" t="n"/>
      <c r="W492" s="20" t="n"/>
      <c r="X492">
        <f>IF($A492="","",$A492&amp;"|"&amp;$C492&amp;"|"&amp;$I492)</f>
        <v/>
      </c>
      <c r="Y492">
        <f>IF(AND($A492=RELATORIO_MEDICAO!$C$5,$C492=RELATORIO_MEDICAO!$F$5,$A492&lt;&gt;""),COUNTIFS($A$3:$A492,RELATORIO_MEDICAO!$C$5,$C$3:$C492,RELATORIO_MEDICAO!$F$5),"")</f>
        <v/>
      </c>
      <c r="Z492">
        <f>IF(OR($A492="",PESQUISA!$C$4=""),0,IF(OR(ISNUMBER(SEARCH(PESQUISA!$C$4,$G492)),ISNUMBER(SEARCH(PESQUISA!$C$4,$K492)),ISNUMBER(SEARCH(PESQUISA!$C$4,$L492))),1,0))</f>
        <v/>
      </c>
      <c r="AA492">
        <f>IF($Z492=1,SUM($Z$3:$Z492),"")</f>
        <v/>
      </c>
      <c r="AB492">
        <f>IF(OR($A492="",PESQUISA!$C$50=""),0,IF(ISNUMBER(SEARCH(PESQUISA!$C$50,$I492)),1,0))</f>
        <v/>
      </c>
      <c r="AC492">
        <f>IF($AB492=1,SUM($AB$3:$AB492),"")</f>
        <v/>
      </c>
    </row>
    <row r="493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>
        <f>IFERROR(INDEX(CONFIGURACOES!$G$37:$G$300,MATCH($I493,CONFIGURACOES!$B$37:$B$300,0)),"")</f>
        <v/>
      </c>
      <c r="K493" s="20">
        <f>IFERROR(INDEX(CONFIGURACOES!$H$37:$H$300,MATCH($I493,CONFIGURACOES!$B$37:$B$300,0)),"")</f>
        <v/>
      </c>
      <c r="L493" s="20" t="n"/>
      <c r="M493" s="20">
        <f>IFERROR(INDEX(CONFIGURACOES!$I$37:$I$300,MATCH($I493,CONFIGURACOES!$B$37:$B$300,0)),"")</f>
        <v/>
      </c>
      <c r="N493" s="21" t="n"/>
      <c r="O493" s="21" t="n"/>
      <c r="P493" s="21" t="n"/>
      <c r="Q493" s="21" t="n"/>
      <c r="R493" s="21">
        <f>IF($N493="","",$N493*IF($Q493="",1,$Q493)*IF($P493="",1,$P493)*IF($O493="",1,$O493))</f>
        <v/>
      </c>
      <c r="S493" s="22">
        <f>IFERROR(INDEX(CONFIGURACOES!$J$37:$J$300,MATCH($I493,CONFIGURACOES!$B$37:$B$300,0)),"")</f>
        <v/>
      </c>
      <c r="T493" s="22">
        <f>IF(OR($R493="",$S493=""),"",$R493*$S493)</f>
        <v/>
      </c>
      <c r="U493" s="20" t="n"/>
      <c r="V493" s="20" t="n"/>
      <c r="W493" s="20" t="n"/>
      <c r="X493">
        <f>IF($A493="","",$A493&amp;"|"&amp;$C493&amp;"|"&amp;$I493)</f>
        <v/>
      </c>
      <c r="Y493">
        <f>IF(AND($A493=RELATORIO_MEDICAO!$C$5,$C493=RELATORIO_MEDICAO!$F$5,$A493&lt;&gt;""),COUNTIFS($A$3:$A493,RELATORIO_MEDICAO!$C$5,$C$3:$C493,RELATORIO_MEDICAO!$F$5),"")</f>
        <v/>
      </c>
      <c r="Z493">
        <f>IF(OR($A493="",PESQUISA!$C$4=""),0,IF(OR(ISNUMBER(SEARCH(PESQUISA!$C$4,$G493)),ISNUMBER(SEARCH(PESQUISA!$C$4,$K493)),ISNUMBER(SEARCH(PESQUISA!$C$4,$L493))),1,0))</f>
        <v/>
      </c>
      <c r="AA493">
        <f>IF($Z493=1,SUM($Z$3:$Z493),"")</f>
        <v/>
      </c>
      <c r="AB493">
        <f>IF(OR($A493="",PESQUISA!$C$50=""),0,IF(ISNUMBER(SEARCH(PESQUISA!$C$50,$I493)),1,0))</f>
        <v/>
      </c>
      <c r="AC493">
        <f>IF($AB493=1,SUM($AB$3:$AB493),"")</f>
        <v/>
      </c>
    </row>
    <row r="494">
      <c r="A494" s="20" t="n"/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>
        <f>IFERROR(INDEX(CONFIGURACOES!$G$37:$G$300,MATCH($I494,CONFIGURACOES!$B$37:$B$300,0)),"")</f>
        <v/>
      </c>
      <c r="K494" s="20">
        <f>IFERROR(INDEX(CONFIGURACOES!$H$37:$H$300,MATCH($I494,CONFIGURACOES!$B$37:$B$300,0)),"")</f>
        <v/>
      </c>
      <c r="L494" s="20" t="n"/>
      <c r="M494" s="20">
        <f>IFERROR(INDEX(CONFIGURACOES!$I$37:$I$300,MATCH($I494,CONFIGURACOES!$B$37:$B$300,0)),"")</f>
        <v/>
      </c>
      <c r="N494" s="21" t="n"/>
      <c r="O494" s="21" t="n"/>
      <c r="P494" s="21" t="n"/>
      <c r="Q494" s="21" t="n"/>
      <c r="R494" s="21">
        <f>IF($N494="","",$N494*IF($Q494="",1,$Q494)*IF($P494="",1,$P494)*IF($O494="",1,$O494))</f>
        <v/>
      </c>
      <c r="S494" s="22">
        <f>IFERROR(INDEX(CONFIGURACOES!$J$37:$J$300,MATCH($I494,CONFIGURACOES!$B$37:$B$300,0)),"")</f>
        <v/>
      </c>
      <c r="T494" s="22">
        <f>IF(OR($R494="",$S494=""),"",$R494*$S494)</f>
        <v/>
      </c>
      <c r="U494" s="20" t="n"/>
      <c r="V494" s="20" t="n"/>
      <c r="W494" s="20" t="n"/>
      <c r="X494">
        <f>IF($A494="","",$A494&amp;"|"&amp;$C494&amp;"|"&amp;$I494)</f>
        <v/>
      </c>
      <c r="Y494">
        <f>IF(AND($A494=RELATORIO_MEDICAO!$C$5,$C494=RELATORIO_MEDICAO!$F$5,$A494&lt;&gt;""),COUNTIFS($A$3:$A494,RELATORIO_MEDICAO!$C$5,$C$3:$C494,RELATORIO_MEDICAO!$F$5),"")</f>
        <v/>
      </c>
      <c r="Z494">
        <f>IF(OR($A494="",PESQUISA!$C$4=""),0,IF(OR(ISNUMBER(SEARCH(PESQUISA!$C$4,$G494)),ISNUMBER(SEARCH(PESQUISA!$C$4,$K494)),ISNUMBER(SEARCH(PESQUISA!$C$4,$L494))),1,0))</f>
        <v/>
      </c>
      <c r="AA494">
        <f>IF($Z494=1,SUM($Z$3:$Z494),"")</f>
        <v/>
      </c>
      <c r="AB494">
        <f>IF(OR($A494="",PESQUISA!$C$50=""),0,IF(ISNUMBER(SEARCH(PESQUISA!$C$50,$I494)),1,0))</f>
        <v/>
      </c>
      <c r="AC494">
        <f>IF($AB494=1,SUM($AB$3:$AB494),"")</f>
        <v/>
      </c>
    </row>
    <row r="49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>
        <f>IFERROR(INDEX(CONFIGURACOES!$G$37:$G$300,MATCH($I495,CONFIGURACOES!$B$37:$B$300,0)),"")</f>
        <v/>
      </c>
      <c r="K495" s="20">
        <f>IFERROR(INDEX(CONFIGURACOES!$H$37:$H$300,MATCH($I495,CONFIGURACOES!$B$37:$B$300,0)),"")</f>
        <v/>
      </c>
      <c r="L495" s="20" t="n"/>
      <c r="M495" s="20">
        <f>IFERROR(INDEX(CONFIGURACOES!$I$37:$I$300,MATCH($I495,CONFIGURACOES!$B$37:$B$300,0)),"")</f>
        <v/>
      </c>
      <c r="N495" s="21" t="n"/>
      <c r="O495" s="21" t="n"/>
      <c r="P495" s="21" t="n"/>
      <c r="Q495" s="21" t="n"/>
      <c r="R495" s="21">
        <f>IF($N495="","",$N495*IF($Q495="",1,$Q495)*IF($P495="",1,$P495)*IF($O495="",1,$O495))</f>
        <v/>
      </c>
      <c r="S495" s="22">
        <f>IFERROR(INDEX(CONFIGURACOES!$J$37:$J$300,MATCH($I495,CONFIGURACOES!$B$37:$B$300,0)),"")</f>
        <v/>
      </c>
      <c r="T495" s="22">
        <f>IF(OR($R495="",$S495=""),"",$R495*$S495)</f>
        <v/>
      </c>
      <c r="U495" s="20" t="n"/>
      <c r="V495" s="20" t="n"/>
      <c r="W495" s="20" t="n"/>
      <c r="X495">
        <f>IF($A495="","",$A495&amp;"|"&amp;$C495&amp;"|"&amp;$I495)</f>
        <v/>
      </c>
      <c r="Y495">
        <f>IF(AND($A495=RELATORIO_MEDICAO!$C$5,$C495=RELATORIO_MEDICAO!$F$5,$A495&lt;&gt;""),COUNTIFS($A$3:$A495,RELATORIO_MEDICAO!$C$5,$C$3:$C495,RELATORIO_MEDICAO!$F$5),"")</f>
        <v/>
      </c>
      <c r="Z495">
        <f>IF(OR($A495="",PESQUISA!$C$4=""),0,IF(OR(ISNUMBER(SEARCH(PESQUISA!$C$4,$G495)),ISNUMBER(SEARCH(PESQUISA!$C$4,$K495)),ISNUMBER(SEARCH(PESQUISA!$C$4,$L495))),1,0))</f>
        <v/>
      </c>
      <c r="AA495">
        <f>IF($Z495=1,SUM($Z$3:$Z495),"")</f>
        <v/>
      </c>
      <c r="AB495">
        <f>IF(OR($A495="",PESQUISA!$C$50=""),0,IF(ISNUMBER(SEARCH(PESQUISA!$C$50,$I495)),1,0))</f>
        <v/>
      </c>
      <c r="AC495">
        <f>IF($AB495=1,SUM($AB$3:$AB495),"")</f>
        <v/>
      </c>
    </row>
    <row r="496">
      <c r="A496" s="20" t="n"/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>
        <f>IFERROR(INDEX(CONFIGURACOES!$G$37:$G$300,MATCH($I496,CONFIGURACOES!$B$37:$B$300,0)),"")</f>
        <v/>
      </c>
      <c r="K496" s="20">
        <f>IFERROR(INDEX(CONFIGURACOES!$H$37:$H$300,MATCH($I496,CONFIGURACOES!$B$37:$B$300,0)),"")</f>
        <v/>
      </c>
      <c r="L496" s="20" t="n"/>
      <c r="M496" s="20">
        <f>IFERROR(INDEX(CONFIGURACOES!$I$37:$I$300,MATCH($I496,CONFIGURACOES!$B$37:$B$300,0)),"")</f>
        <v/>
      </c>
      <c r="N496" s="21" t="n"/>
      <c r="O496" s="21" t="n"/>
      <c r="P496" s="21" t="n"/>
      <c r="Q496" s="21" t="n"/>
      <c r="R496" s="21">
        <f>IF($N496="","",$N496*IF($Q496="",1,$Q496)*IF($P496="",1,$P496)*IF($O496="",1,$O496))</f>
        <v/>
      </c>
      <c r="S496" s="22">
        <f>IFERROR(INDEX(CONFIGURACOES!$J$37:$J$300,MATCH($I496,CONFIGURACOES!$B$37:$B$300,0)),"")</f>
        <v/>
      </c>
      <c r="T496" s="22">
        <f>IF(OR($R496="",$S496=""),"",$R496*$S496)</f>
        <v/>
      </c>
      <c r="U496" s="20" t="n"/>
      <c r="V496" s="20" t="n"/>
      <c r="W496" s="20" t="n"/>
      <c r="X496">
        <f>IF($A496="","",$A496&amp;"|"&amp;$C496&amp;"|"&amp;$I496)</f>
        <v/>
      </c>
      <c r="Y496">
        <f>IF(AND($A496=RELATORIO_MEDICAO!$C$5,$C496=RELATORIO_MEDICAO!$F$5,$A496&lt;&gt;""),COUNTIFS($A$3:$A496,RELATORIO_MEDICAO!$C$5,$C$3:$C496,RELATORIO_MEDICAO!$F$5),"")</f>
        <v/>
      </c>
      <c r="Z496">
        <f>IF(OR($A496="",PESQUISA!$C$4=""),0,IF(OR(ISNUMBER(SEARCH(PESQUISA!$C$4,$G496)),ISNUMBER(SEARCH(PESQUISA!$C$4,$K496)),ISNUMBER(SEARCH(PESQUISA!$C$4,$L496))),1,0))</f>
        <v/>
      </c>
      <c r="AA496">
        <f>IF($Z496=1,SUM($Z$3:$Z496),"")</f>
        <v/>
      </c>
      <c r="AB496">
        <f>IF(OR($A496="",PESQUISA!$C$50=""),0,IF(ISNUMBER(SEARCH(PESQUISA!$C$50,$I496)),1,0))</f>
        <v/>
      </c>
      <c r="AC496">
        <f>IF($AB496=1,SUM($AB$3:$AB496),"")</f>
        <v/>
      </c>
    </row>
    <row r="497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>
        <f>IFERROR(INDEX(CONFIGURACOES!$G$37:$G$300,MATCH($I497,CONFIGURACOES!$B$37:$B$300,0)),"")</f>
        <v/>
      </c>
      <c r="K497" s="20">
        <f>IFERROR(INDEX(CONFIGURACOES!$H$37:$H$300,MATCH($I497,CONFIGURACOES!$B$37:$B$300,0)),"")</f>
        <v/>
      </c>
      <c r="L497" s="20" t="n"/>
      <c r="M497" s="20">
        <f>IFERROR(INDEX(CONFIGURACOES!$I$37:$I$300,MATCH($I497,CONFIGURACOES!$B$37:$B$300,0)),"")</f>
        <v/>
      </c>
      <c r="N497" s="21" t="n"/>
      <c r="O497" s="21" t="n"/>
      <c r="P497" s="21" t="n"/>
      <c r="Q497" s="21" t="n"/>
      <c r="R497" s="21">
        <f>IF($N497="","",$N497*IF($Q497="",1,$Q497)*IF($P497="",1,$P497)*IF($O497="",1,$O497))</f>
        <v/>
      </c>
      <c r="S497" s="22">
        <f>IFERROR(INDEX(CONFIGURACOES!$J$37:$J$300,MATCH($I497,CONFIGURACOES!$B$37:$B$300,0)),"")</f>
        <v/>
      </c>
      <c r="T497" s="22">
        <f>IF(OR($R497="",$S497=""),"",$R497*$S497)</f>
        <v/>
      </c>
      <c r="U497" s="20" t="n"/>
      <c r="V497" s="20" t="n"/>
      <c r="W497" s="20" t="n"/>
      <c r="X497">
        <f>IF($A497="","",$A497&amp;"|"&amp;$C497&amp;"|"&amp;$I497)</f>
        <v/>
      </c>
      <c r="Y497">
        <f>IF(AND($A497=RELATORIO_MEDICAO!$C$5,$C497=RELATORIO_MEDICAO!$F$5,$A497&lt;&gt;""),COUNTIFS($A$3:$A497,RELATORIO_MEDICAO!$C$5,$C$3:$C497,RELATORIO_MEDICAO!$F$5),"")</f>
        <v/>
      </c>
      <c r="Z497">
        <f>IF(OR($A497="",PESQUISA!$C$4=""),0,IF(OR(ISNUMBER(SEARCH(PESQUISA!$C$4,$G497)),ISNUMBER(SEARCH(PESQUISA!$C$4,$K497)),ISNUMBER(SEARCH(PESQUISA!$C$4,$L497))),1,0))</f>
        <v/>
      </c>
      <c r="AA497">
        <f>IF($Z497=1,SUM($Z$3:$Z497),"")</f>
        <v/>
      </c>
      <c r="AB497">
        <f>IF(OR($A497="",PESQUISA!$C$50=""),0,IF(ISNUMBER(SEARCH(PESQUISA!$C$50,$I497)),1,0))</f>
        <v/>
      </c>
      <c r="AC497">
        <f>IF($AB497=1,SUM($AB$3:$AB497),"")</f>
        <v/>
      </c>
    </row>
    <row r="498">
      <c r="A498" s="20" t="n"/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>
        <f>IFERROR(INDEX(CONFIGURACOES!$G$37:$G$300,MATCH($I498,CONFIGURACOES!$B$37:$B$300,0)),"")</f>
        <v/>
      </c>
      <c r="K498" s="20">
        <f>IFERROR(INDEX(CONFIGURACOES!$H$37:$H$300,MATCH($I498,CONFIGURACOES!$B$37:$B$300,0)),"")</f>
        <v/>
      </c>
      <c r="L498" s="20" t="n"/>
      <c r="M498" s="20">
        <f>IFERROR(INDEX(CONFIGURACOES!$I$37:$I$300,MATCH($I498,CONFIGURACOES!$B$37:$B$300,0)),"")</f>
        <v/>
      </c>
      <c r="N498" s="21" t="n"/>
      <c r="O498" s="21" t="n"/>
      <c r="P498" s="21" t="n"/>
      <c r="Q498" s="21" t="n"/>
      <c r="R498" s="21">
        <f>IF($N498="","",$N498*IF($Q498="",1,$Q498)*IF($P498="",1,$P498)*IF($O498="",1,$O498))</f>
        <v/>
      </c>
      <c r="S498" s="22">
        <f>IFERROR(INDEX(CONFIGURACOES!$J$37:$J$300,MATCH($I498,CONFIGURACOES!$B$37:$B$300,0)),"")</f>
        <v/>
      </c>
      <c r="T498" s="22">
        <f>IF(OR($R498="",$S498=""),"",$R498*$S498)</f>
        <v/>
      </c>
      <c r="U498" s="20" t="n"/>
      <c r="V498" s="20" t="n"/>
      <c r="W498" s="20" t="n"/>
      <c r="X498">
        <f>IF($A498="","",$A498&amp;"|"&amp;$C498&amp;"|"&amp;$I498)</f>
        <v/>
      </c>
      <c r="Y498">
        <f>IF(AND($A498=RELATORIO_MEDICAO!$C$5,$C498=RELATORIO_MEDICAO!$F$5,$A498&lt;&gt;""),COUNTIFS($A$3:$A498,RELATORIO_MEDICAO!$C$5,$C$3:$C498,RELATORIO_MEDICAO!$F$5),"")</f>
        <v/>
      </c>
      <c r="Z498">
        <f>IF(OR($A498="",PESQUISA!$C$4=""),0,IF(OR(ISNUMBER(SEARCH(PESQUISA!$C$4,$G498)),ISNUMBER(SEARCH(PESQUISA!$C$4,$K498)),ISNUMBER(SEARCH(PESQUISA!$C$4,$L498))),1,0))</f>
        <v/>
      </c>
      <c r="AA498">
        <f>IF($Z498=1,SUM($Z$3:$Z498),"")</f>
        <v/>
      </c>
      <c r="AB498">
        <f>IF(OR($A498="",PESQUISA!$C$50=""),0,IF(ISNUMBER(SEARCH(PESQUISA!$C$50,$I498)),1,0))</f>
        <v/>
      </c>
      <c r="AC498">
        <f>IF($AB498=1,SUM($AB$3:$AB498),"")</f>
        <v/>
      </c>
    </row>
    <row r="499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>
        <f>IFERROR(INDEX(CONFIGURACOES!$G$37:$G$300,MATCH($I499,CONFIGURACOES!$B$37:$B$300,0)),"")</f>
        <v/>
      </c>
      <c r="K499" s="20">
        <f>IFERROR(INDEX(CONFIGURACOES!$H$37:$H$300,MATCH($I499,CONFIGURACOES!$B$37:$B$300,0)),"")</f>
        <v/>
      </c>
      <c r="L499" s="20" t="n"/>
      <c r="M499" s="20">
        <f>IFERROR(INDEX(CONFIGURACOES!$I$37:$I$300,MATCH($I499,CONFIGURACOES!$B$37:$B$300,0)),"")</f>
        <v/>
      </c>
      <c r="N499" s="21" t="n"/>
      <c r="O499" s="21" t="n"/>
      <c r="P499" s="21" t="n"/>
      <c r="Q499" s="21" t="n"/>
      <c r="R499" s="21">
        <f>IF($N499="","",$N499*IF($Q499="",1,$Q499)*IF($P499="",1,$P499)*IF($O499="",1,$O499))</f>
        <v/>
      </c>
      <c r="S499" s="22">
        <f>IFERROR(INDEX(CONFIGURACOES!$J$37:$J$300,MATCH($I499,CONFIGURACOES!$B$37:$B$300,0)),"")</f>
        <v/>
      </c>
      <c r="T499" s="22">
        <f>IF(OR($R499="",$S499=""),"",$R499*$S499)</f>
        <v/>
      </c>
      <c r="U499" s="20" t="n"/>
      <c r="V499" s="20" t="n"/>
      <c r="W499" s="20" t="n"/>
      <c r="X499">
        <f>IF($A499="","",$A499&amp;"|"&amp;$C499&amp;"|"&amp;$I499)</f>
        <v/>
      </c>
      <c r="Y499">
        <f>IF(AND($A499=RELATORIO_MEDICAO!$C$5,$C499=RELATORIO_MEDICAO!$F$5,$A499&lt;&gt;""),COUNTIFS($A$3:$A499,RELATORIO_MEDICAO!$C$5,$C$3:$C499,RELATORIO_MEDICAO!$F$5),"")</f>
        <v/>
      </c>
      <c r="Z499">
        <f>IF(OR($A499="",PESQUISA!$C$4=""),0,IF(OR(ISNUMBER(SEARCH(PESQUISA!$C$4,$G499)),ISNUMBER(SEARCH(PESQUISA!$C$4,$K499)),ISNUMBER(SEARCH(PESQUISA!$C$4,$L499))),1,0))</f>
        <v/>
      </c>
      <c r="AA499">
        <f>IF($Z499=1,SUM($Z$3:$Z499),"")</f>
        <v/>
      </c>
      <c r="AB499">
        <f>IF(OR($A499="",PESQUISA!$C$50=""),0,IF(ISNUMBER(SEARCH(PESQUISA!$C$50,$I499)),1,0))</f>
        <v/>
      </c>
      <c r="AC499">
        <f>IF($AB499=1,SUM($AB$3:$AB499),"")</f>
        <v/>
      </c>
    </row>
    <row r="500">
      <c r="A500" s="20" t="n"/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>
        <f>IFERROR(INDEX(CONFIGURACOES!$G$37:$G$300,MATCH($I500,CONFIGURACOES!$B$37:$B$300,0)),"")</f>
        <v/>
      </c>
      <c r="K500" s="20">
        <f>IFERROR(INDEX(CONFIGURACOES!$H$37:$H$300,MATCH($I500,CONFIGURACOES!$B$37:$B$300,0)),"")</f>
        <v/>
      </c>
      <c r="L500" s="20" t="n"/>
      <c r="M500" s="20">
        <f>IFERROR(INDEX(CONFIGURACOES!$I$37:$I$300,MATCH($I500,CONFIGURACOES!$B$37:$B$300,0)),"")</f>
        <v/>
      </c>
      <c r="N500" s="21" t="n"/>
      <c r="O500" s="21" t="n"/>
      <c r="P500" s="21" t="n"/>
      <c r="Q500" s="21" t="n"/>
      <c r="R500" s="21">
        <f>IF($N500="","",$N500*IF($Q500="",1,$Q500)*IF($P500="",1,$P500)*IF($O500="",1,$O500))</f>
        <v/>
      </c>
      <c r="S500" s="22">
        <f>IFERROR(INDEX(CONFIGURACOES!$J$37:$J$300,MATCH($I500,CONFIGURACOES!$B$37:$B$300,0)),"")</f>
        <v/>
      </c>
      <c r="T500" s="22">
        <f>IF(OR($R500="",$S500=""),"",$R500*$S500)</f>
        <v/>
      </c>
      <c r="U500" s="20" t="n"/>
      <c r="V500" s="20" t="n"/>
      <c r="W500" s="20" t="n"/>
      <c r="X500">
        <f>IF($A500="","",$A500&amp;"|"&amp;$C500&amp;"|"&amp;$I500)</f>
        <v/>
      </c>
      <c r="Y500">
        <f>IF(AND($A500=RELATORIO_MEDICAO!$C$5,$C500=RELATORIO_MEDICAO!$F$5,$A500&lt;&gt;""),COUNTIFS($A$3:$A500,RELATORIO_MEDICAO!$C$5,$C$3:$C500,RELATORIO_MEDICAO!$F$5),"")</f>
        <v/>
      </c>
      <c r="Z500">
        <f>IF(OR($A500="",PESQUISA!$C$4=""),0,IF(OR(ISNUMBER(SEARCH(PESQUISA!$C$4,$G500)),ISNUMBER(SEARCH(PESQUISA!$C$4,$K500)),ISNUMBER(SEARCH(PESQUISA!$C$4,$L500))),1,0))</f>
        <v/>
      </c>
      <c r="AA500">
        <f>IF($Z500=1,SUM($Z$3:$Z500),"")</f>
        <v/>
      </c>
      <c r="AB500">
        <f>IF(OR($A500="",PESQUISA!$C$50=""),0,IF(ISNUMBER(SEARCH(PESQUISA!$C$50,$I500)),1,0))</f>
        <v/>
      </c>
      <c r="AC500">
        <f>IF($AB500=1,SUM($AB$3:$AB500),"")</f>
        <v/>
      </c>
    </row>
    <row r="50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>
        <f>IFERROR(INDEX(CONFIGURACOES!$G$37:$G$300,MATCH($I501,CONFIGURACOES!$B$37:$B$300,0)),"")</f>
        <v/>
      </c>
      <c r="K501" s="20">
        <f>IFERROR(INDEX(CONFIGURACOES!$H$37:$H$300,MATCH($I501,CONFIGURACOES!$B$37:$B$300,0)),"")</f>
        <v/>
      </c>
      <c r="L501" s="20" t="n"/>
      <c r="M501" s="20">
        <f>IFERROR(INDEX(CONFIGURACOES!$I$37:$I$300,MATCH($I501,CONFIGURACOES!$B$37:$B$300,0)),"")</f>
        <v/>
      </c>
      <c r="N501" s="21" t="n"/>
      <c r="O501" s="21" t="n"/>
      <c r="P501" s="21" t="n"/>
      <c r="Q501" s="21" t="n"/>
      <c r="R501" s="21">
        <f>IF($N501="","",$N501*IF($Q501="",1,$Q501)*IF($P501="",1,$P501)*IF($O501="",1,$O501))</f>
        <v/>
      </c>
      <c r="S501" s="22">
        <f>IFERROR(INDEX(CONFIGURACOES!$J$37:$J$300,MATCH($I501,CONFIGURACOES!$B$37:$B$300,0)),"")</f>
        <v/>
      </c>
      <c r="T501" s="22">
        <f>IF(OR($R501="",$S501=""),"",$R501*$S501)</f>
        <v/>
      </c>
      <c r="U501" s="20" t="n"/>
      <c r="V501" s="20" t="n"/>
      <c r="W501" s="20" t="n"/>
      <c r="X501">
        <f>IF($A501="","",$A501&amp;"|"&amp;$C501&amp;"|"&amp;$I501)</f>
        <v/>
      </c>
      <c r="Y501">
        <f>IF(AND($A501=RELATORIO_MEDICAO!$C$5,$C501=RELATORIO_MEDICAO!$F$5,$A501&lt;&gt;""),COUNTIFS($A$3:$A501,RELATORIO_MEDICAO!$C$5,$C$3:$C501,RELATORIO_MEDICAO!$F$5),"")</f>
        <v/>
      </c>
      <c r="Z501">
        <f>IF(OR($A501="",PESQUISA!$C$4=""),0,IF(OR(ISNUMBER(SEARCH(PESQUISA!$C$4,$G501)),ISNUMBER(SEARCH(PESQUISA!$C$4,$K501)),ISNUMBER(SEARCH(PESQUISA!$C$4,$L501))),1,0))</f>
        <v/>
      </c>
      <c r="AA501">
        <f>IF($Z501=1,SUM($Z$3:$Z501),"")</f>
        <v/>
      </c>
      <c r="AB501">
        <f>IF(OR($A501="",PESQUISA!$C$50=""),0,IF(ISNUMBER(SEARCH(PESQUISA!$C$50,$I501)),1,0))</f>
        <v/>
      </c>
      <c r="AC501">
        <f>IF($AB501=1,SUM($AB$3:$AB501),"")</f>
        <v/>
      </c>
    </row>
    <row r="502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>
        <f>IFERROR(INDEX(CONFIGURACOES!$G$37:$G$300,MATCH($I502,CONFIGURACOES!$B$37:$B$300,0)),"")</f>
        <v/>
      </c>
      <c r="K502" s="20">
        <f>IFERROR(INDEX(CONFIGURACOES!$H$37:$H$300,MATCH($I502,CONFIGURACOES!$B$37:$B$300,0)),"")</f>
        <v/>
      </c>
      <c r="L502" s="20" t="n"/>
      <c r="M502" s="20">
        <f>IFERROR(INDEX(CONFIGURACOES!$I$37:$I$300,MATCH($I502,CONFIGURACOES!$B$37:$B$300,0)),"")</f>
        <v/>
      </c>
      <c r="N502" s="21" t="n"/>
      <c r="O502" s="21" t="n"/>
      <c r="P502" s="21" t="n"/>
      <c r="Q502" s="21" t="n"/>
      <c r="R502" s="21">
        <f>IF($N502="","",$N502*IF($Q502="",1,$Q502)*IF($P502="",1,$P502)*IF($O502="",1,$O502))</f>
        <v/>
      </c>
      <c r="S502" s="22">
        <f>IFERROR(INDEX(CONFIGURACOES!$J$37:$J$300,MATCH($I502,CONFIGURACOES!$B$37:$B$300,0)),"")</f>
        <v/>
      </c>
      <c r="T502" s="22">
        <f>IF(OR($R502="",$S502=""),"",$R502*$S502)</f>
        <v/>
      </c>
      <c r="U502" s="20" t="n"/>
      <c r="V502" s="20" t="n"/>
      <c r="W502" s="20" t="n"/>
      <c r="X502">
        <f>IF($A502="","",$A502&amp;"|"&amp;$C502&amp;"|"&amp;$I502)</f>
        <v/>
      </c>
      <c r="Y502">
        <f>IF(AND($A502=RELATORIO_MEDICAO!$C$5,$C502=RELATORIO_MEDICAO!$F$5,$A502&lt;&gt;""),COUNTIFS($A$3:$A502,RELATORIO_MEDICAO!$C$5,$C$3:$C502,RELATORIO_MEDICAO!$F$5),"")</f>
        <v/>
      </c>
      <c r="Z502">
        <f>IF(OR($A502="",PESQUISA!$C$4=""),0,IF(OR(ISNUMBER(SEARCH(PESQUISA!$C$4,$G502)),ISNUMBER(SEARCH(PESQUISA!$C$4,$K502)),ISNUMBER(SEARCH(PESQUISA!$C$4,$L502))),1,0))</f>
        <v/>
      </c>
      <c r="AA502">
        <f>IF($Z502=1,SUM($Z$3:$Z502),"")</f>
        <v/>
      </c>
      <c r="AB502">
        <f>IF(OR($A502="",PESQUISA!$C$50=""),0,IF(ISNUMBER(SEARCH(PESQUISA!$C$50,$I502)),1,0))</f>
        <v/>
      </c>
      <c r="AC502">
        <f>IF($AB502=1,SUM($AB$3:$AB502),"")</f>
        <v/>
      </c>
    </row>
    <row r="503">
      <c r="A503" s="20" t="n"/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0">
        <f>IFERROR(INDEX(CONFIGURACOES!$G$37:$G$300,MATCH($I503,CONFIGURACOES!$B$37:$B$300,0)),"")</f>
        <v/>
      </c>
      <c r="K503" s="20">
        <f>IFERROR(INDEX(CONFIGURACOES!$H$37:$H$300,MATCH($I503,CONFIGURACOES!$B$37:$B$300,0)),"")</f>
        <v/>
      </c>
      <c r="L503" s="20" t="n"/>
      <c r="M503" s="20">
        <f>IFERROR(INDEX(CONFIGURACOES!$I$37:$I$300,MATCH($I503,CONFIGURACOES!$B$37:$B$300,0)),"")</f>
        <v/>
      </c>
      <c r="N503" s="21" t="n"/>
      <c r="O503" s="21" t="n"/>
      <c r="P503" s="21" t="n"/>
      <c r="Q503" s="21" t="n"/>
      <c r="R503" s="21">
        <f>IF($N503="","",$N503*IF($Q503="",1,$Q503)*IF($P503="",1,$P503)*IF($O503="",1,$O503))</f>
        <v/>
      </c>
      <c r="S503" s="22">
        <f>IFERROR(INDEX(CONFIGURACOES!$J$37:$J$300,MATCH($I503,CONFIGURACOES!$B$37:$B$300,0)),"")</f>
        <v/>
      </c>
      <c r="T503" s="22">
        <f>IF(OR($R503="",$S503=""),"",$R503*$S503)</f>
        <v/>
      </c>
      <c r="U503" s="20" t="n"/>
      <c r="V503" s="20" t="n"/>
      <c r="W503" s="20" t="n"/>
      <c r="X503">
        <f>IF($A503="","",$A503&amp;"|"&amp;$C503&amp;"|"&amp;$I503)</f>
        <v/>
      </c>
      <c r="Y503">
        <f>IF(AND($A503=RELATORIO_MEDICAO!$C$5,$C503=RELATORIO_MEDICAO!$F$5,$A503&lt;&gt;""),COUNTIFS($A$3:$A503,RELATORIO_MEDICAO!$C$5,$C$3:$C503,RELATORIO_MEDICAO!$F$5),"")</f>
        <v/>
      </c>
      <c r="Z503">
        <f>IF(OR($A503="",PESQUISA!$C$4=""),0,IF(OR(ISNUMBER(SEARCH(PESQUISA!$C$4,$G503)),ISNUMBER(SEARCH(PESQUISA!$C$4,$K503)),ISNUMBER(SEARCH(PESQUISA!$C$4,$L503))),1,0))</f>
        <v/>
      </c>
      <c r="AA503">
        <f>IF($Z503=1,SUM($Z$3:$Z503),"")</f>
        <v/>
      </c>
      <c r="AB503">
        <f>IF(OR($A503="",PESQUISA!$C$50=""),0,IF(ISNUMBER(SEARCH(PESQUISA!$C$50,$I503)),1,0))</f>
        <v/>
      </c>
      <c r="AC503">
        <f>IF($AB503=1,SUM($AB$3:$AB503),"")</f>
        <v/>
      </c>
    </row>
    <row r="504">
      <c r="A504" s="20" t="n"/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0">
        <f>IFERROR(INDEX(CONFIGURACOES!$G$37:$G$300,MATCH($I504,CONFIGURACOES!$B$37:$B$300,0)),"")</f>
        <v/>
      </c>
      <c r="K504" s="20">
        <f>IFERROR(INDEX(CONFIGURACOES!$H$37:$H$300,MATCH($I504,CONFIGURACOES!$B$37:$B$300,0)),"")</f>
        <v/>
      </c>
      <c r="L504" s="20" t="n"/>
      <c r="M504" s="20">
        <f>IFERROR(INDEX(CONFIGURACOES!$I$37:$I$300,MATCH($I504,CONFIGURACOES!$B$37:$B$300,0)),"")</f>
        <v/>
      </c>
      <c r="N504" s="21" t="n"/>
      <c r="O504" s="21" t="n"/>
      <c r="P504" s="21" t="n"/>
      <c r="Q504" s="21" t="n"/>
      <c r="R504" s="21">
        <f>IF($N504="","",$N504*IF($Q504="",1,$Q504)*IF($P504="",1,$P504)*IF($O504="",1,$O504))</f>
        <v/>
      </c>
      <c r="S504" s="22">
        <f>IFERROR(INDEX(CONFIGURACOES!$J$37:$J$300,MATCH($I504,CONFIGURACOES!$B$37:$B$300,0)),"")</f>
        <v/>
      </c>
      <c r="T504" s="22">
        <f>IF(OR($R504="",$S504=""),"",$R504*$S504)</f>
        <v/>
      </c>
      <c r="U504" s="20" t="n"/>
      <c r="V504" s="20" t="n"/>
      <c r="W504" s="20" t="n"/>
      <c r="X504">
        <f>IF($A504="","",$A504&amp;"|"&amp;$C504&amp;"|"&amp;$I504)</f>
        <v/>
      </c>
      <c r="Y504">
        <f>IF(AND($A504=RELATORIO_MEDICAO!$C$5,$C504=RELATORIO_MEDICAO!$F$5,$A504&lt;&gt;""),COUNTIFS($A$3:$A504,RELATORIO_MEDICAO!$C$5,$C$3:$C504,RELATORIO_MEDICAO!$F$5),"")</f>
        <v/>
      </c>
      <c r="Z504">
        <f>IF(OR($A504="",PESQUISA!$C$4=""),0,IF(OR(ISNUMBER(SEARCH(PESQUISA!$C$4,$G504)),ISNUMBER(SEARCH(PESQUISA!$C$4,$K504)),ISNUMBER(SEARCH(PESQUISA!$C$4,$L504))),1,0))</f>
        <v/>
      </c>
      <c r="AA504">
        <f>IF($Z504=1,SUM($Z$3:$Z504),"")</f>
        <v/>
      </c>
      <c r="AB504">
        <f>IF(OR($A504="",PESQUISA!$C$50=""),0,IF(ISNUMBER(SEARCH(PESQUISA!$C$50,$I504)),1,0))</f>
        <v/>
      </c>
      <c r="AC504">
        <f>IF($AB504=1,SUM($AB$3:$AB504),"")</f>
        <v/>
      </c>
    </row>
    <row r="505">
      <c r="A505" s="20" t="n"/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0">
        <f>IFERROR(INDEX(CONFIGURACOES!$G$37:$G$300,MATCH($I505,CONFIGURACOES!$B$37:$B$300,0)),"")</f>
        <v/>
      </c>
      <c r="K505" s="20">
        <f>IFERROR(INDEX(CONFIGURACOES!$H$37:$H$300,MATCH($I505,CONFIGURACOES!$B$37:$B$300,0)),"")</f>
        <v/>
      </c>
      <c r="L505" s="20" t="n"/>
      <c r="M505" s="20">
        <f>IFERROR(INDEX(CONFIGURACOES!$I$37:$I$300,MATCH($I505,CONFIGURACOES!$B$37:$B$300,0)),"")</f>
        <v/>
      </c>
      <c r="N505" s="21" t="n"/>
      <c r="O505" s="21" t="n"/>
      <c r="P505" s="21" t="n"/>
      <c r="Q505" s="21" t="n"/>
      <c r="R505" s="21">
        <f>IF($N505="","",$N505*IF($Q505="",1,$Q505)*IF($P505="",1,$P505)*IF($O505="",1,$O505))</f>
        <v/>
      </c>
      <c r="S505" s="22">
        <f>IFERROR(INDEX(CONFIGURACOES!$J$37:$J$300,MATCH($I505,CONFIGURACOES!$B$37:$B$300,0)),"")</f>
        <v/>
      </c>
      <c r="T505" s="22">
        <f>IF(OR($R505="",$S505=""),"",$R505*$S505)</f>
        <v/>
      </c>
      <c r="U505" s="20" t="n"/>
      <c r="V505" s="20" t="n"/>
      <c r="W505" s="20" t="n"/>
      <c r="X505">
        <f>IF($A505="","",$A505&amp;"|"&amp;$C505&amp;"|"&amp;$I505)</f>
        <v/>
      </c>
      <c r="Y505">
        <f>IF(AND($A505=RELATORIO_MEDICAO!$C$5,$C505=RELATORIO_MEDICAO!$F$5,$A505&lt;&gt;""),COUNTIFS($A$3:$A505,RELATORIO_MEDICAO!$C$5,$C$3:$C505,RELATORIO_MEDICAO!$F$5),"")</f>
        <v/>
      </c>
      <c r="Z505">
        <f>IF(OR($A505="",PESQUISA!$C$4=""),0,IF(OR(ISNUMBER(SEARCH(PESQUISA!$C$4,$G505)),ISNUMBER(SEARCH(PESQUISA!$C$4,$K505)),ISNUMBER(SEARCH(PESQUISA!$C$4,$L505))),1,0))</f>
        <v/>
      </c>
      <c r="AA505">
        <f>IF($Z505=1,SUM($Z$3:$Z505),"")</f>
        <v/>
      </c>
      <c r="AB505">
        <f>IF(OR($A505="",PESQUISA!$C$50=""),0,IF(ISNUMBER(SEARCH(PESQUISA!$C$50,$I505)),1,0))</f>
        <v/>
      </c>
      <c r="AC505">
        <f>IF($AB505=1,SUM($AB$3:$AB505),"")</f>
        <v/>
      </c>
    </row>
    <row r="506">
      <c r="A506" s="20" t="n"/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0">
        <f>IFERROR(INDEX(CONFIGURACOES!$G$37:$G$300,MATCH($I506,CONFIGURACOES!$B$37:$B$300,0)),"")</f>
        <v/>
      </c>
      <c r="K506" s="20">
        <f>IFERROR(INDEX(CONFIGURACOES!$H$37:$H$300,MATCH($I506,CONFIGURACOES!$B$37:$B$300,0)),"")</f>
        <v/>
      </c>
      <c r="L506" s="20" t="n"/>
      <c r="M506" s="20">
        <f>IFERROR(INDEX(CONFIGURACOES!$I$37:$I$300,MATCH($I506,CONFIGURACOES!$B$37:$B$300,0)),"")</f>
        <v/>
      </c>
      <c r="N506" s="21" t="n"/>
      <c r="O506" s="21" t="n"/>
      <c r="P506" s="21" t="n"/>
      <c r="Q506" s="21" t="n"/>
      <c r="R506" s="21">
        <f>IF($N506="","",$N506*IF($Q506="",1,$Q506)*IF($P506="",1,$P506)*IF($O506="",1,$O506))</f>
        <v/>
      </c>
      <c r="S506" s="22">
        <f>IFERROR(INDEX(CONFIGURACOES!$J$37:$J$300,MATCH($I506,CONFIGURACOES!$B$37:$B$300,0)),"")</f>
        <v/>
      </c>
      <c r="T506" s="22">
        <f>IF(OR($R506="",$S506=""),"",$R506*$S506)</f>
        <v/>
      </c>
      <c r="U506" s="20" t="n"/>
      <c r="V506" s="20" t="n"/>
      <c r="W506" s="20" t="n"/>
      <c r="X506">
        <f>IF($A506="","",$A506&amp;"|"&amp;$C506&amp;"|"&amp;$I506)</f>
        <v/>
      </c>
      <c r="Y506">
        <f>IF(AND($A506=RELATORIO_MEDICAO!$C$5,$C506=RELATORIO_MEDICAO!$F$5,$A506&lt;&gt;""),COUNTIFS($A$3:$A506,RELATORIO_MEDICAO!$C$5,$C$3:$C506,RELATORIO_MEDICAO!$F$5),"")</f>
        <v/>
      </c>
      <c r="Z506">
        <f>IF(OR($A506="",PESQUISA!$C$4=""),0,IF(OR(ISNUMBER(SEARCH(PESQUISA!$C$4,$G506)),ISNUMBER(SEARCH(PESQUISA!$C$4,$K506)),ISNUMBER(SEARCH(PESQUISA!$C$4,$L506))),1,0))</f>
        <v/>
      </c>
      <c r="AA506">
        <f>IF($Z506=1,SUM($Z$3:$Z506),"")</f>
        <v/>
      </c>
      <c r="AB506">
        <f>IF(OR($A506="",PESQUISA!$C$50=""),0,IF(ISNUMBER(SEARCH(PESQUISA!$C$50,$I506)),1,0))</f>
        <v/>
      </c>
      <c r="AC506">
        <f>IF($AB506=1,SUM($AB$3:$AB506),"")</f>
        <v/>
      </c>
    </row>
    <row r="507">
      <c r="A507" s="20" t="n"/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0">
        <f>IFERROR(INDEX(CONFIGURACOES!$G$37:$G$300,MATCH($I507,CONFIGURACOES!$B$37:$B$300,0)),"")</f>
        <v/>
      </c>
      <c r="K507" s="20">
        <f>IFERROR(INDEX(CONFIGURACOES!$H$37:$H$300,MATCH($I507,CONFIGURACOES!$B$37:$B$300,0)),"")</f>
        <v/>
      </c>
      <c r="L507" s="20" t="n"/>
      <c r="M507" s="20">
        <f>IFERROR(INDEX(CONFIGURACOES!$I$37:$I$300,MATCH($I507,CONFIGURACOES!$B$37:$B$300,0)),"")</f>
        <v/>
      </c>
      <c r="N507" s="21" t="n"/>
      <c r="O507" s="21" t="n"/>
      <c r="P507" s="21" t="n"/>
      <c r="Q507" s="21" t="n"/>
      <c r="R507" s="21">
        <f>IF($N507="","",$N507*IF($Q507="",1,$Q507)*IF($P507="",1,$P507)*IF($O507="",1,$O507))</f>
        <v/>
      </c>
      <c r="S507" s="22">
        <f>IFERROR(INDEX(CONFIGURACOES!$J$37:$J$300,MATCH($I507,CONFIGURACOES!$B$37:$B$300,0)),"")</f>
        <v/>
      </c>
      <c r="T507" s="22">
        <f>IF(OR($R507="",$S507=""),"",$R507*$S507)</f>
        <v/>
      </c>
      <c r="U507" s="20" t="n"/>
      <c r="V507" s="20" t="n"/>
      <c r="W507" s="20" t="n"/>
      <c r="X507">
        <f>IF($A507="","",$A507&amp;"|"&amp;$C507&amp;"|"&amp;$I507)</f>
        <v/>
      </c>
      <c r="Y507">
        <f>IF(AND($A507=RELATORIO_MEDICAO!$C$5,$C507=RELATORIO_MEDICAO!$F$5,$A507&lt;&gt;""),COUNTIFS($A$3:$A507,RELATORIO_MEDICAO!$C$5,$C$3:$C507,RELATORIO_MEDICAO!$F$5),"")</f>
        <v/>
      </c>
      <c r="Z507">
        <f>IF(OR($A507="",PESQUISA!$C$4=""),0,IF(OR(ISNUMBER(SEARCH(PESQUISA!$C$4,$G507)),ISNUMBER(SEARCH(PESQUISA!$C$4,$K507)),ISNUMBER(SEARCH(PESQUISA!$C$4,$L507))),1,0))</f>
        <v/>
      </c>
      <c r="AA507">
        <f>IF($Z507=1,SUM($Z$3:$Z507),"")</f>
        <v/>
      </c>
      <c r="AB507">
        <f>IF(OR($A507="",PESQUISA!$C$50=""),0,IF(ISNUMBER(SEARCH(PESQUISA!$C$50,$I507)),1,0))</f>
        <v/>
      </c>
      <c r="AC507">
        <f>IF($AB507=1,SUM($AB$3:$AB507),"")</f>
        <v/>
      </c>
    </row>
    <row r="508">
      <c r="A508" s="20" t="n"/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>
        <f>IFERROR(INDEX(CONFIGURACOES!$G$37:$G$300,MATCH($I508,CONFIGURACOES!$B$37:$B$300,0)),"")</f>
        <v/>
      </c>
      <c r="K508" s="20">
        <f>IFERROR(INDEX(CONFIGURACOES!$H$37:$H$300,MATCH($I508,CONFIGURACOES!$B$37:$B$300,0)),"")</f>
        <v/>
      </c>
      <c r="L508" s="20" t="n"/>
      <c r="M508" s="20">
        <f>IFERROR(INDEX(CONFIGURACOES!$I$37:$I$300,MATCH($I508,CONFIGURACOES!$B$37:$B$300,0)),"")</f>
        <v/>
      </c>
      <c r="N508" s="21" t="n"/>
      <c r="O508" s="21" t="n"/>
      <c r="P508" s="21" t="n"/>
      <c r="Q508" s="21" t="n"/>
      <c r="R508" s="21">
        <f>IF($N508="","",$N508*IF($Q508="",1,$Q508)*IF($P508="",1,$P508)*IF($O508="",1,$O508))</f>
        <v/>
      </c>
      <c r="S508" s="22">
        <f>IFERROR(INDEX(CONFIGURACOES!$J$37:$J$300,MATCH($I508,CONFIGURACOES!$B$37:$B$300,0)),"")</f>
        <v/>
      </c>
      <c r="T508" s="22">
        <f>IF(OR($R508="",$S508=""),"",$R508*$S508)</f>
        <v/>
      </c>
      <c r="U508" s="20" t="n"/>
      <c r="V508" s="20" t="n"/>
      <c r="W508" s="20" t="n"/>
      <c r="X508">
        <f>IF($A508="","",$A508&amp;"|"&amp;$C508&amp;"|"&amp;$I508)</f>
        <v/>
      </c>
      <c r="Y508">
        <f>IF(AND($A508=RELATORIO_MEDICAO!$C$5,$C508=RELATORIO_MEDICAO!$F$5,$A508&lt;&gt;""),COUNTIFS($A$3:$A508,RELATORIO_MEDICAO!$C$5,$C$3:$C508,RELATORIO_MEDICAO!$F$5),"")</f>
        <v/>
      </c>
      <c r="Z508">
        <f>IF(OR($A508="",PESQUISA!$C$4=""),0,IF(OR(ISNUMBER(SEARCH(PESQUISA!$C$4,$G508)),ISNUMBER(SEARCH(PESQUISA!$C$4,$K508)),ISNUMBER(SEARCH(PESQUISA!$C$4,$L508))),1,0))</f>
        <v/>
      </c>
      <c r="AA508">
        <f>IF($Z508=1,SUM($Z$3:$Z508),"")</f>
        <v/>
      </c>
      <c r="AB508">
        <f>IF(OR($A508="",PESQUISA!$C$50=""),0,IF(ISNUMBER(SEARCH(PESQUISA!$C$50,$I508)),1,0))</f>
        <v/>
      </c>
      <c r="AC508">
        <f>IF($AB508=1,SUM($AB$3:$AB508),"")</f>
        <v/>
      </c>
    </row>
    <row r="509">
      <c r="A509" s="20" t="n"/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0">
        <f>IFERROR(INDEX(CONFIGURACOES!$G$37:$G$300,MATCH($I509,CONFIGURACOES!$B$37:$B$300,0)),"")</f>
        <v/>
      </c>
      <c r="K509" s="20">
        <f>IFERROR(INDEX(CONFIGURACOES!$H$37:$H$300,MATCH($I509,CONFIGURACOES!$B$37:$B$300,0)),"")</f>
        <v/>
      </c>
      <c r="L509" s="20" t="n"/>
      <c r="M509" s="20">
        <f>IFERROR(INDEX(CONFIGURACOES!$I$37:$I$300,MATCH($I509,CONFIGURACOES!$B$37:$B$300,0)),"")</f>
        <v/>
      </c>
      <c r="N509" s="21" t="n"/>
      <c r="O509" s="21" t="n"/>
      <c r="P509" s="21" t="n"/>
      <c r="Q509" s="21" t="n"/>
      <c r="R509" s="21">
        <f>IF($N509="","",$N509*IF($Q509="",1,$Q509)*IF($P509="",1,$P509)*IF($O509="",1,$O509))</f>
        <v/>
      </c>
      <c r="S509" s="22">
        <f>IFERROR(INDEX(CONFIGURACOES!$J$37:$J$300,MATCH($I509,CONFIGURACOES!$B$37:$B$300,0)),"")</f>
        <v/>
      </c>
      <c r="T509" s="22">
        <f>IF(OR($R509="",$S509=""),"",$R509*$S509)</f>
        <v/>
      </c>
      <c r="U509" s="20" t="n"/>
      <c r="V509" s="20" t="n"/>
      <c r="W509" s="20" t="n"/>
      <c r="X509">
        <f>IF($A509="","",$A509&amp;"|"&amp;$C509&amp;"|"&amp;$I509)</f>
        <v/>
      </c>
      <c r="Y509">
        <f>IF(AND($A509=RELATORIO_MEDICAO!$C$5,$C509=RELATORIO_MEDICAO!$F$5,$A509&lt;&gt;""),COUNTIFS($A$3:$A509,RELATORIO_MEDICAO!$C$5,$C$3:$C509,RELATORIO_MEDICAO!$F$5),"")</f>
        <v/>
      </c>
      <c r="Z509">
        <f>IF(OR($A509="",PESQUISA!$C$4=""),0,IF(OR(ISNUMBER(SEARCH(PESQUISA!$C$4,$G509)),ISNUMBER(SEARCH(PESQUISA!$C$4,$K509)),ISNUMBER(SEARCH(PESQUISA!$C$4,$L509))),1,0))</f>
        <v/>
      </c>
      <c r="AA509">
        <f>IF($Z509=1,SUM($Z$3:$Z509),"")</f>
        <v/>
      </c>
      <c r="AB509">
        <f>IF(OR($A509="",PESQUISA!$C$50=""),0,IF(ISNUMBER(SEARCH(PESQUISA!$C$50,$I509)),1,0))</f>
        <v/>
      </c>
      <c r="AC509">
        <f>IF($AB509=1,SUM($AB$3:$AB509),"")</f>
        <v/>
      </c>
    </row>
    <row r="510">
      <c r="A510" s="20" t="n"/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0">
        <f>IFERROR(INDEX(CONFIGURACOES!$G$37:$G$300,MATCH($I510,CONFIGURACOES!$B$37:$B$300,0)),"")</f>
        <v/>
      </c>
      <c r="K510" s="20">
        <f>IFERROR(INDEX(CONFIGURACOES!$H$37:$H$300,MATCH($I510,CONFIGURACOES!$B$37:$B$300,0)),"")</f>
        <v/>
      </c>
      <c r="L510" s="20" t="n"/>
      <c r="M510" s="20">
        <f>IFERROR(INDEX(CONFIGURACOES!$I$37:$I$300,MATCH($I510,CONFIGURACOES!$B$37:$B$300,0)),"")</f>
        <v/>
      </c>
      <c r="N510" s="21" t="n"/>
      <c r="O510" s="21" t="n"/>
      <c r="P510" s="21" t="n"/>
      <c r="Q510" s="21" t="n"/>
      <c r="R510" s="21">
        <f>IF($N510="","",$N510*IF($Q510="",1,$Q510)*IF($P510="",1,$P510)*IF($O510="",1,$O510))</f>
        <v/>
      </c>
      <c r="S510" s="22">
        <f>IFERROR(INDEX(CONFIGURACOES!$J$37:$J$300,MATCH($I510,CONFIGURACOES!$B$37:$B$300,0)),"")</f>
        <v/>
      </c>
      <c r="T510" s="22">
        <f>IF(OR($R510="",$S510=""),"",$R510*$S510)</f>
        <v/>
      </c>
      <c r="U510" s="20" t="n"/>
      <c r="V510" s="20" t="n"/>
      <c r="W510" s="20" t="n"/>
      <c r="X510">
        <f>IF($A510="","",$A510&amp;"|"&amp;$C510&amp;"|"&amp;$I510)</f>
        <v/>
      </c>
      <c r="Y510">
        <f>IF(AND($A510=RELATORIO_MEDICAO!$C$5,$C510=RELATORIO_MEDICAO!$F$5,$A510&lt;&gt;""),COUNTIFS($A$3:$A510,RELATORIO_MEDICAO!$C$5,$C$3:$C510,RELATORIO_MEDICAO!$F$5),"")</f>
        <v/>
      </c>
      <c r="Z510">
        <f>IF(OR($A510="",PESQUISA!$C$4=""),0,IF(OR(ISNUMBER(SEARCH(PESQUISA!$C$4,$G510)),ISNUMBER(SEARCH(PESQUISA!$C$4,$K510)),ISNUMBER(SEARCH(PESQUISA!$C$4,$L510))),1,0))</f>
        <v/>
      </c>
      <c r="AA510">
        <f>IF($Z510=1,SUM($Z$3:$Z510),"")</f>
        <v/>
      </c>
      <c r="AB510">
        <f>IF(OR($A510="",PESQUISA!$C$50=""),0,IF(ISNUMBER(SEARCH(PESQUISA!$C$50,$I510)),1,0))</f>
        <v/>
      </c>
      <c r="AC510">
        <f>IF($AB510=1,SUM($AB$3:$AB510),"")</f>
        <v/>
      </c>
    </row>
    <row r="511">
      <c r="A511" s="20" t="n"/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0">
        <f>IFERROR(INDEX(CONFIGURACOES!$G$37:$G$300,MATCH($I511,CONFIGURACOES!$B$37:$B$300,0)),"")</f>
        <v/>
      </c>
      <c r="K511" s="20">
        <f>IFERROR(INDEX(CONFIGURACOES!$H$37:$H$300,MATCH($I511,CONFIGURACOES!$B$37:$B$300,0)),"")</f>
        <v/>
      </c>
      <c r="L511" s="20" t="n"/>
      <c r="M511" s="20">
        <f>IFERROR(INDEX(CONFIGURACOES!$I$37:$I$300,MATCH($I511,CONFIGURACOES!$B$37:$B$300,0)),"")</f>
        <v/>
      </c>
      <c r="N511" s="21" t="n"/>
      <c r="O511" s="21" t="n"/>
      <c r="P511" s="21" t="n"/>
      <c r="Q511" s="21" t="n"/>
      <c r="R511" s="21">
        <f>IF($N511="","",$N511*IF($Q511="",1,$Q511)*IF($P511="",1,$P511)*IF($O511="",1,$O511))</f>
        <v/>
      </c>
      <c r="S511" s="22">
        <f>IFERROR(INDEX(CONFIGURACOES!$J$37:$J$300,MATCH($I511,CONFIGURACOES!$B$37:$B$300,0)),"")</f>
        <v/>
      </c>
      <c r="T511" s="22">
        <f>IF(OR($R511="",$S511=""),"",$R511*$S511)</f>
        <v/>
      </c>
      <c r="U511" s="20" t="n"/>
      <c r="V511" s="20" t="n"/>
      <c r="W511" s="20" t="n"/>
      <c r="X511">
        <f>IF($A511="","",$A511&amp;"|"&amp;$C511&amp;"|"&amp;$I511)</f>
        <v/>
      </c>
      <c r="Y511">
        <f>IF(AND($A511=RELATORIO_MEDICAO!$C$5,$C511=RELATORIO_MEDICAO!$F$5,$A511&lt;&gt;""),COUNTIFS($A$3:$A511,RELATORIO_MEDICAO!$C$5,$C$3:$C511,RELATORIO_MEDICAO!$F$5),"")</f>
        <v/>
      </c>
      <c r="Z511">
        <f>IF(OR($A511="",PESQUISA!$C$4=""),0,IF(OR(ISNUMBER(SEARCH(PESQUISA!$C$4,$G511)),ISNUMBER(SEARCH(PESQUISA!$C$4,$K511)),ISNUMBER(SEARCH(PESQUISA!$C$4,$L511))),1,0))</f>
        <v/>
      </c>
      <c r="AA511">
        <f>IF($Z511=1,SUM($Z$3:$Z511),"")</f>
        <v/>
      </c>
      <c r="AB511">
        <f>IF(OR($A511="",PESQUISA!$C$50=""),0,IF(ISNUMBER(SEARCH(PESQUISA!$C$50,$I511)),1,0))</f>
        <v/>
      </c>
      <c r="AC511">
        <f>IF($AB511=1,SUM($AB$3:$AB511),"")</f>
        <v/>
      </c>
    </row>
    <row r="512">
      <c r="A512" s="20" t="n"/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0">
        <f>IFERROR(INDEX(CONFIGURACOES!$G$37:$G$300,MATCH($I512,CONFIGURACOES!$B$37:$B$300,0)),"")</f>
        <v/>
      </c>
      <c r="K512" s="20">
        <f>IFERROR(INDEX(CONFIGURACOES!$H$37:$H$300,MATCH($I512,CONFIGURACOES!$B$37:$B$300,0)),"")</f>
        <v/>
      </c>
      <c r="L512" s="20" t="n"/>
      <c r="M512" s="20">
        <f>IFERROR(INDEX(CONFIGURACOES!$I$37:$I$300,MATCH($I512,CONFIGURACOES!$B$37:$B$300,0)),"")</f>
        <v/>
      </c>
      <c r="N512" s="21" t="n"/>
      <c r="O512" s="21" t="n"/>
      <c r="P512" s="21" t="n"/>
      <c r="Q512" s="21" t="n"/>
      <c r="R512" s="21">
        <f>IF($N512="","",$N512*IF($Q512="",1,$Q512)*IF($P512="",1,$P512)*IF($O512="",1,$O512))</f>
        <v/>
      </c>
      <c r="S512" s="22">
        <f>IFERROR(INDEX(CONFIGURACOES!$J$37:$J$300,MATCH($I512,CONFIGURACOES!$B$37:$B$300,0)),"")</f>
        <v/>
      </c>
      <c r="T512" s="22">
        <f>IF(OR($R512="",$S512=""),"",$R512*$S512)</f>
        <v/>
      </c>
      <c r="U512" s="20" t="n"/>
      <c r="V512" s="20" t="n"/>
      <c r="W512" s="20" t="n"/>
      <c r="X512">
        <f>IF($A512="","",$A512&amp;"|"&amp;$C512&amp;"|"&amp;$I512)</f>
        <v/>
      </c>
      <c r="Y512">
        <f>IF(AND($A512=RELATORIO_MEDICAO!$C$5,$C512=RELATORIO_MEDICAO!$F$5,$A512&lt;&gt;""),COUNTIFS($A$3:$A512,RELATORIO_MEDICAO!$C$5,$C$3:$C512,RELATORIO_MEDICAO!$F$5),"")</f>
        <v/>
      </c>
      <c r="Z512">
        <f>IF(OR($A512="",PESQUISA!$C$4=""),0,IF(OR(ISNUMBER(SEARCH(PESQUISA!$C$4,$G512)),ISNUMBER(SEARCH(PESQUISA!$C$4,$K512)),ISNUMBER(SEARCH(PESQUISA!$C$4,$L512))),1,0))</f>
        <v/>
      </c>
      <c r="AA512">
        <f>IF($Z512=1,SUM($Z$3:$Z512),"")</f>
        <v/>
      </c>
      <c r="AB512">
        <f>IF(OR($A512="",PESQUISA!$C$50=""),0,IF(ISNUMBER(SEARCH(PESQUISA!$C$50,$I512)),1,0))</f>
        <v/>
      </c>
      <c r="AC512">
        <f>IF($AB512=1,SUM($AB$3:$AB512),"")</f>
        <v/>
      </c>
    </row>
    <row r="513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>
        <f>IFERROR(INDEX(CONFIGURACOES!$G$37:$G$300,MATCH($I513,CONFIGURACOES!$B$37:$B$300,0)),"")</f>
        <v/>
      </c>
      <c r="K513" s="20">
        <f>IFERROR(INDEX(CONFIGURACOES!$H$37:$H$300,MATCH($I513,CONFIGURACOES!$B$37:$B$300,0)),"")</f>
        <v/>
      </c>
      <c r="L513" s="20" t="n"/>
      <c r="M513" s="20">
        <f>IFERROR(INDEX(CONFIGURACOES!$I$37:$I$300,MATCH($I513,CONFIGURACOES!$B$37:$B$300,0)),"")</f>
        <v/>
      </c>
      <c r="N513" s="21" t="n"/>
      <c r="O513" s="21" t="n"/>
      <c r="P513" s="21" t="n"/>
      <c r="Q513" s="21" t="n"/>
      <c r="R513" s="21">
        <f>IF($N513="","",$N513*IF($Q513="",1,$Q513)*IF($P513="",1,$P513)*IF($O513="",1,$O513))</f>
        <v/>
      </c>
      <c r="S513" s="22">
        <f>IFERROR(INDEX(CONFIGURACOES!$J$37:$J$300,MATCH($I513,CONFIGURACOES!$B$37:$B$300,0)),"")</f>
        <v/>
      </c>
      <c r="T513" s="22">
        <f>IF(OR($R513="",$S513=""),"",$R513*$S513)</f>
        <v/>
      </c>
      <c r="U513" s="20" t="n"/>
      <c r="V513" s="20" t="n"/>
      <c r="W513" s="20" t="n"/>
      <c r="X513">
        <f>IF($A513="","",$A513&amp;"|"&amp;$C513&amp;"|"&amp;$I513)</f>
        <v/>
      </c>
      <c r="Y513">
        <f>IF(AND($A513=RELATORIO_MEDICAO!$C$5,$C513=RELATORIO_MEDICAO!$F$5,$A513&lt;&gt;""),COUNTIFS($A$3:$A513,RELATORIO_MEDICAO!$C$5,$C$3:$C513,RELATORIO_MEDICAO!$F$5),"")</f>
        <v/>
      </c>
      <c r="Z513">
        <f>IF(OR($A513="",PESQUISA!$C$4=""),0,IF(OR(ISNUMBER(SEARCH(PESQUISA!$C$4,$G513)),ISNUMBER(SEARCH(PESQUISA!$C$4,$K513)),ISNUMBER(SEARCH(PESQUISA!$C$4,$L513))),1,0))</f>
        <v/>
      </c>
      <c r="AA513">
        <f>IF($Z513=1,SUM($Z$3:$Z513),"")</f>
        <v/>
      </c>
      <c r="AB513">
        <f>IF(OR($A513="",PESQUISA!$C$50=""),0,IF(ISNUMBER(SEARCH(PESQUISA!$C$50,$I513)),1,0))</f>
        <v/>
      </c>
      <c r="AC513">
        <f>IF($AB513=1,SUM($AB$3:$AB513),"")</f>
        <v/>
      </c>
    </row>
    <row r="514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>
        <f>IFERROR(INDEX(CONFIGURACOES!$G$37:$G$300,MATCH($I514,CONFIGURACOES!$B$37:$B$300,0)),"")</f>
        <v/>
      </c>
      <c r="K514" s="20">
        <f>IFERROR(INDEX(CONFIGURACOES!$H$37:$H$300,MATCH($I514,CONFIGURACOES!$B$37:$B$300,0)),"")</f>
        <v/>
      </c>
      <c r="L514" s="20" t="n"/>
      <c r="M514" s="20">
        <f>IFERROR(INDEX(CONFIGURACOES!$I$37:$I$300,MATCH($I514,CONFIGURACOES!$B$37:$B$300,0)),"")</f>
        <v/>
      </c>
      <c r="N514" s="21" t="n"/>
      <c r="O514" s="21" t="n"/>
      <c r="P514" s="21" t="n"/>
      <c r="Q514" s="21" t="n"/>
      <c r="R514" s="21">
        <f>IF($N514="","",$N514*IF($Q514="",1,$Q514)*IF($P514="",1,$P514)*IF($O514="",1,$O514))</f>
        <v/>
      </c>
      <c r="S514" s="22">
        <f>IFERROR(INDEX(CONFIGURACOES!$J$37:$J$300,MATCH($I514,CONFIGURACOES!$B$37:$B$300,0)),"")</f>
        <v/>
      </c>
      <c r="T514" s="22">
        <f>IF(OR($R514="",$S514=""),"",$R514*$S514)</f>
        <v/>
      </c>
      <c r="U514" s="20" t="n"/>
      <c r="V514" s="20" t="n"/>
      <c r="W514" s="20" t="n"/>
      <c r="X514">
        <f>IF($A514="","",$A514&amp;"|"&amp;$C514&amp;"|"&amp;$I514)</f>
        <v/>
      </c>
      <c r="Y514">
        <f>IF(AND($A514=RELATORIO_MEDICAO!$C$5,$C514=RELATORIO_MEDICAO!$F$5,$A514&lt;&gt;""),COUNTIFS($A$3:$A514,RELATORIO_MEDICAO!$C$5,$C$3:$C514,RELATORIO_MEDICAO!$F$5),"")</f>
        <v/>
      </c>
      <c r="Z514">
        <f>IF(OR($A514="",PESQUISA!$C$4=""),0,IF(OR(ISNUMBER(SEARCH(PESQUISA!$C$4,$G514)),ISNUMBER(SEARCH(PESQUISA!$C$4,$K514)),ISNUMBER(SEARCH(PESQUISA!$C$4,$L514))),1,0))</f>
        <v/>
      </c>
      <c r="AA514">
        <f>IF($Z514=1,SUM($Z$3:$Z514),"")</f>
        <v/>
      </c>
      <c r="AB514">
        <f>IF(OR($A514="",PESQUISA!$C$50=""),0,IF(ISNUMBER(SEARCH(PESQUISA!$C$50,$I514)),1,0))</f>
        <v/>
      </c>
      <c r="AC514">
        <f>IF($AB514=1,SUM($AB$3:$AB514),"")</f>
        <v/>
      </c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>
        <f>IFERROR(INDEX(CONFIGURACOES!$G$37:$G$300,MATCH($I515,CONFIGURACOES!$B$37:$B$300,0)),"")</f>
        <v/>
      </c>
      <c r="K515" s="20">
        <f>IFERROR(INDEX(CONFIGURACOES!$H$37:$H$300,MATCH($I515,CONFIGURACOES!$B$37:$B$300,0)),"")</f>
        <v/>
      </c>
      <c r="L515" s="20" t="n"/>
      <c r="M515" s="20">
        <f>IFERROR(INDEX(CONFIGURACOES!$I$37:$I$300,MATCH($I515,CONFIGURACOES!$B$37:$B$300,0)),"")</f>
        <v/>
      </c>
      <c r="N515" s="21" t="n"/>
      <c r="O515" s="21" t="n"/>
      <c r="P515" s="21" t="n"/>
      <c r="Q515" s="21" t="n"/>
      <c r="R515" s="21">
        <f>IF($N515="","",$N515*IF($Q515="",1,$Q515)*IF($P515="",1,$P515)*IF($O515="",1,$O515))</f>
        <v/>
      </c>
      <c r="S515" s="22">
        <f>IFERROR(INDEX(CONFIGURACOES!$J$37:$J$300,MATCH($I515,CONFIGURACOES!$B$37:$B$300,0)),"")</f>
        <v/>
      </c>
      <c r="T515" s="22">
        <f>IF(OR($R515="",$S515=""),"",$R515*$S515)</f>
        <v/>
      </c>
      <c r="U515" s="20" t="n"/>
      <c r="V515" s="20" t="n"/>
      <c r="W515" s="20" t="n"/>
      <c r="X515">
        <f>IF($A515="","",$A515&amp;"|"&amp;$C515&amp;"|"&amp;$I515)</f>
        <v/>
      </c>
      <c r="Y515">
        <f>IF(AND($A515=RELATORIO_MEDICAO!$C$5,$C515=RELATORIO_MEDICAO!$F$5,$A515&lt;&gt;""),COUNTIFS($A$3:$A515,RELATORIO_MEDICAO!$C$5,$C$3:$C515,RELATORIO_MEDICAO!$F$5),"")</f>
        <v/>
      </c>
      <c r="Z515">
        <f>IF(OR($A515="",PESQUISA!$C$4=""),0,IF(OR(ISNUMBER(SEARCH(PESQUISA!$C$4,$G515)),ISNUMBER(SEARCH(PESQUISA!$C$4,$K515)),ISNUMBER(SEARCH(PESQUISA!$C$4,$L515))),1,0))</f>
        <v/>
      </c>
      <c r="AA515">
        <f>IF($Z515=1,SUM($Z$3:$Z515),"")</f>
        <v/>
      </c>
      <c r="AB515">
        <f>IF(OR($A515="",PESQUISA!$C$50=""),0,IF(ISNUMBER(SEARCH(PESQUISA!$C$50,$I515)),1,0))</f>
        <v/>
      </c>
      <c r="AC515">
        <f>IF($AB515=1,SUM($AB$3:$AB515),"")</f>
        <v/>
      </c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>
        <f>IFERROR(INDEX(CONFIGURACOES!$G$37:$G$300,MATCH($I516,CONFIGURACOES!$B$37:$B$300,0)),"")</f>
        <v/>
      </c>
      <c r="K516" s="20">
        <f>IFERROR(INDEX(CONFIGURACOES!$H$37:$H$300,MATCH($I516,CONFIGURACOES!$B$37:$B$300,0)),"")</f>
        <v/>
      </c>
      <c r="L516" s="20" t="n"/>
      <c r="M516" s="20">
        <f>IFERROR(INDEX(CONFIGURACOES!$I$37:$I$300,MATCH($I516,CONFIGURACOES!$B$37:$B$300,0)),"")</f>
        <v/>
      </c>
      <c r="N516" s="21" t="n"/>
      <c r="O516" s="21" t="n"/>
      <c r="P516" s="21" t="n"/>
      <c r="Q516" s="21" t="n"/>
      <c r="R516" s="21">
        <f>IF($N516="","",$N516*IF($Q516="",1,$Q516)*IF($P516="",1,$P516)*IF($O516="",1,$O516))</f>
        <v/>
      </c>
      <c r="S516" s="22">
        <f>IFERROR(INDEX(CONFIGURACOES!$J$37:$J$300,MATCH($I516,CONFIGURACOES!$B$37:$B$300,0)),"")</f>
        <v/>
      </c>
      <c r="T516" s="22">
        <f>IF(OR($R516="",$S516=""),"",$R516*$S516)</f>
        <v/>
      </c>
      <c r="U516" s="20" t="n"/>
      <c r="V516" s="20" t="n"/>
      <c r="W516" s="20" t="n"/>
      <c r="X516">
        <f>IF($A516="","",$A516&amp;"|"&amp;$C516&amp;"|"&amp;$I516)</f>
        <v/>
      </c>
      <c r="Y516">
        <f>IF(AND($A516=RELATORIO_MEDICAO!$C$5,$C516=RELATORIO_MEDICAO!$F$5,$A516&lt;&gt;""),COUNTIFS($A$3:$A516,RELATORIO_MEDICAO!$C$5,$C$3:$C516,RELATORIO_MEDICAO!$F$5),"")</f>
        <v/>
      </c>
      <c r="Z516">
        <f>IF(OR($A516="",PESQUISA!$C$4=""),0,IF(OR(ISNUMBER(SEARCH(PESQUISA!$C$4,$G516)),ISNUMBER(SEARCH(PESQUISA!$C$4,$K516)),ISNUMBER(SEARCH(PESQUISA!$C$4,$L516))),1,0))</f>
        <v/>
      </c>
      <c r="AA516">
        <f>IF($Z516=1,SUM($Z$3:$Z516),"")</f>
        <v/>
      </c>
      <c r="AB516">
        <f>IF(OR($A516="",PESQUISA!$C$50=""),0,IF(ISNUMBER(SEARCH(PESQUISA!$C$50,$I516)),1,0))</f>
        <v/>
      </c>
      <c r="AC516">
        <f>IF($AB516=1,SUM($AB$3:$AB516),"")</f>
        <v/>
      </c>
    </row>
    <row r="517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>
        <f>IFERROR(INDEX(CONFIGURACOES!$G$37:$G$300,MATCH($I517,CONFIGURACOES!$B$37:$B$300,0)),"")</f>
        <v/>
      </c>
      <c r="K517" s="20">
        <f>IFERROR(INDEX(CONFIGURACOES!$H$37:$H$300,MATCH($I517,CONFIGURACOES!$B$37:$B$300,0)),"")</f>
        <v/>
      </c>
      <c r="L517" s="20" t="n"/>
      <c r="M517" s="20">
        <f>IFERROR(INDEX(CONFIGURACOES!$I$37:$I$300,MATCH($I517,CONFIGURACOES!$B$37:$B$300,0)),"")</f>
        <v/>
      </c>
      <c r="N517" s="21" t="n"/>
      <c r="O517" s="21" t="n"/>
      <c r="P517" s="21" t="n"/>
      <c r="Q517" s="21" t="n"/>
      <c r="R517" s="21">
        <f>IF($N517="","",$N517*IF($Q517="",1,$Q517)*IF($P517="",1,$P517)*IF($O517="",1,$O517))</f>
        <v/>
      </c>
      <c r="S517" s="22">
        <f>IFERROR(INDEX(CONFIGURACOES!$J$37:$J$300,MATCH($I517,CONFIGURACOES!$B$37:$B$300,0)),"")</f>
        <v/>
      </c>
      <c r="T517" s="22">
        <f>IF(OR($R517="",$S517=""),"",$R517*$S517)</f>
        <v/>
      </c>
      <c r="U517" s="20" t="n"/>
      <c r="V517" s="20" t="n"/>
      <c r="W517" s="20" t="n"/>
      <c r="X517">
        <f>IF($A517="","",$A517&amp;"|"&amp;$C517&amp;"|"&amp;$I517)</f>
        <v/>
      </c>
      <c r="Y517">
        <f>IF(AND($A517=RELATORIO_MEDICAO!$C$5,$C517=RELATORIO_MEDICAO!$F$5,$A517&lt;&gt;""),COUNTIFS($A$3:$A517,RELATORIO_MEDICAO!$C$5,$C$3:$C517,RELATORIO_MEDICAO!$F$5),"")</f>
        <v/>
      </c>
      <c r="Z517">
        <f>IF(OR($A517="",PESQUISA!$C$4=""),0,IF(OR(ISNUMBER(SEARCH(PESQUISA!$C$4,$G517)),ISNUMBER(SEARCH(PESQUISA!$C$4,$K517)),ISNUMBER(SEARCH(PESQUISA!$C$4,$L517))),1,0))</f>
        <v/>
      </c>
      <c r="AA517">
        <f>IF($Z517=1,SUM($Z$3:$Z517),"")</f>
        <v/>
      </c>
      <c r="AB517">
        <f>IF(OR($A517="",PESQUISA!$C$50=""),0,IF(ISNUMBER(SEARCH(PESQUISA!$C$50,$I517)),1,0))</f>
        <v/>
      </c>
      <c r="AC517">
        <f>IF($AB517=1,SUM($AB$3:$AB517),"")</f>
        <v/>
      </c>
    </row>
    <row r="518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>
        <f>IFERROR(INDEX(CONFIGURACOES!$G$37:$G$300,MATCH($I518,CONFIGURACOES!$B$37:$B$300,0)),"")</f>
        <v/>
      </c>
      <c r="K518" s="20">
        <f>IFERROR(INDEX(CONFIGURACOES!$H$37:$H$300,MATCH($I518,CONFIGURACOES!$B$37:$B$300,0)),"")</f>
        <v/>
      </c>
      <c r="L518" s="20" t="n"/>
      <c r="M518" s="20">
        <f>IFERROR(INDEX(CONFIGURACOES!$I$37:$I$300,MATCH($I518,CONFIGURACOES!$B$37:$B$300,0)),"")</f>
        <v/>
      </c>
      <c r="N518" s="21" t="n"/>
      <c r="O518" s="21" t="n"/>
      <c r="P518" s="21" t="n"/>
      <c r="Q518" s="21" t="n"/>
      <c r="R518" s="21">
        <f>IF($N518="","",$N518*IF($Q518="",1,$Q518)*IF($P518="",1,$P518)*IF($O518="",1,$O518))</f>
        <v/>
      </c>
      <c r="S518" s="22">
        <f>IFERROR(INDEX(CONFIGURACOES!$J$37:$J$300,MATCH($I518,CONFIGURACOES!$B$37:$B$300,0)),"")</f>
        <v/>
      </c>
      <c r="T518" s="22">
        <f>IF(OR($R518="",$S518=""),"",$R518*$S518)</f>
        <v/>
      </c>
      <c r="U518" s="20" t="n"/>
      <c r="V518" s="20" t="n"/>
      <c r="W518" s="20" t="n"/>
      <c r="X518">
        <f>IF($A518="","",$A518&amp;"|"&amp;$C518&amp;"|"&amp;$I518)</f>
        <v/>
      </c>
      <c r="Y518">
        <f>IF(AND($A518=RELATORIO_MEDICAO!$C$5,$C518=RELATORIO_MEDICAO!$F$5,$A518&lt;&gt;""),COUNTIFS($A$3:$A518,RELATORIO_MEDICAO!$C$5,$C$3:$C518,RELATORIO_MEDICAO!$F$5),"")</f>
        <v/>
      </c>
      <c r="Z518">
        <f>IF(OR($A518="",PESQUISA!$C$4=""),0,IF(OR(ISNUMBER(SEARCH(PESQUISA!$C$4,$G518)),ISNUMBER(SEARCH(PESQUISA!$C$4,$K518)),ISNUMBER(SEARCH(PESQUISA!$C$4,$L518))),1,0))</f>
        <v/>
      </c>
      <c r="AA518">
        <f>IF($Z518=1,SUM($Z$3:$Z518),"")</f>
        <v/>
      </c>
      <c r="AB518">
        <f>IF(OR($A518="",PESQUISA!$C$50=""),0,IF(ISNUMBER(SEARCH(PESQUISA!$C$50,$I518)),1,0))</f>
        <v/>
      </c>
      <c r="AC518">
        <f>IF($AB518=1,SUM($AB$3:$AB518),"")</f>
        <v/>
      </c>
    </row>
    <row r="519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>
        <f>IFERROR(INDEX(CONFIGURACOES!$G$37:$G$300,MATCH($I519,CONFIGURACOES!$B$37:$B$300,0)),"")</f>
        <v/>
      </c>
      <c r="K519" s="20">
        <f>IFERROR(INDEX(CONFIGURACOES!$H$37:$H$300,MATCH($I519,CONFIGURACOES!$B$37:$B$300,0)),"")</f>
        <v/>
      </c>
      <c r="L519" s="20" t="n"/>
      <c r="M519" s="20">
        <f>IFERROR(INDEX(CONFIGURACOES!$I$37:$I$300,MATCH($I519,CONFIGURACOES!$B$37:$B$300,0)),"")</f>
        <v/>
      </c>
      <c r="N519" s="21" t="n"/>
      <c r="O519" s="21" t="n"/>
      <c r="P519" s="21" t="n"/>
      <c r="Q519" s="21" t="n"/>
      <c r="R519" s="21">
        <f>IF($N519="","",$N519*IF($Q519="",1,$Q519)*IF($P519="",1,$P519)*IF($O519="",1,$O519))</f>
        <v/>
      </c>
      <c r="S519" s="22">
        <f>IFERROR(INDEX(CONFIGURACOES!$J$37:$J$300,MATCH($I519,CONFIGURACOES!$B$37:$B$300,0)),"")</f>
        <v/>
      </c>
      <c r="T519" s="22">
        <f>IF(OR($R519="",$S519=""),"",$R519*$S519)</f>
        <v/>
      </c>
      <c r="U519" s="20" t="n"/>
      <c r="V519" s="20" t="n"/>
      <c r="W519" s="20" t="n"/>
      <c r="X519">
        <f>IF($A519="","",$A519&amp;"|"&amp;$C519&amp;"|"&amp;$I519)</f>
        <v/>
      </c>
      <c r="Y519">
        <f>IF(AND($A519=RELATORIO_MEDICAO!$C$5,$C519=RELATORIO_MEDICAO!$F$5,$A519&lt;&gt;""),COUNTIFS($A$3:$A519,RELATORIO_MEDICAO!$C$5,$C$3:$C519,RELATORIO_MEDICAO!$F$5),"")</f>
        <v/>
      </c>
      <c r="Z519">
        <f>IF(OR($A519="",PESQUISA!$C$4=""),0,IF(OR(ISNUMBER(SEARCH(PESQUISA!$C$4,$G519)),ISNUMBER(SEARCH(PESQUISA!$C$4,$K519)),ISNUMBER(SEARCH(PESQUISA!$C$4,$L519))),1,0))</f>
        <v/>
      </c>
      <c r="AA519">
        <f>IF($Z519=1,SUM($Z$3:$Z519),"")</f>
        <v/>
      </c>
      <c r="AB519">
        <f>IF(OR($A519="",PESQUISA!$C$50=""),0,IF(ISNUMBER(SEARCH(PESQUISA!$C$50,$I519)),1,0))</f>
        <v/>
      </c>
      <c r="AC519">
        <f>IF($AB519=1,SUM($AB$3:$AB519),"")</f>
        <v/>
      </c>
    </row>
    <row r="520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>
        <f>IFERROR(INDEX(CONFIGURACOES!$G$37:$G$300,MATCH($I520,CONFIGURACOES!$B$37:$B$300,0)),"")</f>
        <v/>
      </c>
      <c r="K520" s="20">
        <f>IFERROR(INDEX(CONFIGURACOES!$H$37:$H$300,MATCH($I520,CONFIGURACOES!$B$37:$B$300,0)),"")</f>
        <v/>
      </c>
      <c r="L520" s="20" t="n"/>
      <c r="M520" s="20">
        <f>IFERROR(INDEX(CONFIGURACOES!$I$37:$I$300,MATCH($I520,CONFIGURACOES!$B$37:$B$300,0)),"")</f>
        <v/>
      </c>
      <c r="N520" s="21" t="n"/>
      <c r="O520" s="21" t="n"/>
      <c r="P520" s="21" t="n"/>
      <c r="Q520" s="21" t="n"/>
      <c r="R520" s="21">
        <f>IF($N520="","",$N520*IF($Q520="",1,$Q520)*IF($P520="",1,$P520)*IF($O520="",1,$O520))</f>
        <v/>
      </c>
      <c r="S520" s="22">
        <f>IFERROR(INDEX(CONFIGURACOES!$J$37:$J$300,MATCH($I520,CONFIGURACOES!$B$37:$B$300,0)),"")</f>
        <v/>
      </c>
      <c r="T520" s="22">
        <f>IF(OR($R520="",$S520=""),"",$R520*$S520)</f>
        <v/>
      </c>
      <c r="U520" s="20" t="n"/>
      <c r="V520" s="20" t="n"/>
      <c r="W520" s="20" t="n"/>
      <c r="X520">
        <f>IF($A520="","",$A520&amp;"|"&amp;$C520&amp;"|"&amp;$I520)</f>
        <v/>
      </c>
      <c r="Y520">
        <f>IF(AND($A520=RELATORIO_MEDICAO!$C$5,$C520=RELATORIO_MEDICAO!$F$5,$A520&lt;&gt;""),COUNTIFS($A$3:$A520,RELATORIO_MEDICAO!$C$5,$C$3:$C520,RELATORIO_MEDICAO!$F$5),"")</f>
        <v/>
      </c>
      <c r="Z520">
        <f>IF(OR($A520="",PESQUISA!$C$4=""),0,IF(OR(ISNUMBER(SEARCH(PESQUISA!$C$4,$G520)),ISNUMBER(SEARCH(PESQUISA!$C$4,$K520)),ISNUMBER(SEARCH(PESQUISA!$C$4,$L520))),1,0))</f>
        <v/>
      </c>
      <c r="AA520">
        <f>IF($Z520=1,SUM($Z$3:$Z520),"")</f>
        <v/>
      </c>
      <c r="AB520">
        <f>IF(OR($A520="",PESQUISA!$C$50=""),0,IF(ISNUMBER(SEARCH(PESQUISA!$C$50,$I520)),1,0))</f>
        <v/>
      </c>
      <c r="AC520">
        <f>IF($AB520=1,SUM($AB$3:$AB520),"")</f>
        <v/>
      </c>
    </row>
    <row r="521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>
        <f>IFERROR(INDEX(CONFIGURACOES!$G$37:$G$300,MATCH($I521,CONFIGURACOES!$B$37:$B$300,0)),"")</f>
        <v/>
      </c>
      <c r="K521" s="20">
        <f>IFERROR(INDEX(CONFIGURACOES!$H$37:$H$300,MATCH($I521,CONFIGURACOES!$B$37:$B$300,0)),"")</f>
        <v/>
      </c>
      <c r="L521" s="20" t="n"/>
      <c r="M521" s="20">
        <f>IFERROR(INDEX(CONFIGURACOES!$I$37:$I$300,MATCH($I521,CONFIGURACOES!$B$37:$B$300,0)),"")</f>
        <v/>
      </c>
      <c r="N521" s="21" t="n"/>
      <c r="O521" s="21" t="n"/>
      <c r="P521" s="21" t="n"/>
      <c r="Q521" s="21" t="n"/>
      <c r="R521" s="21">
        <f>IF($N521="","",$N521*IF($Q521="",1,$Q521)*IF($P521="",1,$P521)*IF($O521="",1,$O521))</f>
        <v/>
      </c>
      <c r="S521" s="22">
        <f>IFERROR(INDEX(CONFIGURACOES!$J$37:$J$300,MATCH($I521,CONFIGURACOES!$B$37:$B$300,0)),"")</f>
        <v/>
      </c>
      <c r="T521" s="22">
        <f>IF(OR($R521="",$S521=""),"",$R521*$S521)</f>
        <v/>
      </c>
      <c r="U521" s="20" t="n"/>
      <c r="V521" s="20" t="n"/>
      <c r="W521" s="20" t="n"/>
      <c r="X521">
        <f>IF($A521="","",$A521&amp;"|"&amp;$C521&amp;"|"&amp;$I521)</f>
        <v/>
      </c>
      <c r="Y521">
        <f>IF(AND($A521=RELATORIO_MEDICAO!$C$5,$C521=RELATORIO_MEDICAO!$F$5,$A521&lt;&gt;""),COUNTIFS($A$3:$A521,RELATORIO_MEDICAO!$C$5,$C$3:$C521,RELATORIO_MEDICAO!$F$5),"")</f>
        <v/>
      </c>
      <c r="Z521">
        <f>IF(OR($A521="",PESQUISA!$C$4=""),0,IF(OR(ISNUMBER(SEARCH(PESQUISA!$C$4,$G521)),ISNUMBER(SEARCH(PESQUISA!$C$4,$K521)),ISNUMBER(SEARCH(PESQUISA!$C$4,$L521))),1,0))</f>
        <v/>
      </c>
      <c r="AA521">
        <f>IF($Z521=1,SUM($Z$3:$Z521),"")</f>
        <v/>
      </c>
      <c r="AB521">
        <f>IF(OR($A521="",PESQUISA!$C$50=""),0,IF(ISNUMBER(SEARCH(PESQUISA!$C$50,$I521)),1,0))</f>
        <v/>
      </c>
      <c r="AC521">
        <f>IF($AB521=1,SUM($AB$3:$AB521),"")</f>
        <v/>
      </c>
    </row>
    <row r="522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>
        <f>IFERROR(INDEX(CONFIGURACOES!$G$37:$G$300,MATCH($I522,CONFIGURACOES!$B$37:$B$300,0)),"")</f>
        <v/>
      </c>
      <c r="K522" s="20">
        <f>IFERROR(INDEX(CONFIGURACOES!$H$37:$H$300,MATCH($I522,CONFIGURACOES!$B$37:$B$300,0)),"")</f>
        <v/>
      </c>
      <c r="L522" s="20" t="n"/>
      <c r="M522" s="20">
        <f>IFERROR(INDEX(CONFIGURACOES!$I$37:$I$300,MATCH($I522,CONFIGURACOES!$B$37:$B$300,0)),"")</f>
        <v/>
      </c>
      <c r="N522" s="21" t="n"/>
      <c r="O522" s="21" t="n"/>
      <c r="P522" s="21" t="n"/>
      <c r="Q522" s="21" t="n"/>
      <c r="R522" s="21">
        <f>IF($N522="","",$N522*IF($Q522="",1,$Q522)*IF($P522="",1,$P522)*IF($O522="",1,$O522))</f>
        <v/>
      </c>
      <c r="S522" s="22">
        <f>IFERROR(INDEX(CONFIGURACOES!$J$37:$J$300,MATCH($I522,CONFIGURACOES!$B$37:$B$300,0)),"")</f>
        <v/>
      </c>
      <c r="T522" s="22">
        <f>IF(OR($R522="",$S522=""),"",$R522*$S522)</f>
        <v/>
      </c>
      <c r="U522" s="20" t="n"/>
      <c r="V522" s="20" t="n"/>
      <c r="W522" s="20" t="n"/>
      <c r="X522">
        <f>IF($A522="","",$A522&amp;"|"&amp;$C522&amp;"|"&amp;$I522)</f>
        <v/>
      </c>
      <c r="Y522">
        <f>IF(AND($A522=RELATORIO_MEDICAO!$C$5,$C522=RELATORIO_MEDICAO!$F$5,$A522&lt;&gt;""),COUNTIFS($A$3:$A522,RELATORIO_MEDICAO!$C$5,$C$3:$C522,RELATORIO_MEDICAO!$F$5),"")</f>
        <v/>
      </c>
      <c r="Z522">
        <f>IF(OR($A522="",PESQUISA!$C$4=""),0,IF(OR(ISNUMBER(SEARCH(PESQUISA!$C$4,$G522)),ISNUMBER(SEARCH(PESQUISA!$C$4,$K522)),ISNUMBER(SEARCH(PESQUISA!$C$4,$L522))),1,0))</f>
        <v/>
      </c>
      <c r="AA522">
        <f>IF($Z522=1,SUM($Z$3:$Z522),"")</f>
        <v/>
      </c>
      <c r="AB522">
        <f>IF(OR($A522="",PESQUISA!$C$50=""),0,IF(ISNUMBER(SEARCH(PESQUISA!$C$50,$I522)),1,0))</f>
        <v/>
      </c>
      <c r="AC522">
        <f>IF($AB522=1,SUM($AB$3:$AB522),"")</f>
        <v/>
      </c>
    </row>
    <row r="523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>
        <f>IFERROR(INDEX(CONFIGURACOES!$G$37:$G$300,MATCH($I523,CONFIGURACOES!$B$37:$B$300,0)),"")</f>
        <v/>
      </c>
      <c r="K523" s="20">
        <f>IFERROR(INDEX(CONFIGURACOES!$H$37:$H$300,MATCH($I523,CONFIGURACOES!$B$37:$B$300,0)),"")</f>
        <v/>
      </c>
      <c r="L523" s="20" t="n"/>
      <c r="M523" s="20">
        <f>IFERROR(INDEX(CONFIGURACOES!$I$37:$I$300,MATCH($I523,CONFIGURACOES!$B$37:$B$300,0)),"")</f>
        <v/>
      </c>
      <c r="N523" s="21" t="n"/>
      <c r="O523" s="21" t="n"/>
      <c r="P523" s="21" t="n"/>
      <c r="Q523" s="21" t="n"/>
      <c r="R523" s="21">
        <f>IF($N523="","",$N523*IF($Q523="",1,$Q523)*IF($P523="",1,$P523)*IF($O523="",1,$O523))</f>
        <v/>
      </c>
      <c r="S523" s="22">
        <f>IFERROR(INDEX(CONFIGURACOES!$J$37:$J$300,MATCH($I523,CONFIGURACOES!$B$37:$B$300,0)),"")</f>
        <v/>
      </c>
      <c r="T523" s="22">
        <f>IF(OR($R523="",$S523=""),"",$R523*$S523)</f>
        <v/>
      </c>
      <c r="U523" s="20" t="n"/>
      <c r="V523" s="20" t="n"/>
      <c r="W523" s="20" t="n"/>
      <c r="X523">
        <f>IF($A523="","",$A523&amp;"|"&amp;$C523&amp;"|"&amp;$I523)</f>
        <v/>
      </c>
      <c r="Y523">
        <f>IF(AND($A523=RELATORIO_MEDICAO!$C$5,$C523=RELATORIO_MEDICAO!$F$5,$A523&lt;&gt;""),COUNTIFS($A$3:$A523,RELATORIO_MEDICAO!$C$5,$C$3:$C523,RELATORIO_MEDICAO!$F$5),"")</f>
        <v/>
      </c>
      <c r="Z523">
        <f>IF(OR($A523="",PESQUISA!$C$4=""),0,IF(OR(ISNUMBER(SEARCH(PESQUISA!$C$4,$G523)),ISNUMBER(SEARCH(PESQUISA!$C$4,$K523)),ISNUMBER(SEARCH(PESQUISA!$C$4,$L523))),1,0))</f>
        <v/>
      </c>
      <c r="AA523">
        <f>IF($Z523=1,SUM($Z$3:$Z523),"")</f>
        <v/>
      </c>
      <c r="AB523">
        <f>IF(OR($A523="",PESQUISA!$C$50=""),0,IF(ISNUMBER(SEARCH(PESQUISA!$C$50,$I523)),1,0))</f>
        <v/>
      </c>
      <c r="AC523">
        <f>IF($AB523=1,SUM($AB$3:$AB523),"")</f>
        <v/>
      </c>
    </row>
    <row r="524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>
        <f>IFERROR(INDEX(CONFIGURACOES!$G$37:$G$300,MATCH($I524,CONFIGURACOES!$B$37:$B$300,0)),"")</f>
        <v/>
      </c>
      <c r="K524" s="20">
        <f>IFERROR(INDEX(CONFIGURACOES!$H$37:$H$300,MATCH($I524,CONFIGURACOES!$B$37:$B$300,0)),"")</f>
        <v/>
      </c>
      <c r="L524" s="20" t="n"/>
      <c r="M524" s="20">
        <f>IFERROR(INDEX(CONFIGURACOES!$I$37:$I$300,MATCH($I524,CONFIGURACOES!$B$37:$B$300,0)),"")</f>
        <v/>
      </c>
      <c r="N524" s="21" t="n"/>
      <c r="O524" s="21" t="n"/>
      <c r="P524" s="21" t="n"/>
      <c r="Q524" s="21" t="n"/>
      <c r="R524" s="21">
        <f>IF($N524="","",$N524*IF($Q524="",1,$Q524)*IF($P524="",1,$P524)*IF($O524="",1,$O524))</f>
        <v/>
      </c>
      <c r="S524" s="22">
        <f>IFERROR(INDEX(CONFIGURACOES!$J$37:$J$300,MATCH($I524,CONFIGURACOES!$B$37:$B$300,0)),"")</f>
        <v/>
      </c>
      <c r="T524" s="22">
        <f>IF(OR($R524="",$S524=""),"",$R524*$S524)</f>
        <v/>
      </c>
      <c r="U524" s="20" t="n"/>
      <c r="V524" s="20" t="n"/>
      <c r="W524" s="20" t="n"/>
      <c r="X524">
        <f>IF($A524="","",$A524&amp;"|"&amp;$C524&amp;"|"&amp;$I524)</f>
        <v/>
      </c>
      <c r="Y524">
        <f>IF(AND($A524=RELATORIO_MEDICAO!$C$5,$C524=RELATORIO_MEDICAO!$F$5,$A524&lt;&gt;""),COUNTIFS($A$3:$A524,RELATORIO_MEDICAO!$C$5,$C$3:$C524,RELATORIO_MEDICAO!$F$5),"")</f>
        <v/>
      </c>
      <c r="Z524">
        <f>IF(OR($A524="",PESQUISA!$C$4=""),0,IF(OR(ISNUMBER(SEARCH(PESQUISA!$C$4,$G524)),ISNUMBER(SEARCH(PESQUISA!$C$4,$K524)),ISNUMBER(SEARCH(PESQUISA!$C$4,$L524))),1,0))</f>
        <v/>
      </c>
      <c r="AA524">
        <f>IF($Z524=1,SUM($Z$3:$Z524),"")</f>
        <v/>
      </c>
      <c r="AB524">
        <f>IF(OR($A524="",PESQUISA!$C$50=""),0,IF(ISNUMBER(SEARCH(PESQUISA!$C$50,$I524)),1,0))</f>
        <v/>
      </c>
      <c r="AC524">
        <f>IF($AB524=1,SUM($AB$3:$AB524),"")</f>
        <v/>
      </c>
    </row>
    <row r="525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>
        <f>IFERROR(INDEX(CONFIGURACOES!$G$37:$G$300,MATCH($I525,CONFIGURACOES!$B$37:$B$300,0)),"")</f>
        <v/>
      </c>
      <c r="K525" s="20">
        <f>IFERROR(INDEX(CONFIGURACOES!$H$37:$H$300,MATCH($I525,CONFIGURACOES!$B$37:$B$300,0)),"")</f>
        <v/>
      </c>
      <c r="L525" s="20" t="n"/>
      <c r="M525" s="20">
        <f>IFERROR(INDEX(CONFIGURACOES!$I$37:$I$300,MATCH($I525,CONFIGURACOES!$B$37:$B$300,0)),"")</f>
        <v/>
      </c>
      <c r="N525" s="21" t="n"/>
      <c r="O525" s="21" t="n"/>
      <c r="P525" s="21" t="n"/>
      <c r="Q525" s="21" t="n"/>
      <c r="R525" s="21">
        <f>IF($N525="","",$N525*IF($Q525="",1,$Q525)*IF($P525="",1,$P525)*IF($O525="",1,$O525))</f>
        <v/>
      </c>
      <c r="S525" s="22">
        <f>IFERROR(INDEX(CONFIGURACOES!$J$37:$J$300,MATCH($I525,CONFIGURACOES!$B$37:$B$300,0)),"")</f>
        <v/>
      </c>
      <c r="T525" s="22">
        <f>IF(OR($R525="",$S525=""),"",$R525*$S525)</f>
        <v/>
      </c>
      <c r="U525" s="20" t="n"/>
      <c r="V525" s="20" t="n"/>
      <c r="W525" s="20" t="n"/>
      <c r="X525">
        <f>IF($A525="","",$A525&amp;"|"&amp;$C525&amp;"|"&amp;$I525)</f>
        <v/>
      </c>
      <c r="Y525">
        <f>IF(AND($A525=RELATORIO_MEDICAO!$C$5,$C525=RELATORIO_MEDICAO!$F$5,$A525&lt;&gt;""),COUNTIFS($A$3:$A525,RELATORIO_MEDICAO!$C$5,$C$3:$C525,RELATORIO_MEDICAO!$F$5),"")</f>
        <v/>
      </c>
      <c r="Z525">
        <f>IF(OR($A525="",PESQUISA!$C$4=""),0,IF(OR(ISNUMBER(SEARCH(PESQUISA!$C$4,$G525)),ISNUMBER(SEARCH(PESQUISA!$C$4,$K525)),ISNUMBER(SEARCH(PESQUISA!$C$4,$L525))),1,0))</f>
        <v/>
      </c>
      <c r="AA525">
        <f>IF($Z525=1,SUM($Z$3:$Z525),"")</f>
        <v/>
      </c>
      <c r="AB525">
        <f>IF(OR($A525="",PESQUISA!$C$50=""),0,IF(ISNUMBER(SEARCH(PESQUISA!$C$50,$I525)),1,0))</f>
        <v/>
      </c>
      <c r="AC525">
        <f>IF($AB525=1,SUM($AB$3:$AB525),"")</f>
        <v/>
      </c>
    </row>
    <row r="526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>
        <f>IFERROR(INDEX(CONFIGURACOES!$G$37:$G$300,MATCH($I526,CONFIGURACOES!$B$37:$B$300,0)),"")</f>
        <v/>
      </c>
      <c r="K526" s="20">
        <f>IFERROR(INDEX(CONFIGURACOES!$H$37:$H$300,MATCH($I526,CONFIGURACOES!$B$37:$B$300,0)),"")</f>
        <v/>
      </c>
      <c r="L526" s="20" t="n"/>
      <c r="M526" s="20">
        <f>IFERROR(INDEX(CONFIGURACOES!$I$37:$I$300,MATCH($I526,CONFIGURACOES!$B$37:$B$300,0)),"")</f>
        <v/>
      </c>
      <c r="N526" s="21" t="n"/>
      <c r="O526" s="21" t="n"/>
      <c r="P526" s="21" t="n"/>
      <c r="Q526" s="21" t="n"/>
      <c r="R526" s="21">
        <f>IF($N526="","",$N526*IF($Q526="",1,$Q526)*IF($P526="",1,$P526)*IF($O526="",1,$O526))</f>
        <v/>
      </c>
      <c r="S526" s="22">
        <f>IFERROR(INDEX(CONFIGURACOES!$J$37:$J$300,MATCH($I526,CONFIGURACOES!$B$37:$B$300,0)),"")</f>
        <v/>
      </c>
      <c r="T526" s="22">
        <f>IF(OR($R526="",$S526=""),"",$R526*$S526)</f>
        <v/>
      </c>
      <c r="U526" s="20" t="n"/>
      <c r="V526" s="20" t="n"/>
      <c r="W526" s="20" t="n"/>
      <c r="X526">
        <f>IF($A526="","",$A526&amp;"|"&amp;$C526&amp;"|"&amp;$I526)</f>
        <v/>
      </c>
      <c r="Y526">
        <f>IF(AND($A526=RELATORIO_MEDICAO!$C$5,$C526=RELATORIO_MEDICAO!$F$5,$A526&lt;&gt;""),COUNTIFS($A$3:$A526,RELATORIO_MEDICAO!$C$5,$C$3:$C526,RELATORIO_MEDICAO!$F$5),"")</f>
        <v/>
      </c>
      <c r="Z526">
        <f>IF(OR($A526="",PESQUISA!$C$4=""),0,IF(OR(ISNUMBER(SEARCH(PESQUISA!$C$4,$G526)),ISNUMBER(SEARCH(PESQUISA!$C$4,$K526)),ISNUMBER(SEARCH(PESQUISA!$C$4,$L526))),1,0))</f>
        <v/>
      </c>
      <c r="AA526">
        <f>IF($Z526=1,SUM($Z$3:$Z526),"")</f>
        <v/>
      </c>
      <c r="AB526">
        <f>IF(OR($A526="",PESQUISA!$C$50=""),0,IF(ISNUMBER(SEARCH(PESQUISA!$C$50,$I526)),1,0))</f>
        <v/>
      </c>
      <c r="AC526">
        <f>IF($AB526=1,SUM($AB$3:$AB526),"")</f>
        <v/>
      </c>
    </row>
    <row r="527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>
        <f>IFERROR(INDEX(CONFIGURACOES!$G$37:$G$300,MATCH($I527,CONFIGURACOES!$B$37:$B$300,0)),"")</f>
        <v/>
      </c>
      <c r="K527" s="20">
        <f>IFERROR(INDEX(CONFIGURACOES!$H$37:$H$300,MATCH($I527,CONFIGURACOES!$B$37:$B$300,0)),"")</f>
        <v/>
      </c>
      <c r="L527" s="20" t="n"/>
      <c r="M527" s="20">
        <f>IFERROR(INDEX(CONFIGURACOES!$I$37:$I$300,MATCH($I527,CONFIGURACOES!$B$37:$B$300,0)),"")</f>
        <v/>
      </c>
      <c r="N527" s="21" t="n"/>
      <c r="O527" s="21" t="n"/>
      <c r="P527" s="21" t="n"/>
      <c r="Q527" s="21" t="n"/>
      <c r="R527" s="21">
        <f>IF($N527="","",$N527*IF($Q527="",1,$Q527)*IF($P527="",1,$P527)*IF($O527="",1,$O527))</f>
        <v/>
      </c>
      <c r="S527" s="22">
        <f>IFERROR(INDEX(CONFIGURACOES!$J$37:$J$300,MATCH($I527,CONFIGURACOES!$B$37:$B$300,0)),"")</f>
        <v/>
      </c>
      <c r="T527" s="22">
        <f>IF(OR($R527="",$S527=""),"",$R527*$S527)</f>
        <v/>
      </c>
      <c r="U527" s="20" t="n"/>
      <c r="V527" s="20" t="n"/>
      <c r="W527" s="20" t="n"/>
      <c r="X527">
        <f>IF($A527="","",$A527&amp;"|"&amp;$C527&amp;"|"&amp;$I527)</f>
        <v/>
      </c>
      <c r="Y527">
        <f>IF(AND($A527=RELATORIO_MEDICAO!$C$5,$C527=RELATORIO_MEDICAO!$F$5,$A527&lt;&gt;""),COUNTIFS($A$3:$A527,RELATORIO_MEDICAO!$C$5,$C$3:$C527,RELATORIO_MEDICAO!$F$5),"")</f>
        <v/>
      </c>
      <c r="Z527">
        <f>IF(OR($A527="",PESQUISA!$C$4=""),0,IF(OR(ISNUMBER(SEARCH(PESQUISA!$C$4,$G527)),ISNUMBER(SEARCH(PESQUISA!$C$4,$K527)),ISNUMBER(SEARCH(PESQUISA!$C$4,$L527))),1,0))</f>
        <v/>
      </c>
      <c r="AA527">
        <f>IF($Z527=1,SUM($Z$3:$Z527),"")</f>
        <v/>
      </c>
      <c r="AB527">
        <f>IF(OR($A527="",PESQUISA!$C$50=""),0,IF(ISNUMBER(SEARCH(PESQUISA!$C$50,$I527)),1,0))</f>
        <v/>
      </c>
      <c r="AC527">
        <f>IF($AB527=1,SUM($AB$3:$AB527),"")</f>
        <v/>
      </c>
    </row>
    <row r="528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>
        <f>IFERROR(INDEX(CONFIGURACOES!$G$37:$G$300,MATCH($I528,CONFIGURACOES!$B$37:$B$300,0)),"")</f>
        <v/>
      </c>
      <c r="K528" s="20">
        <f>IFERROR(INDEX(CONFIGURACOES!$H$37:$H$300,MATCH($I528,CONFIGURACOES!$B$37:$B$300,0)),"")</f>
        <v/>
      </c>
      <c r="L528" s="20" t="n"/>
      <c r="M528" s="20">
        <f>IFERROR(INDEX(CONFIGURACOES!$I$37:$I$300,MATCH($I528,CONFIGURACOES!$B$37:$B$300,0)),"")</f>
        <v/>
      </c>
      <c r="N528" s="21" t="n"/>
      <c r="O528" s="21" t="n"/>
      <c r="P528" s="21" t="n"/>
      <c r="Q528" s="21" t="n"/>
      <c r="R528" s="21">
        <f>IF($N528="","",$N528*IF($Q528="",1,$Q528)*IF($P528="",1,$P528)*IF($O528="",1,$O528))</f>
        <v/>
      </c>
      <c r="S528" s="22">
        <f>IFERROR(INDEX(CONFIGURACOES!$J$37:$J$300,MATCH($I528,CONFIGURACOES!$B$37:$B$300,0)),"")</f>
        <v/>
      </c>
      <c r="T528" s="22">
        <f>IF(OR($R528="",$S528=""),"",$R528*$S528)</f>
        <v/>
      </c>
      <c r="U528" s="20" t="n"/>
      <c r="V528" s="20" t="n"/>
      <c r="W528" s="20" t="n"/>
      <c r="X528">
        <f>IF($A528="","",$A528&amp;"|"&amp;$C528&amp;"|"&amp;$I528)</f>
        <v/>
      </c>
      <c r="Y528">
        <f>IF(AND($A528=RELATORIO_MEDICAO!$C$5,$C528=RELATORIO_MEDICAO!$F$5,$A528&lt;&gt;""),COUNTIFS($A$3:$A528,RELATORIO_MEDICAO!$C$5,$C$3:$C528,RELATORIO_MEDICAO!$F$5),"")</f>
        <v/>
      </c>
      <c r="Z528">
        <f>IF(OR($A528="",PESQUISA!$C$4=""),0,IF(OR(ISNUMBER(SEARCH(PESQUISA!$C$4,$G528)),ISNUMBER(SEARCH(PESQUISA!$C$4,$K528)),ISNUMBER(SEARCH(PESQUISA!$C$4,$L528))),1,0))</f>
        <v/>
      </c>
      <c r="AA528">
        <f>IF($Z528=1,SUM($Z$3:$Z528),"")</f>
        <v/>
      </c>
      <c r="AB528">
        <f>IF(OR($A528="",PESQUISA!$C$50=""),0,IF(ISNUMBER(SEARCH(PESQUISA!$C$50,$I528)),1,0))</f>
        <v/>
      </c>
      <c r="AC528">
        <f>IF($AB528=1,SUM($AB$3:$AB528),"")</f>
        <v/>
      </c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>
        <f>IFERROR(INDEX(CONFIGURACOES!$G$37:$G$300,MATCH($I529,CONFIGURACOES!$B$37:$B$300,0)),"")</f>
        <v/>
      </c>
      <c r="K529" s="20">
        <f>IFERROR(INDEX(CONFIGURACOES!$H$37:$H$300,MATCH($I529,CONFIGURACOES!$B$37:$B$300,0)),"")</f>
        <v/>
      </c>
      <c r="L529" s="20" t="n"/>
      <c r="M529" s="20">
        <f>IFERROR(INDEX(CONFIGURACOES!$I$37:$I$300,MATCH($I529,CONFIGURACOES!$B$37:$B$300,0)),"")</f>
        <v/>
      </c>
      <c r="N529" s="21" t="n"/>
      <c r="O529" s="21" t="n"/>
      <c r="P529" s="21" t="n"/>
      <c r="Q529" s="21" t="n"/>
      <c r="R529" s="21">
        <f>IF($N529="","",$N529*IF($Q529="",1,$Q529)*IF($P529="",1,$P529)*IF($O529="",1,$O529))</f>
        <v/>
      </c>
      <c r="S529" s="22">
        <f>IFERROR(INDEX(CONFIGURACOES!$J$37:$J$300,MATCH($I529,CONFIGURACOES!$B$37:$B$300,0)),"")</f>
        <v/>
      </c>
      <c r="T529" s="22">
        <f>IF(OR($R529="",$S529=""),"",$R529*$S529)</f>
        <v/>
      </c>
      <c r="U529" s="20" t="n"/>
      <c r="V529" s="20" t="n"/>
      <c r="W529" s="20" t="n"/>
      <c r="X529">
        <f>IF($A529="","",$A529&amp;"|"&amp;$C529&amp;"|"&amp;$I529)</f>
        <v/>
      </c>
      <c r="Y529">
        <f>IF(AND($A529=RELATORIO_MEDICAO!$C$5,$C529=RELATORIO_MEDICAO!$F$5,$A529&lt;&gt;""),COUNTIFS($A$3:$A529,RELATORIO_MEDICAO!$C$5,$C$3:$C529,RELATORIO_MEDICAO!$F$5),"")</f>
        <v/>
      </c>
      <c r="Z529">
        <f>IF(OR($A529="",PESQUISA!$C$4=""),0,IF(OR(ISNUMBER(SEARCH(PESQUISA!$C$4,$G529)),ISNUMBER(SEARCH(PESQUISA!$C$4,$K529)),ISNUMBER(SEARCH(PESQUISA!$C$4,$L529))),1,0))</f>
        <v/>
      </c>
      <c r="AA529">
        <f>IF($Z529=1,SUM($Z$3:$Z529),"")</f>
        <v/>
      </c>
      <c r="AB529">
        <f>IF(OR($A529="",PESQUISA!$C$50=""),0,IF(ISNUMBER(SEARCH(PESQUISA!$C$50,$I529)),1,0))</f>
        <v/>
      </c>
      <c r="AC529">
        <f>IF($AB529=1,SUM($AB$3:$AB529),"")</f>
        <v/>
      </c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>
        <f>IFERROR(INDEX(CONFIGURACOES!$G$37:$G$300,MATCH($I530,CONFIGURACOES!$B$37:$B$300,0)),"")</f>
        <v/>
      </c>
      <c r="K530" s="20">
        <f>IFERROR(INDEX(CONFIGURACOES!$H$37:$H$300,MATCH($I530,CONFIGURACOES!$B$37:$B$300,0)),"")</f>
        <v/>
      </c>
      <c r="L530" s="20" t="n"/>
      <c r="M530" s="20">
        <f>IFERROR(INDEX(CONFIGURACOES!$I$37:$I$300,MATCH($I530,CONFIGURACOES!$B$37:$B$300,0)),"")</f>
        <v/>
      </c>
      <c r="N530" s="21" t="n"/>
      <c r="O530" s="21" t="n"/>
      <c r="P530" s="21" t="n"/>
      <c r="Q530" s="21" t="n"/>
      <c r="R530" s="21">
        <f>IF($N530="","",$N530*IF($Q530="",1,$Q530)*IF($P530="",1,$P530)*IF($O530="",1,$O530))</f>
        <v/>
      </c>
      <c r="S530" s="22">
        <f>IFERROR(INDEX(CONFIGURACOES!$J$37:$J$300,MATCH($I530,CONFIGURACOES!$B$37:$B$300,0)),"")</f>
        <v/>
      </c>
      <c r="T530" s="22">
        <f>IF(OR($R530="",$S530=""),"",$R530*$S530)</f>
        <v/>
      </c>
      <c r="U530" s="20" t="n"/>
      <c r="V530" s="20" t="n"/>
      <c r="W530" s="20" t="n"/>
      <c r="X530">
        <f>IF($A530="","",$A530&amp;"|"&amp;$C530&amp;"|"&amp;$I530)</f>
        <v/>
      </c>
      <c r="Y530">
        <f>IF(AND($A530=RELATORIO_MEDICAO!$C$5,$C530=RELATORIO_MEDICAO!$F$5,$A530&lt;&gt;""),COUNTIFS($A$3:$A530,RELATORIO_MEDICAO!$C$5,$C$3:$C530,RELATORIO_MEDICAO!$F$5),"")</f>
        <v/>
      </c>
      <c r="Z530">
        <f>IF(OR($A530="",PESQUISA!$C$4=""),0,IF(OR(ISNUMBER(SEARCH(PESQUISA!$C$4,$G530)),ISNUMBER(SEARCH(PESQUISA!$C$4,$K530)),ISNUMBER(SEARCH(PESQUISA!$C$4,$L530))),1,0))</f>
        <v/>
      </c>
      <c r="AA530">
        <f>IF($Z530=1,SUM($Z$3:$Z530),"")</f>
        <v/>
      </c>
      <c r="AB530">
        <f>IF(OR($A530="",PESQUISA!$C$50=""),0,IF(ISNUMBER(SEARCH(PESQUISA!$C$50,$I530)),1,0))</f>
        <v/>
      </c>
      <c r="AC530">
        <f>IF($AB530=1,SUM($AB$3:$AB530),"")</f>
        <v/>
      </c>
    </row>
    <row r="531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>
        <f>IFERROR(INDEX(CONFIGURACOES!$G$37:$G$300,MATCH($I531,CONFIGURACOES!$B$37:$B$300,0)),"")</f>
        <v/>
      </c>
      <c r="K531" s="20">
        <f>IFERROR(INDEX(CONFIGURACOES!$H$37:$H$300,MATCH($I531,CONFIGURACOES!$B$37:$B$300,0)),"")</f>
        <v/>
      </c>
      <c r="L531" s="20" t="n"/>
      <c r="M531" s="20">
        <f>IFERROR(INDEX(CONFIGURACOES!$I$37:$I$300,MATCH($I531,CONFIGURACOES!$B$37:$B$300,0)),"")</f>
        <v/>
      </c>
      <c r="N531" s="21" t="n"/>
      <c r="O531" s="21" t="n"/>
      <c r="P531" s="21" t="n"/>
      <c r="Q531" s="21" t="n"/>
      <c r="R531" s="21">
        <f>IF($N531="","",$N531*IF($Q531="",1,$Q531)*IF($P531="",1,$P531)*IF($O531="",1,$O531))</f>
        <v/>
      </c>
      <c r="S531" s="22">
        <f>IFERROR(INDEX(CONFIGURACOES!$J$37:$J$300,MATCH($I531,CONFIGURACOES!$B$37:$B$300,0)),"")</f>
        <v/>
      </c>
      <c r="T531" s="22">
        <f>IF(OR($R531="",$S531=""),"",$R531*$S531)</f>
        <v/>
      </c>
      <c r="U531" s="20" t="n"/>
      <c r="V531" s="20" t="n"/>
      <c r="W531" s="20" t="n"/>
      <c r="X531">
        <f>IF($A531="","",$A531&amp;"|"&amp;$C531&amp;"|"&amp;$I531)</f>
        <v/>
      </c>
      <c r="Y531">
        <f>IF(AND($A531=RELATORIO_MEDICAO!$C$5,$C531=RELATORIO_MEDICAO!$F$5,$A531&lt;&gt;""),COUNTIFS($A$3:$A531,RELATORIO_MEDICAO!$C$5,$C$3:$C531,RELATORIO_MEDICAO!$F$5),"")</f>
        <v/>
      </c>
      <c r="Z531">
        <f>IF(OR($A531="",PESQUISA!$C$4=""),0,IF(OR(ISNUMBER(SEARCH(PESQUISA!$C$4,$G531)),ISNUMBER(SEARCH(PESQUISA!$C$4,$K531)),ISNUMBER(SEARCH(PESQUISA!$C$4,$L531))),1,0))</f>
        <v/>
      </c>
      <c r="AA531">
        <f>IF($Z531=1,SUM($Z$3:$Z531),"")</f>
        <v/>
      </c>
      <c r="AB531">
        <f>IF(OR($A531="",PESQUISA!$C$50=""),0,IF(ISNUMBER(SEARCH(PESQUISA!$C$50,$I531)),1,0))</f>
        <v/>
      </c>
      <c r="AC531">
        <f>IF($AB531=1,SUM($AB$3:$AB531),"")</f>
        <v/>
      </c>
    </row>
    <row r="532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>
        <f>IFERROR(INDEX(CONFIGURACOES!$G$37:$G$300,MATCH($I532,CONFIGURACOES!$B$37:$B$300,0)),"")</f>
        <v/>
      </c>
      <c r="K532" s="20">
        <f>IFERROR(INDEX(CONFIGURACOES!$H$37:$H$300,MATCH($I532,CONFIGURACOES!$B$37:$B$300,0)),"")</f>
        <v/>
      </c>
      <c r="L532" s="20" t="n"/>
      <c r="M532" s="20">
        <f>IFERROR(INDEX(CONFIGURACOES!$I$37:$I$300,MATCH($I532,CONFIGURACOES!$B$37:$B$300,0)),"")</f>
        <v/>
      </c>
      <c r="N532" s="21" t="n"/>
      <c r="O532" s="21" t="n"/>
      <c r="P532" s="21" t="n"/>
      <c r="Q532" s="21" t="n"/>
      <c r="R532" s="21">
        <f>IF($N532="","",$N532*IF($Q532="",1,$Q532)*IF($P532="",1,$P532)*IF($O532="",1,$O532))</f>
        <v/>
      </c>
      <c r="S532" s="22">
        <f>IFERROR(INDEX(CONFIGURACOES!$J$37:$J$300,MATCH($I532,CONFIGURACOES!$B$37:$B$300,0)),"")</f>
        <v/>
      </c>
      <c r="T532" s="22">
        <f>IF(OR($R532="",$S532=""),"",$R532*$S532)</f>
        <v/>
      </c>
      <c r="U532" s="20" t="n"/>
      <c r="V532" s="20" t="n"/>
      <c r="W532" s="20" t="n"/>
      <c r="X532">
        <f>IF($A532="","",$A532&amp;"|"&amp;$C532&amp;"|"&amp;$I532)</f>
        <v/>
      </c>
      <c r="Y532">
        <f>IF(AND($A532=RELATORIO_MEDICAO!$C$5,$C532=RELATORIO_MEDICAO!$F$5,$A532&lt;&gt;""),COUNTIFS($A$3:$A532,RELATORIO_MEDICAO!$C$5,$C$3:$C532,RELATORIO_MEDICAO!$F$5),"")</f>
        <v/>
      </c>
      <c r="Z532">
        <f>IF(OR($A532="",PESQUISA!$C$4=""),0,IF(OR(ISNUMBER(SEARCH(PESQUISA!$C$4,$G532)),ISNUMBER(SEARCH(PESQUISA!$C$4,$K532)),ISNUMBER(SEARCH(PESQUISA!$C$4,$L532))),1,0))</f>
        <v/>
      </c>
      <c r="AA532">
        <f>IF($Z532=1,SUM($Z$3:$Z532),"")</f>
        <v/>
      </c>
      <c r="AB532">
        <f>IF(OR($A532="",PESQUISA!$C$50=""),0,IF(ISNUMBER(SEARCH(PESQUISA!$C$50,$I532)),1,0))</f>
        <v/>
      </c>
      <c r="AC532">
        <f>IF($AB532=1,SUM($AB$3:$AB532),"")</f>
        <v/>
      </c>
    </row>
    <row r="533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>
        <f>IFERROR(INDEX(CONFIGURACOES!$G$37:$G$300,MATCH($I533,CONFIGURACOES!$B$37:$B$300,0)),"")</f>
        <v/>
      </c>
      <c r="K533" s="20">
        <f>IFERROR(INDEX(CONFIGURACOES!$H$37:$H$300,MATCH($I533,CONFIGURACOES!$B$37:$B$300,0)),"")</f>
        <v/>
      </c>
      <c r="L533" s="20" t="n"/>
      <c r="M533" s="20">
        <f>IFERROR(INDEX(CONFIGURACOES!$I$37:$I$300,MATCH($I533,CONFIGURACOES!$B$37:$B$300,0)),"")</f>
        <v/>
      </c>
      <c r="N533" s="21" t="n"/>
      <c r="O533" s="21" t="n"/>
      <c r="P533" s="21" t="n"/>
      <c r="Q533" s="21" t="n"/>
      <c r="R533" s="21">
        <f>IF($N533="","",$N533*IF($Q533="",1,$Q533)*IF($P533="",1,$P533)*IF($O533="",1,$O533))</f>
        <v/>
      </c>
      <c r="S533" s="22">
        <f>IFERROR(INDEX(CONFIGURACOES!$J$37:$J$300,MATCH($I533,CONFIGURACOES!$B$37:$B$300,0)),"")</f>
        <v/>
      </c>
      <c r="T533" s="22">
        <f>IF(OR($R533="",$S533=""),"",$R533*$S533)</f>
        <v/>
      </c>
      <c r="U533" s="20" t="n"/>
      <c r="V533" s="20" t="n"/>
      <c r="W533" s="20" t="n"/>
      <c r="X533">
        <f>IF($A533="","",$A533&amp;"|"&amp;$C533&amp;"|"&amp;$I533)</f>
        <v/>
      </c>
      <c r="Y533">
        <f>IF(AND($A533=RELATORIO_MEDICAO!$C$5,$C533=RELATORIO_MEDICAO!$F$5,$A533&lt;&gt;""),COUNTIFS($A$3:$A533,RELATORIO_MEDICAO!$C$5,$C$3:$C533,RELATORIO_MEDICAO!$F$5),"")</f>
        <v/>
      </c>
      <c r="Z533">
        <f>IF(OR($A533="",PESQUISA!$C$4=""),0,IF(OR(ISNUMBER(SEARCH(PESQUISA!$C$4,$G533)),ISNUMBER(SEARCH(PESQUISA!$C$4,$K533)),ISNUMBER(SEARCH(PESQUISA!$C$4,$L533))),1,0))</f>
        <v/>
      </c>
      <c r="AA533">
        <f>IF($Z533=1,SUM($Z$3:$Z533),"")</f>
        <v/>
      </c>
      <c r="AB533">
        <f>IF(OR($A533="",PESQUISA!$C$50=""),0,IF(ISNUMBER(SEARCH(PESQUISA!$C$50,$I533)),1,0))</f>
        <v/>
      </c>
      <c r="AC533">
        <f>IF($AB533=1,SUM($AB$3:$AB533),"")</f>
        <v/>
      </c>
    </row>
    <row r="534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>
        <f>IFERROR(INDEX(CONFIGURACOES!$G$37:$G$300,MATCH($I534,CONFIGURACOES!$B$37:$B$300,0)),"")</f>
        <v/>
      </c>
      <c r="K534" s="20">
        <f>IFERROR(INDEX(CONFIGURACOES!$H$37:$H$300,MATCH($I534,CONFIGURACOES!$B$37:$B$300,0)),"")</f>
        <v/>
      </c>
      <c r="L534" s="20" t="n"/>
      <c r="M534" s="20">
        <f>IFERROR(INDEX(CONFIGURACOES!$I$37:$I$300,MATCH($I534,CONFIGURACOES!$B$37:$B$300,0)),"")</f>
        <v/>
      </c>
      <c r="N534" s="21" t="n"/>
      <c r="O534" s="21" t="n"/>
      <c r="P534" s="21" t="n"/>
      <c r="Q534" s="21" t="n"/>
      <c r="R534" s="21">
        <f>IF($N534="","",$N534*IF($Q534="",1,$Q534)*IF($P534="",1,$P534)*IF($O534="",1,$O534))</f>
        <v/>
      </c>
      <c r="S534" s="22">
        <f>IFERROR(INDEX(CONFIGURACOES!$J$37:$J$300,MATCH($I534,CONFIGURACOES!$B$37:$B$300,0)),"")</f>
        <v/>
      </c>
      <c r="T534" s="22">
        <f>IF(OR($R534="",$S534=""),"",$R534*$S534)</f>
        <v/>
      </c>
      <c r="U534" s="20" t="n"/>
      <c r="V534" s="20" t="n"/>
      <c r="W534" s="20" t="n"/>
      <c r="X534">
        <f>IF($A534="","",$A534&amp;"|"&amp;$C534&amp;"|"&amp;$I534)</f>
        <v/>
      </c>
      <c r="Y534">
        <f>IF(AND($A534=RELATORIO_MEDICAO!$C$5,$C534=RELATORIO_MEDICAO!$F$5,$A534&lt;&gt;""),COUNTIFS($A$3:$A534,RELATORIO_MEDICAO!$C$5,$C$3:$C534,RELATORIO_MEDICAO!$F$5),"")</f>
        <v/>
      </c>
      <c r="Z534">
        <f>IF(OR($A534="",PESQUISA!$C$4=""),0,IF(OR(ISNUMBER(SEARCH(PESQUISA!$C$4,$G534)),ISNUMBER(SEARCH(PESQUISA!$C$4,$K534)),ISNUMBER(SEARCH(PESQUISA!$C$4,$L534))),1,0))</f>
        <v/>
      </c>
      <c r="AA534">
        <f>IF($Z534=1,SUM($Z$3:$Z534),"")</f>
        <v/>
      </c>
      <c r="AB534">
        <f>IF(OR($A534="",PESQUISA!$C$50=""),0,IF(ISNUMBER(SEARCH(PESQUISA!$C$50,$I534)),1,0))</f>
        <v/>
      </c>
      <c r="AC534">
        <f>IF($AB534=1,SUM($AB$3:$AB534),"")</f>
        <v/>
      </c>
    </row>
    <row r="535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>
        <f>IFERROR(INDEX(CONFIGURACOES!$G$37:$G$300,MATCH($I535,CONFIGURACOES!$B$37:$B$300,0)),"")</f>
        <v/>
      </c>
      <c r="K535" s="20">
        <f>IFERROR(INDEX(CONFIGURACOES!$H$37:$H$300,MATCH($I535,CONFIGURACOES!$B$37:$B$300,0)),"")</f>
        <v/>
      </c>
      <c r="L535" s="20" t="n"/>
      <c r="M535" s="20">
        <f>IFERROR(INDEX(CONFIGURACOES!$I$37:$I$300,MATCH($I535,CONFIGURACOES!$B$37:$B$300,0)),"")</f>
        <v/>
      </c>
      <c r="N535" s="21" t="n"/>
      <c r="O535" s="21" t="n"/>
      <c r="P535" s="21" t="n"/>
      <c r="Q535" s="21" t="n"/>
      <c r="R535" s="21">
        <f>IF($N535="","",$N535*IF($Q535="",1,$Q535)*IF($P535="",1,$P535)*IF($O535="",1,$O535))</f>
        <v/>
      </c>
      <c r="S535" s="22">
        <f>IFERROR(INDEX(CONFIGURACOES!$J$37:$J$300,MATCH($I535,CONFIGURACOES!$B$37:$B$300,0)),"")</f>
        <v/>
      </c>
      <c r="T535" s="22">
        <f>IF(OR($R535="",$S535=""),"",$R535*$S535)</f>
        <v/>
      </c>
      <c r="U535" s="20" t="n"/>
      <c r="V535" s="20" t="n"/>
      <c r="W535" s="20" t="n"/>
      <c r="X535">
        <f>IF($A535="","",$A535&amp;"|"&amp;$C535&amp;"|"&amp;$I535)</f>
        <v/>
      </c>
      <c r="Y535">
        <f>IF(AND($A535=RELATORIO_MEDICAO!$C$5,$C535=RELATORIO_MEDICAO!$F$5,$A535&lt;&gt;""),COUNTIFS($A$3:$A535,RELATORIO_MEDICAO!$C$5,$C$3:$C535,RELATORIO_MEDICAO!$F$5),"")</f>
        <v/>
      </c>
      <c r="Z535">
        <f>IF(OR($A535="",PESQUISA!$C$4=""),0,IF(OR(ISNUMBER(SEARCH(PESQUISA!$C$4,$G535)),ISNUMBER(SEARCH(PESQUISA!$C$4,$K535)),ISNUMBER(SEARCH(PESQUISA!$C$4,$L535))),1,0))</f>
        <v/>
      </c>
      <c r="AA535">
        <f>IF($Z535=1,SUM($Z$3:$Z535),"")</f>
        <v/>
      </c>
      <c r="AB535">
        <f>IF(OR($A535="",PESQUISA!$C$50=""),0,IF(ISNUMBER(SEARCH(PESQUISA!$C$50,$I535)),1,0))</f>
        <v/>
      </c>
      <c r="AC535">
        <f>IF($AB535=1,SUM($AB$3:$AB535),"")</f>
        <v/>
      </c>
    </row>
    <row r="536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>
        <f>IFERROR(INDEX(CONFIGURACOES!$G$37:$G$300,MATCH($I536,CONFIGURACOES!$B$37:$B$300,0)),"")</f>
        <v/>
      </c>
      <c r="K536" s="20">
        <f>IFERROR(INDEX(CONFIGURACOES!$H$37:$H$300,MATCH($I536,CONFIGURACOES!$B$37:$B$300,0)),"")</f>
        <v/>
      </c>
      <c r="L536" s="20" t="n"/>
      <c r="M536" s="20">
        <f>IFERROR(INDEX(CONFIGURACOES!$I$37:$I$300,MATCH($I536,CONFIGURACOES!$B$37:$B$300,0)),"")</f>
        <v/>
      </c>
      <c r="N536" s="21" t="n"/>
      <c r="O536" s="21" t="n"/>
      <c r="P536" s="21" t="n"/>
      <c r="Q536" s="21" t="n"/>
      <c r="R536" s="21">
        <f>IF($N536="","",$N536*IF($Q536="",1,$Q536)*IF($P536="",1,$P536)*IF($O536="",1,$O536))</f>
        <v/>
      </c>
      <c r="S536" s="22">
        <f>IFERROR(INDEX(CONFIGURACOES!$J$37:$J$300,MATCH($I536,CONFIGURACOES!$B$37:$B$300,0)),"")</f>
        <v/>
      </c>
      <c r="T536" s="22">
        <f>IF(OR($R536="",$S536=""),"",$R536*$S536)</f>
        <v/>
      </c>
      <c r="U536" s="20" t="n"/>
      <c r="V536" s="20" t="n"/>
      <c r="W536" s="20" t="n"/>
      <c r="X536">
        <f>IF($A536="","",$A536&amp;"|"&amp;$C536&amp;"|"&amp;$I536)</f>
        <v/>
      </c>
      <c r="Y536">
        <f>IF(AND($A536=RELATORIO_MEDICAO!$C$5,$C536=RELATORIO_MEDICAO!$F$5,$A536&lt;&gt;""),COUNTIFS($A$3:$A536,RELATORIO_MEDICAO!$C$5,$C$3:$C536,RELATORIO_MEDICAO!$F$5),"")</f>
        <v/>
      </c>
      <c r="Z536">
        <f>IF(OR($A536="",PESQUISA!$C$4=""),0,IF(OR(ISNUMBER(SEARCH(PESQUISA!$C$4,$G536)),ISNUMBER(SEARCH(PESQUISA!$C$4,$K536)),ISNUMBER(SEARCH(PESQUISA!$C$4,$L536))),1,0))</f>
        <v/>
      </c>
      <c r="AA536">
        <f>IF($Z536=1,SUM($Z$3:$Z536),"")</f>
        <v/>
      </c>
      <c r="AB536">
        <f>IF(OR($A536="",PESQUISA!$C$50=""),0,IF(ISNUMBER(SEARCH(PESQUISA!$C$50,$I536)),1,0))</f>
        <v/>
      </c>
      <c r="AC536">
        <f>IF($AB536=1,SUM($AB$3:$AB536),"")</f>
        <v/>
      </c>
    </row>
    <row r="537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>
        <f>IFERROR(INDEX(CONFIGURACOES!$G$37:$G$300,MATCH($I537,CONFIGURACOES!$B$37:$B$300,0)),"")</f>
        <v/>
      </c>
      <c r="K537" s="20">
        <f>IFERROR(INDEX(CONFIGURACOES!$H$37:$H$300,MATCH($I537,CONFIGURACOES!$B$37:$B$300,0)),"")</f>
        <v/>
      </c>
      <c r="L537" s="20" t="n"/>
      <c r="M537" s="20">
        <f>IFERROR(INDEX(CONFIGURACOES!$I$37:$I$300,MATCH($I537,CONFIGURACOES!$B$37:$B$300,0)),"")</f>
        <v/>
      </c>
      <c r="N537" s="21" t="n"/>
      <c r="O537" s="21" t="n"/>
      <c r="P537" s="21" t="n"/>
      <c r="Q537" s="21" t="n"/>
      <c r="R537" s="21">
        <f>IF($N537="","",$N537*IF($Q537="",1,$Q537)*IF($P537="",1,$P537)*IF($O537="",1,$O537))</f>
        <v/>
      </c>
      <c r="S537" s="22">
        <f>IFERROR(INDEX(CONFIGURACOES!$J$37:$J$300,MATCH($I537,CONFIGURACOES!$B$37:$B$300,0)),"")</f>
        <v/>
      </c>
      <c r="T537" s="22">
        <f>IF(OR($R537="",$S537=""),"",$R537*$S537)</f>
        <v/>
      </c>
      <c r="U537" s="20" t="n"/>
      <c r="V537" s="20" t="n"/>
      <c r="W537" s="20" t="n"/>
      <c r="X537">
        <f>IF($A537="","",$A537&amp;"|"&amp;$C537&amp;"|"&amp;$I537)</f>
        <v/>
      </c>
      <c r="Y537">
        <f>IF(AND($A537=RELATORIO_MEDICAO!$C$5,$C537=RELATORIO_MEDICAO!$F$5,$A537&lt;&gt;""),COUNTIFS($A$3:$A537,RELATORIO_MEDICAO!$C$5,$C$3:$C537,RELATORIO_MEDICAO!$F$5),"")</f>
        <v/>
      </c>
      <c r="Z537">
        <f>IF(OR($A537="",PESQUISA!$C$4=""),0,IF(OR(ISNUMBER(SEARCH(PESQUISA!$C$4,$G537)),ISNUMBER(SEARCH(PESQUISA!$C$4,$K537)),ISNUMBER(SEARCH(PESQUISA!$C$4,$L537))),1,0))</f>
        <v/>
      </c>
      <c r="AA537">
        <f>IF($Z537=1,SUM($Z$3:$Z537),"")</f>
        <v/>
      </c>
      <c r="AB537">
        <f>IF(OR($A537="",PESQUISA!$C$50=""),0,IF(ISNUMBER(SEARCH(PESQUISA!$C$50,$I537)),1,0))</f>
        <v/>
      </c>
      <c r="AC537">
        <f>IF($AB537=1,SUM($AB$3:$AB537),"")</f>
        <v/>
      </c>
    </row>
    <row r="538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>
        <f>IFERROR(INDEX(CONFIGURACOES!$G$37:$G$300,MATCH($I538,CONFIGURACOES!$B$37:$B$300,0)),"")</f>
        <v/>
      </c>
      <c r="K538" s="20">
        <f>IFERROR(INDEX(CONFIGURACOES!$H$37:$H$300,MATCH($I538,CONFIGURACOES!$B$37:$B$300,0)),"")</f>
        <v/>
      </c>
      <c r="L538" s="20" t="n"/>
      <c r="M538" s="20">
        <f>IFERROR(INDEX(CONFIGURACOES!$I$37:$I$300,MATCH($I538,CONFIGURACOES!$B$37:$B$300,0)),"")</f>
        <v/>
      </c>
      <c r="N538" s="21" t="n"/>
      <c r="O538" s="21" t="n"/>
      <c r="P538" s="21" t="n"/>
      <c r="Q538" s="21" t="n"/>
      <c r="R538" s="21">
        <f>IF($N538="","",$N538*IF($Q538="",1,$Q538)*IF($P538="",1,$P538)*IF($O538="",1,$O538))</f>
        <v/>
      </c>
      <c r="S538" s="22">
        <f>IFERROR(INDEX(CONFIGURACOES!$J$37:$J$300,MATCH($I538,CONFIGURACOES!$B$37:$B$300,0)),"")</f>
        <v/>
      </c>
      <c r="T538" s="22">
        <f>IF(OR($R538="",$S538=""),"",$R538*$S538)</f>
        <v/>
      </c>
      <c r="U538" s="20" t="n"/>
      <c r="V538" s="20" t="n"/>
      <c r="W538" s="20" t="n"/>
      <c r="X538">
        <f>IF($A538="","",$A538&amp;"|"&amp;$C538&amp;"|"&amp;$I538)</f>
        <v/>
      </c>
      <c r="Y538">
        <f>IF(AND($A538=RELATORIO_MEDICAO!$C$5,$C538=RELATORIO_MEDICAO!$F$5,$A538&lt;&gt;""),COUNTIFS($A$3:$A538,RELATORIO_MEDICAO!$C$5,$C$3:$C538,RELATORIO_MEDICAO!$F$5),"")</f>
        <v/>
      </c>
      <c r="Z538">
        <f>IF(OR($A538="",PESQUISA!$C$4=""),0,IF(OR(ISNUMBER(SEARCH(PESQUISA!$C$4,$G538)),ISNUMBER(SEARCH(PESQUISA!$C$4,$K538)),ISNUMBER(SEARCH(PESQUISA!$C$4,$L538))),1,0))</f>
        <v/>
      </c>
      <c r="AA538">
        <f>IF($Z538=1,SUM($Z$3:$Z538),"")</f>
        <v/>
      </c>
      <c r="AB538">
        <f>IF(OR($A538="",PESQUISA!$C$50=""),0,IF(ISNUMBER(SEARCH(PESQUISA!$C$50,$I538)),1,0))</f>
        <v/>
      </c>
      <c r="AC538">
        <f>IF($AB538=1,SUM($AB$3:$AB538),"")</f>
        <v/>
      </c>
    </row>
    <row r="539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>
        <f>IFERROR(INDEX(CONFIGURACOES!$G$37:$G$300,MATCH($I539,CONFIGURACOES!$B$37:$B$300,0)),"")</f>
        <v/>
      </c>
      <c r="K539" s="20">
        <f>IFERROR(INDEX(CONFIGURACOES!$H$37:$H$300,MATCH($I539,CONFIGURACOES!$B$37:$B$300,0)),"")</f>
        <v/>
      </c>
      <c r="L539" s="20" t="n"/>
      <c r="M539" s="20">
        <f>IFERROR(INDEX(CONFIGURACOES!$I$37:$I$300,MATCH($I539,CONFIGURACOES!$B$37:$B$300,0)),"")</f>
        <v/>
      </c>
      <c r="N539" s="21" t="n"/>
      <c r="O539" s="21" t="n"/>
      <c r="P539" s="21" t="n"/>
      <c r="Q539" s="21" t="n"/>
      <c r="R539" s="21">
        <f>IF($N539="","",$N539*IF($Q539="",1,$Q539)*IF($P539="",1,$P539)*IF($O539="",1,$O539))</f>
        <v/>
      </c>
      <c r="S539" s="22">
        <f>IFERROR(INDEX(CONFIGURACOES!$J$37:$J$300,MATCH($I539,CONFIGURACOES!$B$37:$B$300,0)),"")</f>
        <v/>
      </c>
      <c r="T539" s="22">
        <f>IF(OR($R539="",$S539=""),"",$R539*$S539)</f>
        <v/>
      </c>
      <c r="U539" s="20" t="n"/>
      <c r="V539" s="20" t="n"/>
      <c r="W539" s="20" t="n"/>
      <c r="X539">
        <f>IF($A539="","",$A539&amp;"|"&amp;$C539&amp;"|"&amp;$I539)</f>
        <v/>
      </c>
      <c r="Y539">
        <f>IF(AND($A539=RELATORIO_MEDICAO!$C$5,$C539=RELATORIO_MEDICAO!$F$5,$A539&lt;&gt;""),COUNTIFS($A$3:$A539,RELATORIO_MEDICAO!$C$5,$C$3:$C539,RELATORIO_MEDICAO!$F$5),"")</f>
        <v/>
      </c>
      <c r="Z539">
        <f>IF(OR($A539="",PESQUISA!$C$4=""),0,IF(OR(ISNUMBER(SEARCH(PESQUISA!$C$4,$G539)),ISNUMBER(SEARCH(PESQUISA!$C$4,$K539)),ISNUMBER(SEARCH(PESQUISA!$C$4,$L539))),1,0))</f>
        <v/>
      </c>
      <c r="AA539">
        <f>IF($Z539=1,SUM($Z$3:$Z539),"")</f>
        <v/>
      </c>
      <c r="AB539">
        <f>IF(OR($A539="",PESQUISA!$C$50=""),0,IF(ISNUMBER(SEARCH(PESQUISA!$C$50,$I539)),1,0))</f>
        <v/>
      </c>
      <c r="AC539">
        <f>IF($AB539=1,SUM($AB$3:$AB539),"")</f>
        <v/>
      </c>
    </row>
    <row r="540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>
        <f>IFERROR(INDEX(CONFIGURACOES!$G$37:$G$300,MATCH($I540,CONFIGURACOES!$B$37:$B$300,0)),"")</f>
        <v/>
      </c>
      <c r="K540" s="20">
        <f>IFERROR(INDEX(CONFIGURACOES!$H$37:$H$300,MATCH($I540,CONFIGURACOES!$B$37:$B$300,0)),"")</f>
        <v/>
      </c>
      <c r="L540" s="20" t="n"/>
      <c r="M540" s="20">
        <f>IFERROR(INDEX(CONFIGURACOES!$I$37:$I$300,MATCH($I540,CONFIGURACOES!$B$37:$B$300,0)),"")</f>
        <v/>
      </c>
      <c r="N540" s="21" t="n"/>
      <c r="O540" s="21" t="n"/>
      <c r="P540" s="21" t="n"/>
      <c r="Q540" s="21" t="n"/>
      <c r="R540" s="21">
        <f>IF($N540="","",$N540*IF($Q540="",1,$Q540)*IF($P540="",1,$P540)*IF($O540="",1,$O540))</f>
        <v/>
      </c>
      <c r="S540" s="22">
        <f>IFERROR(INDEX(CONFIGURACOES!$J$37:$J$300,MATCH($I540,CONFIGURACOES!$B$37:$B$300,0)),"")</f>
        <v/>
      </c>
      <c r="T540" s="22">
        <f>IF(OR($R540="",$S540=""),"",$R540*$S540)</f>
        <v/>
      </c>
      <c r="U540" s="20" t="n"/>
      <c r="V540" s="20" t="n"/>
      <c r="W540" s="20" t="n"/>
      <c r="X540">
        <f>IF($A540="","",$A540&amp;"|"&amp;$C540&amp;"|"&amp;$I540)</f>
        <v/>
      </c>
      <c r="Y540">
        <f>IF(AND($A540=RELATORIO_MEDICAO!$C$5,$C540=RELATORIO_MEDICAO!$F$5,$A540&lt;&gt;""),COUNTIFS($A$3:$A540,RELATORIO_MEDICAO!$C$5,$C$3:$C540,RELATORIO_MEDICAO!$F$5),"")</f>
        <v/>
      </c>
      <c r="Z540">
        <f>IF(OR($A540="",PESQUISA!$C$4=""),0,IF(OR(ISNUMBER(SEARCH(PESQUISA!$C$4,$G540)),ISNUMBER(SEARCH(PESQUISA!$C$4,$K540)),ISNUMBER(SEARCH(PESQUISA!$C$4,$L540))),1,0))</f>
        <v/>
      </c>
      <c r="AA540">
        <f>IF($Z540=1,SUM($Z$3:$Z540),"")</f>
        <v/>
      </c>
      <c r="AB540">
        <f>IF(OR($A540="",PESQUISA!$C$50=""),0,IF(ISNUMBER(SEARCH(PESQUISA!$C$50,$I540)),1,0))</f>
        <v/>
      </c>
      <c r="AC540">
        <f>IF($AB540=1,SUM($AB$3:$AB540),"")</f>
        <v/>
      </c>
    </row>
    <row r="541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>
        <f>IFERROR(INDEX(CONFIGURACOES!$G$37:$G$300,MATCH($I541,CONFIGURACOES!$B$37:$B$300,0)),"")</f>
        <v/>
      </c>
      <c r="K541" s="20">
        <f>IFERROR(INDEX(CONFIGURACOES!$H$37:$H$300,MATCH($I541,CONFIGURACOES!$B$37:$B$300,0)),"")</f>
        <v/>
      </c>
      <c r="L541" s="20" t="n"/>
      <c r="M541" s="20">
        <f>IFERROR(INDEX(CONFIGURACOES!$I$37:$I$300,MATCH($I541,CONFIGURACOES!$B$37:$B$300,0)),"")</f>
        <v/>
      </c>
      <c r="N541" s="21" t="n"/>
      <c r="O541" s="21" t="n"/>
      <c r="P541" s="21" t="n"/>
      <c r="Q541" s="21" t="n"/>
      <c r="R541" s="21">
        <f>IF($N541="","",$N541*IF($Q541="",1,$Q541)*IF($P541="",1,$P541)*IF($O541="",1,$O541))</f>
        <v/>
      </c>
      <c r="S541" s="22">
        <f>IFERROR(INDEX(CONFIGURACOES!$J$37:$J$300,MATCH($I541,CONFIGURACOES!$B$37:$B$300,0)),"")</f>
        <v/>
      </c>
      <c r="T541" s="22">
        <f>IF(OR($R541="",$S541=""),"",$R541*$S541)</f>
        <v/>
      </c>
      <c r="U541" s="20" t="n"/>
      <c r="V541" s="20" t="n"/>
      <c r="W541" s="20" t="n"/>
      <c r="X541">
        <f>IF($A541="","",$A541&amp;"|"&amp;$C541&amp;"|"&amp;$I541)</f>
        <v/>
      </c>
      <c r="Y541">
        <f>IF(AND($A541=RELATORIO_MEDICAO!$C$5,$C541=RELATORIO_MEDICAO!$F$5,$A541&lt;&gt;""),COUNTIFS($A$3:$A541,RELATORIO_MEDICAO!$C$5,$C$3:$C541,RELATORIO_MEDICAO!$F$5),"")</f>
        <v/>
      </c>
      <c r="Z541">
        <f>IF(OR($A541="",PESQUISA!$C$4=""),0,IF(OR(ISNUMBER(SEARCH(PESQUISA!$C$4,$G541)),ISNUMBER(SEARCH(PESQUISA!$C$4,$K541)),ISNUMBER(SEARCH(PESQUISA!$C$4,$L541))),1,0))</f>
        <v/>
      </c>
      <c r="AA541">
        <f>IF($Z541=1,SUM($Z$3:$Z541),"")</f>
        <v/>
      </c>
      <c r="AB541">
        <f>IF(OR($A541="",PESQUISA!$C$50=""),0,IF(ISNUMBER(SEARCH(PESQUISA!$C$50,$I541)),1,0))</f>
        <v/>
      </c>
      <c r="AC541">
        <f>IF($AB541=1,SUM($AB$3:$AB541),"")</f>
        <v/>
      </c>
    </row>
    <row r="542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>
        <f>IFERROR(INDEX(CONFIGURACOES!$G$37:$G$300,MATCH($I542,CONFIGURACOES!$B$37:$B$300,0)),"")</f>
        <v/>
      </c>
      <c r="K542" s="20">
        <f>IFERROR(INDEX(CONFIGURACOES!$H$37:$H$300,MATCH($I542,CONFIGURACOES!$B$37:$B$300,0)),"")</f>
        <v/>
      </c>
      <c r="L542" s="20" t="n"/>
      <c r="M542" s="20">
        <f>IFERROR(INDEX(CONFIGURACOES!$I$37:$I$300,MATCH($I542,CONFIGURACOES!$B$37:$B$300,0)),"")</f>
        <v/>
      </c>
      <c r="N542" s="21" t="n"/>
      <c r="O542" s="21" t="n"/>
      <c r="P542" s="21" t="n"/>
      <c r="Q542" s="21" t="n"/>
      <c r="R542" s="21">
        <f>IF($N542="","",$N542*IF($Q542="",1,$Q542)*IF($P542="",1,$P542)*IF($O542="",1,$O542))</f>
        <v/>
      </c>
      <c r="S542" s="22">
        <f>IFERROR(INDEX(CONFIGURACOES!$J$37:$J$300,MATCH($I542,CONFIGURACOES!$B$37:$B$300,0)),"")</f>
        <v/>
      </c>
      <c r="T542" s="22">
        <f>IF(OR($R542="",$S542=""),"",$R542*$S542)</f>
        <v/>
      </c>
      <c r="U542" s="20" t="n"/>
      <c r="V542" s="20" t="n"/>
      <c r="W542" s="20" t="n"/>
      <c r="X542">
        <f>IF($A542="","",$A542&amp;"|"&amp;$C542&amp;"|"&amp;$I542)</f>
        <v/>
      </c>
      <c r="Y542">
        <f>IF(AND($A542=RELATORIO_MEDICAO!$C$5,$C542=RELATORIO_MEDICAO!$F$5,$A542&lt;&gt;""),COUNTIFS($A$3:$A542,RELATORIO_MEDICAO!$C$5,$C$3:$C542,RELATORIO_MEDICAO!$F$5),"")</f>
        <v/>
      </c>
      <c r="Z542">
        <f>IF(OR($A542="",PESQUISA!$C$4=""),0,IF(OR(ISNUMBER(SEARCH(PESQUISA!$C$4,$G542)),ISNUMBER(SEARCH(PESQUISA!$C$4,$K542)),ISNUMBER(SEARCH(PESQUISA!$C$4,$L542))),1,0))</f>
        <v/>
      </c>
      <c r="AA542">
        <f>IF($Z542=1,SUM($Z$3:$Z542),"")</f>
        <v/>
      </c>
      <c r="AB542">
        <f>IF(OR($A542="",PESQUISA!$C$50=""),0,IF(ISNUMBER(SEARCH(PESQUISA!$C$50,$I542)),1,0))</f>
        <v/>
      </c>
      <c r="AC542">
        <f>IF($AB542=1,SUM($AB$3:$AB542),"")</f>
        <v/>
      </c>
    </row>
    <row r="543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>
        <f>IFERROR(INDEX(CONFIGURACOES!$G$37:$G$300,MATCH($I543,CONFIGURACOES!$B$37:$B$300,0)),"")</f>
        <v/>
      </c>
      <c r="K543" s="20">
        <f>IFERROR(INDEX(CONFIGURACOES!$H$37:$H$300,MATCH($I543,CONFIGURACOES!$B$37:$B$300,0)),"")</f>
        <v/>
      </c>
      <c r="L543" s="20" t="n"/>
      <c r="M543" s="20">
        <f>IFERROR(INDEX(CONFIGURACOES!$I$37:$I$300,MATCH($I543,CONFIGURACOES!$B$37:$B$300,0)),"")</f>
        <v/>
      </c>
      <c r="N543" s="21" t="n"/>
      <c r="O543" s="21" t="n"/>
      <c r="P543" s="21" t="n"/>
      <c r="Q543" s="21" t="n"/>
      <c r="R543" s="21">
        <f>IF($N543="","",$N543*IF($Q543="",1,$Q543)*IF($P543="",1,$P543)*IF($O543="",1,$O543))</f>
        <v/>
      </c>
      <c r="S543" s="22">
        <f>IFERROR(INDEX(CONFIGURACOES!$J$37:$J$300,MATCH($I543,CONFIGURACOES!$B$37:$B$300,0)),"")</f>
        <v/>
      </c>
      <c r="T543" s="22">
        <f>IF(OR($R543="",$S543=""),"",$R543*$S543)</f>
        <v/>
      </c>
      <c r="U543" s="20" t="n"/>
      <c r="V543" s="20" t="n"/>
      <c r="W543" s="20" t="n"/>
      <c r="X543">
        <f>IF($A543="","",$A543&amp;"|"&amp;$C543&amp;"|"&amp;$I543)</f>
        <v/>
      </c>
      <c r="Y543">
        <f>IF(AND($A543=RELATORIO_MEDICAO!$C$5,$C543=RELATORIO_MEDICAO!$F$5,$A543&lt;&gt;""),COUNTIFS($A$3:$A543,RELATORIO_MEDICAO!$C$5,$C$3:$C543,RELATORIO_MEDICAO!$F$5),"")</f>
        <v/>
      </c>
      <c r="Z543">
        <f>IF(OR($A543="",PESQUISA!$C$4=""),0,IF(OR(ISNUMBER(SEARCH(PESQUISA!$C$4,$G543)),ISNUMBER(SEARCH(PESQUISA!$C$4,$K543)),ISNUMBER(SEARCH(PESQUISA!$C$4,$L543))),1,0))</f>
        <v/>
      </c>
      <c r="AA543">
        <f>IF($Z543=1,SUM($Z$3:$Z543),"")</f>
        <v/>
      </c>
      <c r="AB543">
        <f>IF(OR($A543="",PESQUISA!$C$50=""),0,IF(ISNUMBER(SEARCH(PESQUISA!$C$50,$I543)),1,0))</f>
        <v/>
      </c>
      <c r="AC543">
        <f>IF($AB543=1,SUM($AB$3:$AB543),"")</f>
        <v/>
      </c>
    </row>
    <row r="544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>
        <f>IFERROR(INDEX(CONFIGURACOES!$G$37:$G$300,MATCH($I544,CONFIGURACOES!$B$37:$B$300,0)),"")</f>
        <v/>
      </c>
      <c r="K544" s="20">
        <f>IFERROR(INDEX(CONFIGURACOES!$H$37:$H$300,MATCH($I544,CONFIGURACOES!$B$37:$B$300,0)),"")</f>
        <v/>
      </c>
      <c r="L544" s="20" t="n"/>
      <c r="M544" s="20">
        <f>IFERROR(INDEX(CONFIGURACOES!$I$37:$I$300,MATCH($I544,CONFIGURACOES!$B$37:$B$300,0)),"")</f>
        <v/>
      </c>
      <c r="N544" s="21" t="n"/>
      <c r="O544" s="21" t="n"/>
      <c r="P544" s="21" t="n"/>
      <c r="Q544" s="21" t="n"/>
      <c r="R544" s="21">
        <f>IF($N544="","",$N544*IF($Q544="",1,$Q544)*IF($P544="",1,$P544)*IF($O544="",1,$O544))</f>
        <v/>
      </c>
      <c r="S544" s="22">
        <f>IFERROR(INDEX(CONFIGURACOES!$J$37:$J$300,MATCH($I544,CONFIGURACOES!$B$37:$B$300,0)),"")</f>
        <v/>
      </c>
      <c r="T544" s="22">
        <f>IF(OR($R544="",$S544=""),"",$R544*$S544)</f>
        <v/>
      </c>
      <c r="U544" s="20" t="n"/>
      <c r="V544" s="20" t="n"/>
      <c r="W544" s="20" t="n"/>
      <c r="X544">
        <f>IF($A544="","",$A544&amp;"|"&amp;$C544&amp;"|"&amp;$I544)</f>
        <v/>
      </c>
      <c r="Y544">
        <f>IF(AND($A544=RELATORIO_MEDICAO!$C$5,$C544=RELATORIO_MEDICAO!$F$5,$A544&lt;&gt;""),COUNTIFS($A$3:$A544,RELATORIO_MEDICAO!$C$5,$C$3:$C544,RELATORIO_MEDICAO!$F$5),"")</f>
        <v/>
      </c>
      <c r="Z544">
        <f>IF(OR($A544="",PESQUISA!$C$4=""),0,IF(OR(ISNUMBER(SEARCH(PESQUISA!$C$4,$G544)),ISNUMBER(SEARCH(PESQUISA!$C$4,$K544)),ISNUMBER(SEARCH(PESQUISA!$C$4,$L544))),1,0))</f>
        <v/>
      </c>
      <c r="AA544">
        <f>IF($Z544=1,SUM($Z$3:$Z544),"")</f>
        <v/>
      </c>
      <c r="AB544">
        <f>IF(OR($A544="",PESQUISA!$C$50=""),0,IF(ISNUMBER(SEARCH(PESQUISA!$C$50,$I544)),1,0))</f>
        <v/>
      </c>
      <c r="AC544">
        <f>IF($AB544=1,SUM($AB$3:$AB544),"")</f>
        <v/>
      </c>
    </row>
    <row r="545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>
        <f>IFERROR(INDEX(CONFIGURACOES!$G$37:$G$300,MATCH($I545,CONFIGURACOES!$B$37:$B$300,0)),"")</f>
        <v/>
      </c>
      <c r="K545" s="20">
        <f>IFERROR(INDEX(CONFIGURACOES!$H$37:$H$300,MATCH($I545,CONFIGURACOES!$B$37:$B$300,0)),"")</f>
        <v/>
      </c>
      <c r="L545" s="20" t="n"/>
      <c r="M545" s="20">
        <f>IFERROR(INDEX(CONFIGURACOES!$I$37:$I$300,MATCH($I545,CONFIGURACOES!$B$37:$B$300,0)),"")</f>
        <v/>
      </c>
      <c r="N545" s="21" t="n"/>
      <c r="O545" s="21" t="n"/>
      <c r="P545" s="21" t="n"/>
      <c r="Q545" s="21" t="n"/>
      <c r="R545" s="21">
        <f>IF($N545="","",$N545*IF($Q545="",1,$Q545)*IF($P545="",1,$P545)*IF($O545="",1,$O545))</f>
        <v/>
      </c>
      <c r="S545" s="22">
        <f>IFERROR(INDEX(CONFIGURACOES!$J$37:$J$300,MATCH($I545,CONFIGURACOES!$B$37:$B$300,0)),"")</f>
        <v/>
      </c>
      <c r="T545" s="22">
        <f>IF(OR($R545="",$S545=""),"",$R545*$S545)</f>
        <v/>
      </c>
      <c r="U545" s="20" t="n"/>
      <c r="V545" s="20" t="n"/>
      <c r="W545" s="20" t="n"/>
      <c r="X545">
        <f>IF($A545="","",$A545&amp;"|"&amp;$C545&amp;"|"&amp;$I545)</f>
        <v/>
      </c>
      <c r="Y545">
        <f>IF(AND($A545=RELATORIO_MEDICAO!$C$5,$C545=RELATORIO_MEDICAO!$F$5,$A545&lt;&gt;""),COUNTIFS($A$3:$A545,RELATORIO_MEDICAO!$C$5,$C$3:$C545,RELATORIO_MEDICAO!$F$5),"")</f>
        <v/>
      </c>
      <c r="Z545">
        <f>IF(OR($A545="",PESQUISA!$C$4=""),0,IF(OR(ISNUMBER(SEARCH(PESQUISA!$C$4,$G545)),ISNUMBER(SEARCH(PESQUISA!$C$4,$K545)),ISNUMBER(SEARCH(PESQUISA!$C$4,$L545))),1,0))</f>
        <v/>
      </c>
      <c r="AA545">
        <f>IF($Z545=1,SUM($Z$3:$Z545),"")</f>
        <v/>
      </c>
      <c r="AB545">
        <f>IF(OR($A545="",PESQUISA!$C$50=""),0,IF(ISNUMBER(SEARCH(PESQUISA!$C$50,$I545)),1,0))</f>
        <v/>
      </c>
      <c r="AC545">
        <f>IF($AB545=1,SUM($AB$3:$AB545),"")</f>
        <v/>
      </c>
    </row>
    <row r="546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>
        <f>IFERROR(INDEX(CONFIGURACOES!$G$37:$G$300,MATCH($I546,CONFIGURACOES!$B$37:$B$300,0)),"")</f>
        <v/>
      </c>
      <c r="K546" s="20">
        <f>IFERROR(INDEX(CONFIGURACOES!$H$37:$H$300,MATCH($I546,CONFIGURACOES!$B$37:$B$300,0)),"")</f>
        <v/>
      </c>
      <c r="L546" s="20" t="n"/>
      <c r="M546" s="20">
        <f>IFERROR(INDEX(CONFIGURACOES!$I$37:$I$300,MATCH($I546,CONFIGURACOES!$B$37:$B$300,0)),"")</f>
        <v/>
      </c>
      <c r="N546" s="21" t="n"/>
      <c r="O546" s="21" t="n"/>
      <c r="P546" s="21" t="n"/>
      <c r="Q546" s="21" t="n"/>
      <c r="R546" s="21">
        <f>IF($N546="","",$N546*IF($Q546="",1,$Q546)*IF($P546="",1,$P546)*IF($O546="",1,$O546))</f>
        <v/>
      </c>
      <c r="S546" s="22">
        <f>IFERROR(INDEX(CONFIGURACOES!$J$37:$J$300,MATCH($I546,CONFIGURACOES!$B$37:$B$300,0)),"")</f>
        <v/>
      </c>
      <c r="T546" s="22">
        <f>IF(OR($R546="",$S546=""),"",$R546*$S546)</f>
        <v/>
      </c>
      <c r="U546" s="20" t="n"/>
      <c r="V546" s="20" t="n"/>
      <c r="W546" s="20" t="n"/>
      <c r="X546">
        <f>IF($A546="","",$A546&amp;"|"&amp;$C546&amp;"|"&amp;$I546)</f>
        <v/>
      </c>
      <c r="Y546">
        <f>IF(AND($A546=RELATORIO_MEDICAO!$C$5,$C546=RELATORIO_MEDICAO!$F$5,$A546&lt;&gt;""),COUNTIFS($A$3:$A546,RELATORIO_MEDICAO!$C$5,$C$3:$C546,RELATORIO_MEDICAO!$F$5),"")</f>
        <v/>
      </c>
      <c r="Z546">
        <f>IF(OR($A546="",PESQUISA!$C$4=""),0,IF(OR(ISNUMBER(SEARCH(PESQUISA!$C$4,$G546)),ISNUMBER(SEARCH(PESQUISA!$C$4,$K546)),ISNUMBER(SEARCH(PESQUISA!$C$4,$L546))),1,0))</f>
        <v/>
      </c>
      <c r="AA546">
        <f>IF($Z546=1,SUM($Z$3:$Z546),"")</f>
        <v/>
      </c>
      <c r="AB546">
        <f>IF(OR($A546="",PESQUISA!$C$50=""),0,IF(ISNUMBER(SEARCH(PESQUISA!$C$50,$I546)),1,0))</f>
        <v/>
      </c>
      <c r="AC546">
        <f>IF($AB546=1,SUM($AB$3:$AB546),"")</f>
        <v/>
      </c>
    </row>
    <row r="547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>
        <f>IFERROR(INDEX(CONFIGURACOES!$G$37:$G$300,MATCH($I547,CONFIGURACOES!$B$37:$B$300,0)),"")</f>
        <v/>
      </c>
      <c r="K547" s="20">
        <f>IFERROR(INDEX(CONFIGURACOES!$H$37:$H$300,MATCH($I547,CONFIGURACOES!$B$37:$B$300,0)),"")</f>
        <v/>
      </c>
      <c r="L547" s="20" t="n"/>
      <c r="M547" s="20">
        <f>IFERROR(INDEX(CONFIGURACOES!$I$37:$I$300,MATCH($I547,CONFIGURACOES!$B$37:$B$300,0)),"")</f>
        <v/>
      </c>
      <c r="N547" s="21" t="n"/>
      <c r="O547" s="21" t="n"/>
      <c r="P547" s="21" t="n"/>
      <c r="Q547" s="21" t="n"/>
      <c r="R547" s="21">
        <f>IF($N547="","",$N547*IF($Q547="",1,$Q547)*IF($P547="",1,$P547)*IF($O547="",1,$O547))</f>
        <v/>
      </c>
      <c r="S547" s="22">
        <f>IFERROR(INDEX(CONFIGURACOES!$J$37:$J$300,MATCH($I547,CONFIGURACOES!$B$37:$B$300,0)),"")</f>
        <v/>
      </c>
      <c r="T547" s="22">
        <f>IF(OR($R547="",$S547=""),"",$R547*$S547)</f>
        <v/>
      </c>
      <c r="U547" s="20" t="n"/>
      <c r="V547" s="20" t="n"/>
      <c r="W547" s="20" t="n"/>
      <c r="X547">
        <f>IF($A547="","",$A547&amp;"|"&amp;$C547&amp;"|"&amp;$I547)</f>
        <v/>
      </c>
      <c r="Y547">
        <f>IF(AND($A547=RELATORIO_MEDICAO!$C$5,$C547=RELATORIO_MEDICAO!$F$5,$A547&lt;&gt;""),COUNTIFS($A$3:$A547,RELATORIO_MEDICAO!$C$5,$C$3:$C547,RELATORIO_MEDICAO!$F$5),"")</f>
        <v/>
      </c>
      <c r="Z547">
        <f>IF(OR($A547="",PESQUISA!$C$4=""),0,IF(OR(ISNUMBER(SEARCH(PESQUISA!$C$4,$G547)),ISNUMBER(SEARCH(PESQUISA!$C$4,$K547)),ISNUMBER(SEARCH(PESQUISA!$C$4,$L547))),1,0))</f>
        <v/>
      </c>
      <c r="AA547">
        <f>IF($Z547=1,SUM($Z$3:$Z547),"")</f>
        <v/>
      </c>
      <c r="AB547">
        <f>IF(OR($A547="",PESQUISA!$C$50=""),0,IF(ISNUMBER(SEARCH(PESQUISA!$C$50,$I547)),1,0))</f>
        <v/>
      </c>
      <c r="AC547">
        <f>IF($AB547=1,SUM($AB$3:$AB547),"")</f>
        <v/>
      </c>
    </row>
    <row r="548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>
        <f>IFERROR(INDEX(CONFIGURACOES!$G$37:$G$300,MATCH($I548,CONFIGURACOES!$B$37:$B$300,0)),"")</f>
        <v/>
      </c>
      <c r="K548" s="20">
        <f>IFERROR(INDEX(CONFIGURACOES!$H$37:$H$300,MATCH($I548,CONFIGURACOES!$B$37:$B$300,0)),"")</f>
        <v/>
      </c>
      <c r="L548" s="20" t="n"/>
      <c r="M548" s="20">
        <f>IFERROR(INDEX(CONFIGURACOES!$I$37:$I$300,MATCH($I548,CONFIGURACOES!$B$37:$B$300,0)),"")</f>
        <v/>
      </c>
      <c r="N548" s="21" t="n"/>
      <c r="O548" s="21" t="n"/>
      <c r="P548" s="21" t="n"/>
      <c r="Q548" s="21" t="n"/>
      <c r="R548" s="21">
        <f>IF($N548="","",$N548*IF($Q548="",1,$Q548)*IF($P548="",1,$P548)*IF($O548="",1,$O548))</f>
        <v/>
      </c>
      <c r="S548" s="22">
        <f>IFERROR(INDEX(CONFIGURACOES!$J$37:$J$300,MATCH($I548,CONFIGURACOES!$B$37:$B$300,0)),"")</f>
        <v/>
      </c>
      <c r="T548" s="22">
        <f>IF(OR($R548="",$S548=""),"",$R548*$S548)</f>
        <v/>
      </c>
      <c r="U548" s="20" t="n"/>
      <c r="V548" s="20" t="n"/>
      <c r="W548" s="20" t="n"/>
      <c r="X548">
        <f>IF($A548="","",$A548&amp;"|"&amp;$C548&amp;"|"&amp;$I548)</f>
        <v/>
      </c>
      <c r="Y548">
        <f>IF(AND($A548=RELATORIO_MEDICAO!$C$5,$C548=RELATORIO_MEDICAO!$F$5,$A548&lt;&gt;""),COUNTIFS($A$3:$A548,RELATORIO_MEDICAO!$C$5,$C$3:$C548,RELATORIO_MEDICAO!$F$5),"")</f>
        <v/>
      </c>
      <c r="Z548">
        <f>IF(OR($A548="",PESQUISA!$C$4=""),0,IF(OR(ISNUMBER(SEARCH(PESQUISA!$C$4,$G548)),ISNUMBER(SEARCH(PESQUISA!$C$4,$K548)),ISNUMBER(SEARCH(PESQUISA!$C$4,$L548))),1,0))</f>
        <v/>
      </c>
      <c r="AA548">
        <f>IF($Z548=1,SUM($Z$3:$Z548),"")</f>
        <v/>
      </c>
      <c r="AB548">
        <f>IF(OR($A548="",PESQUISA!$C$50=""),0,IF(ISNUMBER(SEARCH(PESQUISA!$C$50,$I548)),1,0))</f>
        <v/>
      </c>
      <c r="AC548">
        <f>IF($AB548=1,SUM($AB$3:$AB548),"")</f>
        <v/>
      </c>
    </row>
    <row r="549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>
        <f>IFERROR(INDEX(CONFIGURACOES!$G$37:$G$300,MATCH($I549,CONFIGURACOES!$B$37:$B$300,0)),"")</f>
        <v/>
      </c>
      <c r="K549" s="20">
        <f>IFERROR(INDEX(CONFIGURACOES!$H$37:$H$300,MATCH($I549,CONFIGURACOES!$B$37:$B$300,0)),"")</f>
        <v/>
      </c>
      <c r="L549" s="20" t="n"/>
      <c r="M549" s="20">
        <f>IFERROR(INDEX(CONFIGURACOES!$I$37:$I$300,MATCH($I549,CONFIGURACOES!$B$37:$B$300,0)),"")</f>
        <v/>
      </c>
      <c r="N549" s="21" t="n"/>
      <c r="O549" s="21" t="n"/>
      <c r="P549" s="21" t="n"/>
      <c r="Q549" s="21" t="n"/>
      <c r="R549" s="21">
        <f>IF($N549="","",$N549*IF($Q549="",1,$Q549)*IF($P549="",1,$P549)*IF($O549="",1,$O549))</f>
        <v/>
      </c>
      <c r="S549" s="22">
        <f>IFERROR(INDEX(CONFIGURACOES!$J$37:$J$300,MATCH($I549,CONFIGURACOES!$B$37:$B$300,0)),"")</f>
        <v/>
      </c>
      <c r="T549" s="22">
        <f>IF(OR($R549="",$S549=""),"",$R549*$S549)</f>
        <v/>
      </c>
      <c r="U549" s="20" t="n"/>
      <c r="V549" s="20" t="n"/>
      <c r="W549" s="20" t="n"/>
      <c r="X549">
        <f>IF($A549="","",$A549&amp;"|"&amp;$C549&amp;"|"&amp;$I549)</f>
        <v/>
      </c>
      <c r="Y549">
        <f>IF(AND($A549=RELATORIO_MEDICAO!$C$5,$C549=RELATORIO_MEDICAO!$F$5,$A549&lt;&gt;""),COUNTIFS($A$3:$A549,RELATORIO_MEDICAO!$C$5,$C$3:$C549,RELATORIO_MEDICAO!$F$5),"")</f>
        <v/>
      </c>
      <c r="Z549">
        <f>IF(OR($A549="",PESQUISA!$C$4=""),0,IF(OR(ISNUMBER(SEARCH(PESQUISA!$C$4,$G549)),ISNUMBER(SEARCH(PESQUISA!$C$4,$K549)),ISNUMBER(SEARCH(PESQUISA!$C$4,$L549))),1,0))</f>
        <v/>
      </c>
      <c r="AA549">
        <f>IF($Z549=1,SUM($Z$3:$Z549),"")</f>
        <v/>
      </c>
      <c r="AB549">
        <f>IF(OR($A549="",PESQUISA!$C$50=""),0,IF(ISNUMBER(SEARCH(PESQUISA!$C$50,$I549)),1,0))</f>
        <v/>
      </c>
      <c r="AC549">
        <f>IF($AB549=1,SUM($AB$3:$AB549),"")</f>
        <v/>
      </c>
    </row>
    <row r="550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>
        <f>IFERROR(INDEX(CONFIGURACOES!$G$37:$G$300,MATCH($I550,CONFIGURACOES!$B$37:$B$300,0)),"")</f>
        <v/>
      </c>
      <c r="K550" s="20">
        <f>IFERROR(INDEX(CONFIGURACOES!$H$37:$H$300,MATCH($I550,CONFIGURACOES!$B$37:$B$300,0)),"")</f>
        <v/>
      </c>
      <c r="L550" s="20" t="n"/>
      <c r="M550" s="20">
        <f>IFERROR(INDEX(CONFIGURACOES!$I$37:$I$300,MATCH($I550,CONFIGURACOES!$B$37:$B$300,0)),"")</f>
        <v/>
      </c>
      <c r="N550" s="21" t="n"/>
      <c r="O550" s="21" t="n"/>
      <c r="P550" s="21" t="n"/>
      <c r="Q550" s="21" t="n"/>
      <c r="R550" s="21">
        <f>IF($N550="","",$N550*IF($Q550="",1,$Q550)*IF($P550="",1,$P550)*IF($O550="",1,$O550))</f>
        <v/>
      </c>
      <c r="S550" s="22">
        <f>IFERROR(INDEX(CONFIGURACOES!$J$37:$J$300,MATCH($I550,CONFIGURACOES!$B$37:$B$300,0)),"")</f>
        <v/>
      </c>
      <c r="T550" s="22">
        <f>IF(OR($R550="",$S550=""),"",$R550*$S550)</f>
        <v/>
      </c>
      <c r="U550" s="20" t="n"/>
      <c r="V550" s="20" t="n"/>
      <c r="W550" s="20" t="n"/>
      <c r="X550">
        <f>IF($A550="","",$A550&amp;"|"&amp;$C550&amp;"|"&amp;$I550)</f>
        <v/>
      </c>
      <c r="Y550">
        <f>IF(AND($A550=RELATORIO_MEDICAO!$C$5,$C550=RELATORIO_MEDICAO!$F$5,$A550&lt;&gt;""),COUNTIFS($A$3:$A550,RELATORIO_MEDICAO!$C$5,$C$3:$C550,RELATORIO_MEDICAO!$F$5),"")</f>
        <v/>
      </c>
      <c r="Z550">
        <f>IF(OR($A550="",PESQUISA!$C$4=""),0,IF(OR(ISNUMBER(SEARCH(PESQUISA!$C$4,$G550)),ISNUMBER(SEARCH(PESQUISA!$C$4,$K550)),ISNUMBER(SEARCH(PESQUISA!$C$4,$L550))),1,0))</f>
        <v/>
      </c>
      <c r="AA550">
        <f>IF($Z550=1,SUM($Z$3:$Z550),"")</f>
        <v/>
      </c>
      <c r="AB550">
        <f>IF(OR($A550="",PESQUISA!$C$50=""),0,IF(ISNUMBER(SEARCH(PESQUISA!$C$50,$I550)),1,0))</f>
        <v/>
      </c>
      <c r="AC550">
        <f>IF($AB550=1,SUM($AB$3:$AB550),"")</f>
        <v/>
      </c>
    </row>
    <row r="551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>
        <f>IFERROR(INDEX(CONFIGURACOES!$G$37:$G$300,MATCH($I551,CONFIGURACOES!$B$37:$B$300,0)),"")</f>
        <v/>
      </c>
      <c r="K551" s="20">
        <f>IFERROR(INDEX(CONFIGURACOES!$H$37:$H$300,MATCH($I551,CONFIGURACOES!$B$37:$B$300,0)),"")</f>
        <v/>
      </c>
      <c r="L551" s="20" t="n"/>
      <c r="M551" s="20">
        <f>IFERROR(INDEX(CONFIGURACOES!$I$37:$I$300,MATCH($I551,CONFIGURACOES!$B$37:$B$300,0)),"")</f>
        <v/>
      </c>
      <c r="N551" s="21" t="n"/>
      <c r="O551" s="21" t="n"/>
      <c r="P551" s="21" t="n"/>
      <c r="Q551" s="21" t="n"/>
      <c r="R551" s="21">
        <f>IF($N551="","",$N551*IF($Q551="",1,$Q551)*IF($P551="",1,$P551)*IF($O551="",1,$O551))</f>
        <v/>
      </c>
      <c r="S551" s="22">
        <f>IFERROR(INDEX(CONFIGURACOES!$J$37:$J$300,MATCH($I551,CONFIGURACOES!$B$37:$B$300,0)),"")</f>
        <v/>
      </c>
      <c r="T551" s="22">
        <f>IF(OR($R551="",$S551=""),"",$R551*$S551)</f>
        <v/>
      </c>
      <c r="U551" s="20" t="n"/>
      <c r="V551" s="20" t="n"/>
      <c r="W551" s="20" t="n"/>
      <c r="X551">
        <f>IF($A551="","",$A551&amp;"|"&amp;$C551&amp;"|"&amp;$I551)</f>
        <v/>
      </c>
      <c r="Y551">
        <f>IF(AND($A551=RELATORIO_MEDICAO!$C$5,$C551=RELATORIO_MEDICAO!$F$5,$A551&lt;&gt;""),COUNTIFS($A$3:$A551,RELATORIO_MEDICAO!$C$5,$C$3:$C551,RELATORIO_MEDICAO!$F$5),"")</f>
        <v/>
      </c>
      <c r="Z551">
        <f>IF(OR($A551="",PESQUISA!$C$4=""),0,IF(OR(ISNUMBER(SEARCH(PESQUISA!$C$4,$G551)),ISNUMBER(SEARCH(PESQUISA!$C$4,$K551)),ISNUMBER(SEARCH(PESQUISA!$C$4,$L551))),1,0))</f>
        <v/>
      </c>
      <c r="AA551">
        <f>IF($Z551=1,SUM($Z$3:$Z551),"")</f>
        <v/>
      </c>
      <c r="AB551">
        <f>IF(OR($A551="",PESQUISA!$C$50=""),0,IF(ISNUMBER(SEARCH(PESQUISA!$C$50,$I551)),1,0))</f>
        <v/>
      </c>
      <c r="AC551">
        <f>IF($AB551=1,SUM($AB$3:$AB551),"")</f>
        <v/>
      </c>
    </row>
    <row r="552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>
        <f>IFERROR(INDEX(CONFIGURACOES!$G$37:$G$300,MATCH($I552,CONFIGURACOES!$B$37:$B$300,0)),"")</f>
        <v/>
      </c>
      <c r="K552" s="20">
        <f>IFERROR(INDEX(CONFIGURACOES!$H$37:$H$300,MATCH($I552,CONFIGURACOES!$B$37:$B$300,0)),"")</f>
        <v/>
      </c>
      <c r="L552" s="20" t="n"/>
      <c r="M552" s="20">
        <f>IFERROR(INDEX(CONFIGURACOES!$I$37:$I$300,MATCH($I552,CONFIGURACOES!$B$37:$B$300,0)),"")</f>
        <v/>
      </c>
      <c r="N552" s="21" t="n"/>
      <c r="O552" s="21" t="n"/>
      <c r="P552" s="21" t="n"/>
      <c r="Q552" s="21" t="n"/>
      <c r="R552" s="21">
        <f>IF($N552="","",$N552*IF($Q552="",1,$Q552)*IF($P552="",1,$P552)*IF($O552="",1,$O552))</f>
        <v/>
      </c>
      <c r="S552" s="22">
        <f>IFERROR(INDEX(CONFIGURACOES!$J$37:$J$300,MATCH($I552,CONFIGURACOES!$B$37:$B$300,0)),"")</f>
        <v/>
      </c>
      <c r="T552" s="22">
        <f>IF(OR($R552="",$S552=""),"",$R552*$S552)</f>
        <v/>
      </c>
      <c r="U552" s="20" t="n"/>
      <c r="V552" s="20" t="n"/>
      <c r="W552" s="20" t="n"/>
      <c r="X552">
        <f>IF($A552="","",$A552&amp;"|"&amp;$C552&amp;"|"&amp;$I552)</f>
        <v/>
      </c>
      <c r="Y552">
        <f>IF(AND($A552=RELATORIO_MEDICAO!$C$5,$C552=RELATORIO_MEDICAO!$F$5,$A552&lt;&gt;""),COUNTIFS($A$3:$A552,RELATORIO_MEDICAO!$C$5,$C$3:$C552,RELATORIO_MEDICAO!$F$5),"")</f>
        <v/>
      </c>
      <c r="Z552">
        <f>IF(OR($A552="",PESQUISA!$C$4=""),0,IF(OR(ISNUMBER(SEARCH(PESQUISA!$C$4,$G552)),ISNUMBER(SEARCH(PESQUISA!$C$4,$K552)),ISNUMBER(SEARCH(PESQUISA!$C$4,$L552))),1,0))</f>
        <v/>
      </c>
      <c r="AA552">
        <f>IF($Z552=1,SUM($Z$3:$Z552),"")</f>
        <v/>
      </c>
      <c r="AB552">
        <f>IF(OR($A552="",PESQUISA!$C$50=""),0,IF(ISNUMBER(SEARCH(PESQUISA!$C$50,$I552)),1,0))</f>
        <v/>
      </c>
      <c r="AC552">
        <f>IF($AB552=1,SUM($AB$3:$AB552),"")</f>
        <v/>
      </c>
    </row>
    <row r="553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>
        <f>IFERROR(INDEX(CONFIGURACOES!$G$37:$G$300,MATCH($I553,CONFIGURACOES!$B$37:$B$300,0)),"")</f>
        <v/>
      </c>
      <c r="K553" s="20">
        <f>IFERROR(INDEX(CONFIGURACOES!$H$37:$H$300,MATCH($I553,CONFIGURACOES!$B$37:$B$300,0)),"")</f>
        <v/>
      </c>
      <c r="L553" s="20" t="n"/>
      <c r="M553" s="20">
        <f>IFERROR(INDEX(CONFIGURACOES!$I$37:$I$300,MATCH($I553,CONFIGURACOES!$B$37:$B$300,0)),"")</f>
        <v/>
      </c>
      <c r="N553" s="21" t="n"/>
      <c r="O553" s="21" t="n"/>
      <c r="P553" s="21" t="n"/>
      <c r="Q553" s="21" t="n"/>
      <c r="R553" s="21">
        <f>IF($N553="","",$N553*IF($Q553="",1,$Q553)*IF($P553="",1,$P553)*IF($O553="",1,$O553))</f>
        <v/>
      </c>
      <c r="S553" s="22">
        <f>IFERROR(INDEX(CONFIGURACOES!$J$37:$J$300,MATCH($I553,CONFIGURACOES!$B$37:$B$300,0)),"")</f>
        <v/>
      </c>
      <c r="T553" s="22">
        <f>IF(OR($R553="",$S553=""),"",$R553*$S553)</f>
        <v/>
      </c>
      <c r="U553" s="20" t="n"/>
      <c r="V553" s="20" t="n"/>
      <c r="W553" s="20" t="n"/>
      <c r="X553">
        <f>IF($A553="","",$A553&amp;"|"&amp;$C553&amp;"|"&amp;$I553)</f>
        <v/>
      </c>
      <c r="Y553">
        <f>IF(AND($A553=RELATORIO_MEDICAO!$C$5,$C553=RELATORIO_MEDICAO!$F$5,$A553&lt;&gt;""),COUNTIFS($A$3:$A553,RELATORIO_MEDICAO!$C$5,$C$3:$C553,RELATORIO_MEDICAO!$F$5),"")</f>
        <v/>
      </c>
      <c r="Z553">
        <f>IF(OR($A553="",PESQUISA!$C$4=""),0,IF(OR(ISNUMBER(SEARCH(PESQUISA!$C$4,$G553)),ISNUMBER(SEARCH(PESQUISA!$C$4,$K553)),ISNUMBER(SEARCH(PESQUISA!$C$4,$L553))),1,0))</f>
        <v/>
      </c>
      <c r="AA553">
        <f>IF($Z553=1,SUM($Z$3:$Z553),"")</f>
        <v/>
      </c>
      <c r="AB553">
        <f>IF(OR($A553="",PESQUISA!$C$50=""),0,IF(ISNUMBER(SEARCH(PESQUISA!$C$50,$I553)),1,0))</f>
        <v/>
      </c>
      <c r="AC553">
        <f>IF($AB553=1,SUM($AB$3:$AB553),"")</f>
        <v/>
      </c>
    </row>
    <row r="554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>
        <f>IFERROR(INDEX(CONFIGURACOES!$G$37:$G$300,MATCH($I554,CONFIGURACOES!$B$37:$B$300,0)),"")</f>
        <v/>
      </c>
      <c r="K554" s="20">
        <f>IFERROR(INDEX(CONFIGURACOES!$H$37:$H$300,MATCH($I554,CONFIGURACOES!$B$37:$B$300,0)),"")</f>
        <v/>
      </c>
      <c r="L554" s="20" t="n"/>
      <c r="M554" s="20">
        <f>IFERROR(INDEX(CONFIGURACOES!$I$37:$I$300,MATCH($I554,CONFIGURACOES!$B$37:$B$300,0)),"")</f>
        <v/>
      </c>
      <c r="N554" s="21" t="n"/>
      <c r="O554" s="21" t="n"/>
      <c r="P554" s="21" t="n"/>
      <c r="Q554" s="21" t="n"/>
      <c r="R554" s="21">
        <f>IF($N554="","",$N554*IF($Q554="",1,$Q554)*IF($P554="",1,$P554)*IF($O554="",1,$O554))</f>
        <v/>
      </c>
      <c r="S554" s="22">
        <f>IFERROR(INDEX(CONFIGURACOES!$J$37:$J$300,MATCH($I554,CONFIGURACOES!$B$37:$B$300,0)),"")</f>
        <v/>
      </c>
      <c r="T554" s="22">
        <f>IF(OR($R554="",$S554=""),"",$R554*$S554)</f>
        <v/>
      </c>
      <c r="U554" s="20" t="n"/>
      <c r="V554" s="20" t="n"/>
      <c r="W554" s="20" t="n"/>
      <c r="X554">
        <f>IF($A554="","",$A554&amp;"|"&amp;$C554&amp;"|"&amp;$I554)</f>
        <v/>
      </c>
      <c r="Y554">
        <f>IF(AND($A554=RELATORIO_MEDICAO!$C$5,$C554=RELATORIO_MEDICAO!$F$5,$A554&lt;&gt;""),COUNTIFS($A$3:$A554,RELATORIO_MEDICAO!$C$5,$C$3:$C554,RELATORIO_MEDICAO!$F$5),"")</f>
        <v/>
      </c>
      <c r="Z554">
        <f>IF(OR($A554="",PESQUISA!$C$4=""),0,IF(OR(ISNUMBER(SEARCH(PESQUISA!$C$4,$G554)),ISNUMBER(SEARCH(PESQUISA!$C$4,$K554)),ISNUMBER(SEARCH(PESQUISA!$C$4,$L554))),1,0))</f>
        <v/>
      </c>
      <c r="AA554">
        <f>IF($Z554=1,SUM($Z$3:$Z554),"")</f>
        <v/>
      </c>
      <c r="AB554">
        <f>IF(OR($A554="",PESQUISA!$C$50=""),0,IF(ISNUMBER(SEARCH(PESQUISA!$C$50,$I554)),1,0))</f>
        <v/>
      </c>
      <c r="AC554">
        <f>IF($AB554=1,SUM($AB$3:$AB554),"")</f>
        <v/>
      </c>
    </row>
    <row r="555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>
        <f>IFERROR(INDEX(CONFIGURACOES!$G$37:$G$300,MATCH($I555,CONFIGURACOES!$B$37:$B$300,0)),"")</f>
        <v/>
      </c>
      <c r="K555" s="20">
        <f>IFERROR(INDEX(CONFIGURACOES!$H$37:$H$300,MATCH($I555,CONFIGURACOES!$B$37:$B$300,0)),"")</f>
        <v/>
      </c>
      <c r="L555" s="20" t="n"/>
      <c r="M555" s="20">
        <f>IFERROR(INDEX(CONFIGURACOES!$I$37:$I$300,MATCH($I555,CONFIGURACOES!$B$37:$B$300,0)),"")</f>
        <v/>
      </c>
      <c r="N555" s="21" t="n"/>
      <c r="O555" s="21" t="n"/>
      <c r="P555" s="21" t="n"/>
      <c r="Q555" s="21" t="n"/>
      <c r="R555" s="21">
        <f>IF($N555="","",$N555*IF($Q555="",1,$Q555)*IF($P555="",1,$P555)*IF($O555="",1,$O555))</f>
        <v/>
      </c>
      <c r="S555" s="22">
        <f>IFERROR(INDEX(CONFIGURACOES!$J$37:$J$300,MATCH($I555,CONFIGURACOES!$B$37:$B$300,0)),"")</f>
        <v/>
      </c>
      <c r="T555" s="22">
        <f>IF(OR($R555="",$S555=""),"",$R555*$S555)</f>
        <v/>
      </c>
      <c r="U555" s="20" t="n"/>
      <c r="V555" s="20" t="n"/>
      <c r="W555" s="20" t="n"/>
      <c r="X555">
        <f>IF($A555="","",$A555&amp;"|"&amp;$C555&amp;"|"&amp;$I555)</f>
        <v/>
      </c>
      <c r="Y555">
        <f>IF(AND($A555=RELATORIO_MEDICAO!$C$5,$C555=RELATORIO_MEDICAO!$F$5,$A555&lt;&gt;""),COUNTIFS($A$3:$A555,RELATORIO_MEDICAO!$C$5,$C$3:$C555,RELATORIO_MEDICAO!$F$5),"")</f>
        <v/>
      </c>
      <c r="Z555">
        <f>IF(OR($A555="",PESQUISA!$C$4=""),0,IF(OR(ISNUMBER(SEARCH(PESQUISA!$C$4,$G555)),ISNUMBER(SEARCH(PESQUISA!$C$4,$K555)),ISNUMBER(SEARCH(PESQUISA!$C$4,$L555))),1,0))</f>
        <v/>
      </c>
      <c r="AA555">
        <f>IF($Z555=1,SUM($Z$3:$Z555),"")</f>
        <v/>
      </c>
      <c r="AB555">
        <f>IF(OR($A555="",PESQUISA!$C$50=""),0,IF(ISNUMBER(SEARCH(PESQUISA!$C$50,$I555)),1,0))</f>
        <v/>
      </c>
      <c r="AC555">
        <f>IF($AB555=1,SUM($AB$3:$AB555),"")</f>
        <v/>
      </c>
    </row>
    <row r="556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>
        <f>IFERROR(INDEX(CONFIGURACOES!$G$37:$G$300,MATCH($I556,CONFIGURACOES!$B$37:$B$300,0)),"")</f>
        <v/>
      </c>
      <c r="K556" s="20">
        <f>IFERROR(INDEX(CONFIGURACOES!$H$37:$H$300,MATCH($I556,CONFIGURACOES!$B$37:$B$300,0)),"")</f>
        <v/>
      </c>
      <c r="L556" s="20" t="n"/>
      <c r="M556" s="20">
        <f>IFERROR(INDEX(CONFIGURACOES!$I$37:$I$300,MATCH($I556,CONFIGURACOES!$B$37:$B$300,0)),"")</f>
        <v/>
      </c>
      <c r="N556" s="21" t="n"/>
      <c r="O556" s="21" t="n"/>
      <c r="P556" s="21" t="n"/>
      <c r="Q556" s="21" t="n"/>
      <c r="R556" s="21">
        <f>IF($N556="","",$N556*IF($Q556="",1,$Q556)*IF($P556="",1,$P556)*IF($O556="",1,$O556))</f>
        <v/>
      </c>
      <c r="S556" s="22">
        <f>IFERROR(INDEX(CONFIGURACOES!$J$37:$J$300,MATCH($I556,CONFIGURACOES!$B$37:$B$300,0)),"")</f>
        <v/>
      </c>
      <c r="T556" s="22">
        <f>IF(OR($R556="",$S556=""),"",$R556*$S556)</f>
        <v/>
      </c>
      <c r="U556" s="20" t="n"/>
      <c r="V556" s="20" t="n"/>
      <c r="W556" s="20" t="n"/>
      <c r="X556">
        <f>IF($A556="","",$A556&amp;"|"&amp;$C556&amp;"|"&amp;$I556)</f>
        <v/>
      </c>
      <c r="Y556">
        <f>IF(AND($A556=RELATORIO_MEDICAO!$C$5,$C556=RELATORIO_MEDICAO!$F$5,$A556&lt;&gt;""),COUNTIFS($A$3:$A556,RELATORIO_MEDICAO!$C$5,$C$3:$C556,RELATORIO_MEDICAO!$F$5),"")</f>
        <v/>
      </c>
      <c r="Z556">
        <f>IF(OR($A556="",PESQUISA!$C$4=""),0,IF(OR(ISNUMBER(SEARCH(PESQUISA!$C$4,$G556)),ISNUMBER(SEARCH(PESQUISA!$C$4,$K556)),ISNUMBER(SEARCH(PESQUISA!$C$4,$L556))),1,0))</f>
        <v/>
      </c>
      <c r="AA556">
        <f>IF($Z556=1,SUM($Z$3:$Z556),"")</f>
        <v/>
      </c>
      <c r="AB556">
        <f>IF(OR($A556="",PESQUISA!$C$50=""),0,IF(ISNUMBER(SEARCH(PESQUISA!$C$50,$I556)),1,0))</f>
        <v/>
      </c>
      <c r="AC556">
        <f>IF($AB556=1,SUM($AB$3:$AB556),"")</f>
        <v/>
      </c>
    </row>
    <row r="557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>
        <f>IFERROR(INDEX(CONFIGURACOES!$G$37:$G$300,MATCH($I557,CONFIGURACOES!$B$37:$B$300,0)),"")</f>
        <v/>
      </c>
      <c r="K557" s="20">
        <f>IFERROR(INDEX(CONFIGURACOES!$H$37:$H$300,MATCH($I557,CONFIGURACOES!$B$37:$B$300,0)),"")</f>
        <v/>
      </c>
      <c r="L557" s="20" t="n"/>
      <c r="M557" s="20">
        <f>IFERROR(INDEX(CONFIGURACOES!$I$37:$I$300,MATCH($I557,CONFIGURACOES!$B$37:$B$300,0)),"")</f>
        <v/>
      </c>
      <c r="N557" s="21" t="n"/>
      <c r="O557" s="21" t="n"/>
      <c r="P557" s="21" t="n"/>
      <c r="Q557" s="21" t="n"/>
      <c r="R557" s="21">
        <f>IF($N557="","",$N557*IF($Q557="",1,$Q557)*IF($P557="",1,$P557)*IF($O557="",1,$O557))</f>
        <v/>
      </c>
      <c r="S557" s="22">
        <f>IFERROR(INDEX(CONFIGURACOES!$J$37:$J$300,MATCH($I557,CONFIGURACOES!$B$37:$B$300,0)),"")</f>
        <v/>
      </c>
      <c r="T557" s="22">
        <f>IF(OR($R557="",$S557=""),"",$R557*$S557)</f>
        <v/>
      </c>
      <c r="U557" s="20" t="n"/>
      <c r="V557" s="20" t="n"/>
      <c r="W557" s="20" t="n"/>
      <c r="X557">
        <f>IF($A557="","",$A557&amp;"|"&amp;$C557&amp;"|"&amp;$I557)</f>
        <v/>
      </c>
      <c r="Y557">
        <f>IF(AND($A557=RELATORIO_MEDICAO!$C$5,$C557=RELATORIO_MEDICAO!$F$5,$A557&lt;&gt;""),COUNTIFS($A$3:$A557,RELATORIO_MEDICAO!$C$5,$C$3:$C557,RELATORIO_MEDICAO!$F$5),"")</f>
        <v/>
      </c>
      <c r="Z557">
        <f>IF(OR($A557="",PESQUISA!$C$4=""),0,IF(OR(ISNUMBER(SEARCH(PESQUISA!$C$4,$G557)),ISNUMBER(SEARCH(PESQUISA!$C$4,$K557)),ISNUMBER(SEARCH(PESQUISA!$C$4,$L557))),1,0))</f>
        <v/>
      </c>
      <c r="AA557">
        <f>IF($Z557=1,SUM($Z$3:$Z557),"")</f>
        <v/>
      </c>
      <c r="AB557">
        <f>IF(OR($A557="",PESQUISA!$C$50=""),0,IF(ISNUMBER(SEARCH(PESQUISA!$C$50,$I557)),1,0))</f>
        <v/>
      </c>
      <c r="AC557">
        <f>IF($AB557=1,SUM($AB$3:$AB557),"")</f>
        <v/>
      </c>
    </row>
    <row r="558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>
        <f>IFERROR(INDEX(CONFIGURACOES!$G$37:$G$300,MATCH($I558,CONFIGURACOES!$B$37:$B$300,0)),"")</f>
        <v/>
      </c>
      <c r="K558" s="20">
        <f>IFERROR(INDEX(CONFIGURACOES!$H$37:$H$300,MATCH($I558,CONFIGURACOES!$B$37:$B$300,0)),"")</f>
        <v/>
      </c>
      <c r="L558" s="20" t="n"/>
      <c r="M558" s="20">
        <f>IFERROR(INDEX(CONFIGURACOES!$I$37:$I$300,MATCH($I558,CONFIGURACOES!$B$37:$B$300,0)),"")</f>
        <v/>
      </c>
      <c r="N558" s="21" t="n"/>
      <c r="O558" s="21" t="n"/>
      <c r="P558" s="21" t="n"/>
      <c r="Q558" s="21" t="n"/>
      <c r="R558" s="21">
        <f>IF($N558="","",$N558*IF($Q558="",1,$Q558)*IF($P558="",1,$P558)*IF($O558="",1,$O558))</f>
        <v/>
      </c>
      <c r="S558" s="22">
        <f>IFERROR(INDEX(CONFIGURACOES!$J$37:$J$300,MATCH($I558,CONFIGURACOES!$B$37:$B$300,0)),"")</f>
        <v/>
      </c>
      <c r="T558" s="22">
        <f>IF(OR($R558="",$S558=""),"",$R558*$S558)</f>
        <v/>
      </c>
      <c r="U558" s="20" t="n"/>
      <c r="V558" s="20" t="n"/>
      <c r="W558" s="20" t="n"/>
      <c r="X558">
        <f>IF($A558="","",$A558&amp;"|"&amp;$C558&amp;"|"&amp;$I558)</f>
        <v/>
      </c>
      <c r="Y558">
        <f>IF(AND($A558=RELATORIO_MEDICAO!$C$5,$C558=RELATORIO_MEDICAO!$F$5,$A558&lt;&gt;""),COUNTIFS($A$3:$A558,RELATORIO_MEDICAO!$C$5,$C$3:$C558,RELATORIO_MEDICAO!$F$5),"")</f>
        <v/>
      </c>
      <c r="Z558">
        <f>IF(OR($A558="",PESQUISA!$C$4=""),0,IF(OR(ISNUMBER(SEARCH(PESQUISA!$C$4,$G558)),ISNUMBER(SEARCH(PESQUISA!$C$4,$K558)),ISNUMBER(SEARCH(PESQUISA!$C$4,$L558))),1,0))</f>
        <v/>
      </c>
      <c r="AA558">
        <f>IF($Z558=1,SUM($Z$3:$Z558),"")</f>
        <v/>
      </c>
      <c r="AB558">
        <f>IF(OR($A558="",PESQUISA!$C$50=""),0,IF(ISNUMBER(SEARCH(PESQUISA!$C$50,$I558)),1,0))</f>
        <v/>
      </c>
      <c r="AC558">
        <f>IF($AB558=1,SUM($AB$3:$AB558),"")</f>
        <v/>
      </c>
    </row>
    <row r="559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>
        <f>IFERROR(INDEX(CONFIGURACOES!$G$37:$G$300,MATCH($I559,CONFIGURACOES!$B$37:$B$300,0)),"")</f>
        <v/>
      </c>
      <c r="K559" s="20">
        <f>IFERROR(INDEX(CONFIGURACOES!$H$37:$H$300,MATCH($I559,CONFIGURACOES!$B$37:$B$300,0)),"")</f>
        <v/>
      </c>
      <c r="L559" s="20" t="n"/>
      <c r="M559" s="20">
        <f>IFERROR(INDEX(CONFIGURACOES!$I$37:$I$300,MATCH($I559,CONFIGURACOES!$B$37:$B$300,0)),"")</f>
        <v/>
      </c>
      <c r="N559" s="21" t="n"/>
      <c r="O559" s="21" t="n"/>
      <c r="P559" s="21" t="n"/>
      <c r="Q559" s="21" t="n"/>
      <c r="R559" s="21">
        <f>IF($N559="","",$N559*IF($Q559="",1,$Q559)*IF($P559="",1,$P559)*IF($O559="",1,$O559))</f>
        <v/>
      </c>
      <c r="S559" s="22">
        <f>IFERROR(INDEX(CONFIGURACOES!$J$37:$J$300,MATCH($I559,CONFIGURACOES!$B$37:$B$300,0)),"")</f>
        <v/>
      </c>
      <c r="T559" s="22">
        <f>IF(OR($R559="",$S559=""),"",$R559*$S559)</f>
        <v/>
      </c>
      <c r="U559" s="20" t="n"/>
      <c r="V559" s="20" t="n"/>
      <c r="W559" s="20" t="n"/>
      <c r="X559">
        <f>IF($A559="","",$A559&amp;"|"&amp;$C559&amp;"|"&amp;$I559)</f>
        <v/>
      </c>
      <c r="Y559">
        <f>IF(AND($A559=RELATORIO_MEDICAO!$C$5,$C559=RELATORIO_MEDICAO!$F$5,$A559&lt;&gt;""),COUNTIFS($A$3:$A559,RELATORIO_MEDICAO!$C$5,$C$3:$C559,RELATORIO_MEDICAO!$F$5),"")</f>
        <v/>
      </c>
      <c r="Z559">
        <f>IF(OR($A559="",PESQUISA!$C$4=""),0,IF(OR(ISNUMBER(SEARCH(PESQUISA!$C$4,$G559)),ISNUMBER(SEARCH(PESQUISA!$C$4,$K559)),ISNUMBER(SEARCH(PESQUISA!$C$4,$L559))),1,0))</f>
        <v/>
      </c>
      <c r="AA559">
        <f>IF($Z559=1,SUM($Z$3:$Z559),"")</f>
        <v/>
      </c>
      <c r="AB559">
        <f>IF(OR($A559="",PESQUISA!$C$50=""),0,IF(ISNUMBER(SEARCH(PESQUISA!$C$50,$I559)),1,0))</f>
        <v/>
      </c>
      <c r="AC559">
        <f>IF($AB559=1,SUM($AB$3:$AB559),"")</f>
        <v/>
      </c>
    </row>
    <row r="560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>
        <f>IFERROR(INDEX(CONFIGURACOES!$G$37:$G$300,MATCH($I560,CONFIGURACOES!$B$37:$B$300,0)),"")</f>
        <v/>
      </c>
      <c r="K560" s="20">
        <f>IFERROR(INDEX(CONFIGURACOES!$H$37:$H$300,MATCH($I560,CONFIGURACOES!$B$37:$B$300,0)),"")</f>
        <v/>
      </c>
      <c r="L560" s="20" t="n"/>
      <c r="M560" s="20">
        <f>IFERROR(INDEX(CONFIGURACOES!$I$37:$I$300,MATCH($I560,CONFIGURACOES!$B$37:$B$300,0)),"")</f>
        <v/>
      </c>
      <c r="N560" s="21" t="n"/>
      <c r="O560" s="21" t="n"/>
      <c r="P560" s="21" t="n"/>
      <c r="Q560" s="21" t="n"/>
      <c r="R560" s="21">
        <f>IF($N560="","",$N560*IF($Q560="",1,$Q560)*IF($P560="",1,$P560)*IF($O560="",1,$O560))</f>
        <v/>
      </c>
      <c r="S560" s="22">
        <f>IFERROR(INDEX(CONFIGURACOES!$J$37:$J$300,MATCH($I560,CONFIGURACOES!$B$37:$B$300,0)),"")</f>
        <v/>
      </c>
      <c r="T560" s="22">
        <f>IF(OR($R560="",$S560=""),"",$R560*$S560)</f>
        <v/>
      </c>
      <c r="U560" s="20" t="n"/>
      <c r="V560" s="20" t="n"/>
      <c r="W560" s="20" t="n"/>
      <c r="X560">
        <f>IF($A560="","",$A560&amp;"|"&amp;$C560&amp;"|"&amp;$I560)</f>
        <v/>
      </c>
      <c r="Y560">
        <f>IF(AND($A560=RELATORIO_MEDICAO!$C$5,$C560=RELATORIO_MEDICAO!$F$5,$A560&lt;&gt;""),COUNTIFS($A$3:$A560,RELATORIO_MEDICAO!$C$5,$C$3:$C560,RELATORIO_MEDICAO!$F$5),"")</f>
        <v/>
      </c>
      <c r="Z560">
        <f>IF(OR($A560="",PESQUISA!$C$4=""),0,IF(OR(ISNUMBER(SEARCH(PESQUISA!$C$4,$G560)),ISNUMBER(SEARCH(PESQUISA!$C$4,$K560)),ISNUMBER(SEARCH(PESQUISA!$C$4,$L560))),1,0))</f>
        <v/>
      </c>
      <c r="AA560">
        <f>IF($Z560=1,SUM($Z$3:$Z560),"")</f>
        <v/>
      </c>
      <c r="AB560">
        <f>IF(OR($A560="",PESQUISA!$C$50=""),0,IF(ISNUMBER(SEARCH(PESQUISA!$C$50,$I560)),1,0))</f>
        <v/>
      </c>
      <c r="AC560">
        <f>IF($AB560=1,SUM($AB$3:$AB560),"")</f>
        <v/>
      </c>
    </row>
    <row r="561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>
        <f>IFERROR(INDEX(CONFIGURACOES!$G$37:$G$300,MATCH($I561,CONFIGURACOES!$B$37:$B$300,0)),"")</f>
        <v/>
      </c>
      <c r="K561" s="20">
        <f>IFERROR(INDEX(CONFIGURACOES!$H$37:$H$300,MATCH($I561,CONFIGURACOES!$B$37:$B$300,0)),"")</f>
        <v/>
      </c>
      <c r="L561" s="20" t="n"/>
      <c r="M561" s="20">
        <f>IFERROR(INDEX(CONFIGURACOES!$I$37:$I$300,MATCH($I561,CONFIGURACOES!$B$37:$B$300,0)),"")</f>
        <v/>
      </c>
      <c r="N561" s="21" t="n"/>
      <c r="O561" s="21" t="n"/>
      <c r="P561" s="21" t="n"/>
      <c r="Q561" s="21" t="n"/>
      <c r="R561" s="21">
        <f>IF($N561="","",$N561*IF($Q561="",1,$Q561)*IF($P561="",1,$P561)*IF($O561="",1,$O561))</f>
        <v/>
      </c>
      <c r="S561" s="22">
        <f>IFERROR(INDEX(CONFIGURACOES!$J$37:$J$300,MATCH($I561,CONFIGURACOES!$B$37:$B$300,0)),"")</f>
        <v/>
      </c>
      <c r="T561" s="22">
        <f>IF(OR($R561="",$S561=""),"",$R561*$S561)</f>
        <v/>
      </c>
      <c r="U561" s="20" t="n"/>
      <c r="V561" s="20" t="n"/>
      <c r="W561" s="20" t="n"/>
      <c r="X561">
        <f>IF($A561="","",$A561&amp;"|"&amp;$C561&amp;"|"&amp;$I561)</f>
        <v/>
      </c>
      <c r="Y561">
        <f>IF(AND($A561=RELATORIO_MEDICAO!$C$5,$C561=RELATORIO_MEDICAO!$F$5,$A561&lt;&gt;""),COUNTIFS($A$3:$A561,RELATORIO_MEDICAO!$C$5,$C$3:$C561,RELATORIO_MEDICAO!$F$5),"")</f>
        <v/>
      </c>
      <c r="Z561">
        <f>IF(OR($A561="",PESQUISA!$C$4=""),0,IF(OR(ISNUMBER(SEARCH(PESQUISA!$C$4,$G561)),ISNUMBER(SEARCH(PESQUISA!$C$4,$K561)),ISNUMBER(SEARCH(PESQUISA!$C$4,$L561))),1,0))</f>
        <v/>
      </c>
      <c r="AA561">
        <f>IF($Z561=1,SUM($Z$3:$Z561),"")</f>
        <v/>
      </c>
      <c r="AB561">
        <f>IF(OR($A561="",PESQUISA!$C$50=""),0,IF(ISNUMBER(SEARCH(PESQUISA!$C$50,$I561)),1,0))</f>
        <v/>
      </c>
      <c r="AC561">
        <f>IF($AB561=1,SUM($AB$3:$AB561),"")</f>
        <v/>
      </c>
    </row>
    <row r="562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>
        <f>IFERROR(INDEX(CONFIGURACOES!$G$37:$G$300,MATCH($I562,CONFIGURACOES!$B$37:$B$300,0)),"")</f>
        <v/>
      </c>
      <c r="K562" s="20">
        <f>IFERROR(INDEX(CONFIGURACOES!$H$37:$H$300,MATCH($I562,CONFIGURACOES!$B$37:$B$300,0)),"")</f>
        <v/>
      </c>
      <c r="L562" s="20" t="n"/>
      <c r="M562" s="20">
        <f>IFERROR(INDEX(CONFIGURACOES!$I$37:$I$300,MATCH($I562,CONFIGURACOES!$B$37:$B$300,0)),"")</f>
        <v/>
      </c>
      <c r="N562" s="21" t="n"/>
      <c r="O562" s="21" t="n"/>
      <c r="P562" s="21" t="n"/>
      <c r="Q562" s="21" t="n"/>
      <c r="R562" s="21">
        <f>IF($N562="","",$N562*IF($Q562="",1,$Q562)*IF($P562="",1,$P562)*IF($O562="",1,$O562))</f>
        <v/>
      </c>
      <c r="S562" s="22">
        <f>IFERROR(INDEX(CONFIGURACOES!$J$37:$J$300,MATCH($I562,CONFIGURACOES!$B$37:$B$300,0)),"")</f>
        <v/>
      </c>
      <c r="T562" s="22">
        <f>IF(OR($R562="",$S562=""),"",$R562*$S562)</f>
        <v/>
      </c>
      <c r="U562" s="20" t="n"/>
      <c r="V562" s="20" t="n"/>
      <c r="W562" s="20" t="n"/>
      <c r="X562">
        <f>IF($A562="","",$A562&amp;"|"&amp;$C562&amp;"|"&amp;$I562)</f>
        <v/>
      </c>
      <c r="Y562">
        <f>IF(AND($A562=RELATORIO_MEDICAO!$C$5,$C562=RELATORIO_MEDICAO!$F$5,$A562&lt;&gt;""),COUNTIFS($A$3:$A562,RELATORIO_MEDICAO!$C$5,$C$3:$C562,RELATORIO_MEDICAO!$F$5),"")</f>
        <v/>
      </c>
      <c r="Z562">
        <f>IF(OR($A562="",PESQUISA!$C$4=""),0,IF(OR(ISNUMBER(SEARCH(PESQUISA!$C$4,$G562)),ISNUMBER(SEARCH(PESQUISA!$C$4,$K562)),ISNUMBER(SEARCH(PESQUISA!$C$4,$L562))),1,0))</f>
        <v/>
      </c>
      <c r="AA562">
        <f>IF($Z562=1,SUM($Z$3:$Z562),"")</f>
        <v/>
      </c>
      <c r="AB562">
        <f>IF(OR($A562="",PESQUISA!$C$50=""),0,IF(ISNUMBER(SEARCH(PESQUISA!$C$50,$I562)),1,0))</f>
        <v/>
      </c>
      <c r="AC562">
        <f>IF($AB562=1,SUM($AB$3:$AB562),"")</f>
        <v/>
      </c>
    </row>
    <row r="563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>
        <f>IFERROR(INDEX(CONFIGURACOES!$G$37:$G$300,MATCH($I563,CONFIGURACOES!$B$37:$B$300,0)),"")</f>
        <v/>
      </c>
      <c r="K563" s="20">
        <f>IFERROR(INDEX(CONFIGURACOES!$H$37:$H$300,MATCH($I563,CONFIGURACOES!$B$37:$B$300,0)),"")</f>
        <v/>
      </c>
      <c r="L563" s="20" t="n"/>
      <c r="M563" s="20">
        <f>IFERROR(INDEX(CONFIGURACOES!$I$37:$I$300,MATCH($I563,CONFIGURACOES!$B$37:$B$300,0)),"")</f>
        <v/>
      </c>
      <c r="N563" s="21" t="n"/>
      <c r="O563" s="21" t="n"/>
      <c r="P563" s="21" t="n"/>
      <c r="Q563" s="21" t="n"/>
      <c r="R563" s="21">
        <f>IF($N563="","",$N563*IF($Q563="",1,$Q563)*IF($P563="",1,$P563)*IF($O563="",1,$O563))</f>
        <v/>
      </c>
      <c r="S563" s="22">
        <f>IFERROR(INDEX(CONFIGURACOES!$J$37:$J$300,MATCH($I563,CONFIGURACOES!$B$37:$B$300,0)),"")</f>
        <v/>
      </c>
      <c r="T563" s="22">
        <f>IF(OR($R563="",$S563=""),"",$R563*$S563)</f>
        <v/>
      </c>
      <c r="U563" s="20" t="n"/>
      <c r="V563" s="20" t="n"/>
      <c r="W563" s="20" t="n"/>
      <c r="X563">
        <f>IF($A563="","",$A563&amp;"|"&amp;$C563&amp;"|"&amp;$I563)</f>
        <v/>
      </c>
      <c r="Y563">
        <f>IF(AND($A563=RELATORIO_MEDICAO!$C$5,$C563=RELATORIO_MEDICAO!$F$5,$A563&lt;&gt;""),COUNTIFS($A$3:$A563,RELATORIO_MEDICAO!$C$5,$C$3:$C563,RELATORIO_MEDICAO!$F$5),"")</f>
        <v/>
      </c>
      <c r="Z563">
        <f>IF(OR($A563="",PESQUISA!$C$4=""),0,IF(OR(ISNUMBER(SEARCH(PESQUISA!$C$4,$G563)),ISNUMBER(SEARCH(PESQUISA!$C$4,$K563)),ISNUMBER(SEARCH(PESQUISA!$C$4,$L563))),1,0))</f>
        <v/>
      </c>
      <c r="AA563">
        <f>IF($Z563=1,SUM($Z$3:$Z563),"")</f>
        <v/>
      </c>
      <c r="AB563">
        <f>IF(OR($A563="",PESQUISA!$C$50=""),0,IF(ISNUMBER(SEARCH(PESQUISA!$C$50,$I563)),1,0))</f>
        <v/>
      </c>
      <c r="AC563">
        <f>IF($AB563=1,SUM($AB$3:$AB563),"")</f>
        <v/>
      </c>
    </row>
    <row r="564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>
        <f>IFERROR(INDEX(CONFIGURACOES!$G$37:$G$300,MATCH($I564,CONFIGURACOES!$B$37:$B$300,0)),"")</f>
        <v/>
      </c>
      <c r="K564" s="20">
        <f>IFERROR(INDEX(CONFIGURACOES!$H$37:$H$300,MATCH($I564,CONFIGURACOES!$B$37:$B$300,0)),"")</f>
        <v/>
      </c>
      <c r="L564" s="20" t="n"/>
      <c r="M564" s="20">
        <f>IFERROR(INDEX(CONFIGURACOES!$I$37:$I$300,MATCH($I564,CONFIGURACOES!$B$37:$B$300,0)),"")</f>
        <v/>
      </c>
      <c r="N564" s="21" t="n"/>
      <c r="O564" s="21" t="n"/>
      <c r="P564" s="21" t="n"/>
      <c r="Q564" s="21" t="n"/>
      <c r="R564" s="21">
        <f>IF($N564="","",$N564*IF($Q564="",1,$Q564)*IF($P564="",1,$P564)*IF($O564="",1,$O564))</f>
        <v/>
      </c>
      <c r="S564" s="22">
        <f>IFERROR(INDEX(CONFIGURACOES!$J$37:$J$300,MATCH($I564,CONFIGURACOES!$B$37:$B$300,0)),"")</f>
        <v/>
      </c>
      <c r="T564" s="22">
        <f>IF(OR($R564="",$S564=""),"",$R564*$S564)</f>
        <v/>
      </c>
      <c r="U564" s="20" t="n"/>
      <c r="V564" s="20" t="n"/>
      <c r="W564" s="20" t="n"/>
      <c r="X564">
        <f>IF($A564="","",$A564&amp;"|"&amp;$C564&amp;"|"&amp;$I564)</f>
        <v/>
      </c>
      <c r="Y564">
        <f>IF(AND($A564=RELATORIO_MEDICAO!$C$5,$C564=RELATORIO_MEDICAO!$F$5,$A564&lt;&gt;""),COUNTIFS($A$3:$A564,RELATORIO_MEDICAO!$C$5,$C$3:$C564,RELATORIO_MEDICAO!$F$5),"")</f>
        <v/>
      </c>
      <c r="Z564">
        <f>IF(OR($A564="",PESQUISA!$C$4=""),0,IF(OR(ISNUMBER(SEARCH(PESQUISA!$C$4,$G564)),ISNUMBER(SEARCH(PESQUISA!$C$4,$K564)),ISNUMBER(SEARCH(PESQUISA!$C$4,$L564))),1,0))</f>
        <v/>
      </c>
      <c r="AA564">
        <f>IF($Z564=1,SUM($Z$3:$Z564),"")</f>
        <v/>
      </c>
      <c r="AB564">
        <f>IF(OR($A564="",PESQUISA!$C$50=""),0,IF(ISNUMBER(SEARCH(PESQUISA!$C$50,$I564)),1,0))</f>
        <v/>
      </c>
      <c r="AC564">
        <f>IF($AB564=1,SUM($AB$3:$AB564),"")</f>
        <v/>
      </c>
    </row>
    <row r="565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>
        <f>IFERROR(INDEX(CONFIGURACOES!$G$37:$G$300,MATCH($I565,CONFIGURACOES!$B$37:$B$300,0)),"")</f>
        <v/>
      </c>
      <c r="K565" s="20">
        <f>IFERROR(INDEX(CONFIGURACOES!$H$37:$H$300,MATCH($I565,CONFIGURACOES!$B$37:$B$300,0)),"")</f>
        <v/>
      </c>
      <c r="L565" s="20" t="n"/>
      <c r="M565" s="20">
        <f>IFERROR(INDEX(CONFIGURACOES!$I$37:$I$300,MATCH($I565,CONFIGURACOES!$B$37:$B$300,0)),"")</f>
        <v/>
      </c>
      <c r="N565" s="21" t="n"/>
      <c r="O565" s="21" t="n"/>
      <c r="P565" s="21" t="n"/>
      <c r="Q565" s="21" t="n"/>
      <c r="R565" s="21">
        <f>IF($N565="","",$N565*IF($Q565="",1,$Q565)*IF($P565="",1,$P565)*IF($O565="",1,$O565))</f>
        <v/>
      </c>
      <c r="S565" s="22">
        <f>IFERROR(INDEX(CONFIGURACOES!$J$37:$J$300,MATCH($I565,CONFIGURACOES!$B$37:$B$300,0)),"")</f>
        <v/>
      </c>
      <c r="T565" s="22">
        <f>IF(OR($R565="",$S565=""),"",$R565*$S565)</f>
        <v/>
      </c>
      <c r="U565" s="20" t="n"/>
      <c r="V565" s="20" t="n"/>
      <c r="W565" s="20" t="n"/>
      <c r="X565">
        <f>IF($A565="","",$A565&amp;"|"&amp;$C565&amp;"|"&amp;$I565)</f>
        <v/>
      </c>
      <c r="Y565">
        <f>IF(AND($A565=RELATORIO_MEDICAO!$C$5,$C565=RELATORIO_MEDICAO!$F$5,$A565&lt;&gt;""),COUNTIFS($A$3:$A565,RELATORIO_MEDICAO!$C$5,$C$3:$C565,RELATORIO_MEDICAO!$F$5),"")</f>
        <v/>
      </c>
      <c r="Z565">
        <f>IF(OR($A565="",PESQUISA!$C$4=""),0,IF(OR(ISNUMBER(SEARCH(PESQUISA!$C$4,$G565)),ISNUMBER(SEARCH(PESQUISA!$C$4,$K565)),ISNUMBER(SEARCH(PESQUISA!$C$4,$L565))),1,0))</f>
        <v/>
      </c>
      <c r="AA565">
        <f>IF($Z565=1,SUM($Z$3:$Z565),"")</f>
        <v/>
      </c>
      <c r="AB565">
        <f>IF(OR($A565="",PESQUISA!$C$50=""),0,IF(ISNUMBER(SEARCH(PESQUISA!$C$50,$I565)),1,0))</f>
        <v/>
      </c>
      <c r="AC565">
        <f>IF($AB565=1,SUM($AB$3:$AB565),"")</f>
        <v/>
      </c>
    </row>
    <row r="566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>
        <f>IFERROR(INDEX(CONFIGURACOES!$G$37:$G$300,MATCH($I566,CONFIGURACOES!$B$37:$B$300,0)),"")</f>
        <v/>
      </c>
      <c r="K566" s="20">
        <f>IFERROR(INDEX(CONFIGURACOES!$H$37:$H$300,MATCH($I566,CONFIGURACOES!$B$37:$B$300,0)),"")</f>
        <v/>
      </c>
      <c r="L566" s="20" t="n"/>
      <c r="M566" s="20">
        <f>IFERROR(INDEX(CONFIGURACOES!$I$37:$I$300,MATCH($I566,CONFIGURACOES!$B$37:$B$300,0)),"")</f>
        <v/>
      </c>
      <c r="N566" s="21" t="n"/>
      <c r="O566" s="21" t="n"/>
      <c r="P566" s="21" t="n"/>
      <c r="Q566" s="21" t="n"/>
      <c r="R566" s="21">
        <f>IF($N566="","",$N566*IF($Q566="",1,$Q566)*IF($P566="",1,$P566)*IF($O566="",1,$O566))</f>
        <v/>
      </c>
      <c r="S566" s="22">
        <f>IFERROR(INDEX(CONFIGURACOES!$J$37:$J$300,MATCH($I566,CONFIGURACOES!$B$37:$B$300,0)),"")</f>
        <v/>
      </c>
      <c r="T566" s="22">
        <f>IF(OR($R566="",$S566=""),"",$R566*$S566)</f>
        <v/>
      </c>
      <c r="U566" s="20" t="n"/>
      <c r="V566" s="20" t="n"/>
      <c r="W566" s="20" t="n"/>
      <c r="X566">
        <f>IF($A566="","",$A566&amp;"|"&amp;$C566&amp;"|"&amp;$I566)</f>
        <v/>
      </c>
      <c r="Y566">
        <f>IF(AND($A566=RELATORIO_MEDICAO!$C$5,$C566=RELATORIO_MEDICAO!$F$5,$A566&lt;&gt;""),COUNTIFS($A$3:$A566,RELATORIO_MEDICAO!$C$5,$C$3:$C566,RELATORIO_MEDICAO!$F$5),"")</f>
        <v/>
      </c>
      <c r="Z566">
        <f>IF(OR($A566="",PESQUISA!$C$4=""),0,IF(OR(ISNUMBER(SEARCH(PESQUISA!$C$4,$G566)),ISNUMBER(SEARCH(PESQUISA!$C$4,$K566)),ISNUMBER(SEARCH(PESQUISA!$C$4,$L566))),1,0))</f>
        <v/>
      </c>
      <c r="AA566">
        <f>IF($Z566=1,SUM($Z$3:$Z566),"")</f>
        <v/>
      </c>
      <c r="AB566">
        <f>IF(OR($A566="",PESQUISA!$C$50=""),0,IF(ISNUMBER(SEARCH(PESQUISA!$C$50,$I566)),1,0))</f>
        <v/>
      </c>
      <c r="AC566">
        <f>IF($AB566=1,SUM($AB$3:$AB566),"")</f>
        <v/>
      </c>
    </row>
    <row r="567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>
        <f>IFERROR(INDEX(CONFIGURACOES!$G$37:$G$300,MATCH($I567,CONFIGURACOES!$B$37:$B$300,0)),"")</f>
        <v/>
      </c>
      <c r="K567" s="20">
        <f>IFERROR(INDEX(CONFIGURACOES!$H$37:$H$300,MATCH($I567,CONFIGURACOES!$B$37:$B$300,0)),"")</f>
        <v/>
      </c>
      <c r="L567" s="20" t="n"/>
      <c r="M567" s="20">
        <f>IFERROR(INDEX(CONFIGURACOES!$I$37:$I$300,MATCH($I567,CONFIGURACOES!$B$37:$B$300,0)),"")</f>
        <v/>
      </c>
      <c r="N567" s="21" t="n"/>
      <c r="O567" s="21" t="n"/>
      <c r="P567" s="21" t="n"/>
      <c r="Q567" s="21" t="n"/>
      <c r="R567" s="21">
        <f>IF($N567="","",$N567*IF($Q567="",1,$Q567)*IF($P567="",1,$P567)*IF($O567="",1,$O567))</f>
        <v/>
      </c>
      <c r="S567" s="22">
        <f>IFERROR(INDEX(CONFIGURACOES!$J$37:$J$300,MATCH($I567,CONFIGURACOES!$B$37:$B$300,0)),"")</f>
        <v/>
      </c>
      <c r="T567" s="22">
        <f>IF(OR($R567="",$S567=""),"",$R567*$S567)</f>
        <v/>
      </c>
      <c r="U567" s="20" t="n"/>
      <c r="V567" s="20" t="n"/>
      <c r="W567" s="20" t="n"/>
      <c r="X567">
        <f>IF($A567="","",$A567&amp;"|"&amp;$C567&amp;"|"&amp;$I567)</f>
        <v/>
      </c>
      <c r="Y567">
        <f>IF(AND($A567=RELATORIO_MEDICAO!$C$5,$C567=RELATORIO_MEDICAO!$F$5,$A567&lt;&gt;""),COUNTIFS($A$3:$A567,RELATORIO_MEDICAO!$C$5,$C$3:$C567,RELATORIO_MEDICAO!$F$5),"")</f>
        <v/>
      </c>
      <c r="Z567">
        <f>IF(OR($A567="",PESQUISA!$C$4=""),0,IF(OR(ISNUMBER(SEARCH(PESQUISA!$C$4,$G567)),ISNUMBER(SEARCH(PESQUISA!$C$4,$K567)),ISNUMBER(SEARCH(PESQUISA!$C$4,$L567))),1,0))</f>
        <v/>
      </c>
      <c r="AA567">
        <f>IF($Z567=1,SUM($Z$3:$Z567),"")</f>
        <v/>
      </c>
      <c r="AB567">
        <f>IF(OR($A567="",PESQUISA!$C$50=""),0,IF(ISNUMBER(SEARCH(PESQUISA!$C$50,$I567)),1,0))</f>
        <v/>
      </c>
      <c r="AC567">
        <f>IF($AB567=1,SUM($AB$3:$AB567),"")</f>
        <v/>
      </c>
    </row>
    <row r="568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>
        <f>IFERROR(INDEX(CONFIGURACOES!$G$37:$G$300,MATCH($I568,CONFIGURACOES!$B$37:$B$300,0)),"")</f>
        <v/>
      </c>
      <c r="K568" s="20">
        <f>IFERROR(INDEX(CONFIGURACOES!$H$37:$H$300,MATCH($I568,CONFIGURACOES!$B$37:$B$300,0)),"")</f>
        <v/>
      </c>
      <c r="L568" s="20" t="n"/>
      <c r="M568" s="20">
        <f>IFERROR(INDEX(CONFIGURACOES!$I$37:$I$300,MATCH($I568,CONFIGURACOES!$B$37:$B$300,0)),"")</f>
        <v/>
      </c>
      <c r="N568" s="21" t="n"/>
      <c r="O568" s="21" t="n"/>
      <c r="P568" s="21" t="n"/>
      <c r="Q568" s="21" t="n"/>
      <c r="R568" s="21">
        <f>IF($N568="","",$N568*IF($Q568="",1,$Q568)*IF($P568="",1,$P568)*IF($O568="",1,$O568))</f>
        <v/>
      </c>
      <c r="S568" s="22">
        <f>IFERROR(INDEX(CONFIGURACOES!$J$37:$J$300,MATCH($I568,CONFIGURACOES!$B$37:$B$300,0)),"")</f>
        <v/>
      </c>
      <c r="T568" s="22">
        <f>IF(OR($R568="",$S568=""),"",$R568*$S568)</f>
        <v/>
      </c>
      <c r="U568" s="20" t="n"/>
      <c r="V568" s="20" t="n"/>
      <c r="W568" s="20" t="n"/>
      <c r="X568">
        <f>IF($A568="","",$A568&amp;"|"&amp;$C568&amp;"|"&amp;$I568)</f>
        <v/>
      </c>
      <c r="Y568">
        <f>IF(AND($A568=RELATORIO_MEDICAO!$C$5,$C568=RELATORIO_MEDICAO!$F$5,$A568&lt;&gt;""),COUNTIFS($A$3:$A568,RELATORIO_MEDICAO!$C$5,$C$3:$C568,RELATORIO_MEDICAO!$F$5),"")</f>
        <v/>
      </c>
      <c r="Z568">
        <f>IF(OR($A568="",PESQUISA!$C$4=""),0,IF(OR(ISNUMBER(SEARCH(PESQUISA!$C$4,$G568)),ISNUMBER(SEARCH(PESQUISA!$C$4,$K568)),ISNUMBER(SEARCH(PESQUISA!$C$4,$L568))),1,0))</f>
        <v/>
      </c>
      <c r="AA568">
        <f>IF($Z568=1,SUM($Z$3:$Z568),"")</f>
        <v/>
      </c>
      <c r="AB568">
        <f>IF(OR($A568="",PESQUISA!$C$50=""),0,IF(ISNUMBER(SEARCH(PESQUISA!$C$50,$I568)),1,0))</f>
        <v/>
      </c>
      <c r="AC568">
        <f>IF($AB568=1,SUM($AB$3:$AB568),"")</f>
        <v/>
      </c>
    </row>
    <row r="569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>
        <f>IFERROR(INDEX(CONFIGURACOES!$G$37:$G$300,MATCH($I569,CONFIGURACOES!$B$37:$B$300,0)),"")</f>
        <v/>
      </c>
      <c r="K569" s="20">
        <f>IFERROR(INDEX(CONFIGURACOES!$H$37:$H$300,MATCH($I569,CONFIGURACOES!$B$37:$B$300,0)),"")</f>
        <v/>
      </c>
      <c r="L569" s="20" t="n"/>
      <c r="M569" s="20">
        <f>IFERROR(INDEX(CONFIGURACOES!$I$37:$I$300,MATCH($I569,CONFIGURACOES!$B$37:$B$300,0)),"")</f>
        <v/>
      </c>
      <c r="N569" s="21" t="n"/>
      <c r="O569" s="21" t="n"/>
      <c r="P569" s="21" t="n"/>
      <c r="Q569" s="21" t="n"/>
      <c r="R569" s="21">
        <f>IF($N569="","",$N569*IF($Q569="",1,$Q569)*IF($P569="",1,$P569)*IF($O569="",1,$O569))</f>
        <v/>
      </c>
      <c r="S569" s="22">
        <f>IFERROR(INDEX(CONFIGURACOES!$J$37:$J$300,MATCH($I569,CONFIGURACOES!$B$37:$B$300,0)),"")</f>
        <v/>
      </c>
      <c r="T569" s="22">
        <f>IF(OR($R569="",$S569=""),"",$R569*$S569)</f>
        <v/>
      </c>
      <c r="U569" s="20" t="n"/>
      <c r="V569" s="20" t="n"/>
      <c r="W569" s="20" t="n"/>
      <c r="X569">
        <f>IF($A569="","",$A569&amp;"|"&amp;$C569&amp;"|"&amp;$I569)</f>
        <v/>
      </c>
      <c r="Y569">
        <f>IF(AND($A569=RELATORIO_MEDICAO!$C$5,$C569=RELATORIO_MEDICAO!$F$5,$A569&lt;&gt;""),COUNTIFS($A$3:$A569,RELATORIO_MEDICAO!$C$5,$C$3:$C569,RELATORIO_MEDICAO!$F$5),"")</f>
        <v/>
      </c>
      <c r="Z569">
        <f>IF(OR($A569="",PESQUISA!$C$4=""),0,IF(OR(ISNUMBER(SEARCH(PESQUISA!$C$4,$G569)),ISNUMBER(SEARCH(PESQUISA!$C$4,$K569)),ISNUMBER(SEARCH(PESQUISA!$C$4,$L569))),1,0))</f>
        <v/>
      </c>
      <c r="AA569">
        <f>IF($Z569=1,SUM($Z$3:$Z569),"")</f>
        <v/>
      </c>
      <c r="AB569">
        <f>IF(OR($A569="",PESQUISA!$C$50=""),0,IF(ISNUMBER(SEARCH(PESQUISA!$C$50,$I569)),1,0))</f>
        <v/>
      </c>
      <c r="AC569">
        <f>IF($AB569=1,SUM($AB$3:$AB569),"")</f>
        <v/>
      </c>
    </row>
    <row r="570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>
        <f>IFERROR(INDEX(CONFIGURACOES!$G$37:$G$300,MATCH($I570,CONFIGURACOES!$B$37:$B$300,0)),"")</f>
        <v/>
      </c>
      <c r="K570" s="20">
        <f>IFERROR(INDEX(CONFIGURACOES!$H$37:$H$300,MATCH($I570,CONFIGURACOES!$B$37:$B$300,0)),"")</f>
        <v/>
      </c>
      <c r="L570" s="20" t="n"/>
      <c r="M570" s="20">
        <f>IFERROR(INDEX(CONFIGURACOES!$I$37:$I$300,MATCH($I570,CONFIGURACOES!$B$37:$B$300,0)),"")</f>
        <v/>
      </c>
      <c r="N570" s="21" t="n"/>
      <c r="O570" s="21" t="n"/>
      <c r="P570" s="21" t="n"/>
      <c r="Q570" s="21" t="n"/>
      <c r="R570" s="21">
        <f>IF($N570="","",$N570*IF($Q570="",1,$Q570)*IF($P570="",1,$P570)*IF($O570="",1,$O570))</f>
        <v/>
      </c>
      <c r="S570" s="22">
        <f>IFERROR(INDEX(CONFIGURACOES!$J$37:$J$300,MATCH($I570,CONFIGURACOES!$B$37:$B$300,0)),"")</f>
        <v/>
      </c>
      <c r="T570" s="22">
        <f>IF(OR($R570="",$S570=""),"",$R570*$S570)</f>
        <v/>
      </c>
      <c r="U570" s="20" t="n"/>
      <c r="V570" s="20" t="n"/>
      <c r="W570" s="20" t="n"/>
      <c r="X570">
        <f>IF($A570="","",$A570&amp;"|"&amp;$C570&amp;"|"&amp;$I570)</f>
        <v/>
      </c>
      <c r="Y570">
        <f>IF(AND($A570=RELATORIO_MEDICAO!$C$5,$C570=RELATORIO_MEDICAO!$F$5,$A570&lt;&gt;""),COUNTIFS($A$3:$A570,RELATORIO_MEDICAO!$C$5,$C$3:$C570,RELATORIO_MEDICAO!$F$5),"")</f>
        <v/>
      </c>
      <c r="Z570">
        <f>IF(OR($A570="",PESQUISA!$C$4=""),0,IF(OR(ISNUMBER(SEARCH(PESQUISA!$C$4,$G570)),ISNUMBER(SEARCH(PESQUISA!$C$4,$K570)),ISNUMBER(SEARCH(PESQUISA!$C$4,$L570))),1,0))</f>
        <v/>
      </c>
      <c r="AA570">
        <f>IF($Z570=1,SUM($Z$3:$Z570),"")</f>
        <v/>
      </c>
      <c r="AB570">
        <f>IF(OR($A570="",PESQUISA!$C$50=""),0,IF(ISNUMBER(SEARCH(PESQUISA!$C$50,$I570)),1,0))</f>
        <v/>
      </c>
      <c r="AC570">
        <f>IF($AB570=1,SUM($AB$3:$AB570),"")</f>
        <v/>
      </c>
    </row>
    <row r="571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>
        <f>IFERROR(INDEX(CONFIGURACOES!$G$37:$G$300,MATCH($I571,CONFIGURACOES!$B$37:$B$300,0)),"")</f>
        <v/>
      </c>
      <c r="K571" s="20">
        <f>IFERROR(INDEX(CONFIGURACOES!$H$37:$H$300,MATCH($I571,CONFIGURACOES!$B$37:$B$300,0)),"")</f>
        <v/>
      </c>
      <c r="L571" s="20" t="n"/>
      <c r="M571" s="20">
        <f>IFERROR(INDEX(CONFIGURACOES!$I$37:$I$300,MATCH($I571,CONFIGURACOES!$B$37:$B$300,0)),"")</f>
        <v/>
      </c>
      <c r="N571" s="21" t="n"/>
      <c r="O571" s="21" t="n"/>
      <c r="P571" s="21" t="n"/>
      <c r="Q571" s="21" t="n"/>
      <c r="R571" s="21">
        <f>IF($N571="","",$N571*IF($Q571="",1,$Q571)*IF($P571="",1,$P571)*IF($O571="",1,$O571))</f>
        <v/>
      </c>
      <c r="S571" s="22">
        <f>IFERROR(INDEX(CONFIGURACOES!$J$37:$J$300,MATCH($I571,CONFIGURACOES!$B$37:$B$300,0)),"")</f>
        <v/>
      </c>
      <c r="T571" s="22">
        <f>IF(OR($R571="",$S571=""),"",$R571*$S571)</f>
        <v/>
      </c>
      <c r="U571" s="20" t="n"/>
      <c r="V571" s="20" t="n"/>
      <c r="W571" s="20" t="n"/>
      <c r="X571">
        <f>IF($A571="","",$A571&amp;"|"&amp;$C571&amp;"|"&amp;$I571)</f>
        <v/>
      </c>
      <c r="Y571">
        <f>IF(AND($A571=RELATORIO_MEDICAO!$C$5,$C571=RELATORIO_MEDICAO!$F$5,$A571&lt;&gt;""),COUNTIFS($A$3:$A571,RELATORIO_MEDICAO!$C$5,$C$3:$C571,RELATORIO_MEDICAO!$F$5),"")</f>
        <v/>
      </c>
      <c r="Z571">
        <f>IF(OR($A571="",PESQUISA!$C$4=""),0,IF(OR(ISNUMBER(SEARCH(PESQUISA!$C$4,$G571)),ISNUMBER(SEARCH(PESQUISA!$C$4,$K571)),ISNUMBER(SEARCH(PESQUISA!$C$4,$L571))),1,0))</f>
        <v/>
      </c>
      <c r="AA571">
        <f>IF($Z571=1,SUM($Z$3:$Z571),"")</f>
        <v/>
      </c>
      <c r="AB571">
        <f>IF(OR($A571="",PESQUISA!$C$50=""),0,IF(ISNUMBER(SEARCH(PESQUISA!$C$50,$I571)),1,0))</f>
        <v/>
      </c>
      <c r="AC571">
        <f>IF($AB571=1,SUM($AB$3:$AB571),"")</f>
        <v/>
      </c>
    </row>
    <row r="572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>
        <f>IFERROR(INDEX(CONFIGURACOES!$G$37:$G$300,MATCH($I572,CONFIGURACOES!$B$37:$B$300,0)),"")</f>
        <v/>
      </c>
      <c r="K572" s="20">
        <f>IFERROR(INDEX(CONFIGURACOES!$H$37:$H$300,MATCH($I572,CONFIGURACOES!$B$37:$B$300,0)),"")</f>
        <v/>
      </c>
      <c r="L572" s="20" t="n"/>
      <c r="M572" s="20">
        <f>IFERROR(INDEX(CONFIGURACOES!$I$37:$I$300,MATCH($I572,CONFIGURACOES!$B$37:$B$300,0)),"")</f>
        <v/>
      </c>
      <c r="N572" s="21" t="n"/>
      <c r="O572" s="21" t="n"/>
      <c r="P572" s="21" t="n"/>
      <c r="Q572" s="21" t="n"/>
      <c r="R572" s="21">
        <f>IF($N572="","",$N572*IF($Q572="",1,$Q572)*IF($P572="",1,$P572)*IF($O572="",1,$O572))</f>
        <v/>
      </c>
      <c r="S572" s="22">
        <f>IFERROR(INDEX(CONFIGURACOES!$J$37:$J$300,MATCH($I572,CONFIGURACOES!$B$37:$B$300,0)),"")</f>
        <v/>
      </c>
      <c r="T572" s="22">
        <f>IF(OR($R572="",$S572=""),"",$R572*$S572)</f>
        <v/>
      </c>
      <c r="U572" s="20" t="n"/>
      <c r="V572" s="20" t="n"/>
      <c r="W572" s="20" t="n"/>
      <c r="X572">
        <f>IF($A572="","",$A572&amp;"|"&amp;$C572&amp;"|"&amp;$I572)</f>
        <v/>
      </c>
      <c r="Y572">
        <f>IF(AND($A572=RELATORIO_MEDICAO!$C$5,$C572=RELATORIO_MEDICAO!$F$5,$A572&lt;&gt;""),COUNTIFS($A$3:$A572,RELATORIO_MEDICAO!$C$5,$C$3:$C572,RELATORIO_MEDICAO!$F$5),"")</f>
        <v/>
      </c>
      <c r="Z572">
        <f>IF(OR($A572="",PESQUISA!$C$4=""),0,IF(OR(ISNUMBER(SEARCH(PESQUISA!$C$4,$G572)),ISNUMBER(SEARCH(PESQUISA!$C$4,$K572)),ISNUMBER(SEARCH(PESQUISA!$C$4,$L572))),1,0))</f>
        <v/>
      </c>
      <c r="AA572">
        <f>IF($Z572=1,SUM($Z$3:$Z572),"")</f>
        <v/>
      </c>
      <c r="AB572">
        <f>IF(OR($A572="",PESQUISA!$C$50=""),0,IF(ISNUMBER(SEARCH(PESQUISA!$C$50,$I572)),1,0))</f>
        <v/>
      </c>
      <c r="AC572">
        <f>IF($AB572=1,SUM($AB$3:$AB572),"")</f>
        <v/>
      </c>
    </row>
    <row r="573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>
        <f>IFERROR(INDEX(CONFIGURACOES!$G$37:$G$300,MATCH($I573,CONFIGURACOES!$B$37:$B$300,0)),"")</f>
        <v/>
      </c>
      <c r="K573" s="20">
        <f>IFERROR(INDEX(CONFIGURACOES!$H$37:$H$300,MATCH($I573,CONFIGURACOES!$B$37:$B$300,0)),"")</f>
        <v/>
      </c>
      <c r="L573" s="20" t="n"/>
      <c r="M573" s="20">
        <f>IFERROR(INDEX(CONFIGURACOES!$I$37:$I$300,MATCH($I573,CONFIGURACOES!$B$37:$B$300,0)),"")</f>
        <v/>
      </c>
      <c r="N573" s="21" t="n"/>
      <c r="O573" s="21" t="n"/>
      <c r="P573" s="21" t="n"/>
      <c r="Q573" s="21" t="n"/>
      <c r="R573" s="21">
        <f>IF($N573="","",$N573*IF($Q573="",1,$Q573)*IF($P573="",1,$P573)*IF($O573="",1,$O573))</f>
        <v/>
      </c>
      <c r="S573" s="22">
        <f>IFERROR(INDEX(CONFIGURACOES!$J$37:$J$300,MATCH($I573,CONFIGURACOES!$B$37:$B$300,0)),"")</f>
        <v/>
      </c>
      <c r="T573" s="22">
        <f>IF(OR($R573="",$S573=""),"",$R573*$S573)</f>
        <v/>
      </c>
      <c r="U573" s="20" t="n"/>
      <c r="V573" s="20" t="n"/>
      <c r="W573" s="20" t="n"/>
      <c r="X573">
        <f>IF($A573="","",$A573&amp;"|"&amp;$C573&amp;"|"&amp;$I573)</f>
        <v/>
      </c>
      <c r="Y573">
        <f>IF(AND($A573=RELATORIO_MEDICAO!$C$5,$C573=RELATORIO_MEDICAO!$F$5,$A573&lt;&gt;""),COUNTIFS($A$3:$A573,RELATORIO_MEDICAO!$C$5,$C$3:$C573,RELATORIO_MEDICAO!$F$5),"")</f>
        <v/>
      </c>
      <c r="Z573">
        <f>IF(OR($A573="",PESQUISA!$C$4=""),0,IF(OR(ISNUMBER(SEARCH(PESQUISA!$C$4,$G573)),ISNUMBER(SEARCH(PESQUISA!$C$4,$K573)),ISNUMBER(SEARCH(PESQUISA!$C$4,$L573))),1,0))</f>
        <v/>
      </c>
      <c r="AA573">
        <f>IF($Z573=1,SUM($Z$3:$Z573),"")</f>
        <v/>
      </c>
      <c r="AB573">
        <f>IF(OR($A573="",PESQUISA!$C$50=""),0,IF(ISNUMBER(SEARCH(PESQUISA!$C$50,$I573)),1,0))</f>
        <v/>
      </c>
      <c r="AC573">
        <f>IF($AB573=1,SUM($AB$3:$AB573),"")</f>
        <v/>
      </c>
    </row>
    <row r="574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>
        <f>IFERROR(INDEX(CONFIGURACOES!$G$37:$G$300,MATCH($I574,CONFIGURACOES!$B$37:$B$300,0)),"")</f>
        <v/>
      </c>
      <c r="K574" s="20">
        <f>IFERROR(INDEX(CONFIGURACOES!$H$37:$H$300,MATCH($I574,CONFIGURACOES!$B$37:$B$300,0)),"")</f>
        <v/>
      </c>
      <c r="L574" s="20" t="n"/>
      <c r="M574" s="20">
        <f>IFERROR(INDEX(CONFIGURACOES!$I$37:$I$300,MATCH($I574,CONFIGURACOES!$B$37:$B$300,0)),"")</f>
        <v/>
      </c>
      <c r="N574" s="21" t="n"/>
      <c r="O574" s="21" t="n"/>
      <c r="P574" s="21" t="n"/>
      <c r="Q574" s="21" t="n"/>
      <c r="R574" s="21">
        <f>IF($N574="","",$N574*IF($Q574="",1,$Q574)*IF($P574="",1,$P574)*IF($O574="",1,$O574))</f>
        <v/>
      </c>
      <c r="S574" s="22">
        <f>IFERROR(INDEX(CONFIGURACOES!$J$37:$J$300,MATCH($I574,CONFIGURACOES!$B$37:$B$300,0)),"")</f>
        <v/>
      </c>
      <c r="T574" s="22">
        <f>IF(OR($R574="",$S574=""),"",$R574*$S574)</f>
        <v/>
      </c>
      <c r="U574" s="20" t="n"/>
      <c r="V574" s="20" t="n"/>
      <c r="W574" s="20" t="n"/>
      <c r="X574">
        <f>IF($A574="","",$A574&amp;"|"&amp;$C574&amp;"|"&amp;$I574)</f>
        <v/>
      </c>
      <c r="Y574">
        <f>IF(AND($A574=RELATORIO_MEDICAO!$C$5,$C574=RELATORIO_MEDICAO!$F$5,$A574&lt;&gt;""),COUNTIFS($A$3:$A574,RELATORIO_MEDICAO!$C$5,$C$3:$C574,RELATORIO_MEDICAO!$F$5),"")</f>
        <v/>
      </c>
      <c r="Z574">
        <f>IF(OR($A574="",PESQUISA!$C$4=""),0,IF(OR(ISNUMBER(SEARCH(PESQUISA!$C$4,$G574)),ISNUMBER(SEARCH(PESQUISA!$C$4,$K574)),ISNUMBER(SEARCH(PESQUISA!$C$4,$L574))),1,0))</f>
        <v/>
      </c>
      <c r="AA574">
        <f>IF($Z574=1,SUM($Z$3:$Z574),"")</f>
        <v/>
      </c>
      <c r="AB574">
        <f>IF(OR($A574="",PESQUISA!$C$50=""),0,IF(ISNUMBER(SEARCH(PESQUISA!$C$50,$I574)),1,0))</f>
        <v/>
      </c>
      <c r="AC574">
        <f>IF($AB574=1,SUM($AB$3:$AB574),"")</f>
        <v/>
      </c>
    </row>
    <row r="575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>
        <f>IFERROR(INDEX(CONFIGURACOES!$G$37:$G$300,MATCH($I575,CONFIGURACOES!$B$37:$B$300,0)),"")</f>
        <v/>
      </c>
      <c r="K575" s="20">
        <f>IFERROR(INDEX(CONFIGURACOES!$H$37:$H$300,MATCH($I575,CONFIGURACOES!$B$37:$B$300,0)),"")</f>
        <v/>
      </c>
      <c r="L575" s="20" t="n"/>
      <c r="M575" s="20">
        <f>IFERROR(INDEX(CONFIGURACOES!$I$37:$I$300,MATCH($I575,CONFIGURACOES!$B$37:$B$300,0)),"")</f>
        <v/>
      </c>
      <c r="N575" s="21" t="n"/>
      <c r="O575" s="21" t="n"/>
      <c r="P575" s="21" t="n"/>
      <c r="Q575" s="21" t="n"/>
      <c r="R575" s="21">
        <f>IF($N575="","",$N575*IF($Q575="",1,$Q575)*IF($P575="",1,$P575)*IF($O575="",1,$O575))</f>
        <v/>
      </c>
      <c r="S575" s="22">
        <f>IFERROR(INDEX(CONFIGURACOES!$J$37:$J$300,MATCH($I575,CONFIGURACOES!$B$37:$B$300,0)),"")</f>
        <v/>
      </c>
      <c r="T575" s="22">
        <f>IF(OR($R575="",$S575=""),"",$R575*$S575)</f>
        <v/>
      </c>
      <c r="U575" s="20" t="n"/>
      <c r="V575" s="20" t="n"/>
      <c r="W575" s="20" t="n"/>
      <c r="X575">
        <f>IF($A575="","",$A575&amp;"|"&amp;$C575&amp;"|"&amp;$I575)</f>
        <v/>
      </c>
      <c r="Y575">
        <f>IF(AND($A575=RELATORIO_MEDICAO!$C$5,$C575=RELATORIO_MEDICAO!$F$5,$A575&lt;&gt;""),COUNTIFS($A$3:$A575,RELATORIO_MEDICAO!$C$5,$C$3:$C575,RELATORIO_MEDICAO!$F$5),"")</f>
        <v/>
      </c>
      <c r="Z575">
        <f>IF(OR($A575="",PESQUISA!$C$4=""),0,IF(OR(ISNUMBER(SEARCH(PESQUISA!$C$4,$G575)),ISNUMBER(SEARCH(PESQUISA!$C$4,$K575)),ISNUMBER(SEARCH(PESQUISA!$C$4,$L575))),1,0))</f>
        <v/>
      </c>
      <c r="AA575">
        <f>IF($Z575=1,SUM($Z$3:$Z575),"")</f>
        <v/>
      </c>
      <c r="AB575">
        <f>IF(OR($A575="",PESQUISA!$C$50=""),0,IF(ISNUMBER(SEARCH(PESQUISA!$C$50,$I575)),1,0))</f>
        <v/>
      </c>
      <c r="AC575">
        <f>IF($AB575=1,SUM($AB$3:$AB575),"")</f>
        <v/>
      </c>
    </row>
    <row r="576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>
        <f>IFERROR(INDEX(CONFIGURACOES!$G$37:$G$300,MATCH($I576,CONFIGURACOES!$B$37:$B$300,0)),"")</f>
        <v/>
      </c>
      <c r="K576" s="20">
        <f>IFERROR(INDEX(CONFIGURACOES!$H$37:$H$300,MATCH($I576,CONFIGURACOES!$B$37:$B$300,0)),"")</f>
        <v/>
      </c>
      <c r="L576" s="20" t="n"/>
      <c r="M576" s="20">
        <f>IFERROR(INDEX(CONFIGURACOES!$I$37:$I$300,MATCH($I576,CONFIGURACOES!$B$37:$B$300,0)),"")</f>
        <v/>
      </c>
      <c r="N576" s="21" t="n"/>
      <c r="O576" s="21" t="n"/>
      <c r="P576" s="21" t="n"/>
      <c r="Q576" s="21" t="n"/>
      <c r="R576" s="21">
        <f>IF($N576="","",$N576*IF($Q576="",1,$Q576)*IF($P576="",1,$P576)*IF($O576="",1,$O576))</f>
        <v/>
      </c>
      <c r="S576" s="22">
        <f>IFERROR(INDEX(CONFIGURACOES!$J$37:$J$300,MATCH($I576,CONFIGURACOES!$B$37:$B$300,0)),"")</f>
        <v/>
      </c>
      <c r="T576" s="22">
        <f>IF(OR($R576="",$S576=""),"",$R576*$S576)</f>
        <v/>
      </c>
      <c r="U576" s="20" t="n"/>
      <c r="V576" s="20" t="n"/>
      <c r="W576" s="20" t="n"/>
      <c r="X576">
        <f>IF($A576="","",$A576&amp;"|"&amp;$C576&amp;"|"&amp;$I576)</f>
        <v/>
      </c>
      <c r="Y576">
        <f>IF(AND($A576=RELATORIO_MEDICAO!$C$5,$C576=RELATORIO_MEDICAO!$F$5,$A576&lt;&gt;""),COUNTIFS($A$3:$A576,RELATORIO_MEDICAO!$C$5,$C$3:$C576,RELATORIO_MEDICAO!$F$5),"")</f>
        <v/>
      </c>
      <c r="Z576">
        <f>IF(OR($A576="",PESQUISA!$C$4=""),0,IF(OR(ISNUMBER(SEARCH(PESQUISA!$C$4,$G576)),ISNUMBER(SEARCH(PESQUISA!$C$4,$K576)),ISNUMBER(SEARCH(PESQUISA!$C$4,$L576))),1,0))</f>
        <v/>
      </c>
      <c r="AA576">
        <f>IF($Z576=1,SUM($Z$3:$Z576),"")</f>
        <v/>
      </c>
      <c r="AB576">
        <f>IF(OR($A576="",PESQUISA!$C$50=""),0,IF(ISNUMBER(SEARCH(PESQUISA!$C$50,$I576)),1,0))</f>
        <v/>
      </c>
      <c r="AC576">
        <f>IF($AB576=1,SUM($AB$3:$AB576),"")</f>
        <v/>
      </c>
    </row>
    <row r="577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>
        <f>IFERROR(INDEX(CONFIGURACOES!$G$37:$G$300,MATCH($I577,CONFIGURACOES!$B$37:$B$300,0)),"")</f>
        <v/>
      </c>
      <c r="K577" s="20">
        <f>IFERROR(INDEX(CONFIGURACOES!$H$37:$H$300,MATCH($I577,CONFIGURACOES!$B$37:$B$300,0)),"")</f>
        <v/>
      </c>
      <c r="L577" s="20" t="n"/>
      <c r="M577" s="20">
        <f>IFERROR(INDEX(CONFIGURACOES!$I$37:$I$300,MATCH($I577,CONFIGURACOES!$B$37:$B$300,0)),"")</f>
        <v/>
      </c>
      <c r="N577" s="21" t="n"/>
      <c r="O577" s="21" t="n"/>
      <c r="P577" s="21" t="n"/>
      <c r="Q577" s="21" t="n"/>
      <c r="R577" s="21">
        <f>IF($N577="","",$N577*IF($Q577="",1,$Q577)*IF($P577="",1,$P577)*IF($O577="",1,$O577))</f>
        <v/>
      </c>
      <c r="S577" s="22">
        <f>IFERROR(INDEX(CONFIGURACOES!$J$37:$J$300,MATCH($I577,CONFIGURACOES!$B$37:$B$300,0)),"")</f>
        <v/>
      </c>
      <c r="T577" s="22">
        <f>IF(OR($R577="",$S577=""),"",$R577*$S577)</f>
        <v/>
      </c>
      <c r="U577" s="20" t="n"/>
      <c r="V577" s="20" t="n"/>
      <c r="W577" s="20" t="n"/>
      <c r="X577">
        <f>IF($A577="","",$A577&amp;"|"&amp;$C577&amp;"|"&amp;$I577)</f>
        <v/>
      </c>
      <c r="Y577">
        <f>IF(AND($A577=RELATORIO_MEDICAO!$C$5,$C577=RELATORIO_MEDICAO!$F$5,$A577&lt;&gt;""),COUNTIFS($A$3:$A577,RELATORIO_MEDICAO!$C$5,$C$3:$C577,RELATORIO_MEDICAO!$F$5),"")</f>
        <v/>
      </c>
      <c r="Z577">
        <f>IF(OR($A577="",PESQUISA!$C$4=""),0,IF(OR(ISNUMBER(SEARCH(PESQUISA!$C$4,$G577)),ISNUMBER(SEARCH(PESQUISA!$C$4,$K577)),ISNUMBER(SEARCH(PESQUISA!$C$4,$L577))),1,0))</f>
        <v/>
      </c>
      <c r="AA577">
        <f>IF($Z577=1,SUM($Z$3:$Z577),"")</f>
        <v/>
      </c>
      <c r="AB577">
        <f>IF(OR($A577="",PESQUISA!$C$50=""),0,IF(ISNUMBER(SEARCH(PESQUISA!$C$50,$I577)),1,0))</f>
        <v/>
      </c>
      <c r="AC577">
        <f>IF($AB577=1,SUM($AB$3:$AB577),"")</f>
        <v/>
      </c>
    </row>
    <row r="578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>
        <f>IFERROR(INDEX(CONFIGURACOES!$G$37:$G$300,MATCH($I578,CONFIGURACOES!$B$37:$B$300,0)),"")</f>
        <v/>
      </c>
      <c r="K578" s="20">
        <f>IFERROR(INDEX(CONFIGURACOES!$H$37:$H$300,MATCH($I578,CONFIGURACOES!$B$37:$B$300,0)),"")</f>
        <v/>
      </c>
      <c r="L578" s="20" t="n"/>
      <c r="M578" s="20">
        <f>IFERROR(INDEX(CONFIGURACOES!$I$37:$I$300,MATCH($I578,CONFIGURACOES!$B$37:$B$300,0)),"")</f>
        <v/>
      </c>
      <c r="N578" s="21" t="n"/>
      <c r="O578" s="21" t="n"/>
      <c r="P578" s="21" t="n"/>
      <c r="Q578" s="21" t="n"/>
      <c r="R578" s="21">
        <f>IF($N578="","",$N578*IF($Q578="",1,$Q578)*IF($P578="",1,$P578)*IF($O578="",1,$O578))</f>
        <v/>
      </c>
      <c r="S578" s="22">
        <f>IFERROR(INDEX(CONFIGURACOES!$J$37:$J$300,MATCH($I578,CONFIGURACOES!$B$37:$B$300,0)),"")</f>
        <v/>
      </c>
      <c r="T578" s="22">
        <f>IF(OR($R578="",$S578=""),"",$R578*$S578)</f>
        <v/>
      </c>
      <c r="U578" s="20" t="n"/>
      <c r="V578" s="20" t="n"/>
      <c r="W578" s="20" t="n"/>
      <c r="X578">
        <f>IF($A578="","",$A578&amp;"|"&amp;$C578&amp;"|"&amp;$I578)</f>
        <v/>
      </c>
      <c r="Y578">
        <f>IF(AND($A578=RELATORIO_MEDICAO!$C$5,$C578=RELATORIO_MEDICAO!$F$5,$A578&lt;&gt;""),COUNTIFS($A$3:$A578,RELATORIO_MEDICAO!$C$5,$C$3:$C578,RELATORIO_MEDICAO!$F$5),"")</f>
        <v/>
      </c>
      <c r="Z578">
        <f>IF(OR($A578="",PESQUISA!$C$4=""),0,IF(OR(ISNUMBER(SEARCH(PESQUISA!$C$4,$G578)),ISNUMBER(SEARCH(PESQUISA!$C$4,$K578)),ISNUMBER(SEARCH(PESQUISA!$C$4,$L578))),1,0))</f>
        <v/>
      </c>
      <c r="AA578">
        <f>IF($Z578=1,SUM($Z$3:$Z578),"")</f>
        <v/>
      </c>
      <c r="AB578">
        <f>IF(OR($A578="",PESQUISA!$C$50=""),0,IF(ISNUMBER(SEARCH(PESQUISA!$C$50,$I578)),1,0))</f>
        <v/>
      </c>
      <c r="AC578">
        <f>IF($AB578=1,SUM($AB$3:$AB578),"")</f>
        <v/>
      </c>
    </row>
    <row r="579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>
        <f>IFERROR(INDEX(CONFIGURACOES!$G$37:$G$300,MATCH($I579,CONFIGURACOES!$B$37:$B$300,0)),"")</f>
        <v/>
      </c>
      <c r="K579" s="20">
        <f>IFERROR(INDEX(CONFIGURACOES!$H$37:$H$300,MATCH($I579,CONFIGURACOES!$B$37:$B$300,0)),"")</f>
        <v/>
      </c>
      <c r="L579" s="20" t="n"/>
      <c r="M579" s="20">
        <f>IFERROR(INDEX(CONFIGURACOES!$I$37:$I$300,MATCH($I579,CONFIGURACOES!$B$37:$B$300,0)),"")</f>
        <v/>
      </c>
      <c r="N579" s="21" t="n"/>
      <c r="O579" s="21" t="n"/>
      <c r="P579" s="21" t="n"/>
      <c r="Q579" s="21" t="n"/>
      <c r="R579" s="21">
        <f>IF($N579="","",$N579*IF($Q579="",1,$Q579)*IF($P579="",1,$P579)*IF($O579="",1,$O579))</f>
        <v/>
      </c>
      <c r="S579" s="22">
        <f>IFERROR(INDEX(CONFIGURACOES!$J$37:$J$300,MATCH($I579,CONFIGURACOES!$B$37:$B$300,0)),"")</f>
        <v/>
      </c>
      <c r="T579" s="22">
        <f>IF(OR($R579="",$S579=""),"",$R579*$S579)</f>
        <v/>
      </c>
      <c r="U579" s="20" t="n"/>
      <c r="V579" s="20" t="n"/>
      <c r="W579" s="20" t="n"/>
      <c r="X579">
        <f>IF($A579="","",$A579&amp;"|"&amp;$C579&amp;"|"&amp;$I579)</f>
        <v/>
      </c>
      <c r="Y579">
        <f>IF(AND($A579=RELATORIO_MEDICAO!$C$5,$C579=RELATORIO_MEDICAO!$F$5,$A579&lt;&gt;""),COUNTIFS($A$3:$A579,RELATORIO_MEDICAO!$C$5,$C$3:$C579,RELATORIO_MEDICAO!$F$5),"")</f>
        <v/>
      </c>
      <c r="Z579">
        <f>IF(OR($A579="",PESQUISA!$C$4=""),0,IF(OR(ISNUMBER(SEARCH(PESQUISA!$C$4,$G579)),ISNUMBER(SEARCH(PESQUISA!$C$4,$K579)),ISNUMBER(SEARCH(PESQUISA!$C$4,$L579))),1,0))</f>
        <v/>
      </c>
      <c r="AA579">
        <f>IF($Z579=1,SUM($Z$3:$Z579),"")</f>
        <v/>
      </c>
      <c r="AB579">
        <f>IF(OR($A579="",PESQUISA!$C$50=""),0,IF(ISNUMBER(SEARCH(PESQUISA!$C$50,$I579)),1,0))</f>
        <v/>
      </c>
      <c r="AC579">
        <f>IF($AB579=1,SUM($AB$3:$AB579),"")</f>
        <v/>
      </c>
    </row>
    <row r="580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>
        <f>IFERROR(INDEX(CONFIGURACOES!$G$37:$G$300,MATCH($I580,CONFIGURACOES!$B$37:$B$300,0)),"")</f>
        <v/>
      </c>
      <c r="K580" s="20">
        <f>IFERROR(INDEX(CONFIGURACOES!$H$37:$H$300,MATCH($I580,CONFIGURACOES!$B$37:$B$300,0)),"")</f>
        <v/>
      </c>
      <c r="L580" s="20" t="n"/>
      <c r="M580" s="20">
        <f>IFERROR(INDEX(CONFIGURACOES!$I$37:$I$300,MATCH($I580,CONFIGURACOES!$B$37:$B$300,0)),"")</f>
        <v/>
      </c>
      <c r="N580" s="21" t="n"/>
      <c r="O580" s="21" t="n"/>
      <c r="P580" s="21" t="n"/>
      <c r="Q580" s="21" t="n"/>
      <c r="R580" s="21">
        <f>IF($N580="","",$N580*IF($Q580="",1,$Q580)*IF($P580="",1,$P580)*IF($O580="",1,$O580))</f>
        <v/>
      </c>
      <c r="S580" s="22">
        <f>IFERROR(INDEX(CONFIGURACOES!$J$37:$J$300,MATCH($I580,CONFIGURACOES!$B$37:$B$300,0)),"")</f>
        <v/>
      </c>
      <c r="T580" s="22">
        <f>IF(OR($R580="",$S580=""),"",$R580*$S580)</f>
        <v/>
      </c>
      <c r="U580" s="20" t="n"/>
      <c r="V580" s="20" t="n"/>
      <c r="W580" s="20" t="n"/>
      <c r="X580">
        <f>IF($A580="","",$A580&amp;"|"&amp;$C580&amp;"|"&amp;$I580)</f>
        <v/>
      </c>
      <c r="Y580">
        <f>IF(AND($A580=RELATORIO_MEDICAO!$C$5,$C580=RELATORIO_MEDICAO!$F$5,$A580&lt;&gt;""),COUNTIFS($A$3:$A580,RELATORIO_MEDICAO!$C$5,$C$3:$C580,RELATORIO_MEDICAO!$F$5),"")</f>
        <v/>
      </c>
      <c r="Z580">
        <f>IF(OR($A580="",PESQUISA!$C$4=""),0,IF(OR(ISNUMBER(SEARCH(PESQUISA!$C$4,$G580)),ISNUMBER(SEARCH(PESQUISA!$C$4,$K580)),ISNUMBER(SEARCH(PESQUISA!$C$4,$L580))),1,0))</f>
        <v/>
      </c>
      <c r="AA580">
        <f>IF($Z580=1,SUM($Z$3:$Z580),"")</f>
        <v/>
      </c>
      <c r="AB580">
        <f>IF(OR($A580="",PESQUISA!$C$50=""),0,IF(ISNUMBER(SEARCH(PESQUISA!$C$50,$I580)),1,0))</f>
        <v/>
      </c>
      <c r="AC580">
        <f>IF($AB580=1,SUM($AB$3:$AB580),"")</f>
        <v/>
      </c>
    </row>
    <row r="581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>
        <f>IFERROR(INDEX(CONFIGURACOES!$G$37:$G$300,MATCH($I581,CONFIGURACOES!$B$37:$B$300,0)),"")</f>
        <v/>
      </c>
      <c r="K581" s="20">
        <f>IFERROR(INDEX(CONFIGURACOES!$H$37:$H$300,MATCH($I581,CONFIGURACOES!$B$37:$B$300,0)),"")</f>
        <v/>
      </c>
      <c r="L581" s="20" t="n"/>
      <c r="M581" s="20">
        <f>IFERROR(INDEX(CONFIGURACOES!$I$37:$I$300,MATCH($I581,CONFIGURACOES!$B$37:$B$300,0)),"")</f>
        <v/>
      </c>
      <c r="N581" s="21" t="n"/>
      <c r="O581" s="21" t="n"/>
      <c r="P581" s="21" t="n"/>
      <c r="Q581" s="21" t="n"/>
      <c r="R581" s="21">
        <f>IF($N581="","",$N581*IF($Q581="",1,$Q581)*IF($P581="",1,$P581)*IF($O581="",1,$O581))</f>
        <v/>
      </c>
      <c r="S581" s="22">
        <f>IFERROR(INDEX(CONFIGURACOES!$J$37:$J$300,MATCH($I581,CONFIGURACOES!$B$37:$B$300,0)),"")</f>
        <v/>
      </c>
      <c r="T581" s="22">
        <f>IF(OR($R581="",$S581=""),"",$R581*$S581)</f>
        <v/>
      </c>
      <c r="U581" s="20" t="n"/>
      <c r="V581" s="20" t="n"/>
      <c r="W581" s="20" t="n"/>
      <c r="X581">
        <f>IF($A581="","",$A581&amp;"|"&amp;$C581&amp;"|"&amp;$I581)</f>
        <v/>
      </c>
      <c r="Y581">
        <f>IF(AND($A581=RELATORIO_MEDICAO!$C$5,$C581=RELATORIO_MEDICAO!$F$5,$A581&lt;&gt;""),COUNTIFS($A$3:$A581,RELATORIO_MEDICAO!$C$5,$C$3:$C581,RELATORIO_MEDICAO!$F$5),"")</f>
        <v/>
      </c>
      <c r="Z581">
        <f>IF(OR($A581="",PESQUISA!$C$4=""),0,IF(OR(ISNUMBER(SEARCH(PESQUISA!$C$4,$G581)),ISNUMBER(SEARCH(PESQUISA!$C$4,$K581)),ISNUMBER(SEARCH(PESQUISA!$C$4,$L581))),1,0))</f>
        <v/>
      </c>
      <c r="AA581">
        <f>IF($Z581=1,SUM($Z$3:$Z581),"")</f>
        <v/>
      </c>
      <c r="AB581">
        <f>IF(OR($A581="",PESQUISA!$C$50=""),0,IF(ISNUMBER(SEARCH(PESQUISA!$C$50,$I581)),1,0))</f>
        <v/>
      </c>
      <c r="AC581">
        <f>IF($AB581=1,SUM($AB$3:$AB581),"")</f>
        <v/>
      </c>
    </row>
    <row r="582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>
        <f>IFERROR(INDEX(CONFIGURACOES!$G$37:$G$300,MATCH($I582,CONFIGURACOES!$B$37:$B$300,0)),"")</f>
        <v/>
      </c>
      <c r="K582" s="20">
        <f>IFERROR(INDEX(CONFIGURACOES!$H$37:$H$300,MATCH($I582,CONFIGURACOES!$B$37:$B$300,0)),"")</f>
        <v/>
      </c>
      <c r="L582" s="20" t="n"/>
      <c r="M582" s="20">
        <f>IFERROR(INDEX(CONFIGURACOES!$I$37:$I$300,MATCH($I582,CONFIGURACOES!$B$37:$B$300,0)),"")</f>
        <v/>
      </c>
      <c r="N582" s="21" t="n"/>
      <c r="O582" s="21" t="n"/>
      <c r="P582" s="21" t="n"/>
      <c r="Q582" s="21" t="n"/>
      <c r="R582" s="21">
        <f>IF($N582="","",$N582*IF($Q582="",1,$Q582)*IF($P582="",1,$P582)*IF($O582="",1,$O582))</f>
        <v/>
      </c>
      <c r="S582" s="22">
        <f>IFERROR(INDEX(CONFIGURACOES!$J$37:$J$300,MATCH($I582,CONFIGURACOES!$B$37:$B$300,0)),"")</f>
        <v/>
      </c>
      <c r="T582" s="22">
        <f>IF(OR($R582="",$S582=""),"",$R582*$S582)</f>
        <v/>
      </c>
      <c r="U582" s="20" t="n"/>
      <c r="V582" s="20" t="n"/>
      <c r="W582" s="20" t="n"/>
      <c r="X582">
        <f>IF($A582="","",$A582&amp;"|"&amp;$C582&amp;"|"&amp;$I582)</f>
        <v/>
      </c>
      <c r="Y582">
        <f>IF(AND($A582=RELATORIO_MEDICAO!$C$5,$C582=RELATORIO_MEDICAO!$F$5,$A582&lt;&gt;""),COUNTIFS($A$3:$A582,RELATORIO_MEDICAO!$C$5,$C$3:$C582,RELATORIO_MEDICAO!$F$5),"")</f>
        <v/>
      </c>
      <c r="Z582">
        <f>IF(OR($A582="",PESQUISA!$C$4=""),0,IF(OR(ISNUMBER(SEARCH(PESQUISA!$C$4,$G582)),ISNUMBER(SEARCH(PESQUISA!$C$4,$K582)),ISNUMBER(SEARCH(PESQUISA!$C$4,$L582))),1,0))</f>
        <v/>
      </c>
      <c r="AA582">
        <f>IF($Z582=1,SUM($Z$3:$Z582),"")</f>
        <v/>
      </c>
      <c r="AB582">
        <f>IF(OR($A582="",PESQUISA!$C$50=""),0,IF(ISNUMBER(SEARCH(PESQUISA!$C$50,$I582)),1,0))</f>
        <v/>
      </c>
      <c r="AC582">
        <f>IF($AB582=1,SUM($AB$3:$AB582),"")</f>
        <v/>
      </c>
    </row>
    <row r="583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0">
        <f>IFERROR(INDEX(CONFIGURACOES!$G$37:$G$300,MATCH($I583,CONFIGURACOES!$B$37:$B$300,0)),"")</f>
        <v/>
      </c>
      <c r="K583" s="20">
        <f>IFERROR(INDEX(CONFIGURACOES!$H$37:$H$300,MATCH($I583,CONFIGURACOES!$B$37:$B$300,0)),"")</f>
        <v/>
      </c>
      <c r="L583" s="20" t="n"/>
      <c r="M583" s="20">
        <f>IFERROR(INDEX(CONFIGURACOES!$I$37:$I$300,MATCH($I583,CONFIGURACOES!$B$37:$B$300,0)),"")</f>
        <v/>
      </c>
      <c r="N583" s="21" t="n"/>
      <c r="O583" s="21" t="n"/>
      <c r="P583" s="21" t="n"/>
      <c r="Q583" s="21" t="n"/>
      <c r="R583" s="21">
        <f>IF($N583="","",$N583*IF($Q583="",1,$Q583)*IF($P583="",1,$P583)*IF($O583="",1,$O583))</f>
        <v/>
      </c>
      <c r="S583" s="22">
        <f>IFERROR(INDEX(CONFIGURACOES!$J$37:$J$300,MATCH($I583,CONFIGURACOES!$B$37:$B$300,0)),"")</f>
        <v/>
      </c>
      <c r="T583" s="22">
        <f>IF(OR($R583="",$S583=""),"",$R583*$S583)</f>
        <v/>
      </c>
      <c r="U583" s="20" t="n"/>
      <c r="V583" s="20" t="n"/>
      <c r="W583" s="20" t="n"/>
      <c r="X583">
        <f>IF($A583="","",$A583&amp;"|"&amp;$C583&amp;"|"&amp;$I583)</f>
        <v/>
      </c>
      <c r="Y583">
        <f>IF(AND($A583=RELATORIO_MEDICAO!$C$5,$C583=RELATORIO_MEDICAO!$F$5,$A583&lt;&gt;""),COUNTIFS($A$3:$A583,RELATORIO_MEDICAO!$C$5,$C$3:$C583,RELATORIO_MEDICAO!$F$5),"")</f>
        <v/>
      </c>
      <c r="Z583">
        <f>IF(OR($A583="",PESQUISA!$C$4=""),0,IF(OR(ISNUMBER(SEARCH(PESQUISA!$C$4,$G583)),ISNUMBER(SEARCH(PESQUISA!$C$4,$K583)),ISNUMBER(SEARCH(PESQUISA!$C$4,$L583))),1,0))</f>
        <v/>
      </c>
      <c r="AA583">
        <f>IF($Z583=1,SUM($Z$3:$Z583),"")</f>
        <v/>
      </c>
      <c r="AB583">
        <f>IF(OR($A583="",PESQUISA!$C$50=""),0,IF(ISNUMBER(SEARCH(PESQUISA!$C$50,$I583)),1,0))</f>
        <v/>
      </c>
      <c r="AC583">
        <f>IF($AB583=1,SUM($AB$3:$AB583),"")</f>
        <v/>
      </c>
    </row>
    <row r="584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0">
        <f>IFERROR(INDEX(CONFIGURACOES!$G$37:$G$300,MATCH($I584,CONFIGURACOES!$B$37:$B$300,0)),"")</f>
        <v/>
      </c>
      <c r="K584" s="20">
        <f>IFERROR(INDEX(CONFIGURACOES!$H$37:$H$300,MATCH($I584,CONFIGURACOES!$B$37:$B$300,0)),"")</f>
        <v/>
      </c>
      <c r="L584" s="20" t="n"/>
      <c r="M584" s="20">
        <f>IFERROR(INDEX(CONFIGURACOES!$I$37:$I$300,MATCH($I584,CONFIGURACOES!$B$37:$B$300,0)),"")</f>
        <v/>
      </c>
      <c r="N584" s="21" t="n"/>
      <c r="O584" s="21" t="n"/>
      <c r="P584" s="21" t="n"/>
      <c r="Q584" s="21" t="n"/>
      <c r="R584" s="21">
        <f>IF($N584="","",$N584*IF($Q584="",1,$Q584)*IF($P584="",1,$P584)*IF($O584="",1,$O584))</f>
        <v/>
      </c>
      <c r="S584" s="22">
        <f>IFERROR(INDEX(CONFIGURACOES!$J$37:$J$300,MATCH($I584,CONFIGURACOES!$B$37:$B$300,0)),"")</f>
        <v/>
      </c>
      <c r="T584" s="22">
        <f>IF(OR($R584="",$S584=""),"",$R584*$S584)</f>
        <v/>
      </c>
      <c r="U584" s="20" t="n"/>
      <c r="V584" s="20" t="n"/>
      <c r="W584" s="20" t="n"/>
      <c r="X584">
        <f>IF($A584="","",$A584&amp;"|"&amp;$C584&amp;"|"&amp;$I584)</f>
        <v/>
      </c>
      <c r="Y584">
        <f>IF(AND($A584=RELATORIO_MEDICAO!$C$5,$C584=RELATORIO_MEDICAO!$F$5,$A584&lt;&gt;""),COUNTIFS($A$3:$A584,RELATORIO_MEDICAO!$C$5,$C$3:$C584,RELATORIO_MEDICAO!$F$5),"")</f>
        <v/>
      </c>
      <c r="Z584">
        <f>IF(OR($A584="",PESQUISA!$C$4=""),0,IF(OR(ISNUMBER(SEARCH(PESQUISA!$C$4,$G584)),ISNUMBER(SEARCH(PESQUISA!$C$4,$K584)),ISNUMBER(SEARCH(PESQUISA!$C$4,$L584))),1,0))</f>
        <v/>
      </c>
      <c r="AA584">
        <f>IF($Z584=1,SUM($Z$3:$Z584),"")</f>
        <v/>
      </c>
      <c r="AB584">
        <f>IF(OR($A584="",PESQUISA!$C$50=""),0,IF(ISNUMBER(SEARCH(PESQUISA!$C$50,$I584)),1,0))</f>
        <v/>
      </c>
      <c r="AC584">
        <f>IF($AB584=1,SUM($AB$3:$AB584),"")</f>
        <v/>
      </c>
    </row>
    <row r="585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0">
        <f>IFERROR(INDEX(CONFIGURACOES!$G$37:$G$300,MATCH($I585,CONFIGURACOES!$B$37:$B$300,0)),"")</f>
        <v/>
      </c>
      <c r="K585" s="20">
        <f>IFERROR(INDEX(CONFIGURACOES!$H$37:$H$300,MATCH($I585,CONFIGURACOES!$B$37:$B$300,0)),"")</f>
        <v/>
      </c>
      <c r="L585" s="20" t="n"/>
      <c r="M585" s="20">
        <f>IFERROR(INDEX(CONFIGURACOES!$I$37:$I$300,MATCH($I585,CONFIGURACOES!$B$37:$B$300,0)),"")</f>
        <v/>
      </c>
      <c r="N585" s="21" t="n"/>
      <c r="O585" s="21" t="n"/>
      <c r="P585" s="21" t="n"/>
      <c r="Q585" s="21" t="n"/>
      <c r="R585" s="21">
        <f>IF($N585="","",$N585*IF($Q585="",1,$Q585)*IF($P585="",1,$P585)*IF($O585="",1,$O585))</f>
        <v/>
      </c>
      <c r="S585" s="22">
        <f>IFERROR(INDEX(CONFIGURACOES!$J$37:$J$300,MATCH($I585,CONFIGURACOES!$B$37:$B$300,0)),"")</f>
        <v/>
      </c>
      <c r="T585" s="22">
        <f>IF(OR($R585="",$S585=""),"",$R585*$S585)</f>
        <v/>
      </c>
      <c r="U585" s="20" t="n"/>
      <c r="V585" s="20" t="n"/>
      <c r="W585" s="20" t="n"/>
      <c r="X585">
        <f>IF($A585="","",$A585&amp;"|"&amp;$C585&amp;"|"&amp;$I585)</f>
        <v/>
      </c>
      <c r="Y585">
        <f>IF(AND($A585=RELATORIO_MEDICAO!$C$5,$C585=RELATORIO_MEDICAO!$F$5,$A585&lt;&gt;""),COUNTIFS($A$3:$A585,RELATORIO_MEDICAO!$C$5,$C$3:$C585,RELATORIO_MEDICAO!$F$5),"")</f>
        <v/>
      </c>
      <c r="Z585">
        <f>IF(OR($A585="",PESQUISA!$C$4=""),0,IF(OR(ISNUMBER(SEARCH(PESQUISA!$C$4,$G585)),ISNUMBER(SEARCH(PESQUISA!$C$4,$K585)),ISNUMBER(SEARCH(PESQUISA!$C$4,$L585))),1,0))</f>
        <v/>
      </c>
      <c r="AA585">
        <f>IF($Z585=1,SUM($Z$3:$Z585),"")</f>
        <v/>
      </c>
      <c r="AB585">
        <f>IF(OR($A585="",PESQUISA!$C$50=""),0,IF(ISNUMBER(SEARCH(PESQUISA!$C$50,$I585)),1,0))</f>
        <v/>
      </c>
      <c r="AC585">
        <f>IF($AB585=1,SUM($AB$3:$AB585),"")</f>
        <v/>
      </c>
    </row>
    <row r="586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0">
        <f>IFERROR(INDEX(CONFIGURACOES!$G$37:$G$300,MATCH($I586,CONFIGURACOES!$B$37:$B$300,0)),"")</f>
        <v/>
      </c>
      <c r="K586" s="20">
        <f>IFERROR(INDEX(CONFIGURACOES!$H$37:$H$300,MATCH($I586,CONFIGURACOES!$B$37:$B$300,0)),"")</f>
        <v/>
      </c>
      <c r="L586" s="20" t="n"/>
      <c r="M586" s="20">
        <f>IFERROR(INDEX(CONFIGURACOES!$I$37:$I$300,MATCH($I586,CONFIGURACOES!$B$37:$B$300,0)),"")</f>
        <v/>
      </c>
      <c r="N586" s="21" t="n"/>
      <c r="O586" s="21" t="n"/>
      <c r="P586" s="21" t="n"/>
      <c r="Q586" s="21" t="n"/>
      <c r="R586" s="21">
        <f>IF($N586="","",$N586*IF($Q586="",1,$Q586)*IF($P586="",1,$P586)*IF($O586="",1,$O586))</f>
        <v/>
      </c>
      <c r="S586" s="22">
        <f>IFERROR(INDEX(CONFIGURACOES!$J$37:$J$300,MATCH($I586,CONFIGURACOES!$B$37:$B$300,0)),"")</f>
        <v/>
      </c>
      <c r="T586" s="22">
        <f>IF(OR($R586="",$S586=""),"",$R586*$S586)</f>
        <v/>
      </c>
      <c r="U586" s="20" t="n"/>
      <c r="V586" s="20" t="n"/>
      <c r="W586" s="20" t="n"/>
      <c r="X586">
        <f>IF($A586="","",$A586&amp;"|"&amp;$C586&amp;"|"&amp;$I586)</f>
        <v/>
      </c>
      <c r="Y586">
        <f>IF(AND($A586=RELATORIO_MEDICAO!$C$5,$C586=RELATORIO_MEDICAO!$F$5,$A586&lt;&gt;""),COUNTIFS($A$3:$A586,RELATORIO_MEDICAO!$C$5,$C$3:$C586,RELATORIO_MEDICAO!$F$5),"")</f>
        <v/>
      </c>
      <c r="Z586">
        <f>IF(OR($A586="",PESQUISA!$C$4=""),0,IF(OR(ISNUMBER(SEARCH(PESQUISA!$C$4,$G586)),ISNUMBER(SEARCH(PESQUISA!$C$4,$K586)),ISNUMBER(SEARCH(PESQUISA!$C$4,$L586))),1,0))</f>
        <v/>
      </c>
      <c r="AA586">
        <f>IF($Z586=1,SUM($Z$3:$Z586),"")</f>
        <v/>
      </c>
      <c r="AB586">
        <f>IF(OR($A586="",PESQUISA!$C$50=""),0,IF(ISNUMBER(SEARCH(PESQUISA!$C$50,$I586)),1,0))</f>
        <v/>
      </c>
      <c r="AC586">
        <f>IF($AB586=1,SUM($AB$3:$AB586),"")</f>
        <v/>
      </c>
    </row>
    <row r="587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0">
        <f>IFERROR(INDEX(CONFIGURACOES!$G$37:$G$300,MATCH($I587,CONFIGURACOES!$B$37:$B$300,0)),"")</f>
        <v/>
      </c>
      <c r="K587" s="20">
        <f>IFERROR(INDEX(CONFIGURACOES!$H$37:$H$300,MATCH($I587,CONFIGURACOES!$B$37:$B$300,0)),"")</f>
        <v/>
      </c>
      <c r="L587" s="20" t="n"/>
      <c r="M587" s="20">
        <f>IFERROR(INDEX(CONFIGURACOES!$I$37:$I$300,MATCH($I587,CONFIGURACOES!$B$37:$B$300,0)),"")</f>
        <v/>
      </c>
      <c r="N587" s="21" t="n"/>
      <c r="O587" s="21" t="n"/>
      <c r="P587" s="21" t="n"/>
      <c r="Q587" s="21" t="n"/>
      <c r="R587" s="21">
        <f>IF($N587="","",$N587*IF($Q587="",1,$Q587)*IF($P587="",1,$P587)*IF($O587="",1,$O587))</f>
        <v/>
      </c>
      <c r="S587" s="22">
        <f>IFERROR(INDEX(CONFIGURACOES!$J$37:$J$300,MATCH($I587,CONFIGURACOES!$B$37:$B$300,0)),"")</f>
        <v/>
      </c>
      <c r="T587" s="22">
        <f>IF(OR($R587="",$S587=""),"",$R587*$S587)</f>
        <v/>
      </c>
      <c r="U587" s="20" t="n"/>
      <c r="V587" s="20" t="n"/>
      <c r="W587" s="20" t="n"/>
      <c r="X587">
        <f>IF($A587="","",$A587&amp;"|"&amp;$C587&amp;"|"&amp;$I587)</f>
        <v/>
      </c>
      <c r="Y587">
        <f>IF(AND($A587=RELATORIO_MEDICAO!$C$5,$C587=RELATORIO_MEDICAO!$F$5,$A587&lt;&gt;""),COUNTIFS($A$3:$A587,RELATORIO_MEDICAO!$C$5,$C$3:$C587,RELATORIO_MEDICAO!$F$5),"")</f>
        <v/>
      </c>
      <c r="Z587">
        <f>IF(OR($A587="",PESQUISA!$C$4=""),0,IF(OR(ISNUMBER(SEARCH(PESQUISA!$C$4,$G587)),ISNUMBER(SEARCH(PESQUISA!$C$4,$K587)),ISNUMBER(SEARCH(PESQUISA!$C$4,$L587))),1,0))</f>
        <v/>
      </c>
      <c r="AA587">
        <f>IF($Z587=1,SUM($Z$3:$Z587),"")</f>
        <v/>
      </c>
      <c r="AB587">
        <f>IF(OR($A587="",PESQUISA!$C$50=""),0,IF(ISNUMBER(SEARCH(PESQUISA!$C$50,$I587)),1,0))</f>
        <v/>
      </c>
      <c r="AC587">
        <f>IF($AB587=1,SUM($AB$3:$AB587),"")</f>
        <v/>
      </c>
    </row>
    <row r="588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0">
        <f>IFERROR(INDEX(CONFIGURACOES!$G$37:$G$300,MATCH($I588,CONFIGURACOES!$B$37:$B$300,0)),"")</f>
        <v/>
      </c>
      <c r="K588" s="20">
        <f>IFERROR(INDEX(CONFIGURACOES!$H$37:$H$300,MATCH($I588,CONFIGURACOES!$B$37:$B$300,0)),"")</f>
        <v/>
      </c>
      <c r="L588" s="20" t="n"/>
      <c r="M588" s="20">
        <f>IFERROR(INDEX(CONFIGURACOES!$I$37:$I$300,MATCH($I588,CONFIGURACOES!$B$37:$B$300,0)),"")</f>
        <v/>
      </c>
      <c r="N588" s="21" t="n"/>
      <c r="O588" s="21" t="n"/>
      <c r="P588" s="21" t="n"/>
      <c r="Q588" s="21" t="n"/>
      <c r="R588" s="21">
        <f>IF($N588="","",$N588*IF($Q588="",1,$Q588)*IF($P588="",1,$P588)*IF($O588="",1,$O588))</f>
        <v/>
      </c>
      <c r="S588" s="22">
        <f>IFERROR(INDEX(CONFIGURACOES!$J$37:$J$300,MATCH($I588,CONFIGURACOES!$B$37:$B$300,0)),"")</f>
        <v/>
      </c>
      <c r="T588" s="22">
        <f>IF(OR($R588="",$S588=""),"",$R588*$S588)</f>
        <v/>
      </c>
      <c r="U588" s="20" t="n"/>
      <c r="V588" s="20" t="n"/>
      <c r="W588" s="20" t="n"/>
      <c r="X588">
        <f>IF($A588="","",$A588&amp;"|"&amp;$C588&amp;"|"&amp;$I588)</f>
        <v/>
      </c>
      <c r="Y588">
        <f>IF(AND($A588=RELATORIO_MEDICAO!$C$5,$C588=RELATORIO_MEDICAO!$F$5,$A588&lt;&gt;""),COUNTIFS($A$3:$A588,RELATORIO_MEDICAO!$C$5,$C$3:$C588,RELATORIO_MEDICAO!$F$5),"")</f>
        <v/>
      </c>
      <c r="Z588">
        <f>IF(OR($A588="",PESQUISA!$C$4=""),0,IF(OR(ISNUMBER(SEARCH(PESQUISA!$C$4,$G588)),ISNUMBER(SEARCH(PESQUISA!$C$4,$K588)),ISNUMBER(SEARCH(PESQUISA!$C$4,$L588))),1,0))</f>
        <v/>
      </c>
      <c r="AA588">
        <f>IF($Z588=1,SUM($Z$3:$Z588),"")</f>
        <v/>
      </c>
      <c r="AB588">
        <f>IF(OR($A588="",PESQUISA!$C$50=""),0,IF(ISNUMBER(SEARCH(PESQUISA!$C$50,$I588)),1,0))</f>
        <v/>
      </c>
      <c r="AC588">
        <f>IF($AB588=1,SUM($AB$3:$AB588),"")</f>
        <v/>
      </c>
    </row>
    <row r="589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0">
        <f>IFERROR(INDEX(CONFIGURACOES!$G$37:$G$300,MATCH($I589,CONFIGURACOES!$B$37:$B$300,0)),"")</f>
        <v/>
      </c>
      <c r="K589" s="20">
        <f>IFERROR(INDEX(CONFIGURACOES!$H$37:$H$300,MATCH($I589,CONFIGURACOES!$B$37:$B$300,0)),"")</f>
        <v/>
      </c>
      <c r="L589" s="20" t="n"/>
      <c r="M589" s="20">
        <f>IFERROR(INDEX(CONFIGURACOES!$I$37:$I$300,MATCH($I589,CONFIGURACOES!$B$37:$B$300,0)),"")</f>
        <v/>
      </c>
      <c r="N589" s="21" t="n"/>
      <c r="O589" s="21" t="n"/>
      <c r="P589" s="21" t="n"/>
      <c r="Q589" s="21" t="n"/>
      <c r="R589" s="21">
        <f>IF($N589="","",$N589*IF($Q589="",1,$Q589)*IF($P589="",1,$P589)*IF($O589="",1,$O589))</f>
        <v/>
      </c>
      <c r="S589" s="22">
        <f>IFERROR(INDEX(CONFIGURACOES!$J$37:$J$300,MATCH($I589,CONFIGURACOES!$B$37:$B$300,0)),"")</f>
        <v/>
      </c>
      <c r="T589" s="22">
        <f>IF(OR($R589="",$S589=""),"",$R589*$S589)</f>
        <v/>
      </c>
      <c r="U589" s="20" t="n"/>
      <c r="V589" s="20" t="n"/>
      <c r="W589" s="20" t="n"/>
      <c r="X589">
        <f>IF($A589="","",$A589&amp;"|"&amp;$C589&amp;"|"&amp;$I589)</f>
        <v/>
      </c>
      <c r="Y589">
        <f>IF(AND($A589=RELATORIO_MEDICAO!$C$5,$C589=RELATORIO_MEDICAO!$F$5,$A589&lt;&gt;""),COUNTIFS($A$3:$A589,RELATORIO_MEDICAO!$C$5,$C$3:$C589,RELATORIO_MEDICAO!$F$5),"")</f>
        <v/>
      </c>
      <c r="Z589">
        <f>IF(OR($A589="",PESQUISA!$C$4=""),0,IF(OR(ISNUMBER(SEARCH(PESQUISA!$C$4,$G589)),ISNUMBER(SEARCH(PESQUISA!$C$4,$K589)),ISNUMBER(SEARCH(PESQUISA!$C$4,$L589))),1,0))</f>
        <v/>
      </c>
      <c r="AA589">
        <f>IF($Z589=1,SUM($Z$3:$Z589),"")</f>
        <v/>
      </c>
      <c r="AB589">
        <f>IF(OR($A589="",PESQUISA!$C$50=""),0,IF(ISNUMBER(SEARCH(PESQUISA!$C$50,$I589)),1,0))</f>
        <v/>
      </c>
      <c r="AC589">
        <f>IF($AB589=1,SUM($AB$3:$AB589),"")</f>
        <v/>
      </c>
    </row>
    <row r="590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0">
        <f>IFERROR(INDEX(CONFIGURACOES!$G$37:$G$300,MATCH($I590,CONFIGURACOES!$B$37:$B$300,0)),"")</f>
        <v/>
      </c>
      <c r="K590" s="20">
        <f>IFERROR(INDEX(CONFIGURACOES!$H$37:$H$300,MATCH($I590,CONFIGURACOES!$B$37:$B$300,0)),"")</f>
        <v/>
      </c>
      <c r="L590" s="20" t="n"/>
      <c r="M590" s="20">
        <f>IFERROR(INDEX(CONFIGURACOES!$I$37:$I$300,MATCH($I590,CONFIGURACOES!$B$37:$B$300,0)),"")</f>
        <v/>
      </c>
      <c r="N590" s="21" t="n"/>
      <c r="O590" s="21" t="n"/>
      <c r="P590" s="21" t="n"/>
      <c r="Q590" s="21" t="n"/>
      <c r="R590" s="21">
        <f>IF($N590="","",$N590*IF($Q590="",1,$Q590)*IF($P590="",1,$P590)*IF($O590="",1,$O590))</f>
        <v/>
      </c>
      <c r="S590" s="22">
        <f>IFERROR(INDEX(CONFIGURACOES!$J$37:$J$300,MATCH($I590,CONFIGURACOES!$B$37:$B$300,0)),"")</f>
        <v/>
      </c>
      <c r="T590" s="22">
        <f>IF(OR($R590="",$S590=""),"",$R590*$S590)</f>
        <v/>
      </c>
      <c r="U590" s="20" t="n"/>
      <c r="V590" s="20" t="n"/>
      <c r="W590" s="20" t="n"/>
      <c r="X590">
        <f>IF($A590="","",$A590&amp;"|"&amp;$C590&amp;"|"&amp;$I590)</f>
        <v/>
      </c>
      <c r="Y590">
        <f>IF(AND($A590=RELATORIO_MEDICAO!$C$5,$C590=RELATORIO_MEDICAO!$F$5,$A590&lt;&gt;""),COUNTIFS($A$3:$A590,RELATORIO_MEDICAO!$C$5,$C$3:$C590,RELATORIO_MEDICAO!$F$5),"")</f>
        <v/>
      </c>
      <c r="Z590">
        <f>IF(OR($A590="",PESQUISA!$C$4=""),0,IF(OR(ISNUMBER(SEARCH(PESQUISA!$C$4,$G590)),ISNUMBER(SEARCH(PESQUISA!$C$4,$K590)),ISNUMBER(SEARCH(PESQUISA!$C$4,$L590))),1,0))</f>
        <v/>
      </c>
      <c r="AA590">
        <f>IF($Z590=1,SUM($Z$3:$Z590),"")</f>
        <v/>
      </c>
      <c r="AB590">
        <f>IF(OR($A590="",PESQUISA!$C$50=""),0,IF(ISNUMBER(SEARCH(PESQUISA!$C$50,$I590)),1,0))</f>
        <v/>
      </c>
      <c r="AC590">
        <f>IF($AB590=1,SUM($AB$3:$AB590),"")</f>
        <v/>
      </c>
    </row>
    <row r="591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0">
        <f>IFERROR(INDEX(CONFIGURACOES!$G$37:$G$300,MATCH($I591,CONFIGURACOES!$B$37:$B$300,0)),"")</f>
        <v/>
      </c>
      <c r="K591" s="20">
        <f>IFERROR(INDEX(CONFIGURACOES!$H$37:$H$300,MATCH($I591,CONFIGURACOES!$B$37:$B$300,0)),"")</f>
        <v/>
      </c>
      <c r="L591" s="20" t="n"/>
      <c r="M591" s="20">
        <f>IFERROR(INDEX(CONFIGURACOES!$I$37:$I$300,MATCH($I591,CONFIGURACOES!$B$37:$B$300,0)),"")</f>
        <v/>
      </c>
      <c r="N591" s="21" t="n"/>
      <c r="O591" s="21" t="n"/>
      <c r="P591" s="21" t="n"/>
      <c r="Q591" s="21" t="n"/>
      <c r="R591" s="21">
        <f>IF($N591="","",$N591*IF($Q591="",1,$Q591)*IF($P591="",1,$P591)*IF($O591="",1,$O591))</f>
        <v/>
      </c>
      <c r="S591" s="22">
        <f>IFERROR(INDEX(CONFIGURACOES!$J$37:$J$300,MATCH($I591,CONFIGURACOES!$B$37:$B$300,0)),"")</f>
        <v/>
      </c>
      <c r="T591" s="22">
        <f>IF(OR($R591="",$S591=""),"",$R591*$S591)</f>
        <v/>
      </c>
      <c r="U591" s="20" t="n"/>
      <c r="V591" s="20" t="n"/>
      <c r="W591" s="20" t="n"/>
      <c r="X591">
        <f>IF($A591="","",$A591&amp;"|"&amp;$C591&amp;"|"&amp;$I591)</f>
        <v/>
      </c>
      <c r="Y591">
        <f>IF(AND($A591=RELATORIO_MEDICAO!$C$5,$C591=RELATORIO_MEDICAO!$F$5,$A591&lt;&gt;""),COUNTIFS($A$3:$A591,RELATORIO_MEDICAO!$C$5,$C$3:$C591,RELATORIO_MEDICAO!$F$5),"")</f>
        <v/>
      </c>
      <c r="Z591">
        <f>IF(OR($A591="",PESQUISA!$C$4=""),0,IF(OR(ISNUMBER(SEARCH(PESQUISA!$C$4,$G591)),ISNUMBER(SEARCH(PESQUISA!$C$4,$K591)),ISNUMBER(SEARCH(PESQUISA!$C$4,$L591))),1,0))</f>
        <v/>
      </c>
      <c r="AA591">
        <f>IF($Z591=1,SUM($Z$3:$Z591),"")</f>
        <v/>
      </c>
      <c r="AB591">
        <f>IF(OR($A591="",PESQUISA!$C$50=""),0,IF(ISNUMBER(SEARCH(PESQUISA!$C$50,$I591)),1,0))</f>
        <v/>
      </c>
      <c r="AC591">
        <f>IF($AB591=1,SUM($AB$3:$AB591),"")</f>
        <v/>
      </c>
    </row>
    <row r="592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0">
        <f>IFERROR(INDEX(CONFIGURACOES!$G$37:$G$300,MATCH($I592,CONFIGURACOES!$B$37:$B$300,0)),"")</f>
        <v/>
      </c>
      <c r="K592" s="20">
        <f>IFERROR(INDEX(CONFIGURACOES!$H$37:$H$300,MATCH($I592,CONFIGURACOES!$B$37:$B$300,0)),"")</f>
        <v/>
      </c>
      <c r="L592" s="20" t="n"/>
      <c r="M592" s="20">
        <f>IFERROR(INDEX(CONFIGURACOES!$I$37:$I$300,MATCH($I592,CONFIGURACOES!$B$37:$B$300,0)),"")</f>
        <v/>
      </c>
      <c r="N592" s="21" t="n"/>
      <c r="O592" s="21" t="n"/>
      <c r="P592" s="21" t="n"/>
      <c r="Q592" s="21" t="n"/>
      <c r="R592" s="21">
        <f>IF($N592="","",$N592*IF($Q592="",1,$Q592)*IF($P592="",1,$P592)*IF($O592="",1,$O592))</f>
        <v/>
      </c>
      <c r="S592" s="22">
        <f>IFERROR(INDEX(CONFIGURACOES!$J$37:$J$300,MATCH($I592,CONFIGURACOES!$B$37:$B$300,0)),"")</f>
        <v/>
      </c>
      <c r="T592" s="22">
        <f>IF(OR($R592="",$S592=""),"",$R592*$S592)</f>
        <v/>
      </c>
      <c r="U592" s="20" t="n"/>
      <c r="V592" s="20" t="n"/>
      <c r="W592" s="20" t="n"/>
      <c r="X592">
        <f>IF($A592="","",$A592&amp;"|"&amp;$C592&amp;"|"&amp;$I592)</f>
        <v/>
      </c>
      <c r="Y592">
        <f>IF(AND($A592=RELATORIO_MEDICAO!$C$5,$C592=RELATORIO_MEDICAO!$F$5,$A592&lt;&gt;""),COUNTIFS($A$3:$A592,RELATORIO_MEDICAO!$C$5,$C$3:$C592,RELATORIO_MEDICAO!$F$5),"")</f>
        <v/>
      </c>
      <c r="Z592">
        <f>IF(OR($A592="",PESQUISA!$C$4=""),0,IF(OR(ISNUMBER(SEARCH(PESQUISA!$C$4,$G592)),ISNUMBER(SEARCH(PESQUISA!$C$4,$K592)),ISNUMBER(SEARCH(PESQUISA!$C$4,$L592))),1,0))</f>
        <v/>
      </c>
      <c r="AA592">
        <f>IF($Z592=1,SUM($Z$3:$Z592),"")</f>
        <v/>
      </c>
      <c r="AB592">
        <f>IF(OR($A592="",PESQUISA!$C$50=""),0,IF(ISNUMBER(SEARCH(PESQUISA!$C$50,$I592)),1,0))</f>
        <v/>
      </c>
      <c r="AC592">
        <f>IF($AB592=1,SUM($AB$3:$AB592),"")</f>
        <v/>
      </c>
    </row>
    <row r="593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0">
        <f>IFERROR(INDEX(CONFIGURACOES!$G$37:$G$300,MATCH($I593,CONFIGURACOES!$B$37:$B$300,0)),"")</f>
        <v/>
      </c>
      <c r="K593" s="20">
        <f>IFERROR(INDEX(CONFIGURACOES!$H$37:$H$300,MATCH($I593,CONFIGURACOES!$B$37:$B$300,0)),"")</f>
        <v/>
      </c>
      <c r="L593" s="20" t="n"/>
      <c r="M593" s="20">
        <f>IFERROR(INDEX(CONFIGURACOES!$I$37:$I$300,MATCH($I593,CONFIGURACOES!$B$37:$B$300,0)),"")</f>
        <v/>
      </c>
      <c r="N593" s="21" t="n"/>
      <c r="O593" s="21" t="n"/>
      <c r="P593" s="21" t="n"/>
      <c r="Q593" s="21" t="n"/>
      <c r="R593" s="21">
        <f>IF($N593="","",$N593*IF($Q593="",1,$Q593)*IF($P593="",1,$P593)*IF($O593="",1,$O593))</f>
        <v/>
      </c>
      <c r="S593" s="22">
        <f>IFERROR(INDEX(CONFIGURACOES!$J$37:$J$300,MATCH($I593,CONFIGURACOES!$B$37:$B$300,0)),"")</f>
        <v/>
      </c>
      <c r="T593" s="22">
        <f>IF(OR($R593="",$S593=""),"",$R593*$S593)</f>
        <v/>
      </c>
      <c r="U593" s="20" t="n"/>
      <c r="V593" s="20" t="n"/>
      <c r="W593" s="20" t="n"/>
      <c r="X593">
        <f>IF($A593="","",$A593&amp;"|"&amp;$C593&amp;"|"&amp;$I593)</f>
        <v/>
      </c>
      <c r="Y593">
        <f>IF(AND($A593=RELATORIO_MEDICAO!$C$5,$C593=RELATORIO_MEDICAO!$F$5,$A593&lt;&gt;""),COUNTIFS($A$3:$A593,RELATORIO_MEDICAO!$C$5,$C$3:$C593,RELATORIO_MEDICAO!$F$5),"")</f>
        <v/>
      </c>
      <c r="Z593">
        <f>IF(OR($A593="",PESQUISA!$C$4=""),0,IF(OR(ISNUMBER(SEARCH(PESQUISA!$C$4,$G593)),ISNUMBER(SEARCH(PESQUISA!$C$4,$K593)),ISNUMBER(SEARCH(PESQUISA!$C$4,$L593))),1,0))</f>
        <v/>
      </c>
      <c r="AA593">
        <f>IF($Z593=1,SUM($Z$3:$Z593),"")</f>
        <v/>
      </c>
      <c r="AB593">
        <f>IF(OR($A593="",PESQUISA!$C$50=""),0,IF(ISNUMBER(SEARCH(PESQUISA!$C$50,$I593)),1,0))</f>
        <v/>
      </c>
      <c r="AC593">
        <f>IF($AB593=1,SUM($AB$3:$AB593),"")</f>
        <v/>
      </c>
    </row>
    <row r="594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>
        <f>IFERROR(INDEX(CONFIGURACOES!$G$37:$G$300,MATCH($I594,CONFIGURACOES!$B$37:$B$300,0)),"")</f>
        <v/>
      </c>
      <c r="K594" s="20">
        <f>IFERROR(INDEX(CONFIGURACOES!$H$37:$H$300,MATCH($I594,CONFIGURACOES!$B$37:$B$300,0)),"")</f>
        <v/>
      </c>
      <c r="L594" s="20" t="n"/>
      <c r="M594" s="20">
        <f>IFERROR(INDEX(CONFIGURACOES!$I$37:$I$300,MATCH($I594,CONFIGURACOES!$B$37:$B$300,0)),"")</f>
        <v/>
      </c>
      <c r="N594" s="21" t="n"/>
      <c r="O594" s="21" t="n"/>
      <c r="P594" s="21" t="n"/>
      <c r="Q594" s="21" t="n"/>
      <c r="R594" s="21">
        <f>IF($N594="","",$N594*IF($Q594="",1,$Q594)*IF($P594="",1,$P594)*IF($O594="",1,$O594))</f>
        <v/>
      </c>
      <c r="S594" s="22">
        <f>IFERROR(INDEX(CONFIGURACOES!$J$37:$J$300,MATCH($I594,CONFIGURACOES!$B$37:$B$300,0)),"")</f>
        <v/>
      </c>
      <c r="T594" s="22">
        <f>IF(OR($R594="",$S594=""),"",$R594*$S594)</f>
        <v/>
      </c>
      <c r="U594" s="20" t="n"/>
      <c r="V594" s="20" t="n"/>
      <c r="W594" s="20" t="n"/>
      <c r="X594">
        <f>IF($A594="","",$A594&amp;"|"&amp;$C594&amp;"|"&amp;$I594)</f>
        <v/>
      </c>
      <c r="Y594">
        <f>IF(AND($A594=RELATORIO_MEDICAO!$C$5,$C594=RELATORIO_MEDICAO!$F$5,$A594&lt;&gt;""),COUNTIFS($A$3:$A594,RELATORIO_MEDICAO!$C$5,$C$3:$C594,RELATORIO_MEDICAO!$F$5),"")</f>
        <v/>
      </c>
      <c r="Z594">
        <f>IF(OR($A594="",PESQUISA!$C$4=""),0,IF(OR(ISNUMBER(SEARCH(PESQUISA!$C$4,$G594)),ISNUMBER(SEARCH(PESQUISA!$C$4,$K594)),ISNUMBER(SEARCH(PESQUISA!$C$4,$L594))),1,0))</f>
        <v/>
      </c>
      <c r="AA594">
        <f>IF($Z594=1,SUM($Z$3:$Z594),"")</f>
        <v/>
      </c>
      <c r="AB594">
        <f>IF(OR($A594="",PESQUISA!$C$50=""),0,IF(ISNUMBER(SEARCH(PESQUISA!$C$50,$I594)),1,0))</f>
        <v/>
      </c>
      <c r="AC594">
        <f>IF($AB594=1,SUM($AB$3:$AB594),"")</f>
        <v/>
      </c>
    </row>
    <row r="595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0">
        <f>IFERROR(INDEX(CONFIGURACOES!$G$37:$G$300,MATCH($I595,CONFIGURACOES!$B$37:$B$300,0)),"")</f>
        <v/>
      </c>
      <c r="K595" s="20">
        <f>IFERROR(INDEX(CONFIGURACOES!$H$37:$H$300,MATCH($I595,CONFIGURACOES!$B$37:$B$300,0)),"")</f>
        <v/>
      </c>
      <c r="L595" s="20" t="n"/>
      <c r="M595" s="20">
        <f>IFERROR(INDEX(CONFIGURACOES!$I$37:$I$300,MATCH($I595,CONFIGURACOES!$B$37:$B$300,0)),"")</f>
        <v/>
      </c>
      <c r="N595" s="21" t="n"/>
      <c r="O595" s="21" t="n"/>
      <c r="P595" s="21" t="n"/>
      <c r="Q595" s="21" t="n"/>
      <c r="R595" s="21">
        <f>IF($N595="","",$N595*IF($Q595="",1,$Q595)*IF($P595="",1,$P595)*IF($O595="",1,$O595))</f>
        <v/>
      </c>
      <c r="S595" s="22">
        <f>IFERROR(INDEX(CONFIGURACOES!$J$37:$J$300,MATCH($I595,CONFIGURACOES!$B$37:$B$300,0)),"")</f>
        <v/>
      </c>
      <c r="T595" s="22">
        <f>IF(OR($R595="",$S595=""),"",$R595*$S595)</f>
        <v/>
      </c>
      <c r="U595" s="20" t="n"/>
      <c r="V595" s="20" t="n"/>
      <c r="W595" s="20" t="n"/>
      <c r="X595">
        <f>IF($A595="","",$A595&amp;"|"&amp;$C595&amp;"|"&amp;$I595)</f>
        <v/>
      </c>
      <c r="Y595">
        <f>IF(AND($A595=RELATORIO_MEDICAO!$C$5,$C595=RELATORIO_MEDICAO!$F$5,$A595&lt;&gt;""),COUNTIFS($A$3:$A595,RELATORIO_MEDICAO!$C$5,$C$3:$C595,RELATORIO_MEDICAO!$F$5),"")</f>
        <v/>
      </c>
      <c r="Z595">
        <f>IF(OR($A595="",PESQUISA!$C$4=""),0,IF(OR(ISNUMBER(SEARCH(PESQUISA!$C$4,$G595)),ISNUMBER(SEARCH(PESQUISA!$C$4,$K595)),ISNUMBER(SEARCH(PESQUISA!$C$4,$L595))),1,0))</f>
        <v/>
      </c>
      <c r="AA595">
        <f>IF($Z595=1,SUM($Z$3:$Z595),"")</f>
        <v/>
      </c>
      <c r="AB595">
        <f>IF(OR($A595="",PESQUISA!$C$50=""),0,IF(ISNUMBER(SEARCH(PESQUISA!$C$50,$I595)),1,0))</f>
        <v/>
      </c>
      <c r="AC595">
        <f>IF($AB595=1,SUM($AB$3:$AB595),"")</f>
        <v/>
      </c>
    </row>
    <row r="596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0">
        <f>IFERROR(INDEX(CONFIGURACOES!$G$37:$G$300,MATCH($I596,CONFIGURACOES!$B$37:$B$300,0)),"")</f>
        <v/>
      </c>
      <c r="K596" s="20">
        <f>IFERROR(INDEX(CONFIGURACOES!$H$37:$H$300,MATCH($I596,CONFIGURACOES!$B$37:$B$300,0)),"")</f>
        <v/>
      </c>
      <c r="L596" s="20" t="n"/>
      <c r="M596" s="20">
        <f>IFERROR(INDEX(CONFIGURACOES!$I$37:$I$300,MATCH($I596,CONFIGURACOES!$B$37:$B$300,0)),"")</f>
        <v/>
      </c>
      <c r="N596" s="21" t="n"/>
      <c r="O596" s="21" t="n"/>
      <c r="P596" s="21" t="n"/>
      <c r="Q596" s="21" t="n"/>
      <c r="R596" s="21">
        <f>IF($N596="","",$N596*IF($Q596="",1,$Q596)*IF($P596="",1,$P596)*IF($O596="",1,$O596))</f>
        <v/>
      </c>
      <c r="S596" s="22">
        <f>IFERROR(INDEX(CONFIGURACOES!$J$37:$J$300,MATCH($I596,CONFIGURACOES!$B$37:$B$300,0)),"")</f>
        <v/>
      </c>
      <c r="T596" s="22">
        <f>IF(OR($R596="",$S596=""),"",$R596*$S596)</f>
        <v/>
      </c>
      <c r="U596" s="20" t="n"/>
      <c r="V596" s="20" t="n"/>
      <c r="W596" s="20" t="n"/>
      <c r="X596">
        <f>IF($A596="","",$A596&amp;"|"&amp;$C596&amp;"|"&amp;$I596)</f>
        <v/>
      </c>
      <c r="Y596">
        <f>IF(AND($A596=RELATORIO_MEDICAO!$C$5,$C596=RELATORIO_MEDICAO!$F$5,$A596&lt;&gt;""),COUNTIFS($A$3:$A596,RELATORIO_MEDICAO!$C$5,$C$3:$C596,RELATORIO_MEDICAO!$F$5),"")</f>
        <v/>
      </c>
      <c r="Z596">
        <f>IF(OR($A596="",PESQUISA!$C$4=""),0,IF(OR(ISNUMBER(SEARCH(PESQUISA!$C$4,$G596)),ISNUMBER(SEARCH(PESQUISA!$C$4,$K596)),ISNUMBER(SEARCH(PESQUISA!$C$4,$L596))),1,0))</f>
        <v/>
      </c>
      <c r="AA596">
        <f>IF($Z596=1,SUM($Z$3:$Z596),"")</f>
        <v/>
      </c>
      <c r="AB596">
        <f>IF(OR($A596="",PESQUISA!$C$50=""),0,IF(ISNUMBER(SEARCH(PESQUISA!$C$50,$I596)),1,0))</f>
        <v/>
      </c>
      <c r="AC596">
        <f>IF($AB596=1,SUM($AB$3:$AB596),"")</f>
        <v/>
      </c>
    </row>
    <row r="597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>
        <f>IFERROR(INDEX(CONFIGURACOES!$G$37:$G$300,MATCH($I597,CONFIGURACOES!$B$37:$B$300,0)),"")</f>
        <v/>
      </c>
      <c r="K597" s="20">
        <f>IFERROR(INDEX(CONFIGURACOES!$H$37:$H$300,MATCH($I597,CONFIGURACOES!$B$37:$B$300,0)),"")</f>
        <v/>
      </c>
      <c r="L597" s="20" t="n"/>
      <c r="M597" s="20">
        <f>IFERROR(INDEX(CONFIGURACOES!$I$37:$I$300,MATCH($I597,CONFIGURACOES!$B$37:$B$300,0)),"")</f>
        <v/>
      </c>
      <c r="N597" s="21" t="n"/>
      <c r="O597" s="21" t="n"/>
      <c r="P597" s="21" t="n"/>
      <c r="Q597" s="21" t="n"/>
      <c r="R597" s="21">
        <f>IF($N597="","",$N597*IF($Q597="",1,$Q597)*IF($P597="",1,$P597)*IF($O597="",1,$O597))</f>
        <v/>
      </c>
      <c r="S597" s="22">
        <f>IFERROR(INDEX(CONFIGURACOES!$J$37:$J$300,MATCH($I597,CONFIGURACOES!$B$37:$B$300,0)),"")</f>
        <v/>
      </c>
      <c r="T597" s="22">
        <f>IF(OR($R597="",$S597=""),"",$R597*$S597)</f>
        <v/>
      </c>
      <c r="U597" s="20" t="n"/>
      <c r="V597" s="20" t="n"/>
      <c r="W597" s="20" t="n"/>
      <c r="X597">
        <f>IF($A597="","",$A597&amp;"|"&amp;$C597&amp;"|"&amp;$I597)</f>
        <v/>
      </c>
      <c r="Y597">
        <f>IF(AND($A597=RELATORIO_MEDICAO!$C$5,$C597=RELATORIO_MEDICAO!$F$5,$A597&lt;&gt;""),COUNTIFS($A$3:$A597,RELATORIO_MEDICAO!$C$5,$C$3:$C597,RELATORIO_MEDICAO!$F$5),"")</f>
        <v/>
      </c>
      <c r="Z597">
        <f>IF(OR($A597="",PESQUISA!$C$4=""),0,IF(OR(ISNUMBER(SEARCH(PESQUISA!$C$4,$G597)),ISNUMBER(SEARCH(PESQUISA!$C$4,$K597)),ISNUMBER(SEARCH(PESQUISA!$C$4,$L597))),1,0))</f>
        <v/>
      </c>
      <c r="AA597">
        <f>IF($Z597=1,SUM($Z$3:$Z597),"")</f>
        <v/>
      </c>
      <c r="AB597">
        <f>IF(OR($A597="",PESQUISA!$C$50=""),0,IF(ISNUMBER(SEARCH(PESQUISA!$C$50,$I597)),1,0))</f>
        <v/>
      </c>
      <c r="AC597">
        <f>IF($AB597=1,SUM($AB$3:$AB597),"")</f>
        <v/>
      </c>
    </row>
    <row r="59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>
        <f>IFERROR(INDEX(CONFIGURACOES!$G$37:$G$300,MATCH($I598,CONFIGURACOES!$B$37:$B$300,0)),"")</f>
        <v/>
      </c>
      <c r="K598" s="20">
        <f>IFERROR(INDEX(CONFIGURACOES!$H$37:$H$300,MATCH($I598,CONFIGURACOES!$B$37:$B$300,0)),"")</f>
        <v/>
      </c>
      <c r="L598" s="20" t="n"/>
      <c r="M598" s="20">
        <f>IFERROR(INDEX(CONFIGURACOES!$I$37:$I$300,MATCH($I598,CONFIGURACOES!$B$37:$B$300,0)),"")</f>
        <v/>
      </c>
      <c r="N598" s="21" t="n"/>
      <c r="O598" s="21" t="n"/>
      <c r="P598" s="21" t="n"/>
      <c r="Q598" s="21" t="n"/>
      <c r="R598" s="21">
        <f>IF($N598="","",$N598*IF($Q598="",1,$Q598)*IF($P598="",1,$P598)*IF($O598="",1,$O598))</f>
        <v/>
      </c>
      <c r="S598" s="22">
        <f>IFERROR(INDEX(CONFIGURACOES!$J$37:$J$300,MATCH($I598,CONFIGURACOES!$B$37:$B$300,0)),"")</f>
        <v/>
      </c>
      <c r="T598" s="22">
        <f>IF(OR($R598="",$S598=""),"",$R598*$S598)</f>
        <v/>
      </c>
      <c r="U598" s="20" t="n"/>
      <c r="V598" s="20" t="n"/>
      <c r="W598" s="20" t="n"/>
      <c r="X598">
        <f>IF($A598="","",$A598&amp;"|"&amp;$C598&amp;"|"&amp;$I598)</f>
        <v/>
      </c>
      <c r="Y598">
        <f>IF(AND($A598=RELATORIO_MEDICAO!$C$5,$C598=RELATORIO_MEDICAO!$F$5,$A598&lt;&gt;""),COUNTIFS($A$3:$A598,RELATORIO_MEDICAO!$C$5,$C$3:$C598,RELATORIO_MEDICAO!$F$5),"")</f>
        <v/>
      </c>
      <c r="Z598">
        <f>IF(OR($A598="",PESQUISA!$C$4=""),0,IF(OR(ISNUMBER(SEARCH(PESQUISA!$C$4,$G598)),ISNUMBER(SEARCH(PESQUISA!$C$4,$K598)),ISNUMBER(SEARCH(PESQUISA!$C$4,$L598))),1,0))</f>
        <v/>
      </c>
      <c r="AA598">
        <f>IF($Z598=1,SUM($Z$3:$Z598),"")</f>
        <v/>
      </c>
      <c r="AB598">
        <f>IF(OR($A598="",PESQUISA!$C$50=""),0,IF(ISNUMBER(SEARCH(PESQUISA!$C$50,$I598)),1,0))</f>
        <v/>
      </c>
      <c r="AC598">
        <f>IF($AB598=1,SUM($AB$3:$AB598),"")</f>
        <v/>
      </c>
    </row>
    <row r="599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>
        <f>IFERROR(INDEX(CONFIGURACOES!$G$37:$G$300,MATCH($I599,CONFIGURACOES!$B$37:$B$300,0)),"")</f>
        <v/>
      </c>
      <c r="K599" s="20">
        <f>IFERROR(INDEX(CONFIGURACOES!$H$37:$H$300,MATCH($I599,CONFIGURACOES!$B$37:$B$300,0)),"")</f>
        <v/>
      </c>
      <c r="L599" s="20" t="n"/>
      <c r="M599" s="20">
        <f>IFERROR(INDEX(CONFIGURACOES!$I$37:$I$300,MATCH($I599,CONFIGURACOES!$B$37:$B$300,0)),"")</f>
        <v/>
      </c>
      <c r="N599" s="21" t="n"/>
      <c r="O599" s="21" t="n"/>
      <c r="P599" s="21" t="n"/>
      <c r="Q599" s="21" t="n"/>
      <c r="R599" s="21">
        <f>IF($N599="","",$N599*IF($Q599="",1,$Q599)*IF($P599="",1,$P599)*IF($O599="",1,$O599))</f>
        <v/>
      </c>
      <c r="S599" s="22">
        <f>IFERROR(INDEX(CONFIGURACOES!$J$37:$J$300,MATCH($I599,CONFIGURACOES!$B$37:$B$300,0)),"")</f>
        <v/>
      </c>
      <c r="T599" s="22">
        <f>IF(OR($R599="",$S599=""),"",$R599*$S599)</f>
        <v/>
      </c>
      <c r="U599" s="20" t="n"/>
      <c r="V599" s="20" t="n"/>
      <c r="W599" s="20" t="n"/>
      <c r="X599">
        <f>IF($A599="","",$A599&amp;"|"&amp;$C599&amp;"|"&amp;$I599)</f>
        <v/>
      </c>
      <c r="Y599">
        <f>IF(AND($A599=RELATORIO_MEDICAO!$C$5,$C599=RELATORIO_MEDICAO!$F$5,$A599&lt;&gt;""),COUNTIFS($A$3:$A599,RELATORIO_MEDICAO!$C$5,$C$3:$C599,RELATORIO_MEDICAO!$F$5),"")</f>
        <v/>
      </c>
      <c r="Z599">
        <f>IF(OR($A599="",PESQUISA!$C$4=""),0,IF(OR(ISNUMBER(SEARCH(PESQUISA!$C$4,$G599)),ISNUMBER(SEARCH(PESQUISA!$C$4,$K599)),ISNUMBER(SEARCH(PESQUISA!$C$4,$L599))),1,0))</f>
        <v/>
      </c>
      <c r="AA599">
        <f>IF($Z599=1,SUM($Z$3:$Z599),"")</f>
        <v/>
      </c>
      <c r="AB599">
        <f>IF(OR($A599="",PESQUISA!$C$50=""),0,IF(ISNUMBER(SEARCH(PESQUISA!$C$50,$I599)),1,0))</f>
        <v/>
      </c>
      <c r="AC599">
        <f>IF($AB599=1,SUM($AB$3:$AB599),"")</f>
        <v/>
      </c>
    </row>
    <row r="600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>
        <f>IFERROR(INDEX(CONFIGURACOES!$G$37:$G$300,MATCH($I600,CONFIGURACOES!$B$37:$B$300,0)),"")</f>
        <v/>
      </c>
      <c r="K600" s="20">
        <f>IFERROR(INDEX(CONFIGURACOES!$H$37:$H$300,MATCH($I600,CONFIGURACOES!$B$37:$B$300,0)),"")</f>
        <v/>
      </c>
      <c r="L600" s="20" t="n"/>
      <c r="M600" s="20">
        <f>IFERROR(INDEX(CONFIGURACOES!$I$37:$I$300,MATCH($I600,CONFIGURACOES!$B$37:$B$300,0)),"")</f>
        <v/>
      </c>
      <c r="N600" s="21" t="n"/>
      <c r="O600" s="21" t="n"/>
      <c r="P600" s="21" t="n"/>
      <c r="Q600" s="21" t="n"/>
      <c r="R600" s="21">
        <f>IF($N600="","",$N600*IF($Q600="",1,$Q600)*IF($P600="",1,$P600)*IF($O600="",1,$O600))</f>
        <v/>
      </c>
      <c r="S600" s="22">
        <f>IFERROR(INDEX(CONFIGURACOES!$J$37:$J$300,MATCH($I600,CONFIGURACOES!$B$37:$B$300,0)),"")</f>
        <v/>
      </c>
      <c r="T600" s="22">
        <f>IF(OR($R600="",$S600=""),"",$R600*$S600)</f>
        <v/>
      </c>
      <c r="U600" s="20" t="n"/>
      <c r="V600" s="20" t="n"/>
      <c r="W600" s="20" t="n"/>
      <c r="X600">
        <f>IF($A600="","",$A600&amp;"|"&amp;$C600&amp;"|"&amp;$I600)</f>
        <v/>
      </c>
      <c r="Y600">
        <f>IF(AND($A600=RELATORIO_MEDICAO!$C$5,$C600=RELATORIO_MEDICAO!$F$5,$A600&lt;&gt;""),COUNTIFS($A$3:$A600,RELATORIO_MEDICAO!$C$5,$C$3:$C600,RELATORIO_MEDICAO!$F$5),"")</f>
        <v/>
      </c>
      <c r="Z600">
        <f>IF(OR($A600="",PESQUISA!$C$4=""),0,IF(OR(ISNUMBER(SEARCH(PESQUISA!$C$4,$G600)),ISNUMBER(SEARCH(PESQUISA!$C$4,$K600)),ISNUMBER(SEARCH(PESQUISA!$C$4,$L600))),1,0))</f>
        <v/>
      </c>
      <c r="AA600">
        <f>IF($Z600=1,SUM($Z$3:$Z600),"")</f>
        <v/>
      </c>
      <c r="AB600">
        <f>IF(OR($A600="",PESQUISA!$C$50=""),0,IF(ISNUMBER(SEARCH(PESQUISA!$C$50,$I600)),1,0))</f>
        <v/>
      </c>
      <c r="AC600">
        <f>IF($AB600=1,SUM($AB$3:$AB600),"")</f>
        <v/>
      </c>
    </row>
    <row r="601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>
        <f>IFERROR(INDEX(CONFIGURACOES!$G$37:$G$300,MATCH($I601,CONFIGURACOES!$B$37:$B$300,0)),"")</f>
        <v/>
      </c>
      <c r="K601" s="20">
        <f>IFERROR(INDEX(CONFIGURACOES!$H$37:$H$300,MATCH($I601,CONFIGURACOES!$B$37:$B$300,0)),"")</f>
        <v/>
      </c>
      <c r="L601" s="20" t="n"/>
      <c r="M601" s="20">
        <f>IFERROR(INDEX(CONFIGURACOES!$I$37:$I$300,MATCH($I601,CONFIGURACOES!$B$37:$B$300,0)),"")</f>
        <v/>
      </c>
      <c r="N601" s="21" t="n"/>
      <c r="O601" s="21" t="n"/>
      <c r="P601" s="21" t="n"/>
      <c r="Q601" s="21" t="n"/>
      <c r="R601" s="21">
        <f>IF($N601="","",$N601*IF($Q601="",1,$Q601)*IF($P601="",1,$P601)*IF($O601="",1,$O601))</f>
        <v/>
      </c>
      <c r="S601" s="22">
        <f>IFERROR(INDEX(CONFIGURACOES!$J$37:$J$300,MATCH($I601,CONFIGURACOES!$B$37:$B$300,0)),"")</f>
        <v/>
      </c>
      <c r="T601" s="22">
        <f>IF(OR($R601="",$S601=""),"",$R601*$S601)</f>
        <v/>
      </c>
      <c r="U601" s="20" t="n"/>
      <c r="V601" s="20" t="n"/>
      <c r="W601" s="20" t="n"/>
      <c r="X601">
        <f>IF($A601="","",$A601&amp;"|"&amp;$C601&amp;"|"&amp;$I601)</f>
        <v/>
      </c>
      <c r="Y601">
        <f>IF(AND($A601=RELATORIO_MEDICAO!$C$5,$C601=RELATORIO_MEDICAO!$F$5,$A601&lt;&gt;""),COUNTIFS($A$3:$A601,RELATORIO_MEDICAO!$C$5,$C$3:$C601,RELATORIO_MEDICAO!$F$5),"")</f>
        <v/>
      </c>
      <c r="Z601">
        <f>IF(OR($A601="",PESQUISA!$C$4=""),0,IF(OR(ISNUMBER(SEARCH(PESQUISA!$C$4,$G601)),ISNUMBER(SEARCH(PESQUISA!$C$4,$K601)),ISNUMBER(SEARCH(PESQUISA!$C$4,$L601))),1,0))</f>
        <v/>
      </c>
      <c r="AA601">
        <f>IF($Z601=1,SUM($Z$3:$Z601),"")</f>
        <v/>
      </c>
      <c r="AB601">
        <f>IF(OR($A601="",PESQUISA!$C$50=""),0,IF(ISNUMBER(SEARCH(PESQUISA!$C$50,$I601)),1,0))</f>
        <v/>
      </c>
      <c r="AC601">
        <f>IF($AB601=1,SUM($AB$3:$AB601),"")</f>
        <v/>
      </c>
    </row>
    <row r="602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>
        <f>IFERROR(INDEX(CONFIGURACOES!$G$37:$G$300,MATCH($I602,CONFIGURACOES!$B$37:$B$300,0)),"")</f>
        <v/>
      </c>
      <c r="K602" s="20">
        <f>IFERROR(INDEX(CONFIGURACOES!$H$37:$H$300,MATCH($I602,CONFIGURACOES!$B$37:$B$300,0)),"")</f>
        <v/>
      </c>
      <c r="L602" s="20" t="n"/>
      <c r="M602" s="20">
        <f>IFERROR(INDEX(CONFIGURACOES!$I$37:$I$300,MATCH($I602,CONFIGURACOES!$B$37:$B$300,0)),"")</f>
        <v/>
      </c>
      <c r="N602" s="21" t="n"/>
      <c r="O602" s="21" t="n"/>
      <c r="P602" s="21" t="n"/>
      <c r="Q602" s="21" t="n"/>
      <c r="R602" s="21">
        <f>IF($N602="","",$N602*IF($Q602="",1,$Q602)*IF($P602="",1,$P602)*IF($O602="",1,$O602))</f>
        <v/>
      </c>
      <c r="S602" s="22">
        <f>IFERROR(INDEX(CONFIGURACOES!$J$37:$J$300,MATCH($I602,CONFIGURACOES!$B$37:$B$300,0)),"")</f>
        <v/>
      </c>
      <c r="T602" s="22">
        <f>IF(OR($R602="",$S602=""),"",$R602*$S602)</f>
        <v/>
      </c>
      <c r="U602" s="20" t="n"/>
      <c r="V602" s="20" t="n"/>
      <c r="W602" s="20" t="n"/>
      <c r="X602">
        <f>IF($A602="","",$A602&amp;"|"&amp;$C602&amp;"|"&amp;$I602)</f>
        <v/>
      </c>
      <c r="Y602">
        <f>IF(AND($A602=RELATORIO_MEDICAO!$C$5,$C602=RELATORIO_MEDICAO!$F$5,$A602&lt;&gt;""),COUNTIFS($A$3:$A602,RELATORIO_MEDICAO!$C$5,$C$3:$C602,RELATORIO_MEDICAO!$F$5),"")</f>
        <v/>
      </c>
      <c r="Z602">
        <f>IF(OR($A602="",PESQUISA!$C$4=""),0,IF(OR(ISNUMBER(SEARCH(PESQUISA!$C$4,$G602)),ISNUMBER(SEARCH(PESQUISA!$C$4,$K602)),ISNUMBER(SEARCH(PESQUISA!$C$4,$L602))),1,0))</f>
        <v/>
      </c>
      <c r="AA602">
        <f>IF($Z602=1,SUM($Z$3:$Z602),"")</f>
        <v/>
      </c>
      <c r="AB602">
        <f>IF(OR($A602="",PESQUISA!$C$50=""),0,IF(ISNUMBER(SEARCH(PESQUISA!$C$50,$I602)),1,0))</f>
        <v/>
      </c>
      <c r="AC602">
        <f>IF($AB602=1,SUM($AB$3:$AB602),"")</f>
        <v/>
      </c>
    </row>
    <row r="603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>
        <f>IFERROR(INDEX(CONFIGURACOES!$G$37:$G$300,MATCH($I603,CONFIGURACOES!$B$37:$B$300,0)),"")</f>
        <v/>
      </c>
      <c r="K603" s="20">
        <f>IFERROR(INDEX(CONFIGURACOES!$H$37:$H$300,MATCH($I603,CONFIGURACOES!$B$37:$B$300,0)),"")</f>
        <v/>
      </c>
      <c r="L603" s="20" t="n"/>
      <c r="M603" s="20">
        <f>IFERROR(INDEX(CONFIGURACOES!$I$37:$I$300,MATCH($I603,CONFIGURACOES!$B$37:$B$300,0)),"")</f>
        <v/>
      </c>
      <c r="N603" s="21" t="n"/>
      <c r="O603" s="21" t="n"/>
      <c r="P603" s="21" t="n"/>
      <c r="Q603" s="21" t="n"/>
      <c r="R603" s="21">
        <f>IF($N603="","",$N603*IF($Q603="",1,$Q603)*IF($P603="",1,$P603)*IF($O603="",1,$O603))</f>
        <v/>
      </c>
      <c r="S603" s="22">
        <f>IFERROR(INDEX(CONFIGURACOES!$J$37:$J$300,MATCH($I603,CONFIGURACOES!$B$37:$B$300,0)),"")</f>
        <v/>
      </c>
      <c r="T603" s="22">
        <f>IF(OR($R603="",$S603=""),"",$R603*$S603)</f>
        <v/>
      </c>
      <c r="U603" s="20" t="n"/>
      <c r="V603" s="20" t="n"/>
      <c r="W603" s="20" t="n"/>
      <c r="X603">
        <f>IF($A603="","",$A603&amp;"|"&amp;$C603&amp;"|"&amp;$I603)</f>
        <v/>
      </c>
      <c r="Y603">
        <f>IF(AND($A603=RELATORIO_MEDICAO!$C$5,$C603=RELATORIO_MEDICAO!$F$5,$A603&lt;&gt;""),COUNTIFS($A$3:$A603,RELATORIO_MEDICAO!$C$5,$C$3:$C603,RELATORIO_MEDICAO!$F$5),"")</f>
        <v/>
      </c>
      <c r="Z603">
        <f>IF(OR($A603="",PESQUISA!$C$4=""),0,IF(OR(ISNUMBER(SEARCH(PESQUISA!$C$4,$G603)),ISNUMBER(SEARCH(PESQUISA!$C$4,$K603)),ISNUMBER(SEARCH(PESQUISA!$C$4,$L603))),1,0))</f>
        <v/>
      </c>
      <c r="AA603">
        <f>IF($Z603=1,SUM($Z$3:$Z603),"")</f>
        <v/>
      </c>
      <c r="AB603">
        <f>IF(OR($A603="",PESQUISA!$C$50=""),0,IF(ISNUMBER(SEARCH(PESQUISA!$C$50,$I603)),1,0))</f>
        <v/>
      </c>
      <c r="AC603">
        <f>IF($AB603=1,SUM($AB$3:$AB603),"")</f>
        <v/>
      </c>
    </row>
    <row r="604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>
        <f>IFERROR(INDEX(CONFIGURACOES!$G$37:$G$300,MATCH($I604,CONFIGURACOES!$B$37:$B$300,0)),"")</f>
        <v/>
      </c>
      <c r="K604" s="20">
        <f>IFERROR(INDEX(CONFIGURACOES!$H$37:$H$300,MATCH($I604,CONFIGURACOES!$B$37:$B$300,0)),"")</f>
        <v/>
      </c>
      <c r="L604" s="20" t="n"/>
      <c r="M604" s="20">
        <f>IFERROR(INDEX(CONFIGURACOES!$I$37:$I$300,MATCH($I604,CONFIGURACOES!$B$37:$B$300,0)),"")</f>
        <v/>
      </c>
      <c r="N604" s="21" t="n"/>
      <c r="O604" s="21" t="n"/>
      <c r="P604" s="21" t="n"/>
      <c r="Q604" s="21" t="n"/>
      <c r="R604" s="21">
        <f>IF($N604="","",$N604*IF($Q604="",1,$Q604)*IF($P604="",1,$P604)*IF($O604="",1,$O604))</f>
        <v/>
      </c>
      <c r="S604" s="22">
        <f>IFERROR(INDEX(CONFIGURACOES!$J$37:$J$300,MATCH($I604,CONFIGURACOES!$B$37:$B$300,0)),"")</f>
        <v/>
      </c>
      <c r="T604" s="22">
        <f>IF(OR($R604="",$S604=""),"",$R604*$S604)</f>
        <v/>
      </c>
      <c r="U604" s="20" t="n"/>
      <c r="V604" s="20" t="n"/>
      <c r="W604" s="20" t="n"/>
      <c r="X604">
        <f>IF($A604="","",$A604&amp;"|"&amp;$C604&amp;"|"&amp;$I604)</f>
        <v/>
      </c>
      <c r="Y604">
        <f>IF(AND($A604=RELATORIO_MEDICAO!$C$5,$C604=RELATORIO_MEDICAO!$F$5,$A604&lt;&gt;""),COUNTIFS($A$3:$A604,RELATORIO_MEDICAO!$C$5,$C$3:$C604,RELATORIO_MEDICAO!$F$5),"")</f>
        <v/>
      </c>
      <c r="Z604">
        <f>IF(OR($A604="",PESQUISA!$C$4=""),0,IF(OR(ISNUMBER(SEARCH(PESQUISA!$C$4,$G604)),ISNUMBER(SEARCH(PESQUISA!$C$4,$K604)),ISNUMBER(SEARCH(PESQUISA!$C$4,$L604))),1,0))</f>
        <v/>
      </c>
      <c r="AA604">
        <f>IF($Z604=1,SUM($Z$3:$Z604),"")</f>
        <v/>
      </c>
      <c r="AB604">
        <f>IF(OR($A604="",PESQUISA!$C$50=""),0,IF(ISNUMBER(SEARCH(PESQUISA!$C$50,$I604)),1,0))</f>
        <v/>
      </c>
      <c r="AC604">
        <f>IF($AB604=1,SUM($AB$3:$AB604),"")</f>
        <v/>
      </c>
    </row>
    <row r="60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>
        <f>IFERROR(INDEX(CONFIGURACOES!$G$37:$G$300,MATCH($I605,CONFIGURACOES!$B$37:$B$300,0)),"")</f>
        <v/>
      </c>
      <c r="K605" s="20">
        <f>IFERROR(INDEX(CONFIGURACOES!$H$37:$H$300,MATCH($I605,CONFIGURACOES!$B$37:$B$300,0)),"")</f>
        <v/>
      </c>
      <c r="L605" s="20" t="n"/>
      <c r="M605" s="20">
        <f>IFERROR(INDEX(CONFIGURACOES!$I$37:$I$300,MATCH($I605,CONFIGURACOES!$B$37:$B$300,0)),"")</f>
        <v/>
      </c>
      <c r="N605" s="21" t="n"/>
      <c r="O605" s="21" t="n"/>
      <c r="P605" s="21" t="n"/>
      <c r="Q605" s="21" t="n"/>
      <c r="R605" s="21">
        <f>IF($N605="","",$N605*IF($Q605="",1,$Q605)*IF($P605="",1,$P605)*IF($O605="",1,$O605))</f>
        <v/>
      </c>
      <c r="S605" s="22">
        <f>IFERROR(INDEX(CONFIGURACOES!$J$37:$J$300,MATCH($I605,CONFIGURACOES!$B$37:$B$300,0)),"")</f>
        <v/>
      </c>
      <c r="T605" s="22">
        <f>IF(OR($R605="",$S605=""),"",$R605*$S605)</f>
        <v/>
      </c>
      <c r="U605" s="20" t="n"/>
      <c r="V605" s="20" t="n"/>
      <c r="W605" s="20" t="n"/>
      <c r="X605">
        <f>IF($A605="","",$A605&amp;"|"&amp;$C605&amp;"|"&amp;$I605)</f>
        <v/>
      </c>
      <c r="Y605">
        <f>IF(AND($A605=RELATORIO_MEDICAO!$C$5,$C605=RELATORIO_MEDICAO!$F$5,$A605&lt;&gt;""),COUNTIFS($A$3:$A605,RELATORIO_MEDICAO!$C$5,$C$3:$C605,RELATORIO_MEDICAO!$F$5),"")</f>
        <v/>
      </c>
      <c r="Z605">
        <f>IF(OR($A605="",PESQUISA!$C$4=""),0,IF(OR(ISNUMBER(SEARCH(PESQUISA!$C$4,$G605)),ISNUMBER(SEARCH(PESQUISA!$C$4,$K605)),ISNUMBER(SEARCH(PESQUISA!$C$4,$L605))),1,0))</f>
        <v/>
      </c>
      <c r="AA605">
        <f>IF($Z605=1,SUM($Z$3:$Z605),"")</f>
        <v/>
      </c>
      <c r="AB605">
        <f>IF(OR($A605="",PESQUISA!$C$50=""),0,IF(ISNUMBER(SEARCH(PESQUISA!$C$50,$I605)),1,0))</f>
        <v/>
      </c>
      <c r="AC605">
        <f>IF($AB605=1,SUM($AB$3:$AB605),"")</f>
        <v/>
      </c>
    </row>
    <row r="606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>
        <f>IFERROR(INDEX(CONFIGURACOES!$G$37:$G$300,MATCH($I606,CONFIGURACOES!$B$37:$B$300,0)),"")</f>
        <v/>
      </c>
      <c r="K606" s="20">
        <f>IFERROR(INDEX(CONFIGURACOES!$H$37:$H$300,MATCH($I606,CONFIGURACOES!$B$37:$B$300,0)),"")</f>
        <v/>
      </c>
      <c r="L606" s="20" t="n"/>
      <c r="M606" s="20">
        <f>IFERROR(INDEX(CONFIGURACOES!$I$37:$I$300,MATCH($I606,CONFIGURACOES!$B$37:$B$300,0)),"")</f>
        <v/>
      </c>
      <c r="N606" s="21" t="n"/>
      <c r="O606" s="21" t="n"/>
      <c r="P606" s="21" t="n"/>
      <c r="Q606" s="21" t="n"/>
      <c r="R606" s="21">
        <f>IF($N606="","",$N606*IF($Q606="",1,$Q606)*IF($P606="",1,$P606)*IF($O606="",1,$O606))</f>
        <v/>
      </c>
      <c r="S606" s="22">
        <f>IFERROR(INDEX(CONFIGURACOES!$J$37:$J$300,MATCH($I606,CONFIGURACOES!$B$37:$B$300,0)),"")</f>
        <v/>
      </c>
      <c r="T606" s="22">
        <f>IF(OR($R606="",$S606=""),"",$R606*$S606)</f>
        <v/>
      </c>
      <c r="U606" s="20" t="n"/>
      <c r="V606" s="20" t="n"/>
      <c r="W606" s="20" t="n"/>
      <c r="X606">
        <f>IF($A606="","",$A606&amp;"|"&amp;$C606&amp;"|"&amp;$I606)</f>
        <v/>
      </c>
      <c r="Y606">
        <f>IF(AND($A606=RELATORIO_MEDICAO!$C$5,$C606=RELATORIO_MEDICAO!$F$5,$A606&lt;&gt;""),COUNTIFS($A$3:$A606,RELATORIO_MEDICAO!$C$5,$C$3:$C606,RELATORIO_MEDICAO!$F$5),"")</f>
        <v/>
      </c>
      <c r="Z606">
        <f>IF(OR($A606="",PESQUISA!$C$4=""),0,IF(OR(ISNUMBER(SEARCH(PESQUISA!$C$4,$G606)),ISNUMBER(SEARCH(PESQUISA!$C$4,$K606)),ISNUMBER(SEARCH(PESQUISA!$C$4,$L606))),1,0))</f>
        <v/>
      </c>
      <c r="AA606">
        <f>IF($Z606=1,SUM($Z$3:$Z606),"")</f>
        <v/>
      </c>
      <c r="AB606">
        <f>IF(OR($A606="",PESQUISA!$C$50=""),0,IF(ISNUMBER(SEARCH(PESQUISA!$C$50,$I606)),1,0))</f>
        <v/>
      </c>
      <c r="AC606">
        <f>IF($AB606=1,SUM($AB$3:$AB606),"")</f>
        <v/>
      </c>
    </row>
    <row r="607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>
        <f>IFERROR(INDEX(CONFIGURACOES!$G$37:$G$300,MATCH($I607,CONFIGURACOES!$B$37:$B$300,0)),"")</f>
        <v/>
      </c>
      <c r="K607" s="20">
        <f>IFERROR(INDEX(CONFIGURACOES!$H$37:$H$300,MATCH($I607,CONFIGURACOES!$B$37:$B$300,0)),"")</f>
        <v/>
      </c>
      <c r="L607" s="20" t="n"/>
      <c r="M607" s="20">
        <f>IFERROR(INDEX(CONFIGURACOES!$I$37:$I$300,MATCH($I607,CONFIGURACOES!$B$37:$B$300,0)),"")</f>
        <v/>
      </c>
      <c r="N607" s="21" t="n"/>
      <c r="O607" s="21" t="n"/>
      <c r="P607" s="21" t="n"/>
      <c r="Q607" s="21" t="n"/>
      <c r="R607" s="21">
        <f>IF($N607="","",$N607*IF($Q607="",1,$Q607)*IF($P607="",1,$P607)*IF($O607="",1,$O607))</f>
        <v/>
      </c>
      <c r="S607" s="22">
        <f>IFERROR(INDEX(CONFIGURACOES!$J$37:$J$300,MATCH($I607,CONFIGURACOES!$B$37:$B$300,0)),"")</f>
        <v/>
      </c>
      <c r="T607" s="22">
        <f>IF(OR($R607="",$S607=""),"",$R607*$S607)</f>
        <v/>
      </c>
      <c r="U607" s="20" t="n"/>
      <c r="V607" s="20" t="n"/>
      <c r="W607" s="20" t="n"/>
      <c r="X607">
        <f>IF($A607="","",$A607&amp;"|"&amp;$C607&amp;"|"&amp;$I607)</f>
        <v/>
      </c>
      <c r="Y607">
        <f>IF(AND($A607=RELATORIO_MEDICAO!$C$5,$C607=RELATORIO_MEDICAO!$F$5,$A607&lt;&gt;""),COUNTIFS($A$3:$A607,RELATORIO_MEDICAO!$C$5,$C$3:$C607,RELATORIO_MEDICAO!$F$5),"")</f>
        <v/>
      </c>
      <c r="Z607">
        <f>IF(OR($A607="",PESQUISA!$C$4=""),0,IF(OR(ISNUMBER(SEARCH(PESQUISA!$C$4,$G607)),ISNUMBER(SEARCH(PESQUISA!$C$4,$K607)),ISNUMBER(SEARCH(PESQUISA!$C$4,$L607))),1,0))</f>
        <v/>
      </c>
      <c r="AA607">
        <f>IF($Z607=1,SUM($Z$3:$Z607),"")</f>
        <v/>
      </c>
      <c r="AB607">
        <f>IF(OR($A607="",PESQUISA!$C$50=""),0,IF(ISNUMBER(SEARCH(PESQUISA!$C$50,$I607)),1,0))</f>
        <v/>
      </c>
      <c r="AC607">
        <f>IF($AB607=1,SUM($AB$3:$AB607),"")</f>
        <v/>
      </c>
    </row>
    <row r="60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>
        <f>IFERROR(INDEX(CONFIGURACOES!$G$37:$G$300,MATCH($I608,CONFIGURACOES!$B$37:$B$300,0)),"")</f>
        <v/>
      </c>
      <c r="K608" s="20">
        <f>IFERROR(INDEX(CONFIGURACOES!$H$37:$H$300,MATCH($I608,CONFIGURACOES!$B$37:$B$300,0)),"")</f>
        <v/>
      </c>
      <c r="L608" s="20" t="n"/>
      <c r="M608" s="20">
        <f>IFERROR(INDEX(CONFIGURACOES!$I$37:$I$300,MATCH($I608,CONFIGURACOES!$B$37:$B$300,0)),"")</f>
        <v/>
      </c>
      <c r="N608" s="21" t="n"/>
      <c r="O608" s="21" t="n"/>
      <c r="P608" s="21" t="n"/>
      <c r="Q608" s="21" t="n"/>
      <c r="R608" s="21">
        <f>IF($N608="","",$N608*IF($Q608="",1,$Q608)*IF($P608="",1,$P608)*IF($O608="",1,$O608))</f>
        <v/>
      </c>
      <c r="S608" s="22">
        <f>IFERROR(INDEX(CONFIGURACOES!$J$37:$J$300,MATCH($I608,CONFIGURACOES!$B$37:$B$300,0)),"")</f>
        <v/>
      </c>
      <c r="T608" s="22">
        <f>IF(OR($R608="",$S608=""),"",$R608*$S608)</f>
        <v/>
      </c>
      <c r="U608" s="20" t="n"/>
      <c r="V608" s="20" t="n"/>
      <c r="W608" s="20" t="n"/>
      <c r="X608">
        <f>IF($A608="","",$A608&amp;"|"&amp;$C608&amp;"|"&amp;$I608)</f>
        <v/>
      </c>
      <c r="Y608">
        <f>IF(AND($A608=RELATORIO_MEDICAO!$C$5,$C608=RELATORIO_MEDICAO!$F$5,$A608&lt;&gt;""),COUNTIFS($A$3:$A608,RELATORIO_MEDICAO!$C$5,$C$3:$C608,RELATORIO_MEDICAO!$F$5),"")</f>
        <v/>
      </c>
      <c r="Z608">
        <f>IF(OR($A608="",PESQUISA!$C$4=""),0,IF(OR(ISNUMBER(SEARCH(PESQUISA!$C$4,$G608)),ISNUMBER(SEARCH(PESQUISA!$C$4,$K608)),ISNUMBER(SEARCH(PESQUISA!$C$4,$L608))),1,0))</f>
        <v/>
      </c>
      <c r="AA608">
        <f>IF($Z608=1,SUM($Z$3:$Z608),"")</f>
        <v/>
      </c>
      <c r="AB608">
        <f>IF(OR($A608="",PESQUISA!$C$50=""),0,IF(ISNUMBER(SEARCH(PESQUISA!$C$50,$I608)),1,0))</f>
        <v/>
      </c>
      <c r="AC608">
        <f>IF($AB608=1,SUM($AB$3:$AB608),"")</f>
        <v/>
      </c>
    </row>
    <row r="609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>
        <f>IFERROR(INDEX(CONFIGURACOES!$G$37:$G$300,MATCH($I609,CONFIGURACOES!$B$37:$B$300,0)),"")</f>
        <v/>
      </c>
      <c r="K609" s="20">
        <f>IFERROR(INDEX(CONFIGURACOES!$H$37:$H$300,MATCH($I609,CONFIGURACOES!$B$37:$B$300,0)),"")</f>
        <v/>
      </c>
      <c r="L609" s="20" t="n"/>
      <c r="M609" s="20">
        <f>IFERROR(INDEX(CONFIGURACOES!$I$37:$I$300,MATCH($I609,CONFIGURACOES!$B$37:$B$300,0)),"")</f>
        <v/>
      </c>
      <c r="N609" s="21" t="n"/>
      <c r="O609" s="21" t="n"/>
      <c r="P609" s="21" t="n"/>
      <c r="Q609" s="21" t="n"/>
      <c r="R609" s="21">
        <f>IF($N609="","",$N609*IF($Q609="",1,$Q609)*IF($P609="",1,$P609)*IF($O609="",1,$O609))</f>
        <v/>
      </c>
      <c r="S609" s="22">
        <f>IFERROR(INDEX(CONFIGURACOES!$J$37:$J$300,MATCH($I609,CONFIGURACOES!$B$37:$B$300,0)),"")</f>
        <v/>
      </c>
      <c r="T609" s="22">
        <f>IF(OR($R609="",$S609=""),"",$R609*$S609)</f>
        <v/>
      </c>
      <c r="U609" s="20" t="n"/>
      <c r="V609" s="20" t="n"/>
      <c r="W609" s="20" t="n"/>
      <c r="X609">
        <f>IF($A609="","",$A609&amp;"|"&amp;$C609&amp;"|"&amp;$I609)</f>
        <v/>
      </c>
      <c r="Y609">
        <f>IF(AND($A609=RELATORIO_MEDICAO!$C$5,$C609=RELATORIO_MEDICAO!$F$5,$A609&lt;&gt;""),COUNTIFS($A$3:$A609,RELATORIO_MEDICAO!$C$5,$C$3:$C609,RELATORIO_MEDICAO!$F$5),"")</f>
        <v/>
      </c>
      <c r="Z609">
        <f>IF(OR($A609="",PESQUISA!$C$4=""),0,IF(OR(ISNUMBER(SEARCH(PESQUISA!$C$4,$G609)),ISNUMBER(SEARCH(PESQUISA!$C$4,$K609)),ISNUMBER(SEARCH(PESQUISA!$C$4,$L609))),1,0))</f>
        <v/>
      </c>
      <c r="AA609">
        <f>IF($Z609=1,SUM($Z$3:$Z609),"")</f>
        <v/>
      </c>
      <c r="AB609">
        <f>IF(OR($A609="",PESQUISA!$C$50=""),0,IF(ISNUMBER(SEARCH(PESQUISA!$C$50,$I609)),1,0))</f>
        <v/>
      </c>
      <c r="AC609">
        <f>IF($AB609=1,SUM($AB$3:$AB609),"")</f>
        <v/>
      </c>
    </row>
    <row r="610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>
        <f>IFERROR(INDEX(CONFIGURACOES!$G$37:$G$300,MATCH($I610,CONFIGURACOES!$B$37:$B$300,0)),"")</f>
        <v/>
      </c>
      <c r="K610" s="20">
        <f>IFERROR(INDEX(CONFIGURACOES!$H$37:$H$300,MATCH($I610,CONFIGURACOES!$B$37:$B$300,0)),"")</f>
        <v/>
      </c>
      <c r="L610" s="20" t="n"/>
      <c r="M610" s="20">
        <f>IFERROR(INDEX(CONFIGURACOES!$I$37:$I$300,MATCH($I610,CONFIGURACOES!$B$37:$B$300,0)),"")</f>
        <v/>
      </c>
      <c r="N610" s="21" t="n"/>
      <c r="O610" s="21" t="n"/>
      <c r="P610" s="21" t="n"/>
      <c r="Q610" s="21" t="n"/>
      <c r="R610" s="21">
        <f>IF($N610="","",$N610*IF($Q610="",1,$Q610)*IF($P610="",1,$P610)*IF($O610="",1,$O610))</f>
        <v/>
      </c>
      <c r="S610" s="22">
        <f>IFERROR(INDEX(CONFIGURACOES!$J$37:$J$300,MATCH($I610,CONFIGURACOES!$B$37:$B$300,0)),"")</f>
        <v/>
      </c>
      <c r="T610" s="22">
        <f>IF(OR($R610="",$S610=""),"",$R610*$S610)</f>
        <v/>
      </c>
      <c r="U610" s="20" t="n"/>
      <c r="V610" s="20" t="n"/>
      <c r="W610" s="20" t="n"/>
      <c r="X610">
        <f>IF($A610="","",$A610&amp;"|"&amp;$C610&amp;"|"&amp;$I610)</f>
        <v/>
      </c>
      <c r="Y610">
        <f>IF(AND($A610=RELATORIO_MEDICAO!$C$5,$C610=RELATORIO_MEDICAO!$F$5,$A610&lt;&gt;""),COUNTIFS($A$3:$A610,RELATORIO_MEDICAO!$C$5,$C$3:$C610,RELATORIO_MEDICAO!$F$5),"")</f>
        <v/>
      </c>
      <c r="Z610">
        <f>IF(OR($A610="",PESQUISA!$C$4=""),0,IF(OR(ISNUMBER(SEARCH(PESQUISA!$C$4,$G610)),ISNUMBER(SEARCH(PESQUISA!$C$4,$K610)),ISNUMBER(SEARCH(PESQUISA!$C$4,$L610))),1,0))</f>
        <v/>
      </c>
      <c r="AA610">
        <f>IF($Z610=1,SUM($Z$3:$Z610),"")</f>
        <v/>
      </c>
      <c r="AB610">
        <f>IF(OR($A610="",PESQUISA!$C$50=""),0,IF(ISNUMBER(SEARCH(PESQUISA!$C$50,$I610)),1,0))</f>
        <v/>
      </c>
      <c r="AC610">
        <f>IF($AB610=1,SUM($AB$3:$AB610),"")</f>
        <v/>
      </c>
    </row>
    <row r="611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>
        <f>IFERROR(INDEX(CONFIGURACOES!$G$37:$G$300,MATCH($I611,CONFIGURACOES!$B$37:$B$300,0)),"")</f>
        <v/>
      </c>
      <c r="K611" s="20">
        <f>IFERROR(INDEX(CONFIGURACOES!$H$37:$H$300,MATCH($I611,CONFIGURACOES!$B$37:$B$300,0)),"")</f>
        <v/>
      </c>
      <c r="L611" s="20" t="n"/>
      <c r="M611" s="20">
        <f>IFERROR(INDEX(CONFIGURACOES!$I$37:$I$300,MATCH($I611,CONFIGURACOES!$B$37:$B$300,0)),"")</f>
        <v/>
      </c>
      <c r="N611" s="21" t="n"/>
      <c r="O611" s="21" t="n"/>
      <c r="P611" s="21" t="n"/>
      <c r="Q611" s="21" t="n"/>
      <c r="R611" s="21">
        <f>IF($N611="","",$N611*IF($Q611="",1,$Q611)*IF($P611="",1,$P611)*IF($O611="",1,$O611))</f>
        <v/>
      </c>
      <c r="S611" s="22">
        <f>IFERROR(INDEX(CONFIGURACOES!$J$37:$J$300,MATCH($I611,CONFIGURACOES!$B$37:$B$300,0)),"")</f>
        <v/>
      </c>
      <c r="T611" s="22">
        <f>IF(OR($R611="",$S611=""),"",$R611*$S611)</f>
        <v/>
      </c>
      <c r="U611" s="20" t="n"/>
      <c r="V611" s="20" t="n"/>
      <c r="W611" s="20" t="n"/>
      <c r="X611">
        <f>IF($A611="","",$A611&amp;"|"&amp;$C611&amp;"|"&amp;$I611)</f>
        <v/>
      </c>
      <c r="Y611">
        <f>IF(AND($A611=RELATORIO_MEDICAO!$C$5,$C611=RELATORIO_MEDICAO!$F$5,$A611&lt;&gt;""),COUNTIFS($A$3:$A611,RELATORIO_MEDICAO!$C$5,$C$3:$C611,RELATORIO_MEDICAO!$F$5),"")</f>
        <v/>
      </c>
      <c r="Z611">
        <f>IF(OR($A611="",PESQUISA!$C$4=""),0,IF(OR(ISNUMBER(SEARCH(PESQUISA!$C$4,$G611)),ISNUMBER(SEARCH(PESQUISA!$C$4,$K611)),ISNUMBER(SEARCH(PESQUISA!$C$4,$L611))),1,0))</f>
        <v/>
      </c>
      <c r="AA611">
        <f>IF($Z611=1,SUM($Z$3:$Z611),"")</f>
        <v/>
      </c>
      <c r="AB611">
        <f>IF(OR($A611="",PESQUISA!$C$50=""),0,IF(ISNUMBER(SEARCH(PESQUISA!$C$50,$I611)),1,0))</f>
        <v/>
      </c>
      <c r="AC611">
        <f>IF($AB611=1,SUM($AB$3:$AB611),"")</f>
        <v/>
      </c>
    </row>
    <row r="612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>
        <f>IFERROR(INDEX(CONFIGURACOES!$G$37:$G$300,MATCH($I612,CONFIGURACOES!$B$37:$B$300,0)),"")</f>
        <v/>
      </c>
      <c r="K612" s="20">
        <f>IFERROR(INDEX(CONFIGURACOES!$H$37:$H$300,MATCH($I612,CONFIGURACOES!$B$37:$B$300,0)),"")</f>
        <v/>
      </c>
      <c r="L612" s="20" t="n"/>
      <c r="M612" s="20">
        <f>IFERROR(INDEX(CONFIGURACOES!$I$37:$I$300,MATCH($I612,CONFIGURACOES!$B$37:$B$300,0)),"")</f>
        <v/>
      </c>
      <c r="N612" s="21" t="n"/>
      <c r="O612" s="21" t="n"/>
      <c r="P612" s="21" t="n"/>
      <c r="Q612" s="21" t="n"/>
      <c r="R612" s="21">
        <f>IF($N612="","",$N612*IF($Q612="",1,$Q612)*IF($P612="",1,$P612)*IF($O612="",1,$O612))</f>
        <v/>
      </c>
      <c r="S612" s="22">
        <f>IFERROR(INDEX(CONFIGURACOES!$J$37:$J$300,MATCH($I612,CONFIGURACOES!$B$37:$B$300,0)),"")</f>
        <v/>
      </c>
      <c r="T612" s="22">
        <f>IF(OR($R612="",$S612=""),"",$R612*$S612)</f>
        <v/>
      </c>
      <c r="U612" s="20" t="n"/>
      <c r="V612" s="20" t="n"/>
      <c r="W612" s="20" t="n"/>
      <c r="X612">
        <f>IF($A612="","",$A612&amp;"|"&amp;$C612&amp;"|"&amp;$I612)</f>
        <v/>
      </c>
      <c r="Y612">
        <f>IF(AND($A612=RELATORIO_MEDICAO!$C$5,$C612=RELATORIO_MEDICAO!$F$5,$A612&lt;&gt;""),COUNTIFS($A$3:$A612,RELATORIO_MEDICAO!$C$5,$C$3:$C612,RELATORIO_MEDICAO!$F$5),"")</f>
        <v/>
      </c>
      <c r="Z612">
        <f>IF(OR($A612="",PESQUISA!$C$4=""),0,IF(OR(ISNUMBER(SEARCH(PESQUISA!$C$4,$G612)),ISNUMBER(SEARCH(PESQUISA!$C$4,$K612)),ISNUMBER(SEARCH(PESQUISA!$C$4,$L612))),1,0))</f>
        <v/>
      </c>
      <c r="AA612">
        <f>IF($Z612=1,SUM($Z$3:$Z612),"")</f>
        <v/>
      </c>
      <c r="AB612">
        <f>IF(OR($A612="",PESQUISA!$C$50=""),0,IF(ISNUMBER(SEARCH(PESQUISA!$C$50,$I612)),1,0))</f>
        <v/>
      </c>
      <c r="AC612">
        <f>IF($AB612=1,SUM($AB$3:$AB612),"")</f>
        <v/>
      </c>
    </row>
    <row r="613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>
        <f>IFERROR(INDEX(CONFIGURACOES!$G$37:$G$300,MATCH($I613,CONFIGURACOES!$B$37:$B$300,0)),"")</f>
        <v/>
      </c>
      <c r="K613" s="20">
        <f>IFERROR(INDEX(CONFIGURACOES!$H$37:$H$300,MATCH($I613,CONFIGURACOES!$B$37:$B$300,0)),"")</f>
        <v/>
      </c>
      <c r="L613" s="20" t="n"/>
      <c r="M613" s="20">
        <f>IFERROR(INDEX(CONFIGURACOES!$I$37:$I$300,MATCH($I613,CONFIGURACOES!$B$37:$B$300,0)),"")</f>
        <v/>
      </c>
      <c r="N613" s="21" t="n"/>
      <c r="O613" s="21" t="n"/>
      <c r="P613" s="21" t="n"/>
      <c r="Q613" s="21" t="n"/>
      <c r="R613" s="21">
        <f>IF($N613="","",$N613*IF($Q613="",1,$Q613)*IF($P613="",1,$P613)*IF($O613="",1,$O613))</f>
        <v/>
      </c>
      <c r="S613" s="22">
        <f>IFERROR(INDEX(CONFIGURACOES!$J$37:$J$300,MATCH($I613,CONFIGURACOES!$B$37:$B$300,0)),"")</f>
        <v/>
      </c>
      <c r="T613" s="22">
        <f>IF(OR($R613="",$S613=""),"",$R613*$S613)</f>
        <v/>
      </c>
      <c r="U613" s="20" t="n"/>
      <c r="V613" s="20" t="n"/>
      <c r="W613" s="20" t="n"/>
      <c r="X613">
        <f>IF($A613="","",$A613&amp;"|"&amp;$C613&amp;"|"&amp;$I613)</f>
        <v/>
      </c>
      <c r="Y613">
        <f>IF(AND($A613=RELATORIO_MEDICAO!$C$5,$C613=RELATORIO_MEDICAO!$F$5,$A613&lt;&gt;""),COUNTIFS($A$3:$A613,RELATORIO_MEDICAO!$C$5,$C$3:$C613,RELATORIO_MEDICAO!$F$5),"")</f>
        <v/>
      </c>
      <c r="Z613">
        <f>IF(OR($A613="",PESQUISA!$C$4=""),0,IF(OR(ISNUMBER(SEARCH(PESQUISA!$C$4,$G613)),ISNUMBER(SEARCH(PESQUISA!$C$4,$K613)),ISNUMBER(SEARCH(PESQUISA!$C$4,$L613))),1,0))</f>
        <v/>
      </c>
      <c r="AA613">
        <f>IF($Z613=1,SUM($Z$3:$Z613),"")</f>
        <v/>
      </c>
      <c r="AB613">
        <f>IF(OR($A613="",PESQUISA!$C$50=""),0,IF(ISNUMBER(SEARCH(PESQUISA!$C$50,$I613)),1,0))</f>
        <v/>
      </c>
      <c r="AC613">
        <f>IF($AB613=1,SUM($AB$3:$AB613),"")</f>
        <v/>
      </c>
    </row>
    <row r="614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>
        <f>IFERROR(INDEX(CONFIGURACOES!$G$37:$G$300,MATCH($I614,CONFIGURACOES!$B$37:$B$300,0)),"")</f>
        <v/>
      </c>
      <c r="K614" s="20">
        <f>IFERROR(INDEX(CONFIGURACOES!$H$37:$H$300,MATCH($I614,CONFIGURACOES!$B$37:$B$300,0)),"")</f>
        <v/>
      </c>
      <c r="L614" s="20" t="n"/>
      <c r="M614" s="20">
        <f>IFERROR(INDEX(CONFIGURACOES!$I$37:$I$300,MATCH($I614,CONFIGURACOES!$B$37:$B$300,0)),"")</f>
        <v/>
      </c>
      <c r="N614" s="21" t="n"/>
      <c r="O614" s="21" t="n"/>
      <c r="P614" s="21" t="n"/>
      <c r="Q614" s="21" t="n"/>
      <c r="R614" s="21">
        <f>IF($N614="","",$N614*IF($Q614="",1,$Q614)*IF($P614="",1,$P614)*IF($O614="",1,$O614))</f>
        <v/>
      </c>
      <c r="S614" s="22">
        <f>IFERROR(INDEX(CONFIGURACOES!$J$37:$J$300,MATCH($I614,CONFIGURACOES!$B$37:$B$300,0)),"")</f>
        <v/>
      </c>
      <c r="T614" s="22">
        <f>IF(OR($R614="",$S614=""),"",$R614*$S614)</f>
        <v/>
      </c>
      <c r="U614" s="20" t="n"/>
      <c r="V614" s="20" t="n"/>
      <c r="W614" s="20" t="n"/>
      <c r="X614">
        <f>IF($A614="","",$A614&amp;"|"&amp;$C614&amp;"|"&amp;$I614)</f>
        <v/>
      </c>
      <c r="Y614">
        <f>IF(AND($A614=RELATORIO_MEDICAO!$C$5,$C614=RELATORIO_MEDICAO!$F$5,$A614&lt;&gt;""),COUNTIFS($A$3:$A614,RELATORIO_MEDICAO!$C$5,$C$3:$C614,RELATORIO_MEDICAO!$F$5),"")</f>
        <v/>
      </c>
      <c r="Z614">
        <f>IF(OR($A614="",PESQUISA!$C$4=""),0,IF(OR(ISNUMBER(SEARCH(PESQUISA!$C$4,$G614)),ISNUMBER(SEARCH(PESQUISA!$C$4,$K614)),ISNUMBER(SEARCH(PESQUISA!$C$4,$L614))),1,0))</f>
        <v/>
      </c>
      <c r="AA614">
        <f>IF($Z614=1,SUM($Z$3:$Z614),"")</f>
        <v/>
      </c>
      <c r="AB614">
        <f>IF(OR($A614="",PESQUISA!$C$50=""),0,IF(ISNUMBER(SEARCH(PESQUISA!$C$50,$I614)),1,0))</f>
        <v/>
      </c>
      <c r="AC614">
        <f>IF($AB614=1,SUM($AB$3:$AB614),"")</f>
        <v/>
      </c>
    </row>
    <row r="6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>
        <f>IFERROR(INDEX(CONFIGURACOES!$G$37:$G$300,MATCH($I615,CONFIGURACOES!$B$37:$B$300,0)),"")</f>
        <v/>
      </c>
      <c r="K615" s="20">
        <f>IFERROR(INDEX(CONFIGURACOES!$H$37:$H$300,MATCH($I615,CONFIGURACOES!$B$37:$B$300,0)),"")</f>
        <v/>
      </c>
      <c r="L615" s="20" t="n"/>
      <c r="M615" s="20">
        <f>IFERROR(INDEX(CONFIGURACOES!$I$37:$I$300,MATCH($I615,CONFIGURACOES!$B$37:$B$300,0)),"")</f>
        <v/>
      </c>
      <c r="N615" s="21" t="n"/>
      <c r="O615" s="21" t="n"/>
      <c r="P615" s="21" t="n"/>
      <c r="Q615" s="21" t="n"/>
      <c r="R615" s="21">
        <f>IF($N615="","",$N615*IF($Q615="",1,$Q615)*IF($P615="",1,$P615)*IF($O615="",1,$O615))</f>
        <v/>
      </c>
      <c r="S615" s="22">
        <f>IFERROR(INDEX(CONFIGURACOES!$J$37:$J$300,MATCH($I615,CONFIGURACOES!$B$37:$B$300,0)),"")</f>
        <v/>
      </c>
      <c r="T615" s="22">
        <f>IF(OR($R615="",$S615=""),"",$R615*$S615)</f>
        <v/>
      </c>
      <c r="U615" s="20" t="n"/>
      <c r="V615" s="20" t="n"/>
      <c r="W615" s="20" t="n"/>
      <c r="X615">
        <f>IF($A615="","",$A615&amp;"|"&amp;$C615&amp;"|"&amp;$I615)</f>
        <v/>
      </c>
      <c r="Y615">
        <f>IF(AND($A615=RELATORIO_MEDICAO!$C$5,$C615=RELATORIO_MEDICAO!$F$5,$A615&lt;&gt;""),COUNTIFS($A$3:$A615,RELATORIO_MEDICAO!$C$5,$C$3:$C615,RELATORIO_MEDICAO!$F$5),"")</f>
        <v/>
      </c>
      <c r="Z615">
        <f>IF(OR($A615="",PESQUISA!$C$4=""),0,IF(OR(ISNUMBER(SEARCH(PESQUISA!$C$4,$G615)),ISNUMBER(SEARCH(PESQUISA!$C$4,$K615)),ISNUMBER(SEARCH(PESQUISA!$C$4,$L615))),1,0))</f>
        <v/>
      </c>
      <c r="AA615">
        <f>IF($Z615=1,SUM($Z$3:$Z615),"")</f>
        <v/>
      </c>
      <c r="AB615">
        <f>IF(OR($A615="",PESQUISA!$C$50=""),0,IF(ISNUMBER(SEARCH(PESQUISA!$C$50,$I615)),1,0))</f>
        <v/>
      </c>
      <c r="AC615">
        <f>IF($AB615=1,SUM($AB$3:$AB615),"")</f>
        <v/>
      </c>
    </row>
    <row r="616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>
        <f>IFERROR(INDEX(CONFIGURACOES!$G$37:$G$300,MATCH($I616,CONFIGURACOES!$B$37:$B$300,0)),"")</f>
        <v/>
      </c>
      <c r="K616" s="20">
        <f>IFERROR(INDEX(CONFIGURACOES!$H$37:$H$300,MATCH($I616,CONFIGURACOES!$B$37:$B$300,0)),"")</f>
        <v/>
      </c>
      <c r="L616" s="20" t="n"/>
      <c r="M616" s="20">
        <f>IFERROR(INDEX(CONFIGURACOES!$I$37:$I$300,MATCH($I616,CONFIGURACOES!$B$37:$B$300,0)),"")</f>
        <v/>
      </c>
      <c r="N616" s="21" t="n"/>
      <c r="O616" s="21" t="n"/>
      <c r="P616" s="21" t="n"/>
      <c r="Q616" s="21" t="n"/>
      <c r="R616" s="21">
        <f>IF($N616="","",$N616*IF($Q616="",1,$Q616)*IF($P616="",1,$P616)*IF($O616="",1,$O616))</f>
        <v/>
      </c>
      <c r="S616" s="22">
        <f>IFERROR(INDEX(CONFIGURACOES!$J$37:$J$300,MATCH($I616,CONFIGURACOES!$B$37:$B$300,0)),"")</f>
        <v/>
      </c>
      <c r="T616" s="22">
        <f>IF(OR($R616="",$S616=""),"",$R616*$S616)</f>
        <v/>
      </c>
      <c r="U616" s="20" t="n"/>
      <c r="V616" s="20" t="n"/>
      <c r="W616" s="20" t="n"/>
      <c r="X616">
        <f>IF($A616="","",$A616&amp;"|"&amp;$C616&amp;"|"&amp;$I616)</f>
        <v/>
      </c>
      <c r="Y616">
        <f>IF(AND($A616=RELATORIO_MEDICAO!$C$5,$C616=RELATORIO_MEDICAO!$F$5,$A616&lt;&gt;""),COUNTIFS($A$3:$A616,RELATORIO_MEDICAO!$C$5,$C$3:$C616,RELATORIO_MEDICAO!$F$5),"")</f>
        <v/>
      </c>
      <c r="Z616">
        <f>IF(OR($A616="",PESQUISA!$C$4=""),0,IF(OR(ISNUMBER(SEARCH(PESQUISA!$C$4,$G616)),ISNUMBER(SEARCH(PESQUISA!$C$4,$K616)),ISNUMBER(SEARCH(PESQUISA!$C$4,$L616))),1,0))</f>
        <v/>
      </c>
      <c r="AA616">
        <f>IF($Z616=1,SUM($Z$3:$Z616),"")</f>
        <v/>
      </c>
      <c r="AB616">
        <f>IF(OR($A616="",PESQUISA!$C$50=""),0,IF(ISNUMBER(SEARCH(PESQUISA!$C$50,$I616)),1,0))</f>
        <v/>
      </c>
      <c r="AC616">
        <f>IF($AB616=1,SUM($AB$3:$AB616),"")</f>
        <v/>
      </c>
    </row>
    <row r="617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>
        <f>IFERROR(INDEX(CONFIGURACOES!$G$37:$G$300,MATCH($I617,CONFIGURACOES!$B$37:$B$300,0)),"")</f>
        <v/>
      </c>
      <c r="K617" s="20">
        <f>IFERROR(INDEX(CONFIGURACOES!$H$37:$H$300,MATCH($I617,CONFIGURACOES!$B$37:$B$300,0)),"")</f>
        <v/>
      </c>
      <c r="L617" s="20" t="n"/>
      <c r="M617" s="20">
        <f>IFERROR(INDEX(CONFIGURACOES!$I$37:$I$300,MATCH($I617,CONFIGURACOES!$B$37:$B$300,0)),"")</f>
        <v/>
      </c>
      <c r="N617" s="21" t="n"/>
      <c r="O617" s="21" t="n"/>
      <c r="P617" s="21" t="n"/>
      <c r="Q617" s="21" t="n"/>
      <c r="R617" s="21">
        <f>IF($N617="","",$N617*IF($Q617="",1,$Q617)*IF($P617="",1,$P617)*IF($O617="",1,$O617))</f>
        <v/>
      </c>
      <c r="S617" s="22">
        <f>IFERROR(INDEX(CONFIGURACOES!$J$37:$J$300,MATCH($I617,CONFIGURACOES!$B$37:$B$300,0)),"")</f>
        <v/>
      </c>
      <c r="T617" s="22">
        <f>IF(OR($R617="",$S617=""),"",$R617*$S617)</f>
        <v/>
      </c>
      <c r="U617" s="20" t="n"/>
      <c r="V617" s="20" t="n"/>
      <c r="W617" s="20" t="n"/>
      <c r="X617">
        <f>IF($A617="","",$A617&amp;"|"&amp;$C617&amp;"|"&amp;$I617)</f>
        <v/>
      </c>
      <c r="Y617">
        <f>IF(AND($A617=RELATORIO_MEDICAO!$C$5,$C617=RELATORIO_MEDICAO!$F$5,$A617&lt;&gt;""),COUNTIFS($A$3:$A617,RELATORIO_MEDICAO!$C$5,$C$3:$C617,RELATORIO_MEDICAO!$F$5),"")</f>
        <v/>
      </c>
      <c r="Z617">
        <f>IF(OR($A617="",PESQUISA!$C$4=""),0,IF(OR(ISNUMBER(SEARCH(PESQUISA!$C$4,$G617)),ISNUMBER(SEARCH(PESQUISA!$C$4,$K617)),ISNUMBER(SEARCH(PESQUISA!$C$4,$L617))),1,0))</f>
        <v/>
      </c>
      <c r="AA617">
        <f>IF($Z617=1,SUM($Z$3:$Z617),"")</f>
        <v/>
      </c>
      <c r="AB617">
        <f>IF(OR($A617="",PESQUISA!$C$50=""),0,IF(ISNUMBER(SEARCH(PESQUISA!$C$50,$I617)),1,0))</f>
        <v/>
      </c>
      <c r="AC617">
        <f>IF($AB617=1,SUM($AB$3:$AB617),"")</f>
        <v/>
      </c>
    </row>
    <row r="618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>
        <f>IFERROR(INDEX(CONFIGURACOES!$G$37:$G$300,MATCH($I618,CONFIGURACOES!$B$37:$B$300,0)),"")</f>
        <v/>
      </c>
      <c r="K618" s="20">
        <f>IFERROR(INDEX(CONFIGURACOES!$H$37:$H$300,MATCH($I618,CONFIGURACOES!$B$37:$B$300,0)),"")</f>
        <v/>
      </c>
      <c r="L618" s="20" t="n"/>
      <c r="M618" s="20">
        <f>IFERROR(INDEX(CONFIGURACOES!$I$37:$I$300,MATCH($I618,CONFIGURACOES!$B$37:$B$300,0)),"")</f>
        <v/>
      </c>
      <c r="N618" s="21" t="n"/>
      <c r="O618" s="21" t="n"/>
      <c r="P618" s="21" t="n"/>
      <c r="Q618" s="21" t="n"/>
      <c r="R618" s="21">
        <f>IF($N618="","",$N618*IF($Q618="",1,$Q618)*IF($P618="",1,$P618)*IF($O618="",1,$O618))</f>
        <v/>
      </c>
      <c r="S618" s="22">
        <f>IFERROR(INDEX(CONFIGURACOES!$J$37:$J$300,MATCH($I618,CONFIGURACOES!$B$37:$B$300,0)),"")</f>
        <v/>
      </c>
      <c r="T618" s="22">
        <f>IF(OR($R618="",$S618=""),"",$R618*$S618)</f>
        <v/>
      </c>
      <c r="U618" s="20" t="n"/>
      <c r="V618" s="20" t="n"/>
      <c r="W618" s="20" t="n"/>
      <c r="X618">
        <f>IF($A618="","",$A618&amp;"|"&amp;$C618&amp;"|"&amp;$I618)</f>
        <v/>
      </c>
      <c r="Y618">
        <f>IF(AND($A618=RELATORIO_MEDICAO!$C$5,$C618=RELATORIO_MEDICAO!$F$5,$A618&lt;&gt;""),COUNTIFS($A$3:$A618,RELATORIO_MEDICAO!$C$5,$C$3:$C618,RELATORIO_MEDICAO!$F$5),"")</f>
        <v/>
      </c>
      <c r="Z618">
        <f>IF(OR($A618="",PESQUISA!$C$4=""),0,IF(OR(ISNUMBER(SEARCH(PESQUISA!$C$4,$G618)),ISNUMBER(SEARCH(PESQUISA!$C$4,$K618)),ISNUMBER(SEARCH(PESQUISA!$C$4,$L618))),1,0))</f>
        <v/>
      </c>
      <c r="AA618">
        <f>IF($Z618=1,SUM($Z$3:$Z618),"")</f>
        <v/>
      </c>
      <c r="AB618">
        <f>IF(OR($A618="",PESQUISA!$C$50=""),0,IF(ISNUMBER(SEARCH(PESQUISA!$C$50,$I618)),1,0))</f>
        <v/>
      </c>
      <c r="AC618">
        <f>IF($AB618=1,SUM($AB$3:$AB618),"")</f>
        <v/>
      </c>
    </row>
    <row r="619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>
        <f>IFERROR(INDEX(CONFIGURACOES!$G$37:$G$300,MATCH($I619,CONFIGURACOES!$B$37:$B$300,0)),"")</f>
        <v/>
      </c>
      <c r="K619" s="20">
        <f>IFERROR(INDEX(CONFIGURACOES!$H$37:$H$300,MATCH($I619,CONFIGURACOES!$B$37:$B$300,0)),"")</f>
        <v/>
      </c>
      <c r="L619" s="20" t="n"/>
      <c r="M619" s="20">
        <f>IFERROR(INDEX(CONFIGURACOES!$I$37:$I$300,MATCH($I619,CONFIGURACOES!$B$37:$B$300,0)),"")</f>
        <v/>
      </c>
      <c r="N619" s="21" t="n"/>
      <c r="O619" s="21" t="n"/>
      <c r="P619" s="21" t="n"/>
      <c r="Q619" s="21" t="n"/>
      <c r="R619" s="21">
        <f>IF($N619="","",$N619*IF($Q619="",1,$Q619)*IF($P619="",1,$P619)*IF($O619="",1,$O619))</f>
        <v/>
      </c>
      <c r="S619" s="22">
        <f>IFERROR(INDEX(CONFIGURACOES!$J$37:$J$300,MATCH($I619,CONFIGURACOES!$B$37:$B$300,0)),"")</f>
        <v/>
      </c>
      <c r="T619" s="22">
        <f>IF(OR($R619="",$S619=""),"",$R619*$S619)</f>
        <v/>
      </c>
      <c r="U619" s="20" t="n"/>
      <c r="V619" s="20" t="n"/>
      <c r="W619" s="20" t="n"/>
      <c r="X619">
        <f>IF($A619="","",$A619&amp;"|"&amp;$C619&amp;"|"&amp;$I619)</f>
        <v/>
      </c>
      <c r="Y619">
        <f>IF(AND($A619=RELATORIO_MEDICAO!$C$5,$C619=RELATORIO_MEDICAO!$F$5,$A619&lt;&gt;""),COUNTIFS($A$3:$A619,RELATORIO_MEDICAO!$C$5,$C$3:$C619,RELATORIO_MEDICAO!$F$5),"")</f>
        <v/>
      </c>
      <c r="Z619">
        <f>IF(OR($A619="",PESQUISA!$C$4=""),0,IF(OR(ISNUMBER(SEARCH(PESQUISA!$C$4,$G619)),ISNUMBER(SEARCH(PESQUISA!$C$4,$K619)),ISNUMBER(SEARCH(PESQUISA!$C$4,$L619))),1,0))</f>
        <v/>
      </c>
      <c r="AA619">
        <f>IF($Z619=1,SUM($Z$3:$Z619),"")</f>
        <v/>
      </c>
      <c r="AB619">
        <f>IF(OR($A619="",PESQUISA!$C$50=""),0,IF(ISNUMBER(SEARCH(PESQUISA!$C$50,$I619)),1,0))</f>
        <v/>
      </c>
      <c r="AC619">
        <f>IF($AB619=1,SUM($AB$3:$AB619),"")</f>
        <v/>
      </c>
    </row>
    <row r="620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>
        <f>IFERROR(INDEX(CONFIGURACOES!$G$37:$G$300,MATCH($I620,CONFIGURACOES!$B$37:$B$300,0)),"")</f>
        <v/>
      </c>
      <c r="K620" s="20">
        <f>IFERROR(INDEX(CONFIGURACOES!$H$37:$H$300,MATCH($I620,CONFIGURACOES!$B$37:$B$300,0)),"")</f>
        <v/>
      </c>
      <c r="L620" s="20" t="n"/>
      <c r="M620" s="20">
        <f>IFERROR(INDEX(CONFIGURACOES!$I$37:$I$300,MATCH($I620,CONFIGURACOES!$B$37:$B$300,0)),"")</f>
        <v/>
      </c>
      <c r="N620" s="21" t="n"/>
      <c r="O620" s="21" t="n"/>
      <c r="P620" s="21" t="n"/>
      <c r="Q620" s="21" t="n"/>
      <c r="R620" s="21">
        <f>IF($N620="","",$N620*IF($Q620="",1,$Q620)*IF($P620="",1,$P620)*IF($O620="",1,$O620))</f>
        <v/>
      </c>
      <c r="S620" s="22">
        <f>IFERROR(INDEX(CONFIGURACOES!$J$37:$J$300,MATCH($I620,CONFIGURACOES!$B$37:$B$300,0)),"")</f>
        <v/>
      </c>
      <c r="T620" s="22">
        <f>IF(OR($R620="",$S620=""),"",$R620*$S620)</f>
        <v/>
      </c>
      <c r="U620" s="20" t="n"/>
      <c r="V620" s="20" t="n"/>
      <c r="W620" s="20" t="n"/>
      <c r="X620">
        <f>IF($A620="","",$A620&amp;"|"&amp;$C620&amp;"|"&amp;$I620)</f>
        <v/>
      </c>
      <c r="Y620">
        <f>IF(AND($A620=RELATORIO_MEDICAO!$C$5,$C620=RELATORIO_MEDICAO!$F$5,$A620&lt;&gt;""),COUNTIFS($A$3:$A620,RELATORIO_MEDICAO!$C$5,$C$3:$C620,RELATORIO_MEDICAO!$F$5),"")</f>
        <v/>
      </c>
      <c r="Z620">
        <f>IF(OR($A620="",PESQUISA!$C$4=""),0,IF(OR(ISNUMBER(SEARCH(PESQUISA!$C$4,$G620)),ISNUMBER(SEARCH(PESQUISA!$C$4,$K620)),ISNUMBER(SEARCH(PESQUISA!$C$4,$L620))),1,0))</f>
        <v/>
      </c>
      <c r="AA620">
        <f>IF($Z620=1,SUM($Z$3:$Z620),"")</f>
        <v/>
      </c>
      <c r="AB620">
        <f>IF(OR($A620="",PESQUISA!$C$50=""),0,IF(ISNUMBER(SEARCH(PESQUISA!$C$50,$I620)),1,0))</f>
        <v/>
      </c>
      <c r="AC620">
        <f>IF($AB620=1,SUM($AB$3:$AB620),"")</f>
        <v/>
      </c>
    </row>
    <row r="621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>
        <f>IFERROR(INDEX(CONFIGURACOES!$G$37:$G$300,MATCH($I621,CONFIGURACOES!$B$37:$B$300,0)),"")</f>
        <v/>
      </c>
      <c r="K621" s="20">
        <f>IFERROR(INDEX(CONFIGURACOES!$H$37:$H$300,MATCH($I621,CONFIGURACOES!$B$37:$B$300,0)),"")</f>
        <v/>
      </c>
      <c r="L621" s="20" t="n"/>
      <c r="M621" s="20">
        <f>IFERROR(INDEX(CONFIGURACOES!$I$37:$I$300,MATCH($I621,CONFIGURACOES!$B$37:$B$300,0)),"")</f>
        <v/>
      </c>
      <c r="N621" s="21" t="n"/>
      <c r="O621" s="21" t="n"/>
      <c r="P621" s="21" t="n"/>
      <c r="Q621" s="21" t="n"/>
      <c r="R621" s="21">
        <f>IF($N621="","",$N621*IF($Q621="",1,$Q621)*IF($P621="",1,$P621)*IF($O621="",1,$O621))</f>
        <v/>
      </c>
      <c r="S621" s="22">
        <f>IFERROR(INDEX(CONFIGURACOES!$J$37:$J$300,MATCH($I621,CONFIGURACOES!$B$37:$B$300,0)),"")</f>
        <v/>
      </c>
      <c r="T621" s="22">
        <f>IF(OR($R621="",$S621=""),"",$R621*$S621)</f>
        <v/>
      </c>
      <c r="U621" s="20" t="n"/>
      <c r="V621" s="20" t="n"/>
      <c r="W621" s="20" t="n"/>
      <c r="X621">
        <f>IF($A621="","",$A621&amp;"|"&amp;$C621&amp;"|"&amp;$I621)</f>
        <v/>
      </c>
      <c r="Y621">
        <f>IF(AND($A621=RELATORIO_MEDICAO!$C$5,$C621=RELATORIO_MEDICAO!$F$5,$A621&lt;&gt;""),COUNTIFS($A$3:$A621,RELATORIO_MEDICAO!$C$5,$C$3:$C621,RELATORIO_MEDICAO!$F$5),"")</f>
        <v/>
      </c>
      <c r="Z621">
        <f>IF(OR($A621="",PESQUISA!$C$4=""),0,IF(OR(ISNUMBER(SEARCH(PESQUISA!$C$4,$G621)),ISNUMBER(SEARCH(PESQUISA!$C$4,$K621)),ISNUMBER(SEARCH(PESQUISA!$C$4,$L621))),1,0))</f>
        <v/>
      </c>
      <c r="AA621">
        <f>IF($Z621=1,SUM($Z$3:$Z621),"")</f>
        <v/>
      </c>
      <c r="AB621">
        <f>IF(OR($A621="",PESQUISA!$C$50=""),0,IF(ISNUMBER(SEARCH(PESQUISA!$C$50,$I621)),1,0))</f>
        <v/>
      </c>
      <c r="AC621">
        <f>IF($AB621=1,SUM($AB$3:$AB621),"")</f>
        <v/>
      </c>
    </row>
    <row r="622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>
        <f>IFERROR(INDEX(CONFIGURACOES!$G$37:$G$300,MATCH($I622,CONFIGURACOES!$B$37:$B$300,0)),"")</f>
        <v/>
      </c>
      <c r="K622" s="20">
        <f>IFERROR(INDEX(CONFIGURACOES!$H$37:$H$300,MATCH($I622,CONFIGURACOES!$B$37:$B$300,0)),"")</f>
        <v/>
      </c>
      <c r="L622" s="20" t="n"/>
      <c r="M622" s="20">
        <f>IFERROR(INDEX(CONFIGURACOES!$I$37:$I$300,MATCH($I622,CONFIGURACOES!$B$37:$B$300,0)),"")</f>
        <v/>
      </c>
      <c r="N622" s="21" t="n"/>
      <c r="O622" s="21" t="n"/>
      <c r="P622" s="21" t="n"/>
      <c r="Q622" s="21" t="n"/>
      <c r="R622" s="21">
        <f>IF($N622="","",$N622*IF($Q622="",1,$Q622)*IF($P622="",1,$P622)*IF($O622="",1,$O622))</f>
        <v/>
      </c>
      <c r="S622" s="22">
        <f>IFERROR(INDEX(CONFIGURACOES!$J$37:$J$300,MATCH($I622,CONFIGURACOES!$B$37:$B$300,0)),"")</f>
        <v/>
      </c>
      <c r="T622" s="22">
        <f>IF(OR($R622="",$S622=""),"",$R622*$S622)</f>
        <v/>
      </c>
      <c r="U622" s="20" t="n"/>
      <c r="V622" s="20" t="n"/>
      <c r="W622" s="20" t="n"/>
      <c r="X622">
        <f>IF($A622="","",$A622&amp;"|"&amp;$C622&amp;"|"&amp;$I622)</f>
        <v/>
      </c>
      <c r="Y622">
        <f>IF(AND($A622=RELATORIO_MEDICAO!$C$5,$C622=RELATORIO_MEDICAO!$F$5,$A622&lt;&gt;""),COUNTIFS($A$3:$A622,RELATORIO_MEDICAO!$C$5,$C$3:$C622,RELATORIO_MEDICAO!$F$5),"")</f>
        <v/>
      </c>
      <c r="Z622">
        <f>IF(OR($A622="",PESQUISA!$C$4=""),0,IF(OR(ISNUMBER(SEARCH(PESQUISA!$C$4,$G622)),ISNUMBER(SEARCH(PESQUISA!$C$4,$K622)),ISNUMBER(SEARCH(PESQUISA!$C$4,$L622))),1,0))</f>
        <v/>
      </c>
      <c r="AA622">
        <f>IF($Z622=1,SUM($Z$3:$Z622),"")</f>
        <v/>
      </c>
      <c r="AB622">
        <f>IF(OR($A622="",PESQUISA!$C$50=""),0,IF(ISNUMBER(SEARCH(PESQUISA!$C$50,$I622)),1,0))</f>
        <v/>
      </c>
      <c r="AC622">
        <f>IF($AB622=1,SUM($AB$3:$AB622),"")</f>
        <v/>
      </c>
    </row>
    <row r="623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>
        <f>IFERROR(INDEX(CONFIGURACOES!$G$37:$G$300,MATCH($I623,CONFIGURACOES!$B$37:$B$300,0)),"")</f>
        <v/>
      </c>
      <c r="K623" s="20">
        <f>IFERROR(INDEX(CONFIGURACOES!$H$37:$H$300,MATCH($I623,CONFIGURACOES!$B$37:$B$300,0)),"")</f>
        <v/>
      </c>
      <c r="L623" s="20" t="n"/>
      <c r="M623" s="20">
        <f>IFERROR(INDEX(CONFIGURACOES!$I$37:$I$300,MATCH($I623,CONFIGURACOES!$B$37:$B$300,0)),"")</f>
        <v/>
      </c>
      <c r="N623" s="21" t="n"/>
      <c r="O623" s="21" t="n"/>
      <c r="P623" s="21" t="n"/>
      <c r="Q623" s="21" t="n"/>
      <c r="R623" s="21">
        <f>IF($N623="","",$N623*IF($Q623="",1,$Q623)*IF($P623="",1,$P623)*IF($O623="",1,$O623))</f>
        <v/>
      </c>
      <c r="S623" s="22">
        <f>IFERROR(INDEX(CONFIGURACOES!$J$37:$J$300,MATCH($I623,CONFIGURACOES!$B$37:$B$300,0)),"")</f>
        <v/>
      </c>
      <c r="T623" s="22">
        <f>IF(OR($R623="",$S623=""),"",$R623*$S623)</f>
        <v/>
      </c>
      <c r="U623" s="20" t="n"/>
      <c r="V623" s="20" t="n"/>
      <c r="W623" s="20" t="n"/>
      <c r="X623">
        <f>IF($A623="","",$A623&amp;"|"&amp;$C623&amp;"|"&amp;$I623)</f>
        <v/>
      </c>
      <c r="Y623">
        <f>IF(AND($A623=RELATORIO_MEDICAO!$C$5,$C623=RELATORIO_MEDICAO!$F$5,$A623&lt;&gt;""),COUNTIFS($A$3:$A623,RELATORIO_MEDICAO!$C$5,$C$3:$C623,RELATORIO_MEDICAO!$F$5),"")</f>
        <v/>
      </c>
      <c r="Z623">
        <f>IF(OR($A623="",PESQUISA!$C$4=""),0,IF(OR(ISNUMBER(SEARCH(PESQUISA!$C$4,$G623)),ISNUMBER(SEARCH(PESQUISA!$C$4,$K623)),ISNUMBER(SEARCH(PESQUISA!$C$4,$L623))),1,0))</f>
        <v/>
      </c>
      <c r="AA623">
        <f>IF($Z623=1,SUM($Z$3:$Z623),"")</f>
        <v/>
      </c>
      <c r="AB623">
        <f>IF(OR($A623="",PESQUISA!$C$50=""),0,IF(ISNUMBER(SEARCH(PESQUISA!$C$50,$I623)),1,0))</f>
        <v/>
      </c>
      <c r="AC623">
        <f>IF($AB623=1,SUM($AB$3:$AB623),"")</f>
        <v/>
      </c>
    </row>
    <row r="624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>
        <f>IFERROR(INDEX(CONFIGURACOES!$G$37:$G$300,MATCH($I624,CONFIGURACOES!$B$37:$B$300,0)),"")</f>
        <v/>
      </c>
      <c r="K624" s="20">
        <f>IFERROR(INDEX(CONFIGURACOES!$H$37:$H$300,MATCH($I624,CONFIGURACOES!$B$37:$B$300,0)),"")</f>
        <v/>
      </c>
      <c r="L624" s="20" t="n"/>
      <c r="M624" s="20">
        <f>IFERROR(INDEX(CONFIGURACOES!$I$37:$I$300,MATCH($I624,CONFIGURACOES!$B$37:$B$300,0)),"")</f>
        <v/>
      </c>
      <c r="N624" s="21" t="n"/>
      <c r="O624" s="21" t="n"/>
      <c r="P624" s="21" t="n"/>
      <c r="Q624" s="21" t="n"/>
      <c r="R624" s="21">
        <f>IF($N624="","",$N624*IF($Q624="",1,$Q624)*IF($P624="",1,$P624)*IF($O624="",1,$O624))</f>
        <v/>
      </c>
      <c r="S624" s="22">
        <f>IFERROR(INDEX(CONFIGURACOES!$J$37:$J$300,MATCH($I624,CONFIGURACOES!$B$37:$B$300,0)),"")</f>
        <v/>
      </c>
      <c r="T624" s="22">
        <f>IF(OR($R624="",$S624=""),"",$R624*$S624)</f>
        <v/>
      </c>
      <c r="U624" s="20" t="n"/>
      <c r="V624" s="20" t="n"/>
      <c r="W624" s="20" t="n"/>
      <c r="X624">
        <f>IF($A624="","",$A624&amp;"|"&amp;$C624&amp;"|"&amp;$I624)</f>
        <v/>
      </c>
      <c r="Y624">
        <f>IF(AND($A624=RELATORIO_MEDICAO!$C$5,$C624=RELATORIO_MEDICAO!$F$5,$A624&lt;&gt;""),COUNTIFS($A$3:$A624,RELATORIO_MEDICAO!$C$5,$C$3:$C624,RELATORIO_MEDICAO!$F$5),"")</f>
        <v/>
      </c>
      <c r="Z624">
        <f>IF(OR($A624="",PESQUISA!$C$4=""),0,IF(OR(ISNUMBER(SEARCH(PESQUISA!$C$4,$G624)),ISNUMBER(SEARCH(PESQUISA!$C$4,$K624)),ISNUMBER(SEARCH(PESQUISA!$C$4,$L624))),1,0))</f>
        <v/>
      </c>
      <c r="AA624">
        <f>IF($Z624=1,SUM($Z$3:$Z624),"")</f>
        <v/>
      </c>
      <c r="AB624">
        <f>IF(OR($A624="",PESQUISA!$C$50=""),0,IF(ISNUMBER(SEARCH(PESQUISA!$C$50,$I624)),1,0))</f>
        <v/>
      </c>
      <c r="AC624">
        <f>IF($AB624=1,SUM($AB$3:$AB624),"")</f>
        <v/>
      </c>
    </row>
    <row r="625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>
        <f>IFERROR(INDEX(CONFIGURACOES!$G$37:$G$300,MATCH($I625,CONFIGURACOES!$B$37:$B$300,0)),"")</f>
        <v/>
      </c>
      <c r="K625" s="20">
        <f>IFERROR(INDEX(CONFIGURACOES!$H$37:$H$300,MATCH($I625,CONFIGURACOES!$B$37:$B$300,0)),"")</f>
        <v/>
      </c>
      <c r="L625" s="20" t="n"/>
      <c r="M625" s="20">
        <f>IFERROR(INDEX(CONFIGURACOES!$I$37:$I$300,MATCH($I625,CONFIGURACOES!$B$37:$B$300,0)),"")</f>
        <v/>
      </c>
      <c r="N625" s="21" t="n"/>
      <c r="O625" s="21" t="n"/>
      <c r="P625" s="21" t="n"/>
      <c r="Q625" s="21" t="n"/>
      <c r="R625" s="21">
        <f>IF($N625="","",$N625*IF($Q625="",1,$Q625)*IF($P625="",1,$P625)*IF($O625="",1,$O625))</f>
        <v/>
      </c>
      <c r="S625" s="22">
        <f>IFERROR(INDEX(CONFIGURACOES!$J$37:$J$300,MATCH($I625,CONFIGURACOES!$B$37:$B$300,0)),"")</f>
        <v/>
      </c>
      <c r="T625" s="22">
        <f>IF(OR($R625="",$S625=""),"",$R625*$S625)</f>
        <v/>
      </c>
      <c r="U625" s="20" t="n"/>
      <c r="V625" s="20" t="n"/>
      <c r="W625" s="20" t="n"/>
      <c r="X625">
        <f>IF($A625="","",$A625&amp;"|"&amp;$C625&amp;"|"&amp;$I625)</f>
        <v/>
      </c>
      <c r="Y625">
        <f>IF(AND($A625=RELATORIO_MEDICAO!$C$5,$C625=RELATORIO_MEDICAO!$F$5,$A625&lt;&gt;""),COUNTIFS($A$3:$A625,RELATORIO_MEDICAO!$C$5,$C$3:$C625,RELATORIO_MEDICAO!$F$5),"")</f>
        <v/>
      </c>
      <c r="Z625">
        <f>IF(OR($A625="",PESQUISA!$C$4=""),0,IF(OR(ISNUMBER(SEARCH(PESQUISA!$C$4,$G625)),ISNUMBER(SEARCH(PESQUISA!$C$4,$K625)),ISNUMBER(SEARCH(PESQUISA!$C$4,$L625))),1,0))</f>
        <v/>
      </c>
      <c r="AA625">
        <f>IF($Z625=1,SUM($Z$3:$Z625),"")</f>
        <v/>
      </c>
      <c r="AB625">
        <f>IF(OR($A625="",PESQUISA!$C$50=""),0,IF(ISNUMBER(SEARCH(PESQUISA!$C$50,$I625)),1,0))</f>
        <v/>
      </c>
      <c r="AC625">
        <f>IF($AB625=1,SUM($AB$3:$AB625),"")</f>
        <v/>
      </c>
    </row>
    <row r="626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>
        <f>IFERROR(INDEX(CONFIGURACOES!$G$37:$G$300,MATCH($I626,CONFIGURACOES!$B$37:$B$300,0)),"")</f>
        <v/>
      </c>
      <c r="K626" s="20">
        <f>IFERROR(INDEX(CONFIGURACOES!$H$37:$H$300,MATCH($I626,CONFIGURACOES!$B$37:$B$300,0)),"")</f>
        <v/>
      </c>
      <c r="L626" s="20" t="n"/>
      <c r="M626" s="20">
        <f>IFERROR(INDEX(CONFIGURACOES!$I$37:$I$300,MATCH($I626,CONFIGURACOES!$B$37:$B$300,0)),"")</f>
        <v/>
      </c>
      <c r="N626" s="21" t="n"/>
      <c r="O626" s="21" t="n"/>
      <c r="P626" s="21" t="n"/>
      <c r="Q626" s="21" t="n"/>
      <c r="R626" s="21">
        <f>IF($N626="","",$N626*IF($Q626="",1,$Q626)*IF($P626="",1,$P626)*IF($O626="",1,$O626))</f>
        <v/>
      </c>
      <c r="S626" s="22">
        <f>IFERROR(INDEX(CONFIGURACOES!$J$37:$J$300,MATCH($I626,CONFIGURACOES!$B$37:$B$300,0)),"")</f>
        <v/>
      </c>
      <c r="T626" s="22">
        <f>IF(OR($R626="",$S626=""),"",$R626*$S626)</f>
        <v/>
      </c>
      <c r="U626" s="20" t="n"/>
      <c r="V626" s="20" t="n"/>
      <c r="W626" s="20" t="n"/>
      <c r="X626">
        <f>IF($A626="","",$A626&amp;"|"&amp;$C626&amp;"|"&amp;$I626)</f>
        <v/>
      </c>
      <c r="Y626">
        <f>IF(AND($A626=RELATORIO_MEDICAO!$C$5,$C626=RELATORIO_MEDICAO!$F$5,$A626&lt;&gt;""),COUNTIFS($A$3:$A626,RELATORIO_MEDICAO!$C$5,$C$3:$C626,RELATORIO_MEDICAO!$F$5),"")</f>
        <v/>
      </c>
      <c r="Z626">
        <f>IF(OR($A626="",PESQUISA!$C$4=""),0,IF(OR(ISNUMBER(SEARCH(PESQUISA!$C$4,$G626)),ISNUMBER(SEARCH(PESQUISA!$C$4,$K626)),ISNUMBER(SEARCH(PESQUISA!$C$4,$L626))),1,0))</f>
        <v/>
      </c>
      <c r="AA626">
        <f>IF($Z626=1,SUM($Z$3:$Z626),"")</f>
        <v/>
      </c>
      <c r="AB626">
        <f>IF(OR($A626="",PESQUISA!$C$50=""),0,IF(ISNUMBER(SEARCH(PESQUISA!$C$50,$I626)),1,0))</f>
        <v/>
      </c>
      <c r="AC626">
        <f>IF($AB626=1,SUM($AB$3:$AB626),"")</f>
        <v/>
      </c>
    </row>
    <row r="627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>
        <f>IFERROR(INDEX(CONFIGURACOES!$G$37:$G$300,MATCH($I627,CONFIGURACOES!$B$37:$B$300,0)),"")</f>
        <v/>
      </c>
      <c r="K627" s="20">
        <f>IFERROR(INDEX(CONFIGURACOES!$H$37:$H$300,MATCH($I627,CONFIGURACOES!$B$37:$B$300,0)),"")</f>
        <v/>
      </c>
      <c r="L627" s="20" t="n"/>
      <c r="M627" s="20">
        <f>IFERROR(INDEX(CONFIGURACOES!$I$37:$I$300,MATCH($I627,CONFIGURACOES!$B$37:$B$300,0)),"")</f>
        <v/>
      </c>
      <c r="N627" s="21" t="n"/>
      <c r="O627" s="21" t="n"/>
      <c r="P627" s="21" t="n"/>
      <c r="Q627" s="21" t="n"/>
      <c r="R627" s="21">
        <f>IF($N627="","",$N627*IF($Q627="",1,$Q627)*IF($P627="",1,$P627)*IF($O627="",1,$O627))</f>
        <v/>
      </c>
      <c r="S627" s="22">
        <f>IFERROR(INDEX(CONFIGURACOES!$J$37:$J$300,MATCH($I627,CONFIGURACOES!$B$37:$B$300,0)),"")</f>
        <v/>
      </c>
      <c r="T627" s="22">
        <f>IF(OR($R627="",$S627=""),"",$R627*$S627)</f>
        <v/>
      </c>
      <c r="U627" s="20" t="n"/>
      <c r="V627" s="20" t="n"/>
      <c r="W627" s="20" t="n"/>
      <c r="X627">
        <f>IF($A627="","",$A627&amp;"|"&amp;$C627&amp;"|"&amp;$I627)</f>
        <v/>
      </c>
      <c r="Y627">
        <f>IF(AND($A627=RELATORIO_MEDICAO!$C$5,$C627=RELATORIO_MEDICAO!$F$5,$A627&lt;&gt;""),COUNTIFS($A$3:$A627,RELATORIO_MEDICAO!$C$5,$C$3:$C627,RELATORIO_MEDICAO!$F$5),"")</f>
        <v/>
      </c>
      <c r="Z627">
        <f>IF(OR($A627="",PESQUISA!$C$4=""),0,IF(OR(ISNUMBER(SEARCH(PESQUISA!$C$4,$G627)),ISNUMBER(SEARCH(PESQUISA!$C$4,$K627)),ISNUMBER(SEARCH(PESQUISA!$C$4,$L627))),1,0))</f>
        <v/>
      </c>
      <c r="AA627">
        <f>IF($Z627=1,SUM($Z$3:$Z627),"")</f>
        <v/>
      </c>
      <c r="AB627">
        <f>IF(OR($A627="",PESQUISA!$C$50=""),0,IF(ISNUMBER(SEARCH(PESQUISA!$C$50,$I627)),1,0))</f>
        <v/>
      </c>
      <c r="AC627">
        <f>IF($AB627=1,SUM($AB$3:$AB627),"")</f>
        <v/>
      </c>
    </row>
    <row r="628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>
        <f>IFERROR(INDEX(CONFIGURACOES!$G$37:$G$300,MATCH($I628,CONFIGURACOES!$B$37:$B$300,0)),"")</f>
        <v/>
      </c>
      <c r="K628" s="20">
        <f>IFERROR(INDEX(CONFIGURACOES!$H$37:$H$300,MATCH($I628,CONFIGURACOES!$B$37:$B$300,0)),"")</f>
        <v/>
      </c>
      <c r="L628" s="20" t="n"/>
      <c r="M628" s="20">
        <f>IFERROR(INDEX(CONFIGURACOES!$I$37:$I$300,MATCH($I628,CONFIGURACOES!$B$37:$B$300,0)),"")</f>
        <v/>
      </c>
      <c r="N628" s="21" t="n"/>
      <c r="O628" s="21" t="n"/>
      <c r="P628" s="21" t="n"/>
      <c r="Q628" s="21" t="n"/>
      <c r="R628" s="21">
        <f>IF($N628="","",$N628*IF($Q628="",1,$Q628)*IF($P628="",1,$P628)*IF($O628="",1,$O628))</f>
        <v/>
      </c>
      <c r="S628" s="22">
        <f>IFERROR(INDEX(CONFIGURACOES!$J$37:$J$300,MATCH($I628,CONFIGURACOES!$B$37:$B$300,0)),"")</f>
        <v/>
      </c>
      <c r="T628" s="22">
        <f>IF(OR($R628="",$S628=""),"",$R628*$S628)</f>
        <v/>
      </c>
      <c r="U628" s="20" t="n"/>
      <c r="V628" s="20" t="n"/>
      <c r="W628" s="20" t="n"/>
      <c r="X628">
        <f>IF($A628="","",$A628&amp;"|"&amp;$C628&amp;"|"&amp;$I628)</f>
        <v/>
      </c>
      <c r="Y628">
        <f>IF(AND($A628=RELATORIO_MEDICAO!$C$5,$C628=RELATORIO_MEDICAO!$F$5,$A628&lt;&gt;""),COUNTIFS($A$3:$A628,RELATORIO_MEDICAO!$C$5,$C$3:$C628,RELATORIO_MEDICAO!$F$5),"")</f>
        <v/>
      </c>
      <c r="Z628">
        <f>IF(OR($A628="",PESQUISA!$C$4=""),0,IF(OR(ISNUMBER(SEARCH(PESQUISA!$C$4,$G628)),ISNUMBER(SEARCH(PESQUISA!$C$4,$K628)),ISNUMBER(SEARCH(PESQUISA!$C$4,$L628))),1,0))</f>
        <v/>
      </c>
      <c r="AA628">
        <f>IF($Z628=1,SUM($Z$3:$Z628),"")</f>
        <v/>
      </c>
      <c r="AB628">
        <f>IF(OR($A628="",PESQUISA!$C$50=""),0,IF(ISNUMBER(SEARCH(PESQUISA!$C$50,$I628)),1,0))</f>
        <v/>
      </c>
      <c r="AC628">
        <f>IF($AB628=1,SUM($AB$3:$AB628),"")</f>
        <v/>
      </c>
    </row>
    <row r="629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>
        <f>IFERROR(INDEX(CONFIGURACOES!$G$37:$G$300,MATCH($I629,CONFIGURACOES!$B$37:$B$300,0)),"")</f>
        <v/>
      </c>
      <c r="K629" s="20">
        <f>IFERROR(INDEX(CONFIGURACOES!$H$37:$H$300,MATCH($I629,CONFIGURACOES!$B$37:$B$300,0)),"")</f>
        <v/>
      </c>
      <c r="L629" s="20" t="n"/>
      <c r="M629" s="20">
        <f>IFERROR(INDEX(CONFIGURACOES!$I$37:$I$300,MATCH($I629,CONFIGURACOES!$B$37:$B$300,0)),"")</f>
        <v/>
      </c>
      <c r="N629" s="21" t="n"/>
      <c r="O629" s="21" t="n"/>
      <c r="P629" s="21" t="n"/>
      <c r="Q629" s="21" t="n"/>
      <c r="R629" s="21">
        <f>IF($N629="","",$N629*IF($Q629="",1,$Q629)*IF($P629="",1,$P629)*IF($O629="",1,$O629))</f>
        <v/>
      </c>
      <c r="S629" s="22">
        <f>IFERROR(INDEX(CONFIGURACOES!$J$37:$J$300,MATCH($I629,CONFIGURACOES!$B$37:$B$300,0)),"")</f>
        <v/>
      </c>
      <c r="T629" s="22">
        <f>IF(OR($R629="",$S629=""),"",$R629*$S629)</f>
        <v/>
      </c>
      <c r="U629" s="20" t="n"/>
      <c r="V629" s="20" t="n"/>
      <c r="W629" s="20" t="n"/>
      <c r="X629">
        <f>IF($A629="","",$A629&amp;"|"&amp;$C629&amp;"|"&amp;$I629)</f>
        <v/>
      </c>
      <c r="Y629">
        <f>IF(AND($A629=RELATORIO_MEDICAO!$C$5,$C629=RELATORIO_MEDICAO!$F$5,$A629&lt;&gt;""),COUNTIFS($A$3:$A629,RELATORIO_MEDICAO!$C$5,$C$3:$C629,RELATORIO_MEDICAO!$F$5),"")</f>
        <v/>
      </c>
      <c r="Z629">
        <f>IF(OR($A629="",PESQUISA!$C$4=""),0,IF(OR(ISNUMBER(SEARCH(PESQUISA!$C$4,$G629)),ISNUMBER(SEARCH(PESQUISA!$C$4,$K629)),ISNUMBER(SEARCH(PESQUISA!$C$4,$L629))),1,0))</f>
        <v/>
      </c>
      <c r="AA629">
        <f>IF($Z629=1,SUM($Z$3:$Z629),"")</f>
        <v/>
      </c>
      <c r="AB629">
        <f>IF(OR($A629="",PESQUISA!$C$50=""),0,IF(ISNUMBER(SEARCH(PESQUISA!$C$50,$I629)),1,0))</f>
        <v/>
      </c>
      <c r="AC629">
        <f>IF($AB629=1,SUM($AB$3:$AB629),"")</f>
        <v/>
      </c>
    </row>
    <row r="630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>
        <f>IFERROR(INDEX(CONFIGURACOES!$G$37:$G$300,MATCH($I630,CONFIGURACOES!$B$37:$B$300,0)),"")</f>
        <v/>
      </c>
      <c r="K630" s="20">
        <f>IFERROR(INDEX(CONFIGURACOES!$H$37:$H$300,MATCH($I630,CONFIGURACOES!$B$37:$B$300,0)),"")</f>
        <v/>
      </c>
      <c r="L630" s="20" t="n"/>
      <c r="M630" s="20">
        <f>IFERROR(INDEX(CONFIGURACOES!$I$37:$I$300,MATCH($I630,CONFIGURACOES!$B$37:$B$300,0)),"")</f>
        <v/>
      </c>
      <c r="N630" s="21" t="n"/>
      <c r="O630" s="21" t="n"/>
      <c r="P630" s="21" t="n"/>
      <c r="Q630" s="21" t="n"/>
      <c r="R630" s="21">
        <f>IF($N630="","",$N630*IF($Q630="",1,$Q630)*IF($P630="",1,$P630)*IF($O630="",1,$O630))</f>
        <v/>
      </c>
      <c r="S630" s="22">
        <f>IFERROR(INDEX(CONFIGURACOES!$J$37:$J$300,MATCH($I630,CONFIGURACOES!$B$37:$B$300,0)),"")</f>
        <v/>
      </c>
      <c r="T630" s="22">
        <f>IF(OR($R630="",$S630=""),"",$R630*$S630)</f>
        <v/>
      </c>
      <c r="U630" s="20" t="n"/>
      <c r="V630" s="20" t="n"/>
      <c r="W630" s="20" t="n"/>
      <c r="X630">
        <f>IF($A630="","",$A630&amp;"|"&amp;$C630&amp;"|"&amp;$I630)</f>
        <v/>
      </c>
      <c r="Y630">
        <f>IF(AND($A630=RELATORIO_MEDICAO!$C$5,$C630=RELATORIO_MEDICAO!$F$5,$A630&lt;&gt;""),COUNTIFS($A$3:$A630,RELATORIO_MEDICAO!$C$5,$C$3:$C630,RELATORIO_MEDICAO!$F$5),"")</f>
        <v/>
      </c>
      <c r="Z630">
        <f>IF(OR($A630="",PESQUISA!$C$4=""),0,IF(OR(ISNUMBER(SEARCH(PESQUISA!$C$4,$G630)),ISNUMBER(SEARCH(PESQUISA!$C$4,$K630)),ISNUMBER(SEARCH(PESQUISA!$C$4,$L630))),1,0))</f>
        <v/>
      </c>
      <c r="AA630">
        <f>IF($Z630=1,SUM($Z$3:$Z630),"")</f>
        <v/>
      </c>
      <c r="AB630">
        <f>IF(OR($A630="",PESQUISA!$C$50=""),0,IF(ISNUMBER(SEARCH(PESQUISA!$C$50,$I630)),1,0))</f>
        <v/>
      </c>
      <c r="AC630">
        <f>IF($AB630=1,SUM($AB$3:$AB630),"")</f>
        <v/>
      </c>
    </row>
    <row r="631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>
        <f>IFERROR(INDEX(CONFIGURACOES!$G$37:$G$300,MATCH($I631,CONFIGURACOES!$B$37:$B$300,0)),"")</f>
        <v/>
      </c>
      <c r="K631" s="20">
        <f>IFERROR(INDEX(CONFIGURACOES!$H$37:$H$300,MATCH($I631,CONFIGURACOES!$B$37:$B$300,0)),"")</f>
        <v/>
      </c>
      <c r="L631" s="20" t="n"/>
      <c r="M631" s="20">
        <f>IFERROR(INDEX(CONFIGURACOES!$I$37:$I$300,MATCH($I631,CONFIGURACOES!$B$37:$B$300,0)),"")</f>
        <v/>
      </c>
      <c r="N631" s="21" t="n"/>
      <c r="O631" s="21" t="n"/>
      <c r="P631" s="21" t="n"/>
      <c r="Q631" s="21" t="n"/>
      <c r="R631" s="21">
        <f>IF($N631="","",$N631*IF($Q631="",1,$Q631)*IF($P631="",1,$P631)*IF($O631="",1,$O631))</f>
        <v/>
      </c>
      <c r="S631" s="22">
        <f>IFERROR(INDEX(CONFIGURACOES!$J$37:$J$300,MATCH($I631,CONFIGURACOES!$B$37:$B$300,0)),"")</f>
        <v/>
      </c>
      <c r="T631" s="22">
        <f>IF(OR($R631="",$S631=""),"",$R631*$S631)</f>
        <v/>
      </c>
      <c r="U631" s="20" t="n"/>
      <c r="V631" s="20" t="n"/>
      <c r="W631" s="20" t="n"/>
      <c r="X631">
        <f>IF($A631="","",$A631&amp;"|"&amp;$C631&amp;"|"&amp;$I631)</f>
        <v/>
      </c>
      <c r="Y631">
        <f>IF(AND($A631=RELATORIO_MEDICAO!$C$5,$C631=RELATORIO_MEDICAO!$F$5,$A631&lt;&gt;""),COUNTIFS($A$3:$A631,RELATORIO_MEDICAO!$C$5,$C$3:$C631,RELATORIO_MEDICAO!$F$5),"")</f>
        <v/>
      </c>
      <c r="Z631">
        <f>IF(OR($A631="",PESQUISA!$C$4=""),0,IF(OR(ISNUMBER(SEARCH(PESQUISA!$C$4,$G631)),ISNUMBER(SEARCH(PESQUISA!$C$4,$K631)),ISNUMBER(SEARCH(PESQUISA!$C$4,$L631))),1,0))</f>
        <v/>
      </c>
      <c r="AA631">
        <f>IF($Z631=1,SUM($Z$3:$Z631),"")</f>
        <v/>
      </c>
      <c r="AB631">
        <f>IF(OR($A631="",PESQUISA!$C$50=""),0,IF(ISNUMBER(SEARCH(PESQUISA!$C$50,$I631)),1,0))</f>
        <v/>
      </c>
      <c r="AC631">
        <f>IF($AB631=1,SUM($AB$3:$AB631),"")</f>
        <v/>
      </c>
    </row>
    <row r="632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>
        <f>IFERROR(INDEX(CONFIGURACOES!$G$37:$G$300,MATCH($I632,CONFIGURACOES!$B$37:$B$300,0)),"")</f>
        <v/>
      </c>
      <c r="K632" s="20">
        <f>IFERROR(INDEX(CONFIGURACOES!$H$37:$H$300,MATCH($I632,CONFIGURACOES!$B$37:$B$300,0)),"")</f>
        <v/>
      </c>
      <c r="L632" s="20" t="n"/>
      <c r="M632" s="20">
        <f>IFERROR(INDEX(CONFIGURACOES!$I$37:$I$300,MATCH($I632,CONFIGURACOES!$B$37:$B$300,0)),"")</f>
        <v/>
      </c>
      <c r="N632" s="21" t="n"/>
      <c r="O632" s="21" t="n"/>
      <c r="P632" s="21" t="n"/>
      <c r="Q632" s="21" t="n"/>
      <c r="R632" s="21">
        <f>IF($N632="","",$N632*IF($Q632="",1,$Q632)*IF($P632="",1,$P632)*IF($O632="",1,$O632))</f>
        <v/>
      </c>
      <c r="S632" s="22">
        <f>IFERROR(INDEX(CONFIGURACOES!$J$37:$J$300,MATCH($I632,CONFIGURACOES!$B$37:$B$300,0)),"")</f>
        <v/>
      </c>
      <c r="T632" s="22">
        <f>IF(OR($R632="",$S632=""),"",$R632*$S632)</f>
        <v/>
      </c>
      <c r="U632" s="20" t="n"/>
      <c r="V632" s="20" t="n"/>
      <c r="W632" s="20" t="n"/>
      <c r="X632">
        <f>IF($A632="","",$A632&amp;"|"&amp;$C632&amp;"|"&amp;$I632)</f>
        <v/>
      </c>
      <c r="Y632">
        <f>IF(AND($A632=RELATORIO_MEDICAO!$C$5,$C632=RELATORIO_MEDICAO!$F$5,$A632&lt;&gt;""),COUNTIFS($A$3:$A632,RELATORIO_MEDICAO!$C$5,$C$3:$C632,RELATORIO_MEDICAO!$F$5),"")</f>
        <v/>
      </c>
      <c r="Z632">
        <f>IF(OR($A632="",PESQUISA!$C$4=""),0,IF(OR(ISNUMBER(SEARCH(PESQUISA!$C$4,$G632)),ISNUMBER(SEARCH(PESQUISA!$C$4,$K632)),ISNUMBER(SEARCH(PESQUISA!$C$4,$L632))),1,0))</f>
        <v/>
      </c>
      <c r="AA632">
        <f>IF($Z632=1,SUM($Z$3:$Z632),"")</f>
        <v/>
      </c>
      <c r="AB632">
        <f>IF(OR($A632="",PESQUISA!$C$50=""),0,IF(ISNUMBER(SEARCH(PESQUISA!$C$50,$I632)),1,0))</f>
        <v/>
      </c>
      <c r="AC632">
        <f>IF($AB632=1,SUM($AB$3:$AB632),"")</f>
        <v/>
      </c>
    </row>
    <row r="633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>
        <f>IFERROR(INDEX(CONFIGURACOES!$G$37:$G$300,MATCH($I633,CONFIGURACOES!$B$37:$B$300,0)),"")</f>
        <v/>
      </c>
      <c r="K633" s="20">
        <f>IFERROR(INDEX(CONFIGURACOES!$H$37:$H$300,MATCH($I633,CONFIGURACOES!$B$37:$B$300,0)),"")</f>
        <v/>
      </c>
      <c r="L633" s="20" t="n"/>
      <c r="M633" s="20">
        <f>IFERROR(INDEX(CONFIGURACOES!$I$37:$I$300,MATCH($I633,CONFIGURACOES!$B$37:$B$300,0)),"")</f>
        <v/>
      </c>
      <c r="N633" s="21" t="n"/>
      <c r="O633" s="21" t="n"/>
      <c r="P633" s="21" t="n"/>
      <c r="Q633" s="21" t="n"/>
      <c r="R633" s="21">
        <f>IF($N633="","",$N633*IF($Q633="",1,$Q633)*IF($P633="",1,$P633)*IF($O633="",1,$O633))</f>
        <v/>
      </c>
      <c r="S633" s="22">
        <f>IFERROR(INDEX(CONFIGURACOES!$J$37:$J$300,MATCH($I633,CONFIGURACOES!$B$37:$B$300,0)),"")</f>
        <v/>
      </c>
      <c r="T633" s="22">
        <f>IF(OR($R633="",$S633=""),"",$R633*$S633)</f>
        <v/>
      </c>
      <c r="U633" s="20" t="n"/>
      <c r="V633" s="20" t="n"/>
      <c r="W633" s="20" t="n"/>
      <c r="X633">
        <f>IF($A633="","",$A633&amp;"|"&amp;$C633&amp;"|"&amp;$I633)</f>
        <v/>
      </c>
      <c r="Y633">
        <f>IF(AND($A633=RELATORIO_MEDICAO!$C$5,$C633=RELATORIO_MEDICAO!$F$5,$A633&lt;&gt;""),COUNTIFS($A$3:$A633,RELATORIO_MEDICAO!$C$5,$C$3:$C633,RELATORIO_MEDICAO!$F$5),"")</f>
        <v/>
      </c>
      <c r="Z633">
        <f>IF(OR($A633="",PESQUISA!$C$4=""),0,IF(OR(ISNUMBER(SEARCH(PESQUISA!$C$4,$G633)),ISNUMBER(SEARCH(PESQUISA!$C$4,$K633)),ISNUMBER(SEARCH(PESQUISA!$C$4,$L633))),1,0))</f>
        <v/>
      </c>
      <c r="AA633">
        <f>IF($Z633=1,SUM($Z$3:$Z633),"")</f>
        <v/>
      </c>
      <c r="AB633">
        <f>IF(OR($A633="",PESQUISA!$C$50=""),0,IF(ISNUMBER(SEARCH(PESQUISA!$C$50,$I633)),1,0))</f>
        <v/>
      </c>
      <c r="AC633">
        <f>IF($AB633=1,SUM($AB$3:$AB633),"")</f>
        <v/>
      </c>
    </row>
    <row r="634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>
        <f>IFERROR(INDEX(CONFIGURACOES!$G$37:$G$300,MATCH($I634,CONFIGURACOES!$B$37:$B$300,0)),"")</f>
        <v/>
      </c>
      <c r="K634" s="20">
        <f>IFERROR(INDEX(CONFIGURACOES!$H$37:$H$300,MATCH($I634,CONFIGURACOES!$B$37:$B$300,0)),"")</f>
        <v/>
      </c>
      <c r="L634" s="20" t="n"/>
      <c r="M634" s="20">
        <f>IFERROR(INDEX(CONFIGURACOES!$I$37:$I$300,MATCH($I634,CONFIGURACOES!$B$37:$B$300,0)),"")</f>
        <v/>
      </c>
      <c r="N634" s="21" t="n"/>
      <c r="O634" s="21" t="n"/>
      <c r="P634" s="21" t="n"/>
      <c r="Q634" s="21" t="n"/>
      <c r="R634" s="21">
        <f>IF($N634="","",$N634*IF($Q634="",1,$Q634)*IF($P634="",1,$P634)*IF($O634="",1,$O634))</f>
        <v/>
      </c>
      <c r="S634" s="22">
        <f>IFERROR(INDEX(CONFIGURACOES!$J$37:$J$300,MATCH($I634,CONFIGURACOES!$B$37:$B$300,0)),"")</f>
        <v/>
      </c>
      <c r="T634" s="22">
        <f>IF(OR($R634="",$S634=""),"",$R634*$S634)</f>
        <v/>
      </c>
      <c r="U634" s="20" t="n"/>
      <c r="V634" s="20" t="n"/>
      <c r="W634" s="20" t="n"/>
      <c r="X634">
        <f>IF($A634="","",$A634&amp;"|"&amp;$C634&amp;"|"&amp;$I634)</f>
        <v/>
      </c>
      <c r="Y634">
        <f>IF(AND($A634=RELATORIO_MEDICAO!$C$5,$C634=RELATORIO_MEDICAO!$F$5,$A634&lt;&gt;""),COUNTIFS($A$3:$A634,RELATORIO_MEDICAO!$C$5,$C$3:$C634,RELATORIO_MEDICAO!$F$5),"")</f>
        <v/>
      </c>
      <c r="Z634">
        <f>IF(OR($A634="",PESQUISA!$C$4=""),0,IF(OR(ISNUMBER(SEARCH(PESQUISA!$C$4,$G634)),ISNUMBER(SEARCH(PESQUISA!$C$4,$K634)),ISNUMBER(SEARCH(PESQUISA!$C$4,$L634))),1,0))</f>
        <v/>
      </c>
      <c r="AA634">
        <f>IF($Z634=1,SUM($Z$3:$Z634),"")</f>
        <v/>
      </c>
      <c r="AB634">
        <f>IF(OR($A634="",PESQUISA!$C$50=""),0,IF(ISNUMBER(SEARCH(PESQUISA!$C$50,$I634)),1,0))</f>
        <v/>
      </c>
      <c r="AC634">
        <f>IF($AB634=1,SUM($AB$3:$AB634),"")</f>
        <v/>
      </c>
    </row>
    <row r="635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>
        <f>IFERROR(INDEX(CONFIGURACOES!$G$37:$G$300,MATCH($I635,CONFIGURACOES!$B$37:$B$300,0)),"")</f>
        <v/>
      </c>
      <c r="K635" s="20">
        <f>IFERROR(INDEX(CONFIGURACOES!$H$37:$H$300,MATCH($I635,CONFIGURACOES!$B$37:$B$300,0)),"")</f>
        <v/>
      </c>
      <c r="L635" s="20" t="n"/>
      <c r="M635" s="20">
        <f>IFERROR(INDEX(CONFIGURACOES!$I$37:$I$300,MATCH($I635,CONFIGURACOES!$B$37:$B$300,0)),"")</f>
        <v/>
      </c>
      <c r="N635" s="21" t="n"/>
      <c r="O635" s="21" t="n"/>
      <c r="P635" s="21" t="n"/>
      <c r="Q635" s="21" t="n"/>
      <c r="R635" s="21">
        <f>IF($N635="","",$N635*IF($Q635="",1,$Q635)*IF($P635="",1,$P635)*IF($O635="",1,$O635))</f>
        <v/>
      </c>
      <c r="S635" s="22">
        <f>IFERROR(INDEX(CONFIGURACOES!$J$37:$J$300,MATCH($I635,CONFIGURACOES!$B$37:$B$300,0)),"")</f>
        <v/>
      </c>
      <c r="T635" s="22">
        <f>IF(OR($R635="",$S635=""),"",$R635*$S635)</f>
        <v/>
      </c>
      <c r="U635" s="20" t="n"/>
      <c r="V635" s="20" t="n"/>
      <c r="W635" s="20" t="n"/>
      <c r="X635">
        <f>IF($A635="","",$A635&amp;"|"&amp;$C635&amp;"|"&amp;$I635)</f>
        <v/>
      </c>
      <c r="Y635">
        <f>IF(AND($A635=RELATORIO_MEDICAO!$C$5,$C635=RELATORIO_MEDICAO!$F$5,$A635&lt;&gt;""),COUNTIFS($A$3:$A635,RELATORIO_MEDICAO!$C$5,$C$3:$C635,RELATORIO_MEDICAO!$F$5),"")</f>
        <v/>
      </c>
      <c r="Z635">
        <f>IF(OR($A635="",PESQUISA!$C$4=""),0,IF(OR(ISNUMBER(SEARCH(PESQUISA!$C$4,$G635)),ISNUMBER(SEARCH(PESQUISA!$C$4,$K635)),ISNUMBER(SEARCH(PESQUISA!$C$4,$L635))),1,0))</f>
        <v/>
      </c>
      <c r="AA635">
        <f>IF($Z635=1,SUM($Z$3:$Z635),"")</f>
        <v/>
      </c>
      <c r="AB635">
        <f>IF(OR($A635="",PESQUISA!$C$50=""),0,IF(ISNUMBER(SEARCH(PESQUISA!$C$50,$I635)),1,0))</f>
        <v/>
      </c>
      <c r="AC635">
        <f>IF($AB635=1,SUM($AB$3:$AB635),"")</f>
        <v/>
      </c>
    </row>
    <row r="636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>
        <f>IFERROR(INDEX(CONFIGURACOES!$G$37:$G$300,MATCH($I636,CONFIGURACOES!$B$37:$B$300,0)),"")</f>
        <v/>
      </c>
      <c r="K636" s="20">
        <f>IFERROR(INDEX(CONFIGURACOES!$H$37:$H$300,MATCH($I636,CONFIGURACOES!$B$37:$B$300,0)),"")</f>
        <v/>
      </c>
      <c r="L636" s="20" t="n"/>
      <c r="M636" s="20">
        <f>IFERROR(INDEX(CONFIGURACOES!$I$37:$I$300,MATCH($I636,CONFIGURACOES!$B$37:$B$300,0)),"")</f>
        <v/>
      </c>
      <c r="N636" s="21" t="n"/>
      <c r="O636" s="21" t="n"/>
      <c r="P636" s="21" t="n"/>
      <c r="Q636" s="21" t="n"/>
      <c r="R636" s="21">
        <f>IF($N636="","",$N636*IF($Q636="",1,$Q636)*IF($P636="",1,$P636)*IF($O636="",1,$O636))</f>
        <v/>
      </c>
      <c r="S636" s="22">
        <f>IFERROR(INDEX(CONFIGURACOES!$J$37:$J$300,MATCH($I636,CONFIGURACOES!$B$37:$B$300,0)),"")</f>
        <v/>
      </c>
      <c r="T636" s="22">
        <f>IF(OR($R636="",$S636=""),"",$R636*$S636)</f>
        <v/>
      </c>
      <c r="U636" s="20" t="n"/>
      <c r="V636" s="20" t="n"/>
      <c r="W636" s="20" t="n"/>
      <c r="X636">
        <f>IF($A636="","",$A636&amp;"|"&amp;$C636&amp;"|"&amp;$I636)</f>
        <v/>
      </c>
      <c r="Y636">
        <f>IF(AND($A636=RELATORIO_MEDICAO!$C$5,$C636=RELATORIO_MEDICAO!$F$5,$A636&lt;&gt;""),COUNTIFS($A$3:$A636,RELATORIO_MEDICAO!$C$5,$C$3:$C636,RELATORIO_MEDICAO!$F$5),"")</f>
        <v/>
      </c>
      <c r="Z636">
        <f>IF(OR($A636="",PESQUISA!$C$4=""),0,IF(OR(ISNUMBER(SEARCH(PESQUISA!$C$4,$G636)),ISNUMBER(SEARCH(PESQUISA!$C$4,$K636)),ISNUMBER(SEARCH(PESQUISA!$C$4,$L636))),1,0))</f>
        <v/>
      </c>
      <c r="AA636">
        <f>IF($Z636=1,SUM($Z$3:$Z636),"")</f>
        <v/>
      </c>
      <c r="AB636">
        <f>IF(OR($A636="",PESQUISA!$C$50=""),0,IF(ISNUMBER(SEARCH(PESQUISA!$C$50,$I636)),1,0))</f>
        <v/>
      </c>
      <c r="AC636">
        <f>IF($AB636=1,SUM($AB$3:$AB636),"")</f>
        <v/>
      </c>
    </row>
    <row r="637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>
        <f>IFERROR(INDEX(CONFIGURACOES!$G$37:$G$300,MATCH($I637,CONFIGURACOES!$B$37:$B$300,0)),"")</f>
        <v/>
      </c>
      <c r="K637" s="20">
        <f>IFERROR(INDEX(CONFIGURACOES!$H$37:$H$300,MATCH($I637,CONFIGURACOES!$B$37:$B$300,0)),"")</f>
        <v/>
      </c>
      <c r="L637" s="20" t="n"/>
      <c r="M637" s="20">
        <f>IFERROR(INDEX(CONFIGURACOES!$I$37:$I$300,MATCH($I637,CONFIGURACOES!$B$37:$B$300,0)),"")</f>
        <v/>
      </c>
      <c r="N637" s="21" t="n"/>
      <c r="O637" s="21" t="n"/>
      <c r="P637" s="21" t="n"/>
      <c r="Q637" s="21" t="n"/>
      <c r="R637" s="21">
        <f>IF($N637="","",$N637*IF($Q637="",1,$Q637)*IF($P637="",1,$P637)*IF($O637="",1,$O637))</f>
        <v/>
      </c>
      <c r="S637" s="22">
        <f>IFERROR(INDEX(CONFIGURACOES!$J$37:$J$300,MATCH($I637,CONFIGURACOES!$B$37:$B$300,0)),"")</f>
        <v/>
      </c>
      <c r="T637" s="22">
        <f>IF(OR($R637="",$S637=""),"",$R637*$S637)</f>
        <v/>
      </c>
      <c r="U637" s="20" t="n"/>
      <c r="V637" s="20" t="n"/>
      <c r="W637" s="20" t="n"/>
      <c r="X637">
        <f>IF($A637="","",$A637&amp;"|"&amp;$C637&amp;"|"&amp;$I637)</f>
        <v/>
      </c>
      <c r="Y637">
        <f>IF(AND($A637=RELATORIO_MEDICAO!$C$5,$C637=RELATORIO_MEDICAO!$F$5,$A637&lt;&gt;""),COUNTIFS($A$3:$A637,RELATORIO_MEDICAO!$C$5,$C$3:$C637,RELATORIO_MEDICAO!$F$5),"")</f>
        <v/>
      </c>
      <c r="Z637">
        <f>IF(OR($A637="",PESQUISA!$C$4=""),0,IF(OR(ISNUMBER(SEARCH(PESQUISA!$C$4,$G637)),ISNUMBER(SEARCH(PESQUISA!$C$4,$K637)),ISNUMBER(SEARCH(PESQUISA!$C$4,$L637))),1,0))</f>
        <v/>
      </c>
      <c r="AA637">
        <f>IF($Z637=1,SUM($Z$3:$Z637),"")</f>
        <v/>
      </c>
      <c r="AB637">
        <f>IF(OR($A637="",PESQUISA!$C$50=""),0,IF(ISNUMBER(SEARCH(PESQUISA!$C$50,$I637)),1,0))</f>
        <v/>
      </c>
      <c r="AC637">
        <f>IF($AB637=1,SUM($AB$3:$AB637),"")</f>
        <v/>
      </c>
    </row>
    <row r="638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>
        <f>IFERROR(INDEX(CONFIGURACOES!$G$37:$G$300,MATCH($I638,CONFIGURACOES!$B$37:$B$300,0)),"")</f>
        <v/>
      </c>
      <c r="K638" s="20">
        <f>IFERROR(INDEX(CONFIGURACOES!$H$37:$H$300,MATCH($I638,CONFIGURACOES!$B$37:$B$300,0)),"")</f>
        <v/>
      </c>
      <c r="L638" s="20" t="n"/>
      <c r="M638" s="20">
        <f>IFERROR(INDEX(CONFIGURACOES!$I$37:$I$300,MATCH($I638,CONFIGURACOES!$B$37:$B$300,0)),"")</f>
        <v/>
      </c>
      <c r="N638" s="21" t="n"/>
      <c r="O638" s="21" t="n"/>
      <c r="P638" s="21" t="n"/>
      <c r="Q638" s="21" t="n"/>
      <c r="R638" s="21">
        <f>IF($N638="","",$N638*IF($Q638="",1,$Q638)*IF($P638="",1,$P638)*IF($O638="",1,$O638))</f>
        <v/>
      </c>
      <c r="S638" s="22">
        <f>IFERROR(INDEX(CONFIGURACOES!$J$37:$J$300,MATCH($I638,CONFIGURACOES!$B$37:$B$300,0)),"")</f>
        <v/>
      </c>
      <c r="T638" s="22">
        <f>IF(OR($R638="",$S638=""),"",$R638*$S638)</f>
        <v/>
      </c>
      <c r="U638" s="20" t="n"/>
      <c r="V638" s="20" t="n"/>
      <c r="W638" s="20" t="n"/>
      <c r="X638">
        <f>IF($A638="","",$A638&amp;"|"&amp;$C638&amp;"|"&amp;$I638)</f>
        <v/>
      </c>
      <c r="Y638">
        <f>IF(AND($A638=RELATORIO_MEDICAO!$C$5,$C638=RELATORIO_MEDICAO!$F$5,$A638&lt;&gt;""),COUNTIFS($A$3:$A638,RELATORIO_MEDICAO!$C$5,$C$3:$C638,RELATORIO_MEDICAO!$F$5),"")</f>
        <v/>
      </c>
      <c r="Z638">
        <f>IF(OR($A638="",PESQUISA!$C$4=""),0,IF(OR(ISNUMBER(SEARCH(PESQUISA!$C$4,$G638)),ISNUMBER(SEARCH(PESQUISA!$C$4,$K638)),ISNUMBER(SEARCH(PESQUISA!$C$4,$L638))),1,0))</f>
        <v/>
      </c>
      <c r="AA638">
        <f>IF($Z638=1,SUM($Z$3:$Z638),"")</f>
        <v/>
      </c>
      <c r="AB638">
        <f>IF(OR($A638="",PESQUISA!$C$50=""),0,IF(ISNUMBER(SEARCH(PESQUISA!$C$50,$I638)),1,0))</f>
        <v/>
      </c>
      <c r="AC638">
        <f>IF($AB638=1,SUM($AB$3:$AB638),"")</f>
        <v/>
      </c>
    </row>
    <row r="639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>
        <f>IFERROR(INDEX(CONFIGURACOES!$G$37:$G$300,MATCH($I639,CONFIGURACOES!$B$37:$B$300,0)),"")</f>
        <v/>
      </c>
      <c r="K639" s="20">
        <f>IFERROR(INDEX(CONFIGURACOES!$H$37:$H$300,MATCH($I639,CONFIGURACOES!$B$37:$B$300,0)),"")</f>
        <v/>
      </c>
      <c r="L639" s="20" t="n"/>
      <c r="M639" s="20">
        <f>IFERROR(INDEX(CONFIGURACOES!$I$37:$I$300,MATCH($I639,CONFIGURACOES!$B$37:$B$300,0)),"")</f>
        <v/>
      </c>
      <c r="N639" s="21" t="n"/>
      <c r="O639" s="21" t="n"/>
      <c r="P639" s="21" t="n"/>
      <c r="Q639" s="21" t="n"/>
      <c r="R639" s="21">
        <f>IF($N639="","",$N639*IF($Q639="",1,$Q639)*IF($P639="",1,$P639)*IF($O639="",1,$O639))</f>
        <v/>
      </c>
      <c r="S639" s="22">
        <f>IFERROR(INDEX(CONFIGURACOES!$J$37:$J$300,MATCH($I639,CONFIGURACOES!$B$37:$B$300,0)),"")</f>
        <v/>
      </c>
      <c r="T639" s="22">
        <f>IF(OR($R639="",$S639=""),"",$R639*$S639)</f>
        <v/>
      </c>
      <c r="U639" s="20" t="n"/>
      <c r="V639" s="20" t="n"/>
      <c r="W639" s="20" t="n"/>
      <c r="X639">
        <f>IF($A639="","",$A639&amp;"|"&amp;$C639&amp;"|"&amp;$I639)</f>
        <v/>
      </c>
      <c r="Y639">
        <f>IF(AND($A639=RELATORIO_MEDICAO!$C$5,$C639=RELATORIO_MEDICAO!$F$5,$A639&lt;&gt;""),COUNTIFS($A$3:$A639,RELATORIO_MEDICAO!$C$5,$C$3:$C639,RELATORIO_MEDICAO!$F$5),"")</f>
        <v/>
      </c>
      <c r="Z639">
        <f>IF(OR($A639="",PESQUISA!$C$4=""),0,IF(OR(ISNUMBER(SEARCH(PESQUISA!$C$4,$G639)),ISNUMBER(SEARCH(PESQUISA!$C$4,$K639)),ISNUMBER(SEARCH(PESQUISA!$C$4,$L639))),1,0))</f>
        <v/>
      </c>
      <c r="AA639">
        <f>IF($Z639=1,SUM($Z$3:$Z639),"")</f>
        <v/>
      </c>
      <c r="AB639">
        <f>IF(OR($A639="",PESQUISA!$C$50=""),0,IF(ISNUMBER(SEARCH(PESQUISA!$C$50,$I639)),1,0))</f>
        <v/>
      </c>
      <c r="AC639">
        <f>IF($AB639=1,SUM($AB$3:$AB639),"")</f>
        <v/>
      </c>
    </row>
    <row r="640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>
        <f>IFERROR(INDEX(CONFIGURACOES!$G$37:$G$300,MATCH($I640,CONFIGURACOES!$B$37:$B$300,0)),"")</f>
        <v/>
      </c>
      <c r="K640" s="20">
        <f>IFERROR(INDEX(CONFIGURACOES!$H$37:$H$300,MATCH($I640,CONFIGURACOES!$B$37:$B$300,0)),"")</f>
        <v/>
      </c>
      <c r="L640" s="20" t="n"/>
      <c r="M640" s="20">
        <f>IFERROR(INDEX(CONFIGURACOES!$I$37:$I$300,MATCH($I640,CONFIGURACOES!$B$37:$B$300,0)),"")</f>
        <v/>
      </c>
      <c r="N640" s="21" t="n"/>
      <c r="O640" s="21" t="n"/>
      <c r="P640" s="21" t="n"/>
      <c r="Q640" s="21" t="n"/>
      <c r="R640" s="21">
        <f>IF($N640="","",$N640*IF($Q640="",1,$Q640)*IF($P640="",1,$P640)*IF($O640="",1,$O640))</f>
        <v/>
      </c>
      <c r="S640" s="22">
        <f>IFERROR(INDEX(CONFIGURACOES!$J$37:$J$300,MATCH($I640,CONFIGURACOES!$B$37:$B$300,0)),"")</f>
        <v/>
      </c>
      <c r="T640" s="22">
        <f>IF(OR($R640="",$S640=""),"",$R640*$S640)</f>
        <v/>
      </c>
      <c r="U640" s="20" t="n"/>
      <c r="V640" s="20" t="n"/>
      <c r="W640" s="20" t="n"/>
      <c r="X640">
        <f>IF($A640="","",$A640&amp;"|"&amp;$C640&amp;"|"&amp;$I640)</f>
        <v/>
      </c>
      <c r="Y640">
        <f>IF(AND($A640=RELATORIO_MEDICAO!$C$5,$C640=RELATORIO_MEDICAO!$F$5,$A640&lt;&gt;""),COUNTIFS($A$3:$A640,RELATORIO_MEDICAO!$C$5,$C$3:$C640,RELATORIO_MEDICAO!$F$5),"")</f>
        <v/>
      </c>
      <c r="Z640">
        <f>IF(OR($A640="",PESQUISA!$C$4=""),0,IF(OR(ISNUMBER(SEARCH(PESQUISA!$C$4,$G640)),ISNUMBER(SEARCH(PESQUISA!$C$4,$K640)),ISNUMBER(SEARCH(PESQUISA!$C$4,$L640))),1,0))</f>
        <v/>
      </c>
      <c r="AA640">
        <f>IF($Z640=1,SUM($Z$3:$Z640),"")</f>
        <v/>
      </c>
      <c r="AB640">
        <f>IF(OR($A640="",PESQUISA!$C$50=""),0,IF(ISNUMBER(SEARCH(PESQUISA!$C$50,$I640)),1,0))</f>
        <v/>
      </c>
      <c r="AC640">
        <f>IF($AB640=1,SUM($AB$3:$AB640),"")</f>
        <v/>
      </c>
    </row>
    <row r="641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>
        <f>IFERROR(INDEX(CONFIGURACOES!$G$37:$G$300,MATCH($I641,CONFIGURACOES!$B$37:$B$300,0)),"")</f>
        <v/>
      </c>
      <c r="K641" s="20">
        <f>IFERROR(INDEX(CONFIGURACOES!$H$37:$H$300,MATCH($I641,CONFIGURACOES!$B$37:$B$300,0)),"")</f>
        <v/>
      </c>
      <c r="L641" s="20" t="n"/>
      <c r="M641" s="20">
        <f>IFERROR(INDEX(CONFIGURACOES!$I$37:$I$300,MATCH($I641,CONFIGURACOES!$B$37:$B$300,0)),"")</f>
        <v/>
      </c>
      <c r="N641" s="21" t="n"/>
      <c r="O641" s="21" t="n"/>
      <c r="P641" s="21" t="n"/>
      <c r="Q641" s="21" t="n"/>
      <c r="R641" s="21">
        <f>IF($N641="","",$N641*IF($Q641="",1,$Q641)*IF($P641="",1,$P641)*IF($O641="",1,$O641))</f>
        <v/>
      </c>
      <c r="S641" s="22">
        <f>IFERROR(INDEX(CONFIGURACOES!$J$37:$J$300,MATCH($I641,CONFIGURACOES!$B$37:$B$300,0)),"")</f>
        <v/>
      </c>
      <c r="T641" s="22">
        <f>IF(OR($R641="",$S641=""),"",$R641*$S641)</f>
        <v/>
      </c>
      <c r="U641" s="20" t="n"/>
      <c r="V641" s="20" t="n"/>
      <c r="W641" s="20" t="n"/>
      <c r="X641">
        <f>IF($A641="","",$A641&amp;"|"&amp;$C641&amp;"|"&amp;$I641)</f>
        <v/>
      </c>
      <c r="Y641">
        <f>IF(AND($A641=RELATORIO_MEDICAO!$C$5,$C641=RELATORIO_MEDICAO!$F$5,$A641&lt;&gt;""),COUNTIFS($A$3:$A641,RELATORIO_MEDICAO!$C$5,$C$3:$C641,RELATORIO_MEDICAO!$F$5),"")</f>
        <v/>
      </c>
      <c r="Z641">
        <f>IF(OR($A641="",PESQUISA!$C$4=""),0,IF(OR(ISNUMBER(SEARCH(PESQUISA!$C$4,$G641)),ISNUMBER(SEARCH(PESQUISA!$C$4,$K641)),ISNUMBER(SEARCH(PESQUISA!$C$4,$L641))),1,0))</f>
        <v/>
      </c>
      <c r="AA641">
        <f>IF($Z641=1,SUM($Z$3:$Z641),"")</f>
        <v/>
      </c>
      <c r="AB641">
        <f>IF(OR($A641="",PESQUISA!$C$50=""),0,IF(ISNUMBER(SEARCH(PESQUISA!$C$50,$I641)),1,0))</f>
        <v/>
      </c>
      <c r="AC641">
        <f>IF($AB641=1,SUM($AB$3:$AB641),"")</f>
        <v/>
      </c>
    </row>
    <row r="642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>
        <f>IFERROR(INDEX(CONFIGURACOES!$G$37:$G$300,MATCH($I642,CONFIGURACOES!$B$37:$B$300,0)),"")</f>
        <v/>
      </c>
      <c r="K642" s="20">
        <f>IFERROR(INDEX(CONFIGURACOES!$H$37:$H$300,MATCH($I642,CONFIGURACOES!$B$37:$B$300,0)),"")</f>
        <v/>
      </c>
      <c r="L642" s="20" t="n"/>
      <c r="M642" s="20">
        <f>IFERROR(INDEX(CONFIGURACOES!$I$37:$I$300,MATCH($I642,CONFIGURACOES!$B$37:$B$300,0)),"")</f>
        <v/>
      </c>
      <c r="N642" s="21" t="n"/>
      <c r="O642" s="21" t="n"/>
      <c r="P642" s="21" t="n"/>
      <c r="Q642" s="21" t="n"/>
      <c r="R642" s="21">
        <f>IF($N642="","",$N642*IF($Q642="",1,$Q642)*IF($P642="",1,$P642)*IF($O642="",1,$O642))</f>
        <v/>
      </c>
      <c r="S642" s="22">
        <f>IFERROR(INDEX(CONFIGURACOES!$J$37:$J$300,MATCH($I642,CONFIGURACOES!$B$37:$B$300,0)),"")</f>
        <v/>
      </c>
      <c r="T642" s="22">
        <f>IF(OR($R642="",$S642=""),"",$R642*$S642)</f>
        <v/>
      </c>
      <c r="U642" s="20" t="n"/>
      <c r="V642" s="20" t="n"/>
      <c r="W642" s="20" t="n"/>
      <c r="X642">
        <f>IF($A642="","",$A642&amp;"|"&amp;$C642&amp;"|"&amp;$I642)</f>
        <v/>
      </c>
      <c r="Y642">
        <f>IF(AND($A642=RELATORIO_MEDICAO!$C$5,$C642=RELATORIO_MEDICAO!$F$5,$A642&lt;&gt;""),COUNTIFS($A$3:$A642,RELATORIO_MEDICAO!$C$5,$C$3:$C642,RELATORIO_MEDICAO!$F$5),"")</f>
        <v/>
      </c>
      <c r="Z642">
        <f>IF(OR($A642="",PESQUISA!$C$4=""),0,IF(OR(ISNUMBER(SEARCH(PESQUISA!$C$4,$G642)),ISNUMBER(SEARCH(PESQUISA!$C$4,$K642)),ISNUMBER(SEARCH(PESQUISA!$C$4,$L642))),1,0))</f>
        <v/>
      </c>
      <c r="AA642">
        <f>IF($Z642=1,SUM($Z$3:$Z642),"")</f>
        <v/>
      </c>
      <c r="AB642">
        <f>IF(OR($A642="",PESQUISA!$C$50=""),0,IF(ISNUMBER(SEARCH(PESQUISA!$C$50,$I642)),1,0))</f>
        <v/>
      </c>
      <c r="AC642">
        <f>IF($AB642=1,SUM($AB$3:$AB642),"")</f>
        <v/>
      </c>
    </row>
    <row r="643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>
        <f>IFERROR(INDEX(CONFIGURACOES!$G$37:$G$300,MATCH($I643,CONFIGURACOES!$B$37:$B$300,0)),"")</f>
        <v/>
      </c>
      <c r="K643" s="20">
        <f>IFERROR(INDEX(CONFIGURACOES!$H$37:$H$300,MATCH($I643,CONFIGURACOES!$B$37:$B$300,0)),"")</f>
        <v/>
      </c>
      <c r="L643" s="20" t="n"/>
      <c r="M643" s="20">
        <f>IFERROR(INDEX(CONFIGURACOES!$I$37:$I$300,MATCH($I643,CONFIGURACOES!$B$37:$B$300,0)),"")</f>
        <v/>
      </c>
      <c r="N643" s="21" t="n"/>
      <c r="O643" s="21" t="n"/>
      <c r="P643" s="21" t="n"/>
      <c r="Q643" s="21" t="n"/>
      <c r="R643" s="21">
        <f>IF($N643="","",$N643*IF($Q643="",1,$Q643)*IF($P643="",1,$P643)*IF($O643="",1,$O643))</f>
        <v/>
      </c>
      <c r="S643" s="22">
        <f>IFERROR(INDEX(CONFIGURACOES!$J$37:$J$300,MATCH($I643,CONFIGURACOES!$B$37:$B$300,0)),"")</f>
        <v/>
      </c>
      <c r="T643" s="22">
        <f>IF(OR($R643="",$S643=""),"",$R643*$S643)</f>
        <v/>
      </c>
      <c r="U643" s="20" t="n"/>
      <c r="V643" s="20" t="n"/>
      <c r="W643" s="20" t="n"/>
      <c r="X643">
        <f>IF($A643="","",$A643&amp;"|"&amp;$C643&amp;"|"&amp;$I643)</f>
        <v/>
      </c>
      <c r="Y643">
        <f>IF(AND($A643=RELATORIO_MEDICAO!$C$5,$C643=RELATORIO_MEDICAO!$F$5,$A643&lt;&gt;""),COUNTIFS($A$3:$A643,RELATORIO_MEDICAO!$C$5,$C$3:$C643,RELATORIO_MEDICAO!$F$5),"")</f>
        <v/>
      </c>
      <c r="Z643">
        <f>IF(OR($A643="",PESQUISA!$C$4=""),0,IF(OR(ISNUMBER(SEARCH(PESQUISA!$C$4,$G643)),ISNUMBER(SEARCH(PESQUISA!$C$4,$K643)),ISNUMBER(SEARCH(PESQUISA!$C$4,$L643))),1,0))</f>
        <v/>
      </c>
      <c r="AA643">
        <f>IF($Z643=1,SUM($Z$3:$Z643),"")</f>
        <v/>
      </c>
      <c r="AB643">
        <f>IF(OR($A643="",PESQUISA!$C$50=""),0,IF(ISNUMBER(SEARCH(PESQUISA!$C$50,$I643)),1,0))</f>
        <v/>
      </c>
      <c r="AC643">
        <f>IF($AB643=1,SUM($AB$3:$AB643),"")</f>
        <v/>
      </c>
    </row>
    <row r="644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>
        <f>IFERROR(INDEX(CONFIGURACOES!$G$37:$G$300,MATCH($I644,CONFIGURACOES!$B$37:$B$300,0)),"")</f>
        <v/>
      </c>
      <c r="K644" s="20">
        <f>IFERROR(INDEX(CONFIGURACOES!$H$37:$H$300,MATCH($I644,CONFIGURACOES!$B$37:$B$300,0)),"")</f>
        <v/>
      </c>
      <c r="L644" s="20" t="n"/>
      <c r="M644" s="20">
        <f>IFERROR(INDEX(CONFIGURACOES!$I$37:$I$300,MATCH($I644,CONFIGURACOES!$B$37:$B$300,0)),"")</f>
        <v/>
      </c>
      <c r="N644" s="21" t="n"/>
      <c r="O644" s="21" t="n"/>
      <c r="P644" s="21" t="n"/>
      <c r="Q644" s="21" t="n"/>
      <c r="R644" s="21">
        <f>IF($N644="","",$N644*IF($Q644="",1,$Q644)*IF($P644="",1,$P644)*IF($O644="",1,$O644))</f>
        <v/>
      </c>
      <c r="S644" s="22">
        <f>IFERROR(INDEX(CONFIGURACOES!$J$37:$J$300,MATCH($I644,CONFIGURACOES!$B$37:$B$300,0)),"")</f>
        <v/>
      </c>
      <c r="T644" s="22">
        <f>IF(OR($R644="",$S644=""),"",$R644*$S644)</f>
        <v/>
      </c>
      <c r="U644" s="20" t="n"/>
      <c r="V644" s="20" t="n"/>
      <c r="W644" s="20" t="n"/>
      <c r="X644">
        <f>IF($A644="","",$A644&amp;"|"&amp;$C644&amp;"|"&amp;$I644)</f>
        <v/>
      </c>
      <c r="Y644">
        <f>IF(AND($A644=RELATORIO_MEDICAO!$C$5,$C644=RELATORIO_MEDICAO!$F$5,$A644&lt;&gt;""),COUNTIFS($A$3:$A644,RELATORIO_MEDICAO!$C$5,$C$3:$C644,RELATORIO_MEDICAO!$F$5),"")</f>
        <v/>
      </c>
      <c r="Z644">
        <f>IF(OR($A644="",PESQUISA!$C$4=""),0,IF(OR(ISNUMBER(SEARCH(PESQUISA!$C$4,$G644)),ISNUMBER(SEARCH(PESQUISA!$C$4,$K644)),ISNUMBER(SEARCH(PESQUISA!$C$4,$L644))),1,0))</f>
        <v/>
      </c>
      <c r="AA644">
        <f>IF($Z644=1,SUM($Z$3:$Z644),"")</f>
        <v/>
      </c>
      <c r="AB644">
        <f>IF(OR($A644="",PESQUISA!$C$50=""),0,IF(ISNUMBER(SEARCH(PESQUISA!$C$50,$I644)),1,0))</f>
        <v/>
      </c>
      <c r="AC644">
        <f>IF($AB644=1,SUM($AB$3:$AB644),"")</f>
        <v/>
      </c>
    </row>
    <row r="645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>
        <f>IFERROR(INDEX(CONFIGURACOES!$G$37:$G$300,MATCH($I645,CONFIGURACOES!$B$37:$B$300,0)),"")</f>
        <v/>
      </c>
      <c r="K645" s="20">
        <f>IFERROR(INDEX(CONFIGURACOES!$H$37:$H$300,MATCH($I645,CONFIGURACOES!$B$37:$B$300,0)),"")</f>
        <v/>
      </c>
      <c r="L645" s="20" t="n"/>
      <c r="M645" s="20">
        <f>IFERROR(INDEX(CONFIGURACOES!$I$37:$I$300,MATCH($I645,CONFIGURACOES!$B$37:$B$300,0)),"")</f>
        <v/>
      </c>
      <c r="N645" s="21" t="n"/>
      <c r="O645" s="21" t="n"/>
      <c r="P645" s="21" t="n"/>
      <c r="Q645" s="21" t="n"/>
      <c r="R645" s="21">
        <f>IF($N645="","",$N645*IF($Q645="",1,$Q645)*IF($P645="",1,$P645)*IF($O645="",1,$O645))</f>
        <v/>
      </c>
      <c r="S645" s="22">
        <f>IFERROR(INDEX(CONFIGURACOES!$J$37:$J$300,MATCH($I645,CONFIGURACOES!$B$37:$B$300,0)),"")</f>
        <v/>
      </c>
      <c r="T645" s="22">
        <f>IF(OR($R645="",$S645=""),"",$R645*$S645)</f>
        <v/>
      </c>
      <c r="U645" s="20" t="n"/>
      <c r="V645" s="20" t="n"/>
      <c r="W645" s="20" t="n"/>
      <c r="X645">
        <f>IF($A645="","",$A645&amp;"|"&amp;$C645&amp;"|"&amp;$I645)</f>
        <v/>
      </c>
      <c r="Y645">
        <f>IF(AND($A645=RELATORIO_MEDICAO!$C$5,$C645=RELATORIO_MEDICAO!$F$5,$A645&lt;&gt;""),COUNTIFS($A$3:$A645,RELATORIO_MEDICAO!$C$5,$C$3:$C645,RELATORIO_MEDICAO!$F$5),"")</f>
        <v/>
      </c>
      <c r="Z645">
        <f>IF(OR($A645="",PESQUISA!$C$4=""),0,IF(OR(ISNUMBER(SEARCH(PESQUISA!$C$4,$G645)),ISNUMBER(SEARCH(PESQUISA!$C$4,$K645)),ISNUMBER(SEARCH(PESQUISA!$C$4,$L645))),1,0))</f>
        <v/>
      </c>
      <c r="AA645">
        <f>IF($Z645=1,SUM($Z$3:$Z645),"")</f>
        <v/>
      </c>
      <c r="AB645">
        <f>IF(OR($A645="",PESQUISA!$C$50=""),0,IF(ISNUMBER(SEARCH(PESQUISA!$C$50,$I645)),1,0))</f>
        <v/>
      </c>
      <c r="AC645">
        <f>IF($AB645=1,SUM($AB$3:$AB645),"")</f>
        <v/>
      </c>
    </row>
    <row r="646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>
        <f>IFERROR(INDEX(CONFIGURACOES!$G$37:$G$300,MATCH($I646,CONFIGURACOES!$B$37:$B$300,0)),"")</f>
        <v/>
      </c>
      <c r="K646" s="20">
        <f>IFERROR(INDEX(CONFIGURACOES!$H$37:$H$300,MATCH($I646,CONFIGURACOES!$B$37:$B$300,0)),"")</f>
        <v/>
      </c>
      <c r="L646" s="20" t="n"/>
      <c r="M646" s="20">
        <f>IFERROR(INDEX(CONFIGURACOES!$I$37:$I$300,MATCH($I646,CONFIGURACOES!$B$37:$B$300,0)),"")</f>
        <v/>
      </c>
      <c r="N646" s="21" t="n"/>
      <c r="O646" s="21" t="n"/>
      <c r="P646" s="21" t="n"/>
      <c r="Q646" s="21" t="n"/>
      <c r="R646" s="21">
        <f>IF($N646="","",$N646*IF($Q646="",1,$Q646)*IF($P646="",1,$P646)*IF($O646="",1,$O646))</f>
        <v/>
      </c>
      <c r="S646" s="22">
        <f>IFERROR(INDEX(CONFIGURACOES!$J$37:$J$300,MATCH($I646,CONFIGURACOES!$B$37:$B$300,0)),"")</f>
        <v/>
      </c>
      <c r="T646" s="22">
        <f>IF(OR($R646="",$S646=""),"",$R646*$S646)</f>
        <v/>
      </c>
      <c r="U646" s="20" t="n"/>
      <c r="V646" s="20" t="n"/>
      <c r="W646" s="20" t="n"/>
      <c r="X646">
        <f>IF($A646="","",$A646&amp;"|"&amp;$C646&amp;"|"&amp;$I646)</f>
        <v/>
      </c>
      <c r="Y646">
        <f>IF(AND($A646=RELATORIO_MEDICAO!$C$5,$C646=RELATORIO_MEDICAO!$F$5,$A646&lt;&gt;""),COUNTIFS($A$3:$A646,RELATORIO_MEDICAO!$C$5,$C$3:$C646,RELATORIO_MEDICAO!$F$5),"")</f>
        <v/>
      </c>
      <c r="Z646">
        <f>IF(OR($A646="",PESQUISA!$C$4=""),0,IF(OR(ISNUMBER(SEARCH(PESQUISA!$C$4,$G646)),ISNUMBER(SEARCH(PESQUISA!$C$4,$K646)),ISNUMBER(SEARCH(PESQUISA!$C$4,$L646))),1,0))</f>
        <v/>
      </c>
      <c r="AA646">
        <f>IF($Z646=1,SUM($Z$3:$Z646),"")</f>
        <v/>
      </c>
      <c r="AB646">
        <f>IF(OR($A646="",PESQUISA!$C$50=""),0,IF(ISNUMBER(SEARCH(PESQUISA!$C$50,$I646)),1,0))</f>
        <v/>
      </c>
      <c r="AC646">
        <f>IF($AB646=1,SUM($AB$3:$AB646),"")</f>
        <v/>
      </c>
    </row>
    <row r="647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>
        <f>IFERROR(INDEX(CONFIGURACOES!$G$37:$G$300,MATCH($I647,CONFIGURACOES!$B$37:$B$300,0)),"")</f>
        <v/>
      </c>
      <c r="K647" s="20">
        <f>IFERROR(INDEX(CONFIGURACOES!$H$37:$H$300,MATCH($I647,CONFIGURACOES!$B$37:$B$300,0)),"")</f>
        <v/>
      </c>
      <c r="L647" s="20" t="n"/>
      <c r="M647" s="20">
        <f>IFERROR(INDEX(CONFIGURACOES!$I$37:$I$300,MATCH($I647,CONFIGURACOES!$B$37:$B$300,0)),"")</f>
        <v/>
      </c>
      <c r="N647" s="21" t="n"/>
      <c r="O647" s="21" t="n"/>
      <c r="P647" s="21" t="n"/>
      <c r="Q647" s="21" t="n"/>
      <c r="R647" s="21">
        <f>IF($N647="","",$N647*IF($Q647="",1,$Q647)*IF($P647="",1,$P647)*IF($O647="",1,$O647))</f>
        <v/>
      </c>
      <c r="S647" s="22">
        <f>IFERROR(INDEX(CONFIGURACOES!$J$37:$J$300,MATCH($I647,CONFIGURACOES!$B$37:$B$300,0)),"")</f>
        <v/>
      </c>
      <c r="T647" s="22">
        <f>IF(OR($R647="",$S647=""),"",$R647*$S647)</f>
        <v/>
      </c>
      <c r="U647" s="20" t="n"/>
      <c r="V647" s="20" t="n"/>
      <c r="W647" s="20" t="n"/>
      <c r="X647">
        <f>IF($A647="","",$A647&amp;"|"&amp;$C647&amp;"|"&amp;$I647)</f>
        <v/>
      </c>
      <c r="Y647">
        <f>IF(AND($A647=RELATORIO_MEDICAO!$C$5,$C647=RELATORIO_MEDICAO!$F$5,$A647&lt;&gt;""),COUNTIFS($A$3:$A647,RELATORIO_MEDICAO!$C$5,$C$3:$C647,RELATORIO_MEDICAO!$F$5),"")</f>
        <v/>
      </c>
      <c r="Z647">
        <f>IF(OR($A647="",PESQUISA!$C$4=""),0,IF(OR(ISNUMBER(SEARCH(PESQUISA!$C$4,$G647)),ISNUMBER(SEARCH(PESQUISA!$C$4,$K647)),ISNUMBER(SEARCH(PESQUISA!$C$4,$L647))),1,0))</f>
        <v/>
      </c>
      <c r="AA647">
        <f>IF($Z647=1,SUM($Z$3:$Z647),"")</f>
        <v/>
      </c>
      <c r="AB647">
        <f>IF(OR($A647="",PESQUISA!$C$50=""),0,IF(ISNUMBER(SEARCH(PESQUISA!$C$50,$I647)),1,0))</f>
        <v/>
      </c>
      <c r="AC647">
        <f>IF($AB647=1,SUM($AB$3:$AB647),"")</f>
        <v/>
      </c>
    </row>
    <row r="648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>
        <f>IFERROR(INDEX(CONFIGURACOES!$G$37:$G$300,MATCH($I648,CONFIGURACOES!$B$37:$B$300,0)),"")</f>
        <v/>
      </c>
      <c r="K648" s="20">
        <f>IFERROR(INDEX(CONFIGURACOES!$H$37:$H$300,MATCH($I648,CONFIGURACOES!$B$37:$B$300,0)),"")</f>
        <v/>
      </c>
      <c r="L648" s="20" t="n"/>
      <c r="M648" s="20">
        <f>IFERROR(INDEX(CONFIGURACOES!$I$37:$I$300,MATCH($I648,CONFIGURACOES!$B$37:$B$300,0)),"")</f>
        <v/>
      </c>
      <c r="N648" s="21" t="n"/>
      <c r="O648" s="21" t="n"/>
      <c r="P648" s="21" t="n"/>
      <c r="Q648" s="21" t="n"/>
      <c r="R648" s="21">
        <f>IF($N648="","",$N648*IF($Q648="",1,$Q648)*IF($P648="",1,$P648)*IF($O648="",1,$O648))</f>
        <v/>
      </c>
      <c r="S648" s="22">
        <f>IFERROR(INDEX(CONFIGURACOES!$J$37:$J$300,MATCH($I648,CONFIGURACOES!$B$37:$B$300,0)),"")</f>
        <v/>
      </c>
      <c r="T648" s="22">
        <f>IF(OR($R648="",$S648=""),"",$R648*$S648)</f>
        <v/>
      </c>
      <c r="U648" s="20" t="n"/>
      <c r="V648" s="20" t="n"/>
      <c r="W648" s="20" t="n"/>
      <c r="X648">
        <f>IF($A648="","",$A648&amp;"|"&amp;$C648&amp;"|"&amp;$I648)</f>
        <v/>
      </c>
      <c r="Y648">
        <f>IF(AND($A648=RELATORIO_MEDICAO!$C$5,$C648=RELATORIO_MEDICAO!$F$5,$A648&lt;&gt;""),COUNTIFS($A$3:$A648,RELATORIO_MEDICAO!$C$5,$C$3:$C648,RELATORIO_MEDICAO!$F$5),"")</f>
        <v/>
      </c>
      <c r="Z648">
        <f>IF(OR($A648="",PESQUISA!$C$4=""),0,IF(OR(ISNUMBER(SEARCH(PESQUISA!$C$4,$G648)),ISNUMBER(SEARCH(PESQUISA!$C$4,$K648)),ISNUMBER(SEARCH(PESQUISA!$C$4,$L648))),1,0))</f>
        <v/>
      </c>
      <c r="AA648">
        <f>IF($Z648=1,SUM($Z$3:$Z648),"")</f>
        <v/>
      </c>
      <c r="AB648">
        <f>IF(OR($A648="",PESQUISA!$C$50=""),0,IF(ISNUMBER(SEARCH(PESQUISA!$C$50,$I648)),1,0))</f>
        <v/>
      </c>
      <c r="AC648">
        <f>IF($AB648=1,SUM($AB$3:$AB648),"")</f>
        <v/>
      </c>
    </row>
    <row r="649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>
        <f>IFERROR(INDEX(CONFIGURACOES!$G$37:$G$300,MATCH($I649,CONFIGURACOES!$B$37:$B$300,0)),"")</f>
        <v/>
      </c>
      <c r="K649" s="20">
        <f>IFERROR(INDEX(CONFIGURACOES!$H$37:$H$300,MATCH($I649,CONFIGURACOES!$B$37:$B$300,0)),"")</f>
        <v/>
      </c>
      <c r="L649" s="20" t="n"/>
      <c r="M649" s="20">
        <f>IFERROR(INDEX(CONFIGURACOES!$I$37:$I$300,MATCH($I649,CONFIGURACOES!$B$37:$B$300,0)),"")</f>
        <v/>
      </c>
      <c r="N649" s="21" t="n"/>
      <c r="O649" s="21" t="n"/>
      <c r="P649" s="21" t="n"/>
      <c r="Q649" s="21" t="n"/>
      <c r="R649" s="21">
        <f>IF($N649="","",$N649*IF($Q649="",1,$Q649)*IF($P649="",1,$P649)*IF($O649="",1,$O649))</f>
        <v/>
      </c>
      <c r="S649" s="22">
        <f>IFERROR(INDEX(CONFIGURACOES!$J$37:$J$300,MATCH($I649,CONFIGURACOES!$B$37:$B$300,0)),"")</f>
        <v/>
      </c>
      <c r="T649" s="22">
        <f>IF(OR($R649="",$S649=""),"",$R649*$S649)</f>
        <v/>
      </c>
      <c r="U649" s="20" t="n"/>
      <c r="V649" s="20" t="n"/>
      <c r="W649" s="20" t="n"/>
      <c r="X649">
        <f>IF($A649="","",$A649&amp;"|"&amp;$C649&amp;"|"&amp;$I649)</f>
        <v/>
      </c>
      <c r="Y649">
        <f>IF(AND($A649=RELATORIO_MEDICAO!$C$5,$C649=RELATORIO_MEDICAO!$F$5,$A649&lt;&gt;""),COUNTIFS($A$3:$A649,RELATORIO_MEDICAO!$C$5,$C$3:$C649,RELATORIO_MEDICAO!$F$5),"")</f>
        <v/>
      </c>
      <c r="Z649">
        <f>IF(OR($A649="",PESQUISA!$C$4=""),0,IF(OR(ISNUMBER(SEARCH(PESQUISA!$C$4,$G649)),ISNUMBER(SEARCH(PESQUISA!$C$4,$K649)),ISNUMBER(SEARCH(PESQUISA!$C$4,$L649))),1,0))</f>
        <v/>
      </c>
      <c r="AA649">
        <f>IF($Z649=1,SUM($Z$3:$Z649),"")</f>
        <v/>
      </c>
      <c r="AB649">
        <f>IF(OR($A649="",PESQUISA!$C$50=""),0,IF(ISNUMBER(SEARCH(PESQUISA!$C$50,$I649)),1,0))</f>
        <v/>
      </c>
      <c r="AC649">
        <f>IF($AB649=1,SUM($AB$3:$AB649),"")</f>
        <v/>
      </c>
    </row>
    <row r="650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>
        <f>IFERROR(INDEX(CONFIGURACOES!$G$37:$G$300,MATCH($I650,CONFIGURACOES!$B$37:$B$300,0)),"")</f>
        <v/>
      </c>
      <c r="K650" s="20">
        <f>IFERROR(INDEX(CONFIGURACOES!$H$37:$H$300,MATCH($I650,CONFIGURACOES!$B$37:$B$300,0)),"")</f>
        <v/>
      </c>
      <c r="L650" s="20" t="n"/>
      <c r="M650" s="20">
        <f>IFERROR(INDEX(CONFIGURACOES!$I$37:$I$300,MATCH($I650,CONFIGURACOES!$B$37:$B$300,0)),"")</f>
        <v/>
      </c>
      <c r="N650" s="21" t="n"/>
      <c r="O650" s="21" t="n"/>
      <c r="P650" s="21" t="n"/>
      <c r="Q650" s="21" t="n"/>
      <c r="R650" s="21">
        <f>IF($N650="","",$N650*IF($Q650="",1,$Q650)*IF($P650="",1,$P650)*IF($O650="",1,$O650))</f>
        <v/>
      </c>
      <c r="S650" s="22">
        <f>IFERROR(INDEX(CONFIGURACOES!$J$37:$J$300,MATCH($I650,CONFIGURACOES!$B$37:$B$300,0)),"")</f>
        <v/>
      </c>
      <c r="T650" s="22">
        <f>IF(OR($R650="",$S650=""),"",$R650*$S650)</f>
        <v/>
      </c>
      <c r="U650" s="20" t="n"/>
      <c r="V650" s="20" t="n"/>
      <c r="W650" s="20" t="n"/>
      <c r="X650">
        <f>IF($A650="","",$A650&amp;"|"&amp;$C650&amp;"|"&amp;$I650)</f>
        <v/>
      </c>
      <c r="Y650">
        <f>IF(AND($A650=RELATORIO_MEDICAO!$C$5,$C650=RELATORIO_MEDICAO!$F$5,$A650&lt;&gt;""),COUNTIFS($A$3:$A650,RELATORIO_MEDICAO!$C$5,$C$3:$C650,RELATORIO_MEDICAO!$F$5),"")</f>
        <v/>
      </c>
      <c r="Z650">
        <f>IF(OR($A650="",PESQUISA!$C$4=""),0,IF(OR(ISNUMBER(SEARCH(PESQUISA!$C$4,$G650)),ISNUMBER(SEARCH(PESQUISA!$C$4,$K650)),ISNUMBER(SEARCH(PESQUISA!$C$4,$L650))),1,0))</f>
        <v/>
      </c>
      <c r="AA650">
        <f>IF($Z650=1,SUM($Z$3:$Z650),"")</f>
        <v/>
      </c>
      <c r="AB650">
        <f>IF(OR($A650="",PESQUISA!$C$50=""),0,IF(ISNUMBER(SEARCH(PESQUISA!$C$50,$I650)),1,0))</f>
        <v/>
      </c>
      <c r="AC650">
        <f>IF($AB650=1,SUM($AB$3:$AB650),"")</f>
        <v/>
      </c>
    </row>
    <row r="651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>
        <f>IFERROR(INDEX(CONFIGURACOES!$G$37:$G$300,MATCH($I651,CONFIGURACOES!$B$37:$B$300,0)),"")</f>
        <v/>
      </c>
      <c r="K651" s="20">
        <f>IFERROR(INDEX(CONFIGURACOES!$H$37:$H$300,MATCH($I651,CONFIGURACOES!$B$37:$B$300,0)),"")</f>
        <v/>
      </c>
      <c r="L651" s="20" t="n"/>
      <c r="M651" s="20">
        <f>IFERROR(INDEX(CONFIGURACOES!$I$37:$I$300,MATCH($I651,CONFIGURACOES!$B$37:$B$300,0)),"")</f>
        <v/>
      </c>
      <c r="N651" s="21" t="n"/>
      <c r="O651" s="21" t="n"/>
      <c r="P651" s="21" t="n"/>
      <c r="Q651" s="21" t="n"/>
      <c r="R651" s="21">
        <f>IF($N651="","",$N651*IF($Q651="",1,$Q651)*IF($P651="",1,$P651)*IF($O651="",1,$O651))</f>
        <v/>
      </c>
      <c r="S651" s="22">
        <f>IFERROR(INDEX(CONFIGURACOES!$J$37:$J$300,MATCH($I651,CONFIGURACOES!$B$37:$B$300,0)),"")</f>
        <v/>
      </c>
      <c r="T651" s="22">
        <f>IF(OR($R651="",$S651=""),"",$R651*$S651)</f>
        <v/>
      </c>
      <c r="U651" s="20" t="n"/>
      <c r="V651" s="20" t="n"/>
      <c r="W651" s="20" t="n"/>
      <c r="X651">
        <f>IF($A651="","",$A651&amp;"|"&amp;$C651&amp;"|"&amp;$I651)</f>
        <v/>
      </c>
      <c r="Y651">
        <f>IF(AND($A651=RELATORIO_MEDICAO!$C$5,$C651=RELATORIO_MEDICAO!$F$5,$A651&lt;&gt;""),COUNTIFS($A$3:$A651,RELATORIO_MEDICAO!$C$5,$C$3:$C651,RELATORIO_MEDICAO!$F$5),"")</f>
        <v/>
      </c>
      <c r="Z651">
        <f>IF(OR($A651="",PESQUISA!$C$4=""),0,IF(OR(ISNUMBER(SEARCH(PESQUISA!$C$4,$G651)),ISNUMBER(SEARCH(PESQUISA!$C$4,$K651)),ISNUMBER(SEARCH(PESQUISA!$C$4,$L651))),1,0))</f>
        <v/>
      </c>
      <c r="AA651">
        <f>IF($Z651=1,SUM($Z$3:$Z651),"")</f>
        <v/>
      </c>
      <c r="AB651">
        <f>IF(OR($A651="",PESQUISA!$C$50=""),0,IF(ISNUMBER(SEARCH(PESQUISA!$C$50,$I651)),1,0))</f>
        <v/>
      </c>
      <c r="AC651">
        <f>IF($AB651=1,SUM($AB$3:$AB651),"")</f>
        <v/>
      </c>
    </row>
    <row r="652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>
        <f>IFERROR(INDEX(CONFIGURACOES!$G$37:$G$300,MATCH($I652,CONFIGURACOES!$B$37:$B$300,0)),"")</f>
        <v/>
      </c>
      <c r="K652" s="20">
        <f>IFERROR(INDEX(CONFIGURACOES!$H$37:$H$300,MATCH($I652,CONFIGURACOES!$B$37:$B$300,0)),"")</f>
        <v/>
      </c>
      <c r="L652" s="20" t="n"/>
      <c r="M652" s="20">
        <f>IFERROR(INDEX(CONFIGURACOES!$I$37:$I$300,MATCH($I652,CONFIGURACOES!$B$37:$B$300,0)),"")</f>
        <v/>
      </c>
      <c r="N652" s="21" t="n"/>
      <c r="O652" s="21" t="n"/>
      <c r="P652" s="21" t="n"/>
      <c r="Q652" s="21" t="n"/>
      <c r="R652" s="21">
        <f>IF($N652="","",$N652*IF($Q652="",1,$Q652)*IF($P652="",1,$P652)*IF($O652="",1,$O652))</f>
        <v/>
      </c>
      <c r="S652" s="22">
        <f>IFERROR(INDEX(CONFIGURACOES!$J$37:$J$300,MATCH($I652,CONFIGURACOES!$B$37:$B$300,0)),"")</f>
        <v/>
      </c>
      <c r="T652" s="22">
        <f>IF(OR($R652="",$S652=""),"",$R652*$S652)</f>
        <v/>
      </c>
      <c r="U652" s="20" t="n"/>
      <c r="V652" s="20" t="n"/>
      <c r="W652" s="20" t="n"/>
      <c r="X652">
        <f>IF($A652="","",$A652&amp;"|"&amp;$C652&amp;"|"&amp;$I652)</f>
        <v/>
      </c>
      <c r="Y652">
        <f>IF(AND($A652=RELATORIO_MEDICAO!$C$5,$C652=RELATORIO_MEDICAO!$F$5,$A652&lt;&gt;""),COUNTIFS($A$3:$A652,RELATORIO_MEDICAO!$C$5,$C$3:$C652,RELATORIO_MEDICAO!$F$5),"")</f>
        <v/>
      </c>
      <c r="Z652">
        <f>IF(OR($A652="",PESQUISA!$C$4=""),0,IF(OR(ISNUMBER(SEARCH(PESQUISA!$C$4,$G652)),ISNUMBER(SEARCH(PESQUISA!$C$4,$K652)),ISNUMBER(SEARCH(PESQUISA!$C$4,$L652))),1,0))</f>
        <v/>
      </c>
      <c r="AA652">
        <f>IF($Z652=1,SUM($Z$3:$Z652),"")</f>
        <v/>
      </c>
      <c r="AB652">
        <f>IF(OR($A652="",PESQUISA!$C$50=""),0,IF(ISNUMBER(SEARCH(PESQUISA!$C$50,$I652)),1,0))</f>
        <v/>
      </c>
      <c r="AC652">
        <f>IF($AB652=1,SUM($AB$3:$AB652),"")</f>
        <v/>
      </c>
    </row>
    <row r="653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>
        <f>IFERROR(INDEX(CONFIGURACOES!$G$37:$G$300,MATCH($I653,CONFIGURACOES!$B$37:$B$300,0)),"")</f>
        <v/>
      </c>
      <c r="K653" s="20">
        <f>IFERROR(INDEX(CONFIGURACOES!$H$37:$H$300,MATCH($I653,CONFIGURACOES!$B$37:$B$300,0)),"")</f>
        <v/>
      </c>
      <c r="L653" s="20" t="n"/>
      <c r="M653" s="20">
        <f>IFERROR(INDEX(CONFIGURACOES!$I$37:$I$300,MATCH($I653,CONFIGURACOES!$B$37:$B$300,0)),"")</f>
        <v/>
      </c>
      <c r="N653" s="21" t="n"/>
      <c r="O653" s="21" t="n"/>
      <c r="P653" s="21" t="n"/>
      <c r="Q653" s="21" t="n"/>
      <c r="R653" s="21">
        <f>IF($N653="","",$N653*IF($Q653="",1,$Q653)*IF($P653="",1,$P653)*IF($O653="",1,$O653))</f>
        <v/>
      </c>
      <c r="S653" s="22">
        <f>IFERROR(INDEX(CONFIGURACOES!$J$37:$J$300,MATCH($I653,CONFIGURACOES!$B$37:$B$300,0)),"")</f>
        <v/>
      </c>
      <c r="T653" s="22">
        <f>IF(OR($R653="",$S653=""),"",$R653*$S653)</f>
        <v/>
      </c>
      <c r="U653" s="20" t="n"/>
      <c r="V653" s="20" t="n"/>
      <c r="W653" s="20" t="n"/>
      <c r="X653">
        <f>IF($A653="","",$A653&amp;"|"&amp;$C653&amp;"|"&amp;$I653)</f>
        <v/>
      </c>
      <c r="Y653">
        <f>IF(AND($A653=RELATORIO_MEDICAO!$C$5,$C653=RELATORIO_MEDICAO!$F$5,$A653&lt;&gt;""),COUNTIFS($A$3:$A653,RELATORIO_MEDICAO!$C$5,$C$3:$C653,RELATORIO_MEDICAO!$F$5),"")</f>
        <v/>
      </c>
      <c r="Z653">
        <f>IF(OR($A653="",PESQUISA!$C$4=""),0,IF(OR(ISNUMBER(SEARCH(PESQUISA!$C$4,$G653)),ISNUMBER(SEARCH(PESQUISA!$C$4,$K653)),ISNUMBER(SEARCH(PESQUISA!$C$4,$L653))),1,0))</f>
        <v/>
      </c>
      <c r="AA653">
        <f>IF($Z653=1,SUM($Z$3:$Z653),"")</f>
        <v/>
      </c>
      <c r="AB653">
        <f>IF(OR($A653="",PESQUISA!$C$50=""),0,IF(ISNUMBER(SEARCH(PESQUISA!$C$50,$I653)),1,0))</f>
        <v/>
      </c>
      <c r="AC653">
        <f>IF($AB653=1,SUM($AB$3:$AB653),"")</f>
        <v/>
      </c>
    </row>
    <row r="654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>
        <f>IFERROR(INDEX(CONFIGURACOES!$G$37:$G$300,MATCH($I654,CONFIGURACOES!$B$37:$B$300,0)),"")</f>
        <v/>
      </c>
      <c r="K654" s="20">
        <f>IFERROR(INDEX(CONFIGURACOES!$H$37:$H$300,MATCH($I654,CONFIGURACOES!$B$37:$B$300,0)),"")</f>
        <v/>
      </c>
      <c r="L654" s="20" t="n"/>
      <c r="M654" s="20">
        <f>IFERROR(INDEX(CONFIGURACOES!$I$37:$I$300,MATCH($I654,CONFIGURACOES!$B$37:$B$300,0)),"")</f>
        <v/>
      </c>
      <c r="N654" s="21" t="n"/>
      <c r="O654" s="21" t="n"/>
      <c r="P654" s="21" t="n"/>
      <c r="Q654" s="21" t="n"/>
      <c r="R654" s="21">
        <f>IF($N654="","",$N654*IF($Q654="",1,$Q654)*IF($P654="",1,$P654)*IF($O654="",1,$O654))</f>
        <v/>
      </c>
      <c r="S654" s="22">
        <f>IFERROR(INDEX(CONFIGURACOES!$J$37:$J$300,MATCH($I654,CONFIGURACOES!$B$37:$B$300,0)),"")</f>
        <v/>
      </c>
      <c r="T654" s="22">
        <f>IF(OR($R654="",$S654=""),"",$R654*$S654)</f>
        <v/>
      </c>
      <c r="U654" s="20" t="n"/>
      <c r="V654" s="20" t="n"/>
      <c r="W654" s="20" t="n"/>
      <c r="X654">
        <f>IF($A654="","",$A654&amp;"|"&amp;$C654&amp;"|"&amp;$I654)</f>
        <v/>
      </c>
      <c r="Y654">
        <f>IF(AND($A654=RELATORIO_MEDICAO!$C$5,$C654=RELATORIO_MEDICAO!$F$5,$A654&lt;&gt;""),COUNTIFS($A$3:$A654,RELATORIO_MEDICAO!$C$5,$C$3:$C654,RELATORIO_MEDICAO!$F$5),"")</f>
        <v/>
      </c>
      <c r="Z654">
        <f>IF(OR($A654="",PESQUISA!$C$4=""),0,IF(OR(ISNUMBER(SEARCH(PESQUISA!$C$4,$G654)),ISNUMBER(SEARCH(PESQUISA!$C$4,$K654)),ISNUMBER(SEARCH(PESQUISA!$C$4,$L654))),1,0))</f>
        <v/>
      </c>
      <c r="AA654">
        <f>IF($Z654=1,SUM($Z$3:$Z654),"")</f>
        <v/>
      </c>
      <c r="AB654">
        <f>IF(OR($A654="",PESQUISA!$C$50=""),0,IF(ISNUMBER(SEARCH(PESQUISA!$C$50,$I654)),1,0))</f>
        <v/>
      </c>
      <c r="AC654">
        <f>IF($AB654=1,SUM($AB$3:$AB654),"")</f>
        <v/>
      </c>
    </row>
    <row r="655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>
        <f>IFERROR(INDEX(CONFIGURACOES!$G$37:$G$300,MATCH($I655,CONFIGURACOES!$B$37:$B$300,0)),"")</f>
        <v/>
      </c>
      <c r="K655" s="20">
        <f>IFERROR(INDEX(CONFIGURACOES!$H$37:$H$300,MATCH($I655,CONFIGURACOES!$B$37:$B$300,0)),"")</f>
        <v/>
      </c>
      <c r="L655" s="20" t="n"/>
      <c r="M655" s="20">
        <f>IFERROR(INDEX(CONFIGURACOES!$I$37:$I$300,MATCH($I655,CONFIGURACOES!$B$37:$B$300,0)),"")</f>
        <v/>
      </c>
      <c r="N655" s="21" t="n"/>
      <c r="O655" s="21" t="n"/>
      <c r="P655" s="21" t="n"/>
      <c r="Q655" s="21" t="n"/>
      <c r="R655" s="21">
        <f>IF($N655="","",$N655*IF($Q655="",1,$Q655)*IF($P655="",1,$P655)*IF($O655="",1,$O655))</f>
        <v/>
      </c>
      <c r="S655" s="22">
        <f>IFERROR(INDEX(CONFIGURACOES!$J$37:$J$300,MATCH($I655,CONFIGURACOES!$B$37:$B$300,0)),"")</f>
        <v/>
      </c>
      <c r="T655" s="22">
        <f>IF(OR($R655="",$S655=""),"",$R655*$S655)</f>
        <v/>
      </c>
      <c r="U655" s="20" t="n"/>
      <c r="V655" s="20" t="n"/>
      <c r="W655" s="20" t="n"/>
      <c r="X655">
        <f>IF($A655="","",$A655&amp;"|"&amp;$C655&amp;"|"&amp;$I655)</f>
        <v/>
      </c>
      <c r="Y655">
        <f>IF(AND($A655=RELATORIO_MEDICAO!$C$5,$C655=RELATORIO_MEDICAO!$F$5,$A655&lt;&gt;""),COUNTIFS($A$3:$A655,RELATORIO_MEDICAO!$C$5,$C$3:$C655,RELATORIO_MEDICAO!$F$5),"")</f>
        <v/>
      </c>
      <c r="Z655">
        <f>IF(OR($A655="",PESQUISA!$C$4=""),0,IF(OR(ISNUMBER(SEARCH(PESQUISA!$C$4,$G655)),ISNUMBER(SEARCH(PESQUISA!$C$4,$K655)),ISNUMBER(SEARCH(PESQUISA!$C$4,$L655))),1,0))</f>
        <v/>
      </c>
      <c r="AA655">
        <f>IF($Z655=1,SUM($Z$3:$Z655),"")</f>
        <v/>
      </c>
      <c r="AB655">
        <f>IF(OR($A655="",PESQUISA!$C$50=""),0,IF(ISNUMBER(SEARCH(PESQUISA!$C$50,$I655)),1,0))</f>
        <v/>
      </c>
      <c r="AC655">
        <f>IF($AB655=1,SUM($AB$3:$AB655),"")</f>
        <v/>
      </c>
    </row>
    <row r="656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>
        <f>IFERROR(INDEX(CONFIGURACOES!$G$37:$G$300,MATCH($I656,CONFIGURACOES!$B$37:$B$300,0)),"")</f>
        <v/>
      </c>
      <c r="K656" s="20">
        <f>IFERROR(INDEX(CONFIGURACOES!$H$37:$H$300,MATCH($I656,CONFIGURACOES!$B$37:$B$300,0)),"")</f>
        <v/>
      </c>
      <c r="L656" s="20" t="n"/>
      <c r="M656" s="20">
        <f>IFERROR(INDEX(CONFIGURACOES!$I$37:$I$300,MATCH($I656,CONFIGURACOES!$B$37:$B$300,0)),"")</f>
        <v/>
      </c>
      <c r="N656" s="21" t="n"/>
      <c r="O656" s="21" t="n"/>
      <c r="P656" s="21" t="n"/>
      <c r="Q656" s="21" t="n"/>
      <c r="R656" s="21">
        <f>IF($N656="","",$N656*IF($Q656="",1,$Q656)*IF($P656="",1,$P656)*IF($O656="",1,$O656))</f>
        <v/>
      </c>
      <c r="S656" s="22">
        <f>IFERROR(INDEX(CONFIGURACOES!$J$37:$J$300,MATCH($I656,CONFIGURACOES!$B$37:$B$300,0)),"")</f>
        <v/>
      </c>
      <c r="T656" s="22">
        <f>IF(OR($R656="",$S656=""),"",$R656*$S656)</f>
        <v/>
      </c>
      <c r="U656" s="20" t="n"/>
      <c r="V656" s="20" t="n"/>
      <c r="W656" s="20" t="n"/>
      <c r="X656">
        <f>IF($A656="","",$A656&amp;"|"&amp;$C656&amp;"|"&amp;$I656)</f>
        <v/>
      </c>
      <c r="Y656">
        <f>IF(AND($A656=RELATORIO_MEDICAO!$C$5,$C656=RELATORIO_MEDICAO!$F$5,$A656&lt;&gt;""),COUNTIFS($A$3:$A656,RELATORIO_MEDICAO!$C$5,$C$3:$C656,RELATORIO_MEDICAO!$F$5),"")</f>
        <v/>
      </c>
      <c r="Z656">
        <f>IF(OR($A656="",PESQUISA!$C$4=""),0,IF(OR(ISNUMBER(SEARCH(PESQUISA!$C$4,$G656)),ISNUMBER(SEARCH(PESQUISA!$C$4,$K656)),ISNUMBER(SEARCH(PESQUISA!$C$4,$L656))),1,0))</f>
        <v/>
      </c>
      <c r="AA656">
        <f>IF($Z656=1,SUM($Z$3:$Z656),"")</f>
        <v/>
      </c>
      <c r="AB656">
        <f>IF(OR($A656="",PESQUISA!$C$50=""),0,IF(ISNUMBER(SEARCH(PESQUISA!$C$50,$I656)),1,0))</f>
        <v/>
      </c>
      <c r="AC656">
        <f>IF($AB656=1,SUM($AB$3:$AB656),"")</f>
        <v/>
      </c>
    </row>
    <row r="657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>
        <f>IFERROR(INDEX(CONFIGURACOES!$G$37:$G$300,MATCH($I657,CONFIGURACOES!$B$37:$B$300,0)),"")</f>
        <v/>
      </c>
      <c r="K657" s="20">
        <f>IFERROR(INDEX(CONFIGURACOES!$H$37:$H$300,MATCH($I657,CONFIGURACOES!$B$37:$B$300,0)),"")</f>
        <v/>
      </c>
      <c r="L657" s="20" t="n"/>
      <c r="M657" s="20">
        <f>IFERROR(INDEX(CONFIGURACOES!$I$37:$I$300,MATCH($I657,CONFIGURACOES!$B$37:$B$300,0)),"")</f>
        <v/>
      </c>
      <c r="N657" s="21" t="n"/>
      <c r="O657" s="21" t="n"/>
      <c r="P657" s="21" t="n"/>
      <c r="Q657" s="21" t="n"/>
      <c r="R657" s="21">
        <f>IF($N657="","",$N657*IF($Q657="",1,$Q657)*IF($P657="",1,$P657)*IF($O657="",1,$O657))</f>
        <v/>
      </c>
      <c r="S657" s="22">
        <f>IFERROR(INDEX(CONFIGURACOES!$J$37:$J$300,MATCH($I657,CONFIGURACOES!$B$37:$B$300,0)),"")</f>
        <v/>
      </c>
      <c r="T657" s="22">
        <f>IF(OR($R657="",$S657=""),"",$R657*$S657)</f>
        <v/>
      </c>
      <c r="U657" s="20" t="n"/>
      <c r="V657" s="20" t="n"/>
      <c r="W657" s="20" t="n"/>
      <c r="X657">
        <f>IF($A657="","",$A657&amp;"|"&amp;$C657&amp;"|"&amp;$I657)</f>
        <v/>
      </c>
      <c r="Y657">
        <f>IF(AND($A657=RELATORIO_MEDICAO!$C$5,$C657=RELATORIO_MEDICAO!$F$5,$A657&lt;&gt;""),COUNTIFS($A$3:$A657,RELATORIO_MEDICAO!$C$5,$C$3:$C657,RELATORIO_MEDICAO!$F$5),"")</f>
        <v/>
      </c>
      <c r="Z657">
        <f>IF(OR($A657="",PESQUISA!$C$4=""),0,IF(OR(ISNUMBER(SEARCH(PESQUISA!$C$4,$G657)),ISNUMBER(SEARCH(PESQUISA!$C$4,$K657)),ISNUMBER(SEARCH(PESQUISA!$C$4,$L657))),1,0))</f>
        <v/>
      </c>
      <c r="AA657">
        <f>IF($Z657=1,SUM($Z$3:$Z657),"")</f>
        <v/>
      </c>
      <c r="AB657">
        <f>IF(OR($A657="",PESQUISA!$C$50=""),0,IF(ISNUMBER(SEARCH(PESQUISA!$C$50,$I657)),1,0))</f>
        <v/>
      </c>
      <c r="AC657">
        <f>IF($AB657=1,SUM($AB$3:$AB657),"")</f>
        <v/>
      </c>
    </row>
    <row r="658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>
        <f>IFERROR(INDEX(CONFIGURACOES!$G$37:$G$300,MATCH($I658,CONFIGURACOES!$B$37:$B$300,0)),"")</f>
        <v/>
      </c>
      <c r="K658" s="20">
        <f>IFERROR(INDEX(CONFIGURACOES!$H$37:$H$300,MATCH($I658,CONFIGURACOES!$B$37:$B$300,0)),"")</f>
        <v/>
      </c>
      <c r="L658" s="20" t="n"/>
      <c r="M658" s="20">
        <f>IFERROR(INDEX(CONFIGURACOES!$I$37:$I$300,MATCH($I658,CONFIGURACOES!$B$37:$B$300,0)),"")</f>
        <v/>
      </c>
      <c r="N658" s="21" t="n"/>
      <c r="O658" s="21" t="n"/>
      <c r="P658" s="21" t="n"/>
      <c r="Q658" s="21" t="n"/>
      <c r="R658" s="21">
        <f>IF($N658="","",$N658*IF($Q658="",1,$Q658)*IF($P658="",1,$P658)*IF($O658="",1,$O658))</f>
        <v/>
      </c>
      <c r="S658" s="22">
        <f>IFERROR(INDEX(CONFIGURACOES!$J$37:$J$300,MATCH($I658,CONFIGURACOES!$B$37:$B$300,0)),"")</f>
        <v/>
      </c>
      <c r="T658" s="22">
        <f>IF(OR($R658="",$S658=""),"",$R658*$S658)</f>
        <v/>
      </c>
      <c r="U658" s="20" t="n"/>
      <c r="V658" s="20" t="n"/>
      <c r="W658" s="20" t="n"/>
      <c r="X658">
        <f>IF($A658="","",$A658&amp;"|"&amp;$C658&amp;"|"&amp;$I658)</f>
        <v/>
      </c>
      <c r="Y658">
        <f>IF(AND($A658=RELATORIO_MEDICAO!$C$5,$C658=RELATORIO_MEDICAO!$F$5,$A658&lt;&gt;""),COUNTIFS($A$3:$A658,RELATORIO_MEDICAO!$C$5,$C$3:$C658,RELATORIO_MEDICAO!$F$5),"")</f>
        <v/>
      </c>
      <c r="Z658">
        <f>IF(OR($A658="",PESQUISA!$C$4=""),0,IF(OR(ISNUMBER(SEARCH(PESQUISA!$C$4,$G658)),ISNUMBER(SEARCH(PESQUISA!$C$4,$K658)),ISNUMBER(SEARCH(PESQUISA!$C$4,$L658))),1,0))</f>
        <v/>
      </c>
      <c r="AA658">
        <f>IF($Z658=1,SUM($Z$3:$Z658),"")</f>
        <v/>
      </c>
      <c r="AB658">
        <f>IF(OR($A658="",PESQUISA!$C$50=""),0,IF(ISNUMBER(SEARCH(PESQUISA!$C$50,$I658)),1,0))</f>
        <v/>
      </c>
      <c r="AC658">
        <f>IF($AB658=1,SUM($AB$3:$AB658),"")</f>
        <v/>
      </c>
    </row>
    <row r="659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>
        <f>IFERROR(INDEX(CONFIGURACOES!$G$37:$G$300,MATCH($I659,CONFIGURACOES!$B$37:$B$300,0)),"")</f>
        <v/>
      </c>
      <c r="K659" s="20">
        <f>IFERROR(INDEX(CONFIGURACOES!$H$37:$H$300,MATCH($I659,CONFIGURACOES!$B$37:$B$300,0)),"")</f>
        <v/>
      </c>
      <c r="L659" s="20" t="n"/>
      <c r="M659" s="20">
        <f>IFERROR(INDEX(CONFIGURACOES!$I$37:$I$300,MATCH($I659,CONFIGURACOES!$B$37:$B$300,0)),"")</f>
        <v/>
      </c>
      <c r="N659" s="21" t="n"/>
      <c r="O659" s="21" t="n"/>
      <c r="P659" s="21" t="n"/>
      <c r="Q659" s="21" t="n"/>
      <c r="R659" s="21">
        <f>IF($N659="","",$N659*IF($Q659="",1,$Q659)*IF($P659="",1,$P659)*IF($O659="",1,$O659))</f>
        <v/>
      </c>
      <c r="S659" s="22">
        <f>IFERROR(INDEX(CONFIGURACOES!$J$37:$J$300,MATCH($I659,CONFIGURACOES!$B$37:$B$300,0)),"")</f>
        <v/>
      </c>
      <c r="T659" s="22">
        <f>IF(OR($R659="",$S659=""),"",$R659*$S659)</f>
        <v/>
      </c>
      <c r="U659" s="20" t="n"/>
      <c r="V659" s="20" t="n"/>
      <c r="W659" s="20" t="n"/>
      <c r="X659">
        <f>IF($A659="","",$A659&amp;"|"&amp;$C659&amp;"|"&amp;$I659)</f>
        <v/>
      </c>
      <c r="Y659">
        <f>IF(AND($A659=RELATORIO_MEDICAO!$C$5,$C659=RELATORIO_MEDICAO!$F$5,$A659&lt;&gt;""),COUNTIFS($A$3:$A659,RELATORIO_MEDICAO!$C$5,$C$3:$C659,RELATORIO_MEDICAO!$F$5),"")</f>
        <v/>
      </c>
      <c r="Z659">
        <f>IF(OR($A659="",PESQUISA!$C$4=""),0,IF(OR(ISNUMBER(SEARCH(PESQUISA!$C$4,$G659)),ISNUMBER(SEARCH(PESQUISA!$C$4,$K659)),ISNUMBER(SEARCH(PESQUISA!$C$4,$L659))),1,0))</f>
        <v/>
      </c>
      <c r="AA659">
        <f>IF($Z659=1,SUM($Z$3:$Z659),"")</f>
        <v/>
      </c>
      <c r="AB659">
        <f>IF(OR($A659="",PESQUISA!$C$50=""),0,IF(ISNUMBER(SEARCH(PESQUISA!$C$50,$I659)),1,0))</f>
        <v/>
      </c>
      <c r="AC659">
        <f>IF($AB659=1,SUM($AB$3:$AB659),"")</f>
        <v/>
      </c>
    </row>
    <row r="660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>
        <f>IFERROR(INDEX(CONFIGURACOES!$G$37:$G$300,MATCH($I660,CONFIGURACOES!$B$37:$B$300,0)),"")</f>
        <v/>
      </c>
      <c r="K660" s="20">
        <f>IFERROR(INDEX(CONFIGURACOES!$H$37:$H$300,MATCH($I660,CONFIGURACOES!$B$37:$B$300,0)),"")</f>
        <v/>
      </c>
      <c r="L660" s="20" t="n"/>
      <c r="M660" s="20">
        <f>IFERROR(INDEX(CONFIGURACOES!$I$37:$I$300,MATCH($I660,CONFIGURACOES!$B$37:$B$300,0)),"")</f>
        <v/>
      </c>
      <c r="N660" s="21" t="n"/>
      <c r="O660" s="21" t="n"/>
      <c r="P660" s="21" t="n"/>
      <c r="Q660" s="21" t="n"/>
      <c r="R660" s="21">
        <f>IF($N660="","",$N660*IF($Q660="",1,$Q660)*IF($P660="",1,$P660)*IF($O660="",1,$O660))</f>
        <v/>
      </c>
      <c r="S660" s="22">
        <f>IFERROR(INDEX(CONFIGURACOES!$J$37:$J$300,MATCH($I660,CONFIGURACOES!$B$37:$B$300,0)),"")</f>
        <v/>
      </c>
      <c r="T660" s="22">
        <f>IF(OR($R660="",$S660=""),"",$R660*$S660)</f>
        <v/>
      </c>
      <c r="U660" s="20" t="n"/>
      <c r="V660" s="20" t="n"/>
      <c r="W660" s="20" t="n"/>
      <c r="X660">
        <f>IF($A660="","",$A660&amp;"|"&amp;$C660&amp;"|"&amp;$I660)</f>
        <v/>
      </c>
      <c r="Y660">
        <f>IF(AND($A660=RELATORIO_MEDICAO!$C$5,$C660=RELATORIO_MEDICAO!$F$5,$A660&lt;&gt;""),COUNTIFS($A$3:$A660,RELATORIO_MEDICAO!$C$5,$C$3:$C660,RELATORIO_MEDICAO!$F$5),"")</f>
        <v/>
      </c>
      <c r="Z660">
        <f>IF(OR($A660="",PESQUISA!$C$4=""),0,IF(OR(ISNUMBER(SEARCH(PESQUISA!$C$4,$G660)),ISNUMBER(SEARCH(PESQUISA!$C$4,$K660)),ISNUMBER(SEARCH(PESQUISA!$C$4,$L660))),1,0))</f>
        <v/>
      </c>
      <c r="AA660">
        <f>IF($Z660=1,SUM($Z$3:$Z660),"")</f>
        <v/>
      </c>
      <c r="AB660">
        <f>IF(OR($A660="",PESQUISA!$C$50=""),0,IF(ISNUMBER(SEARCH(PESQUISA!$C$50,$I660)),1,0))</f>
        <v/>
      </c>
      <c r="AC660">
        <f>IF($AB660=1,SUM($AB$3:$AB660),"")</f>
        <v/>
      </c>
    </row>
    <row r="661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>
        <f>IFERROR(INDEX(CONFIGURACOES!$G$37:$G$300,MATCH($I661,CONFIGURACOES!$B$37:$B$300,0)),"")</f>
        <v/>
      </c>
      <c r="K661" s="20">
        <f>IFERROR(INDEX(CONFIGURACOES!$H$37:$H$300,MATCH($I661,CONFIGURACOES!$B$37:$B$300,0)),"")</f>
        <v/>
      </c>
      <c r="L661" s="20" t="n"/>
      <c r="M661" s="20">
        <f>IFERROR(INDEX(CONFIGURACOES!$I$37:$I$300,MATCH($I661,CONFIGURACOES!$B$37:$B$300,0)),"")</f>
        <v/>
      </c>
      <c r="N661" s="21" t="n"/>
      <c r="O661" s="21" t="n"/>
      <c r="P661" s="21" t="n"/>
      <c r="Q661" s="21" t="n"/>
      <c r="R661" s="21">
        <f>IF($N661="","",$N661*IF($Q661="",1,$Q661)*IF($P661="",1,$P661)*IF($O661="",1,$O661))</f>
        <v/>
      </c>
      <c r="S661" s="22">
        <f>IFERROR(INDEX(CONFIGURACOES!$J$37:$J$300,MATCH($I661,CONFIGURACOES!$B$37:$B$300,0)),"")</f>
        <v/>
      </c>
      <c r="T661" s="22">
        <f>IF(OR($R661="",$S661=""),"",$R661*$S661)</f>
        <v/>
      </c>
      <c r="U661" s="20" t="n"/>
      <c r="V661" s="20" t="n"/>
      <c r="W661" s="20" t="n"/>
      <c r="X661">
        <f>IF($A661="","",$A661&amp;"|"&amp;$C661&amp;"|"&amp;$I661)</f>
        <v/>
      </c>
      <c r="Y661">
        <f>IF(AND($A661=RELATORIO_MEDICAO!$C$5,$C661=RELATORIO_MEDICAO!$F$5,$A661&lt;&gt;""),COUNTIFS($A$3:$A661,RELATORIO_MEDICAO!$C$5,$C$3:$C661,RELATORIO_MEDICAO!$F$5),"")</f>
        <v/>
      </c>
      <c r="Z661">
        <f>IF(OR($A661="",PESQUISA!$C$4=""),0,IF(OR(ISNUMBER(SEARCH(PESQUISA!$C$4,$G661)),ISNUMBER(SEARCH(PESQUISA!$C$4,$K661)),ISNUMBER(SEARCH(PESQUISA!$C$4,$L661))),1,0))</f>
        <v/>
      </c>
      <c r="AA661">
        <f>IF($Z661=1,SUM($Z$3:$Z661),"")</f>
        <v/>
      </c>
      <c r="AB661">
        <f>IF(OR($A661="",PESQUISA!$C$50=""),0,IF(ISNUMBER(SEARCH(PESQUISA!$C$50,$I661)),1,0))</f>
        <v/>
      </c>
      <c r="AC661">
        <f>IF($AB661=1,SUM($AB$3:$AB661),"")</f>
        <v/>
      </c>
    </row>
    <row r="662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>
        <f>IFERROR(INDEX(CONFIGURACOES!$G$37:$G$300,MATCH($I662,CONFIGURACOES!$B$37:$B$300,0)),"")</f>
        <v/>
      </c>
      <c r="K662" s="20">
        <f>IFERROR(INDEX(CONFIGURACOES!$H$37:$H$300,MATCH($I662,CONFIGURACOES!$B$37:$B$300,0)),"")</f>
        <v/>
      </c>
      <c r="L662" s="20" t="n"/>
      <c r="M662" s="20">
        <f>IFERROR(INDEX(CONFIGURACOES!$I$37:$I$300,MATCH($I662,CONFIGURACOES!$B$37:$B$300,0)),"")</f>
        <v/>
      </c>
      <c r="N662" s="21" t="n"/>
      <c r="O662" s="21" t="n"/>
      <c r="P662" s="21" t="n"/>
      <c r="Q662" s="21" t="n"/>
      <c r="R662" s="21">
        <f>IF($N662="","",$N662*IF($Q662="",1,$Q662)*IF($P662="",1,$P662)*IF($O662="",1,$O662))</f>
        <v/>
      </c>
      <c r="S662" s="22">
        <f>IFERROR(INDEX(CONFIGURACOES!$J$37:$J$300,MATCH($I662,CONFIGURACOES!$B$37:$B$300,0)),"")</f>
        <v/>
      </c>
      <c r="T662" s="22">
        <f>IF(OR($R662="",$S662=""),"",$R662*$S662)</f>
        <v/>
      </c>
      <c r="U662" s="20" t="n"/>
      <c r="V662" s="20" t="n"/>
      <c r="W662" s="20" t="n"/>
      <c r="X662">
        <f>IF($A662="","",$A662&amp;"|"&amp;$C662&amp;"|"&amp;$I662)</f>
        <v/>
      </c>
      <c r="Y662">
        <f>IF(AND($A662=RELATORIO_MEDICAO!$C$5,$C662=RELATORIO_MEDICAO!$F$5,$A662&lt;&gt;""),COUNTIFS($A$3:$A662,RELATORIO_MEDICAO!$C$5,$C$3:$C662,RELATORIO_MEDICAO!$F$5),"")</f>
        <v/>
      </c>
      <c r="Z662">
        <f>IF(OR($A662="",PESQUISA!$C$4=""),0,IF(OR(ISNUMBER(SEARCH(PESQUISA!$C$4,$G662)),ISNUMBER(SEARCH(PESQUISA!$C$4,$K662)),ISNUMBER(SEARCH(PESQUISA!$C$4,$L662))),1,0))</f>
        <v/>
      </c>
      <c r="AA662">
        <f>IF($Z662=1,SUM($Z$3:$Z662),"")</f>
        <v/>
      </c>
      <c r="AB662">
        <f>IF(OR($A662="",PESQUISA!$C$50=""),0,IF(ISNUMBER(SEARCH(PESQUISA!$C$50,$I662)),1,0))</f>
        <v/>
      </c>
      <c r="AC662">
        <f>IF($AB662=1,SUM($AB$3:$AB662),"")</f>
        <v/>
      </c>
    </row>
    <row r="663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>
        <f>IFERROR(INDEX(CONFIGURACOES!$G$37:$G$300,MATCH($I663,CONFIGURACOES!$B$37:$B$300,0)),"")</f>
        <v/>
      </c>
      <c r="K663" s="20">
        <f>IFERROR(INDEX(CONFIGURACOES!$H$37:$H$300,MATCH($I663,CONFIGURACOES!$B$37:$B$300,0)),"")</f>
        <v/>
      </c>
      <c r="L663" s="20" t="n"/>
      <c r="M663" s="20">
        <f>IFERROR(INDEX(CONFIGURACOES!$I$37:$I$300,MATCH($I663,CONFIGURACOES!$B$37:$B$300,0)),"")</f>
        <v/>
      </c>
      <c r="N663" s="21" t="n"/>
      <c r="O663" s="21" t="n"/>
      <c r="P663" s="21" t="n"/>
      <c r="Q663" s="21" t="n"/>
      <c r="R663" s="21">
        <f>IF($N663="","",$N663*IF($Q663="",1,$Q663)*IF($P663="",1,$P663)*IF($O663="",1,$O663))</f>
        <v/>
      </c>
      <c r="S663" s="22">
        <f>IFERROR(INDEX(CONFIGURACOES!$J$37:$J$300,MATCH($I663,CONFIGURACOES!$B$37:$B$300,0)),"")</f>
        <v/>
      </c>
      <c r="T663" s="22">
        <f>IF(OR($R663="",$S663=""),"",$R663*$S663)</f>
        <v/>
      </c>
      <c r="U663" s="20" t="n"/>
      <c r="V663" s="20" t="n"/>
      <c r="W663" s="20" t="n"/>
      <c r="X663">
        <f>IF($A663="","",$A663&amp;"|"&amp;$C663&amp;"|"&amp;$I663)</f>
        <v/>
      </c>
      <c r="Y663">
        <f>IF(AND($A663=RELATORIO_MEDICAO!$C$5,$C663=RELATORIO_MEDICAO!$F$5,$A663&lt;&gt;""),COUNTIFS($A$3:$A663,RELATORIO_MEDICAO!$C$5,$C$3:$C663,RELATORIO_MEDICAO!$F$5),"")</f>
        <v/>
      </c>
      <c r="Z663">
        <f>IF(OR($A663="",PESQUISA!$C$4=""),0,IF(OR(ISNUMBER(SEARCH(PESQUISA!$C$4,$G663)),ISNUMBER(SEARCH(PESQUISA!$C$4,$K663)),ISNUMBER(SEARCH(PESQUISA!$C$4,$L663))),1,0))</f>
        <v/>
      </c>
      <c r="AA663">
        <f>IF($Z663=1,SUM($Z$3:$Z663),"")</f>
        <v/>
      </c>
      <c r="AB663">
        <f>IF(OR($A663="",PESQUISA!$C$50=""),0,IF(ISNUMBER(SEARCH(PESQUISA!$C$50,$I663)),1,0))</f>
        <v/>
      </c>
      <c r="AC663">
        <f>IF($AB663=1,SUM($AB$3:$AB663),"")</f>
        <v/>
      </c>
    </row>
    <row r="664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>
        <f>IFERROR(INDEX(CONFIGURACOES!$G$37:$G$300,MATCH($I664,CONFIGURACOES!$B$37:$B$300,0)),"")</f>
        <v/>
      </c>
      <c r="K664" s="20">
        <f>IFERROR(INDEX(CONFIGURACOES!$H$37:$H$300,MATCH($I664,CONFIGURACOES!$B$37:$B$300,0)),"")</f>
        <v/>
      </c>
      <c r="L664" s="20" t="n"/>
      <c r="M664" s="20">
        <f>IFERROR(INDEX(CONFIGURACOES!$I$37:$I$300,MATCH($I664,CONFIGURACOES!$B$37:$B$300,0)),"")</f>
        <v/>
      </c>
      <c r="N664" s="21" t="n"/>
      <c r="O664" s="21" t="n"/>
      <c r="P664" s="21" t="n"/>
      <c r="Q664" s="21" t="n"/>
      <c r="R664" s="21">
        <f>IF($N664="","",$N664*IF($Q664="",1,$Q664)*IF($P664="",1,$P664)*IF($O664="",1,$O664))</f>
        <v/>
      </c>
      <c r="S664" s="22">
        <f>IFERROR(INDEX(CONFIGURACOES!$J$37:$J$300,MATCH($I664,CONFIGURACOES!$B$37:$B$300,0)),"")</f>
        <v/>
      </c>
      <c r="T664" s="22">
        <f>IF(OR($R664="",$S664=""),"",$R664*$S664)</f>
        <v/>
      </c>
      <c r="U664" s="20" t="n"/>
      <c r="V664" s="20" t="n"/>
      <c r="W664" s="20" t="n"/>
      <c r="X664">
        <f>IF($A664="","",$A664&amp;"|"&amp;$C664&amp;"|"&amp;$I664)</f>
        <v/>
      </c>
      <c r="Y664">
        <f>IF(AND($A664=RELATORIO_MEDICAO!$C$5,$C664=RELATORIO_MEDICAO!$F$5,$A664&lt;&gt;""),COUNTIFS($A$3:$A664,RELATORIO_MEDICAO!$C$5,$C$3:$C664,RELATORIO_MEDICAO!$F$5),"")</f>
        <v/>
      </c>
      <c r="Z664">
        <f>IF(OR($A664="",PESQUISA!$C$4=""),0,IF(OR(ISNUMBER(SEARCH(PESQUISA!$C$4,$G664)),ISNUMBER(SEARCH(PESQUISA!$C$4,$K664)),ISNUMBER(SEARCH(PESQUISA!$C$4,$L664))),1,0))</f>
        <v/>
      </c>
      <c r="AA664">
        <f>IF($Z664=1,SUM($Z$3:$Z664),"")</f>
        <v/>
      </c>
      <c r="AB664">
        <f>IF(OR($A664="",PESQUISA!$C$50=""),0,IF(ISNUMBER(SEARCH(PESQUISA!$C$50,$I664)),1,0))</f>
        <v/>
      </c>
      <c r="AC664">
        <f>IF($AB664=1,SUM($AB$3:$AB664),"")</f>
        <v/>
      </c>
    </row>
    <row r="665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>
        <f>IFERROR(INDEX(CONFIGURACOES!$G$37:$G$300,MATCH($I665,CONFIGURACOES!$B$37:$B$300,0)),"")</f>
        <v/>
      </c>
      <c r="K665" s="20">
        <f>IFERROR(INDEX(CONFIGURACOES!$H$37:$H$300,MATCH($I665,CONFIGURACOES!$B$37:$B$300,0)),"")</f>
        <v/>
      </c>
      <c r="L665" s="20" t="n"/>
      <c r="M665" s="20">
        <f>IFERROR(INDEX(CONFIGURACOES!$I$37:$I$300,MATCH($I665,CONFIGURACOES!$B$37:$B$300,0)),"")</f>
        <v/>
      </c>
      <c r="N665" s="21" t="n"/>
      <c r="O665" s="21" t="n"/>
      <c r="P665" s="21" t="n"/>
      <c r="Q665" s="21" t="n"/>
      <c r="R665" s="21">
        <f>IF($N665="","",$N665*IF($Q665="",1,$Q665)*IF($P665="",1,$P665)*IF($O665="",1,$O665))</f>
        <v/>
      </c>
      <c r="S665" s="22">
        <f>IFERROR(INDEX(CONFIGURACOES!$J$37:$J$300,MATCH($I665,CONFIGURACOES!$B$37:$B$300,0)),"")</f>
        <v/>
      </c>
      <c r="T665" s="22">
        <f>IF(OR($R665="",$S665=""),"",$R665*$S665)</f>
        <v/>
      </c>
      <c r="U665" s="20" t="n"/>
      <c r="V665" s="20" t="n"/>
      <c r="W665" s="20" t="n"/>
      <c r="X665">
        <f>IF($A665="","",$A665&amp;"|"&amp;$C665&amp;"|"&amp;$I665)</f>
        <v/>
      </c>
      <c r="Y665">
        <f>IF(AND($A665=RELATORIO_MEDICAO!$C$5,$C665=RELATORIO_MEDICAO!$F$5,$A665&lt;&gt;""),COUNTIFS($A$3:$A665,RELATORIO_MEDICAO!$C$5,$C$3:$C665,RELATORIO_MEDICAO!$F$5),"")</f>
        <v/>
      </c>
      <c r="Z665">
        <f>IF(OR($A665="",PESQUISA!$C$4=""),0,IF(OR(ISNUMBER(SEARCH(PESQUISA!$C$4,$G665)),ISNUMBER(SEARCH(PESQUISA!$C$4,$K665)),ISNUMBER(SEARCH(PESQUISA!$C$4,$L665))),1,0))</f>
        <v/>
      </c>
      <c r="AA665">
        <f>IF($Z665=1,SUM($Z$3:$Z665),"")</f>
        <v/>
      </c>
      <c r="AB665">
        <f>IF(OR($A665="",PESQUISA!$C$50=""),0,IF(ISNUMBER(SEARCH(PESQUISA!$C$50,$I665)),1,0))</f>
        <v/>
      </c>
      <c r="AC665">
        <f>IF($AB665=1,SUM($AB$3:$AB665),"")</f>
        <v/>
      </c>
    </row>
    <row r="666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>
        <f>IFERROR(INDEX(CONFIGURACOES!$G$37:$G$300,MATCH($I666,CONFIGURACOES!$B$37:$B$300,0)),"")</f>
        <v/>
      </c>
      <c r="K666" s="20">
        <f>IFERROR(INDEX(CONFIGURACOES!$H$37:$H$300,MATCH($I666,CONFIGURACOES!$B$37:$B$300,0)),"")</f>
        <v/>
      </c>
      <c r="L666" s="20" t="n"/>
      <c r="M666" s="20">
        <f>IFERROR(INDEX(CONFIGURACOES!$I$37:$I$300,MATCH($I666,CONFIGURACOES!$B$37:$B$300,0)),"")</f>
        <v/>
      </c>
      <c r="N666" s="21" t="n"/>
      <c r="O666" s="21" t="n"/>
      <c r="P666" s="21" t="n"/>
      <c r="Q666" s="21" t="n"/>
      <c r="R666" s="21">
        <f>IF($N666="","",$N666*IF($Q666="",1,$Q666)*IF($P666="",1,$P666)*IF($O666="",1,$O666))</f>
        <v/>
      </c>
      <c r="S666" s="22">
        <f>IFERROR(INDEX(CONFIGURACOES!$J$37:$J$300,MATCH($I666,CONFIGURACOES!$B$37:$B$300,0)),"")</f>
        <v/>
      </c>
      <c r="T666" s="22">
        <f>IF(OR($R666="",$S666=""),"",$R666*$S666)</f>
        <v/>
      </c>
      <c r="U666" s="20" t="n"/>
      <c r="V666" s="20" t="n"/>
      <c r="W666" s="20" t="n"/>
      <c r="X666">
        <f>IF($A666="","",$A666&amp;"|"&amp;$C666&amp;"|"&amp;$I666)</f>
        <v/>
      </c>
      <c r="Y666">
        <f>IF(AND($A666=RELATORIO_MEDICAO!$C$5,$C666=RELATORIO_MEDICAO!$F$5,$A666&lt;&gt;""),COUNTIFS($A$3:$A666,RELATORIO_MEDICAO!$C$5,$C$3:$C666,RELATORIO_MEDICAO!$F$5),"")</f>
        <v/>
      </c>
      <c r="Z666">
        <f>IF(OR($A666="",PESQUISA!$C$4=""),0,IF(OR(ISNUMBER(SEARCH(PESQUISA!$C$4,$G666)),ISNUMBER(SEARCH(PESQUISA!$C$4,$K666)),ISNUMBER(SEARCH(PESQUISA!$C$4,$L666))),1,0))</f>
        <v/>
      </c>
      <c r="AA666">
        <f>IF($Z666=1,SUM($Z$3:$Z666),"")</f>
        <v/>
      </c>
      <c r="AB666">
        <f>IF(OR($A666="",PESQUISA!$C$50=""),0,IF(ISNUMBER(SEARCH(PESQUISA!$C$50,$I666)),1,0))</f>
        <v/>
      </c>
      <c r="AC666">
        <f>IF($AB666=1,SUM($AB$3:$AB666),"")</f>
        <v/>
      </c>
    </row>
    <row r="667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>
        <f>IFERROR(INDEX(CONFIGURACOES!$G$37:$G$300,MATCH($I667,CONFIGURACOES!$B$37:$B$300,0)),"")</f>
        <v/>
      </c>
      <c r="K667" s="20">
        <f>IFERROR(INDEX(CONFIGURACOES!$H$37:$H$300,MATCH($I667,CONFIGURACOES!$B$37:$B$300,0)),"")</f>
        <v/>
      </c>
      <c r="L667" s="20" t="n"/>
      <c r="M667" s="20">
        <f>IFERROR(INDEX(CONFIGURACOES!$I$37:$I$300,MATCH($I667,CONFIGURACOES!$B$37:$B$300,0)),"")</f>
        <v/>
      </c>
      <c r="N667" s="21" t="n"/>
      <c r="O667" s="21" t="n"/>
      <c r="P667" s="21" t="n"/>
      <c r="Q667" s="21" t="n"/>
      <c r="R667" s="21">
        <f>IF($N667="","",$N667*IF($Q667="",1,$Q667)*IF($P667="",1,$P667)*IF($O667="",1,$O667))</f>
        <v/>
      </c>
      <c r="S667" s="22">
        <f>IFERROR(INDEX(CONFIGURACOES!$J$37:$J$300,MATCH($I667,CONFIGURACOES!$B$37:$B$300,0)),"")</f>
        <v/>
      </c>
      <c r="T667" s="22">
        <f>IF(OR($R667="",$S667=""),"",$R667*$S667)</f>
        <v/>
      </c>
      <c r="U667" s="20" t="n"/>
      <c r="V667" s="20" t="n"/>
      <c r="W667" s="20" t="n"/>
      <c r="X667">
        <f>IF($A667="","",$A667&amp;"|"&amp;$C667&amp;"|"&amp;$I667)</f>
        <v/>
      </c>
      <c r="Y667">
        <f>IF(AND($A667=RELATORIO_MEDICAO!$C$5,$C667=RELATORIO_MEDICAO!$F$5,$A667&lt;&gt;""),COUNTIFS($A$3:$A667,RELATORIO_MEDICAO!$C$5,$C$3:$C667,RELATORIO_MEDICAO!$F$5),"")</f>
        <v/>
      </c>
      <c r="Z667">
        <f>IF(OR($A667="",PESQUISA!$C$4=""),0,IF(OR(ISNUMBER(SEARCH(PESQUISA!$C$4,$G667)),ISNUMBER(SEARCH(PESQUISA!$C$4,$K667)),ISNUMBER(SEARCH(PESQUISA!$C$4,$L667))),1,0))</f>
        <v/>
      </c>
      <c r="AA667">
        <f>IF($Z667=1,SUM($Z$3:$Z667),"")</f>
        <v/>
      </c>
      <c r="AB667">
        <f>IF(OR($A667="",PESQUISA!$C$50=""),0,IF(ISNUMBER(SEARCH(PESQUISA!$C$50,$I667)),1,0))</f>
        <v/>
      </c>
      <c r="AC667">
        <f>IF($AB667=1,SUM($AB$3:$AB667),"")</f>
        <v/>
      </c>
    </row>
    <row r="668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>
        <f>IFERROR(INDEX(CONFIGURACOES!$G$37:$G$300,MATCH($I668,CONFIGURACOES!$B$37:$B$300,0)),"")</f>
        <v/>
      </c>
      <c r="K668" s="20">
        <f>IFERROR(INDEX(CONFIGURACOES!$H$37:$H$300,MATCH($I668,CONFIGURACOES!$B$37:$B$300,0)),"")</f>
        <v/>
      </c>
      <c r="L668" s="20" t="n"/>
      <c r="M668" s="20">
        <f>IFERROR(INDEX(CONFIGURACOES!$I$37:$I$300,MATCH($I668,CONFIGURACOES!$B$37:$B$300,0)),"")</f>
        <v/>
      </c>
      <c r="N668" s="21" t="n"/>
      <c r="O668" s="21" t="n"/>
      <c r="P668" s="21" t="n"/>
      <c r="Q668" s="21" t="n"/>
      <c r="R668" s="21">
        <f>IF($N668="","",$N668*IF($Q668="",1,$Q668)*IF($P668="",1,$P668)*IF($O668="",1,$O668))</f>
        <v/>
      </c>
      <c r="S668" s="22">
        <f>IFERROR(INDEX(CONFIGURACOES!$J$37:$J$300,MATCH($I668,CONFIGURACOES!$B$37:$B$300,0)),"")</f>
        <v/>
      </c>
      <c r="T668" s="22">
        <f>IF(OR($R668="",$S668=""),"",$R668*$S668)</f>
        <v/>
      </c>
      <c r="U668" s="20" t="n"/>
      <c r="V668" s="20" t="n"/>
      <c r="W668" s="20" t="n"/>
      <c r="X668">
        <f>IF($A668="","",$A668&amp;"|"&amp;$C668&amp;"|"&amp;$I668)</f>
        <v/>
      </c>
      <c r="Y668">
        <f>IF(AND($A668=RELATORIO_MEDICAO!$C$5,$C668=RELATORIO_MEDICAO!$F$5,$A668&lt;&gt;""),COUNTIFS($A$3:$A668,RELATORIO_MEDICAO!$C$5,$C$3:$C668,RELATORIO_MEDICAO!$F$5),"")</f>
        <v/>
      </c>
      <c r="Z668">
        <f>IF(OR($A668="",PESQUISA!$C$4=""),0,IF(OR(ISNUMBER(SEARCH(PESQUISA!$C$4,$G668)),ISNUMBER(SEARCH(PESQUISA!$C$4,$K668)),ISNUMBER(SEARCH(PESQUISA!$C$4,$L668))),1,0))</f>
        <v/>
      </c>
      <c r="AA668">
        <f>IF($Z668=1,SUM($Z$3:$Z668),"")</f>
        <v/>
      </c>
      <c r="AB668">
        <f>IF(OR($A668="",PESQUISA!$C$50=""),0,IF(ISNUMBER(SEARCH(PESQUISA!$C$50,$I668)),1,0))</f>
        <v/>
      </c>
      <c r="AC668">
        <f>IF($AB668=1,SUM($AB$3:$AB668),"")</f>
        <v/>
      </c>
    </row>
    <row r="669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>
        <f>IFERROR(INDEX(CONFIGURACOES!$G$37:$G$300,MATCH($I669,CONFIGURACOES!$B$37:$B$300,0)),"")</f>
        <v/>
      </c>
      <c r="K669" s="20">
        <f>IFERROR(INDEX(CONFIGURACOES!$H$37:$H$300,MATCH($I669,CONFIGURACOES!$B$37:$B$300,0)),"")</f>
        <v/>
      </c>
      <c r="L669" s="20" t="n"/>
      <c r="M669" s="20">
        <f>IFERROR(INDEX(CONFIGURACOES!$I$37:$I$300,MATCH($I669,CONFIGURACOES!$B$37:$B$300,0)),"")</f>
        <v/>
      </c>
      <c r="N669" s="21" t="n"/>
      <c r="O669" s="21" t="n"/>
      <c r="P669" s="21" t="n"/>
      <c r="Q669" s="21" t="n"/>
      <c r="R669" s="21">
        <f>IF($N669="","",$N669*IF($Q669="",1,$Q669)*IF($P669="",1,$P669)*IF($O669="",1,$O669))</f>
        <v/>
      </c>
      <c r="S669" s="22">
        <f>IFERROR(INDEX(CONFIGURACOES!$J$37:$J$300,MATCH($I669,CONFIGURACOES!$B$37:$B$300,0)),"")</f>
        <v/>
      </c>
      <c r="T669" s="22">
        <f>IF(OR($R669="",$S669=""),"",$R669*$S669)</f>
        <v/>
      </c>
      <c r="U669" s="20" t="n"/>
      <c r="V669" s="20" t="n"/>
      <c r="W669" s="20" t="n"/>
      <c r="X669">
        <f>IF($A669="","",$A669&amp;"|"&amp;$C669&amp;"|"&amp;$I669)</f>
        <v/>
      </c>
      <c r="Y669">
        <f>IF(AND($A669=RELATORIO_MEDICAO!$C$5,$C669=RELATORIO_MEDICAO!$F$5,$A669&lt;&gt;""),COUNTIFS($A$3:$A669,RELATORIO_MEDICAO!$C$5,$C$3:$C669,RELATORIO_MEDICAO!$F$5),"")</f>
        <v/>
      </c>
      <c r="Z669">
        <f>IF(OR($A669="",PESQUISA!$C$4=""),0,IF(OR(ISNUMBER(SEARCH(PESQUISA!$C$4,$G669)),ISNUMBER(SEARCH(PESQUISA!$C$4,$K669)),ISNUMBER(SEARCH(PESQUISA!$C$4,$L669))),1,0))</f>
        <v/>
      </c>
      <c r="AA669">
        <f>IF($Z669=1,SUM($Z$3:$Z669),"")</f>
        <v/>
      </c>
      <c r="AB669">
        <f>IF(OR($A669="",PESQUISA!$C$50=""),0,IF(ISNUMBER(SEARCH(PESQUISA!$C$50,$I669)),1,0))</f>
        <v/>
      </c>
      <c r="AC669">
        <f>IF($AB669=1,SUM($AB$3:$AB669),"")</f>
        <v/>
      </c>
    </row>
    <row r="670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>
        <f>IFERROR(INDEX(CONFIGURACOES!$G$37:$G$300,MATCH($I670,CONFIGURACOES!$B$37:$B$300,0)),"")</f>
        <v/>
      </c>
      <c r="K670" s="20">
        <f>IFERROR(INDEX(CONFIGURACOES!$H$37:$H$300,MATCH($I670,CONFIGURACOES!$B$37:$B$300,0)),"")</f>
        <v/>
      </c>
      <c r="L670" s="20" t="n"/>
      <c r="M670" s="20">
        <f>IFERROR(INDEX(CONFIGURACOES!$I$37:$I$300,MATCH($I670,CONFIGURACOES!$B$37:$B$300,0)),"")</f>
        <v/>
      </c>
      <c r="N670" s="21" t="n"/>
      <c r="O670" s="21" t="n"/>
      <c r="P670" s="21" t="n"/>
      <c r="Q670" s="21" t="n"/>
      <c r="R670" s="21">
        <f>IF($N670="","",$N670*IF($Q670="",1,$Q670)*IF($P670="",1,$P670)*IF($O670="",1,$O670))</f>
        <v/>
      </c>
      <c r="S670" s="22">
        <f>IFERROR(INDEX(CONFIGURACOES!$J$37:$J$300,MATCH($I670,CONFIGURACOES!$B$37:$B$300,0)),"")</f>
        <v/>
      </c>
      <c r="T670" s="22">
        <f>IF(OR($R670="",$S670=""),"",$R670*$S670)</f>
        <v/>
      </c>
      <c r="U670" s="20" t="n"/>
      <c r="V670" s="20" t="n"/>
      <c r="W670" s="20" t="n"/>
      <c r="X670">
        <f>IF($A670="","",$A670&amp;"|"&amp;$C670&amp;"|"&amp;$I670)</f>
        <v/>
      </c>
      <c r="Y670">
        <f>IF(AND($A670=RELATORIO_MEDICAO!$C$5,$C670=RELATORIO_MEDICAO!$F$5,$A670&lt;&gt;""),COUNTIFS($A$3:$A670,RELATORIO_MEDICAO!$C$5,$C$3:$C670,RELATORIO_MEDICAO!$F$5),"")</f>
        <v/>
      </c>
      <c r="Z670">
        <f>IF(OR($A670="",PESQUISA!$C$4=""),0,IF(OR(ISNUMBER(SEARCH(PESQUISA!$C$4,$G670)),ISNUMBER(SEARCH(PESQUISA!$C$4,$K670)),ISNUMBER(SEARCH(PESQUISA!$C$4,$L670))),1,0))</f>
        <v/>
      </c>
      <c r="AA670">
        <f>IF($Z670=1,SUM($Z$3:$Z670),"")</f>
        <v/>
      </c>
      <c r="AB670">
        <f>IF(OR($A670="",PESQUISA!$C$50=""),0,IF(ISNUMBER(SEARCH(PESQUISA!$C$50,$I670)),1,0))</f>
        <v/>
      </c>
      <c r="AC670">
        <f>IF($AB670=1,SUM($AB$3:$AB670),"")</f>
        <v/>
      </c>
    </row>
    <row r="671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>
        <f>IFERROR(INDEX(CONFIGURACOES!$G$37:$G$300,MATCH($I671,CONFIGURACOES!$B$37:$B$300,0)),"")</f>
        <v/>
      </c>
      <c r="K671" s="20">
        <f>IFERROR(INDEX(CONFIGURACOES!$H$37:$H$300,MATCH($I671,CONFIGURACOES!$B$37:$B$300,0)),"")</f>
        <v/>
      </c>
      <c r="L671" s="20" t="n"/>
      <c r="M671" s="20">
        <f>IFERROR(INDEX(CONFIGURACOES!$I$37:$I$300,MATCH($I671,CONFIGURACOES!$B$37:$B$300,0)),"")</f>
        <v/>
      </c>
      <c r="N671" s="21" t="n"/>
      <c r="O671" s="21" t="n"/>
      <c r="P671" s="21" t="n"/>
      <c r="Q671" s="21" t="n"/>
      <c r="R671" s="21">
        <f>IF($N671="","",$N671*IF($Q671="",1,$Q671)*IF($P671="",1,$P671)*IF($O671="",1,$O671))</f>
        <v/>
      </c>
      <c r="S671" s="22">
        <f>IFERROR(INDEX(CONFIGURACOES!$J$37:$J$300,MATCH($I671,CONFIGURACOES!$B$37:$B$300,0)),"")</f>
        <v/>
      </c>
      <c r="T671" s="22">
        <f>IF(OR($R671="",$S671=""),"",$R671*$S671)</f>
        <v/>
      </c>
      <c r="U671" s="20" t="n"/>
      <c r="V671" s="20" t="n"/>
      <c r="W671" s="20" t="n"/>
      <c r="X671">
        <f>IF($A671="","",$A671&amp;"|"&amp;$C671&amp;"|"&amp;$I671)</f>
        <v/>
      </c>
      <c r="Y671">
        <f>IF(AND($A671=RELATORIO_MEDICAO!$C$5,$C671=RELATORIO_MEDICAO!$F$5,$A671&lt;&gt;""),COUNTIFS($A$3:$A671,RELATORIO_MEDICAO!$C$5,$C$3:$C671,RELATORIO_MEDICAO!$F$5),"")</f>
        <v/>
      </c>
      <c r="Z671">
        <f>IF(OR($A671="",PESQUISA!$C$4=""),0,IF(OR(ISNUMBER(SEARCH(PESQUISA!$C$4,$G671)),ISNUMBER(SEARCH(PESQUISA!$C$4,$K671)),ISNUMBER(SEARCH(PESQUISA!$C$4,$L671))),1,0))</f>
        <v/>
      </c>
      <c r="AA671">
        <f>IF($Z671=1,SUM($Z$3:$Z671),"")</f>
        <v/>
      </c>
      <c r="AB671">
        <f>IF(OR($A671="",PESQUISA!$C$50=""),0,IF(ISNUMBER(SEARCH(PESQUISA!$C$50,$I671)),1,0))</f>
        <v/>
      </c>
      <c r="AC671">
        <f>IF($AB671=1,SUM($AB$3:$AB671),"")</f>
        <v/>
      </c>
    </row>
    <row r="672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>
        <f>IFERROR(INDEX(CONFIGURACOES!$G$37:$G$300,MATCH($I672,CONFIGURACOES!$B$37:$B$300,0)),"")</f>
        <v/>
      </c>
      <c r="K672" s="20">
        <f>IFERROR(INDEX(CONFIGURACOES!$H$37:$H$300,MATCH($I672,CONFIGURACOES!$B$37:$B$300,0)),"")</f>
        <v/>
      </c>
      <c r="L672" s="20" t="n"/>
      <c r="M672" s="20">
        <f>IFERROR(INDEX(CONFIGURACOES!$I$37:$I$300,MATCH($I672,CONFIGURACOES!$B$37:$B$300,0)),"")</f>
        <v/>
      </c>
      <c r="N672" s="21" t="n"/>
      <c r="O672" s="21" t="n"/>
      <c r="P672" s="21" t="n"/>
      <c r="Q672" s="21" t="n"/>
      <c r="R672" s="21">
        <f>IF($N672="","",$N672*IF($Q672="",1,$Q672)*IF($P672="",1,$P672)*IF($O672="",1,$O672))</f>
        <v/>
      </c>
      <c r="S672" s="22">
        <f>IFERROR(INDEX(CONFIGURACOES!$J$37:$J$300,MATCH($I672,CONFIGURACOES!$B$37:$B$300,0)),"")</f>
        <v/>
      </c>
      <c r="T672" s="22">
        <f>IF(OR($R672="",$S672=""),"",$R672*$S672)</f>
        <v/>
      </c>
      <c r="U672" s="20" t="n"/>
      <c r="V672" s="20" t="n"/>
      <c r="W672" s="20" t="n"/>
      <c r="X672">
        <f>IF($A672="","",$A672&amp;"|"&amp;$C672&amp;"|"&amp;$I672)</f>
        <v/>
      </c>
      <c r="Y672">
        <f>IF(AND($A672=RELATORIO_MEDICAO!$C$5,$C672=RELATORIO_MEDICAO!$F$5,$A672&lt;&gt;""),COUNTIFS($A$3:$A672,RELATORIO_MEDICAO!$C$5,$C$3:$C672,RELATORIO_MEDICAO!$F$5),"")</f>
        <v/>
      </c>
      <c r="Z672">
        <f>IF(OR($A672="",PESQUISA!$C$4=""),0,IF(OR(ISNUMBER(SEARCH(PESQUISA!$C$4,$G672)),ISNUMBER(SEARCH(PESQUISA!$C$4,$K672)),ISNUMBER(SEARCH(PESQUISA!$C$4,$L672))),1,0))</f>
        <v/>
      </c>
      <c r="AA672">
        <f>IF($Z672=1,SUM($Z$3:$Z672),"")</f>
        <v/>
      </c>
      <c r="AB672">
        <f>IF(OR($A672="",PESQUISA!$C$50=""),0,IF(ISNUMBER(SEARCH(PESQUISA!$C$50,$I672)),1,0))</f>
        <v/>
      </c>
      <c r="AC672">
        <f>IF($AB672=1,SUM($AB$3:$AB672),"")</f>
        <v/>
      </c>
    </row>
    <row r="673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>
        <f>IFERROR(INDEX(CONFIGURACOES!$G$37:$G$300,MATCH($I673,CONFIGURACOES!$B$37:$B$300,0)),"")</f>
        <v/>
      </c>
      <c r="K673" s="20">
        <f>IFERROR(INDEX(CONFIGURACOES!$H$37:$H$300,MATCH($I673,CONFIGURACOES!$B$37:$B$300,0)),"")</f>
        <v/>
      </c>
      <c r="L673" s="20" t="n"/>
      <c r="M673" s="20">
        <f>IFERROR(INDEX(CONFIGURACOES!$I$37:$I$300,MATCH($I673,CONFIGURACOES!$B$37:$B$300,0)),"")</f>
        <v/>
      </c>
      <c r="N673" s="21" t="n"/>
      <c r="O673" s="21" t="n"/>
      <c r="P673" s="21" t="n"/>
      <c r="Q673" s="21" t="n"/>
      <c r="R673" s="21">
        <f>IF($N673="","",$N673*IF($Q673="",1,$Q673)*IF($P673="",1,$P673)*IF($O673="",1,$O673))</f>
        <v/>
      </c>
      <c r="S673" s="22">
        <f>IFERROR(INDEX(CONFIGURACOES!$J$37:$J$300,MATCH($I673,CONFIGURACOES!$B$37:$B$300,0)),"")</f>
        <v/>
      </c>
      <c r="T673" s="22">
        <f>IF(OR($R673="",$S673=""),"",$R673*$S673)</f>
        <v/>
      </c>
      <c r="U673" s="20" t="n"/>
      <c r="V673" s="20" t="n"/>
      <c r="W673" s="20" t="n"/>
      <c r="X673">
        <f>IF($A673="","",$A673&amp;"|"&amp;$C673&amp;"|"&amp;$I673)</f>
        <v/>
      </c>
      <c r="Y673">
        <f>IF(AND($A673=RELATORIO_MEDICAO!$C$5,$C673=RELATORIO_MEDICAO!$F$5,$A673&lt;&gt;""),COUNTIFS($A$3:$A673,RELATORIO_MEDICAO!$C$5,$C$3:$C673,RELATORIO_MEDICAO!$F$5),"")</f>
        <v/>
      </c>
      <c r="Z673">
        <f>IF(OR($A673="",PESQUISA!$C$4=""),0,IF(OR(ISNUMBER(SEARCH(PESQUISA!$C$4,$G673)),ISNUMBER(SEARCH(PESQUISA!$C$4,$K673)),ISNUMBER(SEARCH(PESQUISA!$C$4,$L673))),1,0))</f>
        <v/>
      </c>
      <c r="AA673">
        <f>IF($Z673=1,SUM($Z$3:$Z673),"")</f>
        <v/>
      </c>
      <c r="AB673">
        <f>IF(OR($A673="",PESQUISA!$C$50=""),0,IF(ISNUMBER(SEARCH(PESQUISA!$C$50,$I673)),1,0))</f>
        <v/>
      </c>
      <c r="AC673">
        <f>IF($AB673=1,SUM($AB$3:$AB673),"")</f>
        <v/>
      </c>
    </row>
    <row r="674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>
        <f>IFERROR(INDEX(CONFIGURACOES!$G$37:$G$300,MATCH($I674,CONFIGURACOES!$B$37:$B$300,0)),"")</f>
        <v/>
      </c>
      <c r="K674" s="20">
        <f>IFERROR(INDEX(CONFIGURACOES!$H$37:$H$300,MATCH($I674,CONFIGURACOES!$B$37:$B$300,0)),"")</f>
        <v/>
      </c>
      <c r="L674" s="20" t="n"/>
      <c r="M674" s="20">
        <f>IFERROR(INDEX(CONFIGURACOES!$I$37:$I$300,MATCH($I674,CONFIGURACOES!$B$37:$B$300,0)),"")</f>
        <v/>
      </c>
      <c r="N674" s="21" t="n"/>
      <c r="O674" s="21" t="n"/>
      <c r="P674" s="21" t="n"/>
      <c r="Q674" s="21" t="n"/>
      <c r="R674" s="21">
        <f>IF($N674="","",$N674*IF($Q674="",1,$Q674)*IF($P674="",1,$P674)*IF($O674="",1,$O674))</f>
        <v/>
      </c>
      <c r="S674" s="22">
        <f>IFERROR(INDEX(CONFIGURACOES!$J$37:$J$300,MATCH($I674,CONFIGURACOES!$B$37:$B$300,0)),"")</f>
        <v/>
      </c>
      <c r="T674" s="22">
        <f>IF(OR($R674="",$S674=""),"",$R674*$S674)</f>
        <v/>
      </c>
      <c r="U674" s="20" t="n"/>
      <c r="V674" s="20" t="n"/>
      <c r="W674" s="20" t="n"/>
      <c r="X674">
        <f>IF($A674="","",$A674&amp;"|"&amp;$C674&amp;"|"&amp;$I674)</f>
        <v/>
      </c>
      <c r="Y674">
        <f>IF(AND($A674=RELATORIO_MEDICAO!$C$5,$C674=RELATORIO_MEDICAO!$F$5,$A674&lt;&gt;""),COUNTIFS($A$3:$A674,RELATORIO_MEDICAO!$C$5,$C$3:$C674,RELATORIO_MEDICAO!$F$5),"")</f>
        <v/>
      </c>
      <c r="Z674">
        <f>IF(OR($A674="",PESQUISA!$C$4=""),0,IF(OR(ISNUMBER(SEARCH(PESQUISA!$C$4,$G674)),ISNUMBER(SEARCH(PESQUISA!$C$4,$K674)),ISNUMBER(SEARCH(PESQUISA!$C$4,$L674))),1,0))</f>
        <v/>
      </c>
      <c r="AA674">
        <f>IF($Z674=1,SUM($Z$3:$Z674),"")</f>
        <v/>
      </c>
      <c r="AB674">
        <f>IF(OR($A674="",PESQUISA!$C$50=""),0,IF(ISNUMBER(SEARCH(PESQUISA!$C$50,$I674)),1,0))</f>
        <v/>
      </c>
      <c r="AC674">
        <f>IF($AB674=1,SUM($AB$3:$AB674),"")</f>
        <v/>
      </c>
    </row>
    <row r="675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>
        <f>IFERROR(INDEX(CONFIGURACOES!$G$37:$G$300,MATCH($I675,CONFIGURACOES!$B$37:$B$300,0)),"")</f>
        <v/>
      </c>
      <c r="K675" s="20">
        <f>IFERROR(INDEX(CONFIGURACOES!$H$37:$H$300,MATCH($I675,CONFIGURACOES!$B$37:$B$300,0)),"")</f>
        <v/>
      </c>
      <c r="L675" s="20" t="n"/>
      <c r="M675" s="20">
        <f>IFERROR(INDEX(CONFIGURACOES!$I$37:$I$300,MATCH($I675,CONFIGURACOES!$B$37:$B$300,0)),"")</f>
        <v/>
      </c>
      <c r="N675" s="21" t="n"/>
      <c r="O675" s="21" t="n"/>
      <c r="P675" s="21" t="n"/>
      <c r="Q675" s="21" t="n"/>
      <c r="R675" s="21">
        <f>IF($N675="","",$N675*IF($Q675="",1,$Q675)*IF($P675="",1,$P675)*IF($O675="",1,$O675))</f>
        <v/>
      </c>
      <c r="S675" s="22">
        <f>IFERROR(INDEX(CONFIGURACOES!$J$37:$J$300,MATCH($I675,CONFIGURACOES!$B$37:$B$300,0)),"")</f>
        <v/>
      </c>
      <c r="T675" s="22">
        <f>IF(OR($R675="",$S675=""),"",$R675*$S675)</f>
        <v/>
      </c>
      <c r="U675" s="20" t="n"/>
      <c r="V675" s="20" t="n"/>
      <c r="W675" s="20" t="n"/>
      <c r="X675">
        <f>IF($A675="","",$A675&amp;"|"&amp;$C675&amp;"|"&amp;$I675)</f>
        <v/>
      </c>
      <c r="Y675">
        <f>IF(AND($A675=RELATORIO_MEDICAO!$C$5,$C675=RELATORIO_MEDICAO!$F$5,$A675&lt;&gt;""),COUNTIFS($A$3:$A675,RELATORIO_MEDICAO!$C$5,$C$3:$C675,RELATORIO_MEDICAO!$F$5),"")</f>
        <v/>
      </c>
      <c r="Z675">
        <f>IF(OR($A675="",PESQUISA!$C$4=""),0,IF(OR(ISNUMBER(SEARCH(PESQUISA!$C$4,$G675)),ISNUMBER(SEARCH(PESQUISA!$C$4,$K675)),ISNUMBER(SEARCH(PESQUISA!$C$4,$L675))),1,0))</f>
        <v/>
      </c>
      <c r="AA675">
        <f>IF($Z675=1,SUM($Z$3:$Z675),"")</f>
        <v/>
      </c>
      <c r="AB675">
        <f>IF(OR($A675="",PESQUISA!$C$50=""),0,IF(ISNUMBER(SEARCH(PESQUISA!$C$50,$I675)),1,0))</f>
        <v/>
      </c>
      <c r="AC675">
        <f>IF($AB675=1,SUM($AB$3:$AB675),"")</f>
        <v/>
      </c>
    </row>
    <row r="676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>
        <f>IFERROR(INDEX(CONFIGURACOES!$G$37:$G$300,MATCH($I676,CONFIGURACOES!$B$37:$B$300,0)),"")</f>
        <v/>
      </c>
      <c r="K676" s="20">
        <f>IFERROR(INDEX(CONFIGURACOES!$H$37:$H$300,MATCH($I676,CONFIGURACOES!$B$37:$B$300,0)),"")</f>
        <v/>
      </c>
      <c r="L676" s="20" t="n"/>
      <c r="M676" s="20">
        <f>IFERROR(INDEX(CONFIGURACOES!$I$37:$I$300,MATCH($I676,CONFIGURACOES!$B$37:$B$300,0)),"")</f>
        <v/>
      </c>
      <c r="N676" s="21" t="n"/>
      <c r="O676" s="21" t="n"/>
      <c r="P676" s="21" t="n"/>
      <c r="Q676" s="21" t="n"/>
      <c r="R676" s="21">
        <f>IF($N676="","",$N676*IF($Q676="",1,$Q676)*IF($P676="",1,$P676)*IF($O676="",1,$O676))</f>
        <v/>
      </c>
      <c r="S676" s="22">
        <f>IFERROR(INDEX(CONFIGURACOES!$J$37:$J$300,MATCH($I676,CONFIGURACOES!$B$37:$B$300,0)),"")</f>
        <v/>
      </c>
      <c r="T676" s="22">
        <f>IF(OR($R676="",$S676=""),"",$R676*$S676)</f>
        <v/>
      </c>
      <c r="U676" s="20" t="n"/>
      <c r="V676" s="20" t="n"/>
      <c r="W676" s="20" t="n"/>
      <c r="X676">
        <f>IF($A676="","",$A676&amp;"|"&amp;$C676&amp;"|"&amp;$I676)</f>
        <v/>
      </c>
      <c r="Y676">
        <f>IF(AND($A676=RELATORIO_MEDICAO!$C$5,$C676=RELATORIO_MEDICAO!$F$5,$A676&lt;&gt;""),COUNTIFS($A$3:$A676,RELATORIO_MEDICAO!$C$5,$C$3:$C676,RELATORIO_MEDICAO!$F$5),"")</f>
        <v/>
      </c>
      <c r="Z676">
        <f>IF(OR($A676="",PESQUISA!$C$4=""),0,IF(OR(ISNUMBER(SEARCH(PESQUISA!$C$4,$G676)),ISNUMBER(SEARCH(PESQUISA!$C$4,$K676)),ISNUMBER(SEARCH(PESQUISA!$C$4,$L676))),1,0))</f>
        <v/>
      </c>
      <c r="AA676">
        <f>IF($Z676=1,SUM($Z$3:$Z676),"")</f>
        <v/>
      </c>
      <c r="AB676">
        <f>IF(OR($A676="",PESQUISA!$C$50=""),0,IF(ISNUMBER(SEARCH(PESQUISA!$C$50,$I676)),1,0))</f>
        <v/>
      </c>
      <c r="AC676">
        <f>IF($AB676=1,SUM($AB$3:$AB676),"")</f>
        <v/>
      </c>
    </row>
    <row r="677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>
        <f>IFERROR(INDEX(CONFIGURACOES!$G$37:$G$300,MATCH($I677,CONFIGURACOES!$B$37:$B$300,0)),"")</f>
        <v/>
      </c>
      <c r="K677" s="20">
        <f>IFERROR(INDEX(CONFIGURACOES!$H$37:$H$300,MATCH($I677,CONFIGURACOES!$B$37:$B$300,0)),"")</f>
        <v/>
      </c>
      <c r="L677" s="20" t="n"/>
      <c r="M677" s="20">
        <f>IFERROR(INDEX(CONFIGURACOES!$I$37:$I$300,MATCH($I677,CONFIGURACOES!$B$37:$B$300,0)),"")</f>
        <v/>
      </c>
      <c r="N677" s="21" t="n"/>
      <c r="O677" s="21" t="n"/>
      <c r="P677" s="21" t="n"/>
      <c r="Q677" s="21" t="n"/>
      <c r="R677" s="21">
        <f>IF($N677="","",$N677*IF($Q677="",1,$Q677)*IF($P677="",1,$P677)*IF($O677="",1,$O677))</f>
        <v/>
      </c>
      <c r="S677" s="22">
        <f>IFERROR(INDEX(CONFIGURACOES!$J$37:$J$300,MATCH($I677,CONFIGURACOES!$B$37:$B$300,0)),"")</f>
        <v/>
      </c>
      <c r="T677" s="22">
        <f>IF(OR($R677="",$S677=""),"",$R677*$S677)</f>
        <v/>
      </c>
      <c r="U677" s="20" t="n"/>
      <c r="V677" s="20" t="n"/>
      <c r="W677" s="20" t="n"/>
      <c r="X677">
        <f>IF($A677="","",$A677&amp;"|"&amp;$C677&amp;"|"&amp;$I677)</f>
        <v/>
      </c>
      <c r="Y677">
        <f>IF(AND($A677=RELATORIO_MEDICAO!$C$5,$C677=RELATORIO_MEDICAO!$F$5,$A677&lt;&gt;""),COUNTIFS($A$3:$A677,RELATORIO_MEDICAO!$C$5,$C$3:$C677,RELATORIO_MEDICAO!$F$5),"")</f>
        <v/>
      </c>
      <c r="Z677">
        <f>IF(OR($A677="",PESQUISA!$C$4=""),0,IF(OR(ISNUMBER(SEARCH(PESQUISA!$C$4,$G677)),ISNUMBER(SEARCH(PESQUISA!$C$4,$K677)),ISNUMBER(SEARCH(PESQUISA!$C$4,$L677))),1,0))</f>
        <v/>
      </c>
      <c r="AA677">
        <f>IF($Z677=1,SUM($Z$3:$Z677),"")</f>
        <v/>
      </c>
      <c r="AB677">
        <f>IF(OR($A677="",PESQUISA!$C$50=""),0,IF(ISNUMBER(SEARCH(PESQUISA!$C$50,$I677)),1,0))</f>
        <v/>
      </c>
      <c r="AC677">
        <f>IF($AB677=1,SUM($AB$3:$AB677),"")</f>
        <v/>
      </c>
    </row>
    <row r="67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>
        <f>IFERROR(INDEX(CONFIGURACOES!$G$37:$G$300,MATCH($I678,CONFIGURACOES!$B$37:$B$300,0)),"")</f>
        <v/>
      </c>
      <c r="K678" s="20">
        <f>IFERROR(INDEX(CONFIGURACOES!$H$37:$H$300,MATCH($I678,CONFIGURACOES!$B$37:$B$300,0)),"")</f>
        <v/>
      </c>
      <c r="L678" s="20" t="n"/>
      <c r="M678" s="20">
        <f>IFERROR(INDEX(CONFIGURACOES!$I$37:$I$300,MATCH($I678,CONFIGURACOES!$B$37:$B$300,0)),"")</f>
        <v/>
      </c>
      <c r="N678" s="21" t="n"/>
      <c r="O678" s="21" t="n"/>
      <c r="P678" s="21" t="n"/>
      <c r="Q678" s="21" t="n"/>
      <c r="R678" s="21">
        <f>IF($N678="","",$N678*IF($Q678="",1,$Q678)*IF($P678="",1,$P678)*IF($O678="",1,$O678))</f>
        <v/>
      </c>
      <c r="S678" s="22">
        <f>IFERROR(INDEX(CONFIGURACOES!$J$37:$J$300,MATCH($I678,CONFIGURACOES!$B$37:$B$300,0)),"")</f>
        <v/>
      </c>
      <c r="T678" s="22">
        <f>IF(OR($R678="",$S678=""),"",$R678*$S678)</f>
        <v/>
      </c>
      <c r="U678" s="20" t="n"/>
      <c r="V678" s="20" t="n"/>
      <c r="W678" s="20" t="n"/>
      <c r="X678">
        <f>IF($A678="","",$A678&amp;"|"&amp;$C678&amp;"|"&amp;$I678)</f>
        <v/>
      </c>
      <c r="Y678">
        <f>IF(AND($A678=RELATORIO_MEDICAO!$C$5,$C678=RELATORIO_MEDICAO!$F$5,$A678&lt;&gt;""),COUNTIFS($A$3:$A678,RELATORIO_MEDICAO!$C$5,$C$3:$C678,RELATORIO_MEDICAO!$F$5),"")</f>
        <v/>
      </c>
      <c r="Z678">
        <f>IF(OR($A678="",PESQUISA!$C$4=""),0,IF(OR(ISNUMBER(SEARCH(PESQUISA!$C$4,$G678)),ISNUMBER(SEARCH(PESQUISA!$C$4,$K678)),ISNUMBER(SEARCH(PESQUISA!$C$4,$L678))),1,0))</f>
        <v/>
      </c>
      <c r="AA678">
        <f>IF($Z678=1,SUM($Z$3:$Z678),"")</f>
        <v/>
      </c>
      <c r="AB678">
        <f>IF(OR($A678="",PESQUISA!$C$50=""),0,IF(ISNUMBER(SEARCH(PESQUISA!$C$50,$I678)),1,0))</f>
        <v/>
      </c>
      <c r="AC678">
        <f>IF($AB678=1,SUM($AB$3:$AB678),"")</f>
        <v/>
      </c>
    </row>
    <row r="679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>
        <f>IFERROR(INDEX(CONFIGURACOES!$G$37:$G$300,MATCH($I679,CONFIGURACOES!$B$37:$B$300,0)),"")</f>
        <v/>
      </c>
      <c r="K679" s="20">
        <f>IFERROR(INDEX(CONFIGURACOES!$H$37:$H$300,MATCH($I679,CONFIGURACOES!$B$37:$B$300,0)),"")</f>
        <v/>
      </c>
      <c r="L679" s="20" t="n"/>
      <c r="M679" s="20">
        <f>IFERROR(INDEX(CONFIGURACOES!$I$37:$I$300,MATCH($I679,CONFIGURACOES!$B$37:$B$300,0)),"")</f>
        <v/>
      </c>
      <c r="N679" s="21" t="n"/>
      <c r="O679" s="21" t="n"/>
      <c r="P679" s="21" t="n"/>
      <c r="Q679" s="21" t="n"/>
      <c r="R679" s="21">
        <f>IF($N679="","",$N679*IF($Q679="",1,$Q679)*IF($P679="",1,$P679)*IF($O679="",1,$O679))</f>
        <v/>
      </c>
      <c r="S679" s="22">
        <f>IFERROR(INDEX(CONFIGURACOES!$J$37:$J$300,MATCH($I679,CONFIGURACOES!$B$37:$B$300,0)),"")</f>
        <v/>
      </c>
      <c r="T679" s="22">
        <f>IF(OR($R679="",$S679=""),"",$R679*$S679)</f>
        <v/>
      </c>
      <c r="U679" s="20" t="n"/>
      <c r="V679" s="20" t="n"/>
      <c r="W679" s="20" t="n"/>
      <c r="X679">
        <f>IF($A679="","",$A679&amp;"|"&amp;$C679&amp;"|"&amp;$I679)</f>
        <v/>
      </c>
      <c r="Y679">
        <f>IF(AND($A679=RELATORIO_MEDICAO!$C$5,$C679=RELATORIO_MEDICAO!$F$5,$A679&lt;&gt;""),COUNTIFS($A$3:$A679,RELATORIO_MEDICAO!$C$5,$C$3:$C679,RELATORIO_MEDICAO!$F$5),"")</f>
        <v/>
      </c>
      <c r="Z679">
        <f>IF(OR($A679="",PESQUISA!$C$4=""),0,IF(OR(ISNUMBER(SEARCH(PESQUISA!$C$4,$G679)),ISNUMBER(SEARCH(PESQUISA!$C$4,$K679)),ISNUMBER(SEARCH(PESQUISA!$C$4,$L679))),1,0))</f>
        <v/>
      </c>
      <c r="AA679">
        <f>IF($Z679=1,SUM($Z$3:$Z679),"")</f>
        <v/>
      </c>
      <c r="AB679">
        <f>IF(OR($A679="",PESQUISA!$C$50=""),0,IF(ISNUMBER(SEARCH(PESQUISA!$C$50,$I679)),1,0))</f>
        <v/>
      </c>
      <c r="AC679">
        <f>IF($AB679=1,SUM($AB$3:$AB679),"")</f>
        <v/>
      </c>
    </row>
    <row r="680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>
        <f>IFERROR(INDEX(CONFIGURACOES!$G$37:$G$300,MATCH($I680,CONFIGURACOES!$B$37:$B$300,0)),"")</f>
        <v/>
      </c>
      <c r="K680" s="20">
        <f>IFERROR(INDEX(CONFIGURACOES!$H$37:$H$300,MATCH($I680,CONFIGURACOES!$B$37:$B$300,0)),"")</f>
        <v/>
      </c>
      <c r="L680" s="20" t="n"/>
      <c r="M680" s="20">
        <f>IFERROR(INDEX(CONFIGURACOES!$I$37:$I$300,MATCH($I680,CONFIGURACOES!$B$37:$B$300,0)),"")</f>
        <v/>
      </c>
      <c r="N680" s="21" t="n"/>
      <c r="O680" s="21" t="n"/>
      <c r="P680" s="21" t="n"/>
      <c r="Q680" s="21" t="n"/>
      <c r="R680" s="21">
        <f>IF($N680="","",$N680*IF($Q680="",1,$Q680)*IF($P680="",1,$P680)*IF($O680="",1,$O680))</f>
        <v/>
      </c>
      <c r="S680" s="22">
        <f>IFERROR(INDEX(CONFIGURACOES!$J$37:$J$300,MATCH($I680,CONFIGURACOES!$B$37:$B$300,0)),"")</f>
        <v/>
      </c>
      <c r="T680" s="22">
        <f>IF(OR($R680="",$S680=""),"",$R680*$S680)</f>
        <v/>
      </c>
      <c r="U680" s="20" t="n"/>
      <c r="V680" s="20" t="n"/>
      <c r="W680" s="20" t="n"/>
      <c r="X680">
        <f>IF($A680="","",$A680&amp;"|"&amp;$C680&amp;"|"&amp;$I680)</f>
        <v/>
      </c>
      <c r="Y680">
        <f>IF(AND($A680=RELATORIO_MEDICAO!$C$5,$C680=RELATORIO_MEDICAO!$F$5,$A680&lt;&gt;""),COUNTIFS($A$3:$A680,RELATORIO_MEDICAO!$C$5,$C$3:$C680,RELATORIO_MEDICAO!$F$5),"")</f>
        <v/>
      </c>
      <c r="Z680">
        <f>IF(OR($A680="",PESQUISA!$C$4=""),0,IF(OR(ISNUMBER(SEARCH(PESQUISA!$C$4,$G680)),ISNUMBER(SEARCH(PESQUISA!$C$4,$K680)),ISNUMBER(SEARCH(PESQUISA!$C$4,$L680))),1,0))</f>
        <v/>
      </c>
      <c r="AA680">
        <f>IF($Z680=1,SUM($Z$3:$Z680),"")</f>
        <v/>
      </c>
      <c r="AB680">
        <f>IF(OR($A680="",PESQUISA!$C$50=""),0,IF(ISNUMBER(SEARCH(PESQUISA!$C$50,$I680)),1,0))</f>
        <v/>
      </c>
      <c r="AC680">
        <f>IF($AB680=1,SUM($AB$3:$AB680),"")</f>
        <v/>
      </c>
    </row>
    <row r="681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>
        <f>IFERROR(INDEX(CONFIGURACOES!$G$37:$G$300,MATCH($I681,CONFIGURACOES!$B$37:$B$300,0)),"")</f>
        <v/>
      </c>
      <c r="K681" s="20">
        <f>IFERROR(INDEX(CONFIGURACOES!$H$37:$H$300,MATCH($I681,CONFIGURACOES!$B$37:$B$300,0)),"")</f>
        <v/>
      </c>
      <c r="L681" s="20" t="n"/>
      <c r="M681" s="20">
        <f>IFERROR(INDEX(CONFIGURACOES!$I$37:$I$300,MATCH($I681,CONFIGURACOES!$B$37:$B$300,0)),"")</f>
        <v/>
      </c>
      <c r="N681" s="21" t="n"/>
      <c r="O681" s="21" t="n"/>
      <c r="P681" s="21" t="n"/>
      <c r="Q681" s="21" t="n"/>
      <c r="R681" s="21">
        <f>IF($N681="","",$N681*IF($Q681="",1,$Q681)*IF($P681="",1,$P681)*IF($O681="",1,$O681))</f>
        <v/>
      </c>
      <c r="S681" s="22">
        <f>IFERROR(INDEX(CONFIGURACOES!$J$37:$J$300,MATCH($I681,CONFIGURACOES!$B$37:$B$300,0)),"")</f>
        <v/>
      </c>
      <c r="T681" s="22">
        <f>IF(OR($R681="",$S681=""),"",$R681*$S681)</f>
        <v/>
      </c>
      <c r="U681" s="20" t="n"/>
      <c r="V681" s="20" t="n"/>
      <c r="W681" s="20" t="n"/>
      <c r="X681">
        <f>IF($A681="","",$A681&amp;"|"&amp;$C681&amp;"|"&amp;$I681)</f>
        <v/>
      </c>
      <c r="Y681">
        <f>IF(AND($A681=RELATORIO_MEDICAO!$C$5,$C681=RELATORIO_MEDICAO!$F$5,$A681&lt;&gt;""),COUNTIFS($A$3:$A681,RELATORIO_MEDICAO!$C$5,$C$3:$C681,RELATORIO_MEDICAO!$F$5),"")</f>
        <v/>
      </c>
      <c r="Z681">
        <f>IF(OR($A681="",PESQUISA!$C$4=""),0,IF(OR(ISNUMBER(SEARCH(PESQUISA!$C$4,$G681)),ISNUMBER(SEARCH(PESQUISA!$C$4,$K681)),ISNUMBER(SEARCH(PESQUISA!$C$4,$L681))),1,0))</f>
        <v/>
      </c>
      <c r="AA681">
        <f>IF($Z681=1,SUM($Z$3:$Z681),"")</f>
        <v/>
      </c>
      <c r="AB681">
        <f>IF(OR($A681="",PESQUISA!$C$50=""),0,IF(ISNUMBER(SEARCH(PESQUISA!$C$50,$I681)),1,0))</f>
        <v/>
      </c>
      <c r="AC681">
        <f>IF($AB681=1,SUM($AB$3:$AB681),"")</f>
        <v/>
      </c>
    </row>
    <row r="682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>
        <f>IFERROR(INDEX(CONFIGURACOES!$G$37:$G$300,MATCH($I682,CONFIGURACOES!$B$37:$B$300,0)),"")</f>
        <v/>
      </c>
      <c r="K682" s="20">
        <f>IFERROR(INDEX(CONFIGURACOES!$H$37:$H$300,MATCH($I682,CONFIGURACOES!$B$37:$B$300,0)),"")</f>
        <v/>
      </c>
      <c r="L682" s="20" t="n"/>
      <c r="M682" s="20">
        <f>IFERROR(INDEX(CONFIGURACOES!$I$37:$I$300,MATCH($I682,CONFIGURACOES!$B$37:$B$300,0)),"")</f>
        <v/>
      </c>
      <c r="N682" s="21" t="n"/>
      <c r="O682" s="21" t="n"/>
      <c r="P682" s="21" t="n"/>
      <c r="Q682" s="21" t="n"/>
      <c r="R682" s="21">
        <f>IF($N682="","",$N682*IF($Q682="",1,$Q682)*IF($P682="",1,$P682)*IF($O682="",1,$O682))</f>
        <v/>
      </c>
      <c r="S682" s="22">
        <f>IFERROR(INDEX(CONFIGURACOES!$J$37:$J$300,MATCH($I682,CONFIGURACOES!$B$37:$B$300,0)),"")</f>
        <v/>
      </c>
      <c r="T682" s="22">
        <f>IF(OR($R682="",$S682=""),"",$R682*$S682)</f>
        <v/>
      </c>
      <c r="U682" s="20" t="n"/>
      <c r="V682" s="20" t="n"/>
      <c r="W682" s="20" t="n"/>
      <c r="X682">
        <f>IF($A682="","",$A682&amp;"|"&amp;$C682&amp;"|"&amp;$I682)</f>
        <v/>
      </c>
      <c r="Y682">
        <f>IF(AND($A682=RELATORIO_MEDICAO!$C$5,$C682=RELATORIO_MEDICAO!$F$5,$A682&lt;&gt;""),COUNTIFS($A$3:$A682,RELATORIO_MEDICAO!$C$5,$C$3:$C682,RELATORIO_MEDICAO!$F$5),"")</f>
        <v/>
      </c>
      <c r="Z682">
        <f>IF(OR($A682="",PESQUISA!$C$4=""),0,IF(OR(ISNUMBER(SEARCH(PESQUISA!$C$4,$G682)),ISNUMBER(SEARCH(PESQUISA!$C$4,$K682)),ISNUMBER(SEARCH(PESQUISA!$C$4,$L682))),1,0))</f>
        <v/>
      </c>
      <c r="AA682">
        <f>IF($Z682=1,SUM($Z$3:$Z682),"")</f>
        <v/>
      </c>
      <c r="AB682">
        <f>IF(OR($A682="",PESQUISA!$C$50=""),0,IF(ISNUMBER(SEARCH(PESQUISA!$C$50,$I682)),1,0))</f>
        <v/>
      </c>
      <c r="AC682">
        <f>IF($AB682=1,SUM($AB$3:$AB682),"")</f>
        <v/>
      </c>
    </row>
    <row r="683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>
        <f>IFERROR(INDEX(CONFIGURACOES!$G$37:$G$300,MATCH($I683,CONFIGURACOES!$B$37:$B$300,0)),"")</f>
        <v/>
      </c>
      <c r="K683" s="20">
        <f>IFERROR(INDEX(CONFIGURACOES!$H$37:$H$300,MATCH($I683,CONFIGURACOES!$B$37:$B$300,0)),"")</f>
        <v/>
      </c>
      <c r="L683" s="20" t="n"/>
      <c r="M683" s="20">
        <f>IFERROR(INDEX(CONFIGURACOES!$I$37:$I$300,MATCH($I683,CONFIGURACOES!$B$37:$B$300,0)),"")</f>
        <v/>
      </c>
      <c r="N683" s="21" t="n"/>
      <c r="O683" s="21" t="n"/>
      <c r="P683" s="21" t="n"/>
      <c r="Q683" s="21" t="n"/>
      <c r="R683" s="21">
        <f>IF($N683="","",$N683*IF($Q683="",1,$Q683)*IF($P683="",1,$P683)*IF($O683="",1,$O683))</f>
        <v/>
      </c>
      <c r="S683" s="22">
        <f>IFERROR(INDEX(CONFIGURACOES!$J$37:$J$300,MATCH($I683,CONFIGURACOES!$B$37:$B$300,0)),"")</f>
        <v/>
      </c>
      <c r="T683" s="22">
        <f>IF(OR($R683="",$S683=""),"",$R683*$S683)</f>
        <v/>
      </c>
      <c r="U683" s="20" t="n"/>
      <c r="V683" s="20" t="n"/>
      <c r="W683" s="20" t="n"/>
      <c r="X683">
        <f>IF($A683="","",$A683&amp;"|"&amp;$C683&amp;"|"&amp;$I683)</f>
        <v/>
      </c>
      <c r="Y683">
        <f>IF(AND($A683=RELATORIO_MEDICAO!$C$5,$C683=RELATORIO_MEDICAO!$F$5,$A683&lt;&gt;""),COUNTIFS($A$3:$A683,RELATORIO_MEDICAO!$C$5,$C$3:$C683,RELATORIO_MEDICAO!$F$5),"")</f>
        <v/>
      </c>
      <c r="Z683">
        <f>IF(OR($A683="",PESQUISA!$C$4=""),0,IF(OR(ISNUMBER(SEARCH(PESQUISA!$C$4,$G683)),ISNUMBER(SEARCH(PESQUISA!$C$4,$K683)),ISNUMBER(SEARCH(PESQUISA!$C$4,$L683))),1,0))</f>
        <v/>
      </c>
      <c r="AA683">
        <f>IF($Z683=1,SUM($Z$3:$Z683),"")</f>
        <v/>
      </c>
      <c r="AB683">
        <f>IF(OR($A683="",PESQUISA!$C$50=""),0,IF(ISNUMBER(SEARCH(PESQUISA!$C$50,$I683)),1,0))</f>
        <v/>
      </c>
      <c r="AC683">
        <f>IF($AB683=1,SUM($AB$3:$AB683),"")</f>
        <v/>
      </c>
    </row>
    <row r="684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>
        <f>IFERROR(INDEX(CONFIGURACOES!$G$37:$G$300,MATCH($I684,CONFIGURACOES!$B$37:$B$300,0)),"")</f>
        <v/>
      </c>
      <c r="K684" s="20">
        <f>IFERROR(INDEX(CONFIGURACOES!$H$37:$H$300,MATCH($I684,CONFIGURACOES!$B$37:$B$300,0)),"")</f>
        <v/>
      </c>
      <c r="L684" s="20" t="n"/>
      <c r="M684" s="20">
        <f>IFERROR(INDEX(CONFIGURACOES!$I$37:$I$300,MATCH($I684,CONFIGURACOES!$B$37:$B$300,0)),"")</f>
        <v/>
      </c>
      <c r="N684" s="21" t="n"/>
      <c r="O684" s="21" t="n"/>
      <c r="P684" s="21" t="n"/>
      <c r="Q684" s="21" t="n"/>
      <c r="R684" s="21">
        <f>IF($N684="","",$N684*IF($Q684="",1,$Q684)*IF($P684="",1,$P684)*IF($O684="",1,$O684))</f>
        <v/>
      </c>
      <c r="S684" s="22">
        <f>IFERROR(INDEX(CONFIGURACOES!$J$37:$J$300,MATCH($I684,CONFIGURACOES!$B$37:$B$300,0)),"")</f>
        <v/>
      </c>
      <c r="T684" s="22">
        <f>IF(OR($R684="",$S684=""),"",$R684*$S684)</f>
        <v/>
      </c>
      <c r="U684" s="20" t="n"/>
      <c r="V684" s="20" t="n"/>
      <c r="W684" s="20" t="n"/>
      <c r="X684">
        <f>IF($A684="","",$A684&amp;"|"&amp;$C684&amp;"|"&amp;$I684)</f>
        <v/>
      </c>
      <c r="Y684">
        <f>IF(AND($A684=RELATORIO_MEDICAO!$C$5,$C684=RELATORIO_MEDICAO!$F$5,$A684&lt;&gt;""),COUNTIFS($A$3:$A684,RELATORIO_MEDICAO!$C$5,$C$3:$C684,RELATORIO_MEDICAO!$F$5),"")</f>
        <v/>
      </c>
      <c r="Z684">
        <f>IF(OR($A684="",PESQUISA!$C$4=""),0,IF(OR(ISNUMBER(SEARCH(PESQUISA!$C$4,$G684)),ISNUMBER(SEARCH(PESQUISA!$C$4,$K684)),ISNUMBER(SEARCH(PESQUISA!$C$4,$L684))),1,0))</f>
        <v/>
      </c>
      <c r="AA684">
        <f>IF($Z684=1,SUM($Z$3:$Z684),"")</f>
        <v/>
      </c>
      <c r="AB684">
        <f>IF(OR($A684="",PESQUISA!$C$50=""),0,IF(ISNUMBER(SEARCH(PESQUISA!$C$50,$I684)),1,0))</f>
        <v/>
      </c>
      <c r="AC684">
        <f>IF($AB684=1,SUM($AB$3:$AB684),"")</f>
        <v/>
      </c>
    </row>
    <row r="685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>
        <f>IFERROR(INDEX(CONFIGURACOES!$G$37:$G$300,MATCH($I685,CONFIGURACOES!$B$37:$B$300,0)),"")</f>
        <v/>
      </c>
      <c r="K685" s="20">
        <f>IFERROR(INDEX(CONFIGURACOES!$H$37:$H$300,MATCH($I685,CONFIGURACOES!$B$37:$B$300,0)),"")</f>
        <v/>
      </c>
      <c r="L685" s="20" t="n"/>
      <c r="M685" s="20">
        <f>IFERROR(INDEX(CONFIGURACOES!$I$37:$I$300,MATCH($I685,CONFIGURACOES!$B$37:$B$300,0)),"")</f>
        <v/>
      </c>
      <c r="N685" s="21" t="n"/>
      <c r="O685" s="21" t="n"/>
      <c r="P685" s="21" t="n"/>
      <c r="Q685" s="21" t="n"/>
      <c r="R685" s="21">
        <f>IF($N685="","",$N685*IF($Q685="",1,$Q685)*IF($P685="",1,$P685)*IF($O685="",1,$O685))</f>
        <v/>
      </c>
      <c r="S685" s="22">
        <f>IFERROR(INDEX(CONFIGURACOES!$J$37:$J$300,MATCH($I685,CONFIGURACOES!$B$37:$B$300,0)),"")</f>
        <v/>
      </c>
      <c r="T685" s="22">
        <f>IF(OR($R685="",$S685=""),"",$R685*$S685)</f>
        <v/>
      </c>
      <c r="U685" s="20" t="n"/>
      <c r="V685" s="20" t="n"/>
      <c r="W685" s="20" t="n"/>
      <c r="X685">
        <f>IF($A685="","",$A685&amp;"|"&amp;$C685&amp;"|"&amp;$I685)</f>
        <v/>
      </c>
      <c r="Y685">
        <f>IF(AND($A685=RELATORIO_MEDICAO!$C$5,$C685=RELATORIO_MEDICAO!$F$5,$A685&lt;&gt;""),COUNTIFS($A$3:$A685,RELATORIO_MEDICAO!$C$5,$C$3:$C685,RELATORIO_MEDICAO!$F$5),"")</f>
        <v/>
      </c>
      <c r="Z685">
        <f>IF(OR($A685="",PESQUISA!$C$4=""),0,IF(OR(ISNUMBER(SEARCH(PESQUISA!$C$4,$G685)),ISNUMBER(SEARCH(PESQUISA!$C$4,$K685)),ISNUMBER(SEARCH(PESQUISA!$C$4,$L685))),1,0))</f>
        <v/>
      </c>
      <c r="AA685">
        <f>IF($Z685=1,SUM($Z$3:$Z685),"")</f>
        <v/>
      </c>
      <c r="AB685">
        <f>IF(OR($A685="",PESQUISA!$C$50=""),0,IF(ISNUMBER(SEARCH(PESQUISA!$C$50,$I685)),1,0))</f>
        <v/>
      </c>
      <c r="AC685">
        <f>IF($AB685=1,SUM($AB$3:$AB685),"")</f>
        <v/>
      </c>
    </row>
    <row r="686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>
        <f>IFERROR(INDEX(CONFIGURACOES!$G$37:$G$300,MATCH($I686,CONFIGURACOES!$B$37:$B$300,0)),"")</f>
        <v/>
      </c>
      <c r="K686" s="20">
        <f>IFERROR(INDEX(CONFIGURACOES!$H$37:$H$300,MATCH($I686,CONFIGURACOES!$B$37:$B$300,0)),"")</f>
        <v/>
      </c>
      <c r="L686" s="20" t="n"/>
      <c r="M686" s="20">
        <f>IFERROR(INDEX(CONFIGURACOES!$I$37:$I$300,MATCH($I686,CONFIGURACOES!$B$37:$B$300,0)),"")</f>
        <v/>
      </c>
      <c r="N686" s="21" t="n"/>
      <c r="O686" s="21" t="n"/>
      <c r="P686" s="21" t="n"/>
      <c r="Q686" s="21" t="n"/>
      <c r="R686" s="21">
        <f>IF($N686="","",$N686*IF($Q686="",1,$Q686)*IF($P686="",1,$P686)*IF($O686="",1,$O686))</f>
        <v/>
      </c>
      <c r="S686" s="22">
        <f>IFERROR(INDEX(CONFIGURACOES!$J$37:$J$300,MATCH($I686,CONFIGURACOES!$B$37:$B$300,0)),"")</f>
        <v/>
      </c>
      <c r="T686" s="22">
        <f>IF(OR($R686="",$S686=""),"",$R686*$S686)</f>
        <v/>
      </c>
      <c r="U686" s="20" t="n"/>
      <c r="V686" s="20" t="n"/>
      <c r="W686" s="20" t="n"/>
      <c r="X686">
        <f>IF($A686="","",$A686&amp;"|"&amp;$C686&amp;"|"&amp;$I686)</f>
        <v/>
      </c>
      <c r="Y686">
        <f>IF(AND($A686=RELATORIO_MEDICAO!$C$5,$C686=RELATORIO_MEDICAO!$F$5,$A686&lt;&gt;""),COUNTIFS($A$3:$A686,RELATORIO_MEDICAO!$C$5,$C$3:$C686,RELATORIO_MEDICAO!$F$5),"")</f>
        <v/>
      </c>
      <c r="Z686">
        <f>IF(OR($A686="",PESQUISA!$C$4=""),0,IF(OR(ISNUMBER(SEARCH(PESQUISA!$C$4,$G686)),ISNUMBER(SEARCH(PESQUISA!$C$4,$K686)),ISNUMBER(SEARCH(PESQUISA!$C$4,$L686))),1,0))</f>
        <v/>
      </c>
      <c r="AA686">
        <f>IF($Z686=1,SUM($Z$3:$Z686),"")</f>
        <v/>
      </c>
      <c r="AB686">
        <f>IF(OR($A686="",PESQUISA!$C$50=""),0,IF(ISNUMBER(SEARCH(PESQUISA!$C$50,$I686)),1,0))</f>
        <v/>
      </c>
      <c r="AC686">
        <f>IF($AB686=1,SUM($AB$3:$AB686),"")</f>
        <v/>
      </c>
    </row>
    <row r="687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>
        <f>IFERROR(INDEX(CONFIGURACOES!$G$37:$G$300,MATCH($I687,CONFIGURACOES!$B$37:$B$300,0)),"")</f>
        <v/>
      </c>
      <c r="K687" s="20">
        <f>IFERROR(INDEX(CONFIGURACOES!$H$37:$H$300,MATCH($I687,CONFIGURACOES!$B$37:$B$300,0)),"")</f>
        <v/>
      </c>
      <c r="L687" s="20" t="n"/>
      <c r="M687" s="20">
        <f>IFERROR(INDEX(CONFIGURACOES!$I$37:$I$300,MATCH($I687,CONFIGURACOES!$B$37:$B$300,0)),"")</f>
        <v/>
      </c>
      <c r="N687" s="21" t="n"/>
      <c r="O687" s="21" t="n"/>
      <c r="P687" s="21" t="n"/>
      <c r="Q687" s="21" t="n"/>
      <c r="R687" s="21">
        <f>IF($N687="","",$N687*IF($Q687="",1,$Q687)*IF($P687="",1,$P687)*IF($O687="",1,$O687))</f>
        <v/>
      </c>
      <c r="S687" s="22">
        <f>IFERROR(INDEX(CONFIGURACOES!$J$37:$J$300,MATCH($I687,CONFIGURACOES!$B$37:$B$300,0)),"")</f>
        <v/>
      </c>
      <c r="T687" s="22">
        <f>IF(OR($R687="",$S687=""),"",$R687*$S687)</f>
        <v/>
      </c>
      <c r="U687" s="20" t="n"/>
      <c r="V687" s="20" t="n"/>
      <c r="W687" s="20" t="n"/>
      <c r="X687">
        <f>IF($A687="","",$A687&amp;"|"&amp;$C687&amp;"|"&amp;$I687)</f>
        <v/>
      </c>
      <c r="Y687">
        <f>IF(AND($A687=RELATORIO_MEDICAO!$C$5,$C687=RELATORIO_MEDICAO!$F$5,$A687&lt;&gt;""),COUNTIFS($A$3:$A687,RELATORIO_MEDICAO!$C$5,$C$3:$C687,RELATORIO_MEDICAO!$F$5),"")</f>
        <v/>
      </c>
      <c r="Z687">
        <f>IF(OR($A687="",PESQUISA!$C$4=""),0,IF(OR(ISNUMBER(SEARCH(PESQUISA!$C$4,$G687)),ISNUMBER(SEARCH(PESQUISA!$C$4,$K687)),ISNUMBER(SEARCH(PESQUISA!$C$4,$L687))),1,0))</f>
        <v/>
      </c>
      <c r="AA687">
        <f>IF($Z687=1,SUM($Z$3:$Z687),"")</f>
        <v/>
      </c>
      <c r="AB687">
        <f>IF(OR($A687="",PESQUISA!$C$50=""),0,IF(ISNUMBER(SEARCH(PESQUISA!$C$50,$I687)),1,0))</f>
        <v/>
      </c>
      <c r="AC687">
        <f>IF($AB687=1,SUM($AB$3:$AB687),"")</f>
        <v/>
      </c>
    </row>
    <row r="688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>
        <f>IFERROR(INDEX(CONFIGURACOES!$G$37:$G$300,MATCH($I688,CONFIGURACOES!$B$37:$B$300,0)),"")</f>
        <v/>
      </c>
      <c r="K688" s="20">
        <f>IFERROR(INDEX(CONFIGURACOES!$H$37:$H$300,MATCH($I688,CONFIGURACOES!$B$37:$B$300,0)),"")</f>
        <v/>
      </c>
      <c r="L688" s="20" t="n"/>
      <c r="M688" s="20">
        <f>IFERROR(INDEX(CONFIGURACOES!$I$37:$I$300,MATCH($I688,CONFIGURACOES!$B$37:$B$300,0)),"")</f>
        <v/>
      </c>
      <c r="N688" s="21" t="n"/>
      <c r="O688" s="21" t="n"/>
      <c r="P688" s="21" t="n"/>
      <c r="Q688" s="21" t="n"/>
      <c r="R688" s="21">
        <f>IF($N688="","",$N688*IF($Q688="",1,$Q688)*IF($P688="",1,$P688)*IF($O688="",1,$O688))</f>
        <v/>
      </c>
      <c r="S688" s="22">
        <f>IFERROR(INDEX(CONFIGURACOES!$J$37:$J$300,MATCH($I688,CONFIGURACOES!$B$37:$B$300,0)),"")</f>
        <v/>
      </c>
      <c r="T688" s="22">
        <f>IF(OR($R688="",$S688=""),"",$R688*$S688)</f>
        <v/>
      </c>
      <c r="U688" s="20" t="n"/>
      <c r="V688" s="20" t="n"/>
      <c r="W688" s="20" t="n"/>
      <c r="X688">
        <f>IF($A688="","",$A688&amp;"|"&amp;$C688&amp;"|"&amp;$I688)</f>
        <v/>
      </c>
      <c r="Y688">
        <f>IF(AND($A688=RELATORIO_MEDICAO!$C$5,$C688=RELATORIO_MEDICAO!$F$5,$A688&lt;&gt;""),COUNTIFS($A$3:$A688,RELATORIO_MEDICAO!$C$5,$C$3:$C688,RELATORIO_MEDICAO!$F$5),"")</f>
        <v/>
      </c>
      <c r="Z688">
        <f>IF(OR($A688="",PESQUISA!$C$4=""),0,IF(OR(ISNUMBER(SEARCH(PESQUISA!$C$4,$G688)),ISNUMBER(SEARCH(PESQUISA!$C$4,$K688)),ISNUMBER(SEARCH(PESQUISA!$C$4,$L688))),1,0))</f>
        <v/>
      </c>
      <c r="AA688">
        <f>IF($Z688=1,SUM($Z$3:$Z688),"")</f>
        <v/>
      </c>
      <c r="AB688">
        <f>IF(OR($A688="",PESQUISA!$C$50=""),0,IF(ISNUMBER(SEARCH(PESQUISA!$C$50,$I688)),1,0))</f>
        <v/>
      </c>
      <c r="AC688">
        <f>IF($AB688=1,SUM($AB$3:$AB688),"")</f>
        <v/>
      </c>
    </row>
    <row r="689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>
        <f>IFERROR(INDEX(CONFIGURACOES!$G$37:$G$300,MATCH($I689,CONFIGURACOES!$B$37:$B$300,0)),"")</f>
        <v/>
      </c>
      <c r="K689" s="20">
        <f>IFERROR(INDEX(CONFIGURACOES!$H$37:$H$300,MATCH($I689,CONFIGURACOES!$B$37:$B$300,0)),"")</f>
        <v/>
      </c>
      <c r="L689" s="20" t="n"/>
      <c r="M689" s="20">
        <f>IFERROR(INDEX(CONFIGURACOES!$I$37:$I$300,MATCH($I689,CONFIGURACOES!$B$37:$B$300,0)),"")</f>
        <v/>
      </c>
      <c r="N689" s="21" t="n"/>
      <c r="O689" s="21" t="n"/>
      <c r="P689" s="21" t="n"/>
      <c r="Q689" s="21" t="n"/>
      <c r="R689" s="21">
        <f>IF($N689="","",$N689*IF($Q689="",1,$Q689)*IF($P689="",1,$P689)*IF($O689="",1,$O689))</f>
        <v/>
      </c>
      <c r="S689" s="22">
        <f>IFERROR(INDEX(CONFIGURACOES!$J$37:$J$300,MATCH($I689,CONFIGURACOES!$B$37:$B$300,0)),"")</f>
        <v/>
      </c>
      <c r="T689" s="22">
        <f>IF(OR($R689="",$S689=""),"",$R689*$S689)</f>
        <v/>
      </c>
      <c r="U689" s="20" t="n"/>
      <c r="V689" s="20" t="n"/>
      <c r="W689" s="20" t="n"/>
      <c r="X689">
        <f>IF($A689="","",$A689&amp;"|"&amp;$C689&amp;"|"&amp;$I689)</f>
        <v/>
      </c>
      <c r="Y689">
        <f>IF(AND($A689=RELATORIO_MEDICAO!$C$5,$C689=RELATORIO_MEDICAO!$F$5,$A689&lt;&gt;""),COUNTIFS($A$3:$A689,RELATORIO_MEDICAO!$C$5,$C$3:$C689,RELATORIO_MEDICAO!$F$5),"")</f>
        <v/>
      </c>
      <c r="Z689">
        <f>IF(OR($A689="",PESQUISA!$C$4=""),0,IF(OR(ISNUMBER(SEARCH(PESQUISA!$C$4,$G689)),ISNUMBER(SEARCH(PESQUISA!$C$4,$K689)),ISNUMBER(SEARCH(PESQUISA!$C$4,$L689))),1,0))</f>
        <v/>
      </c>
      <c r="AA689">
        <f>IF($Z689=1,SUM($Z$3:$Z689),"")</f>
        <v/>
      </c>
      <c r="AB689">
        <f>IF(OR($A689="",PESQUISA!$C$50=""),0,IF(ISNUMBER(SEARCH(PESQUISA!$C$50,$I689)),1,0))</f>
        <v/>
      </c>
      <c r="AC689">
        <f>IF($AB689=1,SUM($AB$3:$AB689),"")</f>
        <v/>
      </c>
    </row>
    <row r="690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>
        <f>IFERROR(INDEX(CONFIGURACOES!$G$37:$G$300,MATCH($I690,CONFIGURACOES!$B$37:$B$300,0)),"")</f>
        <v/>
      </c>
      <c r="K690" s="20">
        <f>IFERROR(INDEX(CONFIGURACOES!$H$37:$H$300,MATCH($I690,CONFIGURACOES!$B$37:$B$300,0)),"")</f>
        <v/>
      </c>
      <c r="L690" s="20" t="n"/>
      <c r="M690" s="20">
        <f>IFERROR(INDEX(CONFIGURACOES!$I$37:$I$300,MATCH($I690,CONFIGURACOES!$B$37:$B$300,0)),"")</f>
        <v/>
      </c>
      <c r="N690" s="21" t="n"/>
      <c r="O690" s="21" t="n"/>
      <c r="P690" s="21" t="n"/>
      <c r="Q690" s="21" t="n"/>
      <c r="R690" s="21">
        <f>IF($N690="","",$N690*IF($Q690="",1,$Q690)*IF($P690="",1,$P690)*IF($O690="",1,$O690))</f>
        <v/>
      </c>
      <c r="S690" s="22">
        <f>IFERROR(INDEX(CONFIGURACOES!$J$37:$J$300,MATCH($I690,CONFIGURACOES!$B$37:$B$300,0)),"")</f>
        <v/>
      </c>
      <c r="T690" s="22">
        <f>IF(OR($R690="",$S690=""),"",$R690*$S690)</f>
        <v/>
      </c>
      <c r="U690" s="20" t="n"/>
      <c r="V690" s="20" t="n"/>
      <c r="W690" s="20" t="n"/>
      <c r="X690">
        <f>IF($A690="","",$A690&amp;"|"&amp;$C690&amp;"|"&amp;$I690)</f>
        <v/>
      </c>
      <c r="Y690">
        <f>IF(AND($A690=RELATORIO_MEDICAO!$C$5,$C690=RELATORIO_MEDICAO!$F$5,$A690&lt;&gt;""),COUNTIFS($A$3:$A690,RELATORIO_MEDICAO!$C$5,$C$3:$C690,RELATORIO_MEDICAO!$F$5),"")</f>
        <v/>
      </c>
      <c r="Z690">
        <f>IF(OR($A690="",PESQUISA!$C$4=""),0,IF(OR(ISNUMBER(SEARCH(PESQUISA!$C$4,$G690)),ISNUMBER(SEARCH(PESQUISA!$C$4,$K690)),ISNUMBER(SEARCH(PESQUISA!$C$4,$L690))),1,0))</f>
        <v/>
      </c>
      <c r="AA690">
        <f>IF($Z690=1,SUM($Z$3:$Z690),"")</f>
        <v/>
      </c>
      <c r="AB690">
        <f>IF(OR($A690="",PESQUISA!$C$50=""),0,IF(ISNUMBER(SEARCH(PESQUISA!$C$50,$I690)),1,0))</f>
        <v/>
      </c>
      <c r="AC690">
        <f>IF($AB690=1,SUM($AB$3:$AB690),"")</f>
        <v/>
      </c>
    </row>
    <row r="691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>
        <f>IFERROR(INDEX(CONFIGURACOES!$G$37:$G$300,MATCH($I691,CONFIGURACOES!$B$37:$B$300,0)),"")</f>
        <v/>
      </c>
      <c r="K691" s="20">
        <f>IFERROR(INDEX(CONFIGURACOES!$H$37:$H$300,MATCH($I691,CONFIGURACOES!$B$37:$B$300,0)),"")</f>
        <v/>
      </c>
      <c r="L691" s="20" t="n"/>
      <c r="M691" s="20">
        <f>IFERROR(INDEX(CONFIGURACOES!$I$37:$I$300,MATCH($I691,CONFIGURACOES!$B$37:$B$300,0)),"")</f>
        <v/>
      </c>
      <c r="N691" s="21" t="n"/>
      <c r="O691" s="21" t="n"/>
      <c r="P691" s="21" t="n"/>
      <c r="Q691" s="21" t="n"/>
      <c r="R691" s="21">
        <f>IF($N691="","",$N691*IF($Q691="",1,$Q691)*IF($P691="",1,$P691)*IF($O691="",1,$O691))</f>
        <v/>
      </c>
      <c r="S691" s="22">
        <f>IFERROR(INDEX(CONFIGURACOES!$J$37:$J$300,MATCH($I691,CONFIGURACOES!$B$37:$B$300,0)),"")</f>
        <v/>
      </c>
      <c r="T691" s="22">
        <f>IF(OR($R691="",$S691=""),"",$R691*$S691)</f>
        <v/>
      </c>
      <c r="U691" s="20" t="n"/>
      <c r="V691" s="20" t="n"/>
      <c r="W691" s="20" t="n"/>
      <c r="X691">
        <f>IF($A691="","",$A691&amp;"|"&amp;$C691&amp;"|"&amp;$I691)</f>
        <v/>
      </c>
      <c r="Y691">
        <f>IF(AND($A691=RELATORIO_MEDICAO!$C$5,$C691=RELATORIO_MEDICAO!$F$5,$A691&lt;&gt;""),COUNTIFS($A$3:$A691,RELATORIO_MEDICAO!$C$5,$C$3:$C691,RELATORIO_MEDICAO!$F$5),"")</f>
        <v/>
      </c>
      <c r="Z691">
        <f>IF(OR($A691="",PESQUISA!$C$4=""),0,IF(OR(ISNUMBER(SEARCH(PESQUISA!$C$4,$G691)),ISNUMBER(SEARCH(PESQUISA!$C$4,$K691)),ISNUMBER(SEARCH(PESQUISA!$C$4,$L691))),1,0))</f>
        <v/>
      </c>
      <c r="AA691">
        <f>IF($Z691=1,SUM($Z$3:$Z691),"")</f>
        <v/>
      </c>
      <c r="AB691">
        <f>IF(OR($A691="",PESQUISA!$C$50=""),0,IF(ISNUMBER(SEARCH(PESQUISA!$C$50,$I691)),1,0))</f>
        <v/>
      </c>
      <c r="AC691">
        <f>IF($AB691=1,SUM($AB$3:$AB691),"")</f>
        <v/>
      </c>
    </row>
    <row r="692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>
        <f>IFERROR(INDEX(CONFIGURACOES!$G$37:$G$300,MATCH($I692,CONFIGURACOES!$B$37:$B$300,0)),"")</f>
        <v/>
      </c>
      <c r="K692" s="20">
        <f>IFERROR(INDEX(CONFIGURACOES!$H$37:$H$300,MATCH($I692,CONFIGURACOES!$B$37:$B$300,0)),"")</f>
        <v/>
      </c>
      <c r="L692" s="20" t="n"/>
      <c r="M692" s="20">
        <f>IFERROR(INDEX(CONFIGURACOES!$I$37:$I$300,MATCH($I692,CONFIGURACOES!$B$37:$B$300,0)),"")</f>
        <v/>
      </c>
      <c r="N692" s="21" t="n"/>
      <c r="O692" s="21" t="n"/>
      <c r="P692" s="21" t="n"/>
      <c r="Q692" s="21" t="n"/>
      <c r="R692" s="21">
        <f>IF($N692="","",$N692*IF($Q692="",1,$Q692)*IF($P692="",1,$P692)*IF($O692="",1,$O692))</f>
        <v/>
      </c>
      <c r="S692" s="22">
        <f>IFERROR(INDEX(CONFIGURACOES!$J$37:$J$300,MATCH($I692,CONFIGURACOES!$B$37:$B$300,0)),"")</f>
        <v/>
      </c>
      <c r="T692" s="22">
        <f>IF(OR($R692="",$S692=""),"",$R692*$S692)</f>
        <v/>
      </c>
      <c r="U692" s="20" t="n"/>
      <c r="V692" s="20" t="n"/>
      <c r="W692" s="20" t="n"/>
      <c r="X692">
        <f>IF($A692="","",$A692&amp;"|"&amp;$C692&amp;"|"&amp;$I692)</f>
        <v/>
      </c>
      <c r="Y692">
        <f>IF(AND($A692=RELATORIO_MEDICAO!$C$5,$C692=RELATORIO_MEDICAO!$F$5,$A692&lt;&gt;""),COUNTIFS($A$3:$A692,RELATORIO_MEDICAO!$C$5,$C$3:$C692,RELATORIO_MEDICAO!$F$5),"")</f>
        <v/>
      </c>
      <c r="Z692">
        <f>IF(OR($A692="",PESQUISA!$C$4=""),0,IF(OR(ISNUMBER(SEARCH(PESQUISA!$C$4,$G692)),ISNUMBER(SEARCH(PESQUISA!$C$4,$K692)),ISNUMBER(SEARCH(PESQUISA!$C$4,$L692))),1,0))</f>
        <v/>
      </c>
      <c r="AA692">
        <f>IF($Z692=1,SUM($Z$3:$Z692),"")</f>
        <v/>
      </c>
      <c r="AB692">
        <f>IF(OR($A692="",PESQUISA!$C$50=""),0,IF(ISNUMBER(SEARCH(PESQUISA!$C$50,$I692)),1,0))</f>
        <v/>
      </c>
      <c r="AC692">
        <f>IF($AB692=1,SUM($AB$3:$AB692),"")</f>
        <v/>
      </c>
    </row>
    <row r="693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>
        <f>IFERROR(INDEX(CONFIGURACOES!$G$37:$G$300,MATCH($I693,CONFIGURACOES!$B$37:$B$300,0)),"")</f>
        <v/>
      </c>
      <c r="K693" s="20">
        <f>IFERROR(INDEX(CONFIGURACOES!$H$37:$H$300,MATCH($I693,CONFIGURACOES!$B$37:$B$300,0)),"")</f>
        <v/>
      </c>
      <c r="L693" s="20" t="n"/>
      <c r="M693" s="20">
        <f>IFERROR(INDEX(CONFIGURACOES!$I$37:$I$300,MATCH($I693,CONFIGURACOES!$B$37:$B$300,0)),"")</f>
        <v/>
      </c>
      <c r="N693" s="21" t="n"/>
      <c r="O693" s="21" t="n"/>
      <c r="P693" s="21" t="n"/>
      <c r="Q693" s="21" t="n"/>
      <c r="R693" s="21">
        <f>IF($N693="","",$N693*IF($Q693="",1,$Q693)*IF($P693="",1,$P693)*IF($O693="",1,$O693))</f>
        <v/>
      </c>
      <c r="S693" s="22">
        <f>IFERROR(INDEX(CONFIGURACOES!$J$37:$J$300,MATCH($I693,CONFIGURACOES!$B$37:$B$300,0)),"")</f>
        <v/>
      </c>
      <c r="T693" s="22">
        <f>IF(OR($R693="",$S693=""),"",$R693*$S693)</f>
        <v/>
      </c>
      <c r="U693" s="20" t="n"/>
      <c r="V693" s="20" t="n"/>
      <c r="W693" s="20" t="n"/>
      <c r="X693">
        <f>IF($A693="","",$A693&amp;"|"&amp;$C693&amp;"|"&amp;$I693)</f>
        <v/>
      </c>
      <c r="Y693">
        <f>IF(AND($A693=RELATORIO_MEDICAO!$C$5,$C693=RELATORIO_MEDICAO!$F$5,$A693&lt;&gt;""),COUNTIFS($A$3:$A693,RELATORIO_MEDICAO!$C$5,$C$3:$C693,RELATORIO_MEDICAO!$F$5),"")</f>
        <v/>
      </c>
      <c r="Z693">
        <f>IF(OR($A693="",PESQUISA!$C$4=""),0,IF(OR(ISNUMBER(SEARCH(PESQUISA!$C$4,$G693)),ISNUMBER(SEARCH(PESQUISA!$C$4,$K693)),ISNUMBER(SEARCH(PESQUISA!$C$4,$L693))),1,0))</f>
        <v/>
      </c>
      <c r="AA693">
        <f>IF($Z693=1,SUM($Z$3:$Z693),"")</f>
        <v/>
      </c>
      <c r="AB693">
        <f>IF(OR($A693="",PESQUISA!$C$50=""),0,IF(ISNUMBER(SEARCH(PESQUISA!$C$50,$I693)),1,0))</f>
        <v/>
      </c>
      <c r="AC693">
        <f>IF($AB693=1,SUM($AB$3:$AB693),"")</f>
        <v/>
      </c>
    </row>
    <row r="694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>
        <f>IFERROR(INDEX(CONFIGURACOES!$G$37:$G$300,MATCH($I694,CONFIGURACOES!$B$37:$B$300,0)),"")</f>
        <v/>
      </c>
      <c r="K694" s="20">
        <f>IFERROR(INDEX(CONFIGURACOES!$H$37:$H$300,MATCH($I694,CONFIGURACOES!$B$37:$B$300,0)),"")</f>
        <v/>
      </c>
      <c r="L694" s="20" t="n"/>
      <c r="M694" s="20">
        <f>IFERROR(INDEX(CONFIGURACOES!$I$37:$I$300,MATCH($I694,CONFIGURACOES!$B$37:$B$300,0)),"")</f>
        <v/>
      </c>
      <c r="N694" s="21" t="n"/>
      <c r="O694" s="21" t="n"/>
      <c r="P694" s="21" t="n"/>
      <c r="Q694" s="21" t="n"/>
      <c r="R694" s="21">
        <f>IF($N694="","",$N694*IF($Q694="",1,$Q694)*IF($P694="",1,$P694)*IF($O694="",1,$O694))</f>
        <v/>
      </c>
      <c r="S694" s="22">
        <f>IFERROR(INDEX(CONFIGURACOES!$J$37:$J$300,MATCH($I694,CONFIGURACOES!$B$37:$B$300,0)),"")</f>
        <v/>
      </c>
      <c r="T694" s="22">
        <f>IF(OR($R694="",$S694=""),"",$R694*$S694)</f>
        <v/>
      </c>
      <c r="U694" s="20" t="n"/>
      <c r="V694" s="20" t="n"/>
      <c r="W694" s="20" t="n"/>
      <c r="X694">
        <f>IF($A694="","",$A694&amp;"|"&amp;$C694&amp;"|"&amp;$I694)</f>
        <v/>
      </c>
      <c r="Y694">
        <f>IF(AND($A694=RELATORIO_MEDICAO!$C$5,$C694=RELATORIO_MEDICAO!$F$5,$A694&lt;&gt;""),COUNTIFS($A$3:$A694,RELATORIO_MEDICAO!$C$5,$C$3:$C694,RELATORIO_MEDICAO!$F$5),"")</f>
        <v/>
      </c>
      <c r="Z694">
        <f>IF(OR($A694="",PESQUISA!$C$4=""),0,IF(OR(ISNUMBER(SEARCH(PESQUISA!$C$4,$G694)),ISNUMBER(SEARCH(PESQUISA!$C$4,$K694)),ISNUMBER(SEARCH(PESQUISA!$C$4,$L694))),1,0))</f>
        <v/>
      </c>
      <c r="AA694">
        <f>IF($Z694=1,SUM($Z$3:$Z694),"")</f>
        <v/>
      </c>
      <c r="AB694">
        <f>IF(OR($A694="",PESQUISA!$C$50=""),0,IF(ISNUMBER(SEARCH(PESQUISA!$C$50,$I694)),1,0))</f>
        <v/>
      </c>
      <c r="AC694">
        <f>IF($AB694=1,SUM($AB$3:$AB694),"")</f>
        <v/>
      </c>
    </row>
    <row r="695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>
        <f>IFERROR(INDEX(CONFIGURACOES!$G$37:$G$300,MATCH($I695,CONFIGURACOES!$B$37:$B$300,0)),"")</f>
        <v/>
      </c>
      <c r="K695" s="20">
        <f>IFERROR(INDEX(CONFIGURACOES!$H$37:$H$300,MATCH($I695,CONFIGURACOES!$B$37:$B$300,0)),"")</f>
        <v/>
      </c>
      <c r="L695" s="20" t="n"/>
      <c r="M695" s="20">
        <f>IFERROR(INDEX(CONFIGURACOES!$I$37:$I$300,MATCH($I695,CONFIGURACOES!$B$37:$B$300,0)),"")</f>
        <v/>
      </c>
      <c r="N695" s="21" t="n"/>
      <c r="O695" s="21" t="n"/>
      <c r="P695" s="21" t="n"/>
      <c r="Q695" s="21" t="n"/>
      <c r="R695" s="21">
        <f>IF($N695="","",$N695*IF($Q695="",1,$Q695)*IF($P695="",1,$P695)*IF($O695="",1,$O695))</f>
        <v/>
      </c>
      <c r="S695" s="22">
        <f>IFERROR(INDEX(CONFIGURACOES!$J$37:$J$300,MATCH($I695,CONFIGURACOES!$B$37:$B$300,0)),"")</f>
        <v/>
      </c>
      <c r="T695" s="22">
        <f>IF(OR($R695="",$S695=""),"",$R695*$S695)</f>
        <v/>
      </c>
      <c r="U695" s="20" t="n"/>
      <c r="V695" s="20" t="n"/>
      <c r="W695" s="20" t="n"/>
      <c r="X695">
        <f>IF($A695="","",$A695&amp;"|"&amp;$C695&amp;"|"&amp;$I695)</f>
        <v/>
      </c>
      <c r="Y695">
        <f>IF(AND($A695=RELATORIO_MEDICAO!$C$5,$C695=RELATORIO_MEDICAO!$F$5,$A695&lt;&gt;""),COUNTIFS($A$3:$A695,RELATORIO_MEDICAO!$C$5,$C$3:$C695,RELATORIO_MEDICAO!$F$5),"")</f>
        <v/>
      </c>
      <c r="Z695">
        <f>IF(OR($A695="",PESQUISA!$C$4=""),0,IF(OR(ISNUMBER(SEARCH(PESQUISA!$C$4,$G695)),ISNUMBER(SEARCH(PESQUISA!$C$4,$K695)),ISNUMBER(SEARCH(PESQUISA!$C$4,$L695))),1,0))</f>
        <v/>
      </c>
      <c r="AA695">
        <f>IF($Z695=1,SUM($Z$3:$Z695),"")</f>
        <v/>
      </c>
      <c r="AB695">
        <f>IF(OR($A695="",PESQUISA!$C$50=""),0,IF(ISNUMBER(SEARCH(PESQUISA!$C$50,$I695)),1,0))</f>
        <v/>
      </c>
      <c r="AC695">
        <f>IF($AB695=1,SUM($AB$3:$AB695),"")</f>
        <v/>
      </c>
    </row>
    <row r="696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>
        <f>IFERROR(INDEX(CONFIGURACOES!$G$37:$G$300,MATCH($I696,CONFIGURACOES!$B$37:$B$300,0)),"")</f>
        <v/>
      </c>
      <c r="K696" s="20">
        <f>IFERROR(INDEX(CONFIGURACOES!$H$37:$H$300,MATCH($I696,CONFIGURACOES!$B$37:$B$300,0)),"")</f>
        <v/>
      </c>
      <c r="L696" s="20" t="n"/>
      <c r="M696" s="20">
        <f>IFERROR(INDEX(CONFIGURACOES!$I$37:$I$300,MATCH($I696,CONFIGURACOES!$B$37:$B$300,0)),"")</f>
        <v/>
      </c>
      <c r="N696" s="21" t="n"/>
      <c r="O696" s="21" t="n"/>
      <c r="P696" s="21" t="n"/>
      <c r="Q696" s="21" t="n"/>
      <c r="R696" s="21">
        <f>IF($N696="","",$N696*IF($Q696="",1,$Q696)*IF($P696="",1,$P696)*IF($O696="",1,$O696))</f>
        <v/>
      </c>
      <c r="S696" s="22">
        <f>IFERROR(INDEX(CONFIGURACOES!$J$37:$J$300,MATCH($I696,CONFIGURACOES!$B$37:$B$300,0)),"")</f>
        <v/>
      </c>
      <c r="T696" s="22">
        <f>IF(OR($R696="",$S696=""),"",$R696*$S696)</f>
        <v/>
      </c>
      <c r="U696" s="20" t="n"/>
      <c r="V696" s="20" t="n"/>
      <c r="W696" s="20" t="n"/>
      <c r="X696">
        <f>IF($A696="","",$A696&amp;"|"&amp;$C696&amp;"|"&amp;$I696)</f>
        <v/>
      </c>
      <c r="Y696">
        <f>IF(AND($A696=RELATORIO_MEDICAO!$C$5,$C696=RELATORIO_MEDICAO!$F$5,$A696&lt;&gt;""),COUNTIFS($A$3:$A696,RELATORIO_MEDICAO!$C$5,$C$3:$C696,RELATORIO_MEDICAO!$F$5),"")</f>
        <v/>
      </c>
      <c r="Z696">
        <f>IF(OR($A696="",PESQUISA!$C$4=""),0,IF(OR(ISNUMBER(SEARCH(PESQUISA!$C$4,$G696)),ISNUMBER(SEARCH(PESQUISA!$C$4,$K696)),ISNUMBER(SEARCH(PESQUISA!$C$4,$L696))),1,0))</f>
        <v/>
      </c>
      <c r="AA696">
        <f>IF($Z696=1,SUM($Z$3:$Z696),"")</f>
        <v/>
      </c>
      <c r="AB696">
        <f>IF(OR($A696="",PESQUISA!$C$50=""),0,IF(ISNUMBER(SEARCH(PESQUISA!$C$50,$I696)),1,0))</f>
        <v/>
      </c>
      <c r="AC696">
        <f>IF($AB696=1,SUM($AB$3:$AB696),"")</f>
        <v/>
      </c>
    </row>
    <row r="697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>
        <f>IFERROR(INDEX(CONFIGURACOES!$G$37:$G$300,MATCH($I697,CONFIGURACOES!$B$37:$B$300,0)),"")</f>
        <v/>
      </c>
      <c r="K697" s="20">
        <f>IFERROR(INDEX(CONFIGURACOES!$H$37:$H$300,MATCH($I697,CONFIGURACOES!$B$37:$B$300,0)),"")</f>
        <v/>
      </c>
      <c r="L697" s="20" t="n"/>
      <c r="M697" s="20">
        <f>IFERROR(INDEX(CONFIGURACOES!$I$37:$I$300,MATCH($I697,CONFIGURACOES!$B$37:$B$300,0)),"")</f>
        <v/>
      </c>
      <c r="N697" s="21" t="n"/>
      <c r="O697" s="21" t="n"/>
      <c r="P697" s="21" t="n"/>
      <c r="Q697" s="21" t="n"/>
      <c r="R697" s="21">
        <f>IF($N697="","",$N697*IF($Q697="",1,$Q697)*IF($P697="",1,$P697)*IF($O697="",1,$O697))</f>
        <v/>
      </c>
      <c r="S697" s="22">
        <f>IFERROR(INDEX(CONFIGURACOES!$J$37:$J$300,MATCH($I697,CONFIGURACOES!$B$37:$B$300,0)),"")</f>
        <v/>
      </c>
      <c r="T697" s="22">
        <f>IF(OR($R697="",$S697=""),"",$R697*$S697)</f>
        <v/>
      </c>
      <c r="U697" s="20" t="n"/>
      <c r="V697" s="20" t="n"/>
      <c r="W697" s="20" t="n"/>
      <c r="X697">
        <f>IF($A697="","",$A697&amp;"|"&amp;$C697&amp;"|"&amp;$I697)</f>
        <v/>
      </c>
      <c r="Y697">
        <f>IF(AND($A697=RELATORIO_MEDICAO!$C$5,$C697=RELATORIO_MEDICAO!$F$5,$A697&lt;&gt;""),COUNTIFS($A$3:$A697,RELATORIO_MEDICAO!$C$5,$C$3:$C697,RELATORIO_MEDICAO!$F$5),"")</f>
        <v/>
      </c>
      <c r="Z697">
        <f>IF(OR($A697="",PESQUISA!$C$4=""),0,IF(OR(ISNUMBER(SEARCH(PESQUISA!$C$4,$G697)),ISNUMBER(SEARCH(PESQUISA!$C$4,$K697)),ISNUMBER(SEARCH(PESQUISA!$C$4,$L697))),1,0))</f>
        <v/>
      </c>
      <c r="AA697">
        <f>IF($Z697=1,SUM($Z$3:$Z697),"")</f>
        <v/>
      </c>
      <c r="AB697">
        <f>IF(OR($A697="",PESQUISA!$C$50=""),0,IF(ISNUMBER(SEARCH(PESQUISA!$C$50,$I697)),1,0))</f>
        <v/>
      </c>
      <c r="AC697">
        <f>IF($AB697=1,SUM($AB$3:$AB697),"")</f>
        <v/>
      </c>
    </row>
    <row r="698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>
        <f>IFERROR(INDEX(CONFIGURACOES!$G$37:$G$300,MATCH($I698,CONFIGURACOES!$B$37:$B$300,0)),"")</f>
        <v/>
      </c>
      <c r="K698" s="20">
        <f>IFERROR(INDEX(CONFIGURACOES!$H$37:$H$300,MATCH($I698,CONFIGURACOES!$B$37:$B$300,0)),"")</f>
        <v/>
      </c>
      <c r="L698" s="20" t="n"/>
      <c r="M698" s="20">
        <f>IFERROR(INDEX(CONFIGURACOES!$I$37:$I$300,MATCH($I698,CONFIGURACOES!$B$37:$B$300,0)),"")</f>
        <v/>
      </c>
      <c r="N698" s="21" t="n"/>
      <c r="O698" s="21" t="n"/>
      <c r="P698" s="21" t="n"/>
      <c r="Q698" s="21" t="n"/>
      <c r="R698" s="21">
        <f>IF($N698="","",$N698*IF($Q698="",1,$Q698)*IF($P698="",1,$P698)*IF($O698="",1,$O698))</f>
        <v/>
      </c>
      <c r="S698" s="22">
        <f>IFERROR(INDEX(CONFIGURACOES!$J$37:$J$300,MATCH($I698,CONFIGURACOES!$B$37:$B$300,0)),"")</f>
        <v/>
      </c>
      <c r="T698" s="22">
        <f>IF(OR($R698="",$S698=""),"",$R698*$S698)</f>
        <v/>
      </c>
      <c r="U698" s="20" t="n"/>
      <c r="V698" s="20" t="n"/>
      <c r="W698" s="20" t="n"/>
      <c r="X698">
        <f>IF($A698="","",$A698&amp;"|"&amp;$C698&amp;"|"&amp;$I698)</f>
        <v/>
      </c>
      <c r="Y698">
        <f>IF(AND($A698=RELATORIO_MEDICAO!$C$5,$C698=RELATORIO_MEDICAO!$F$5,$A698&lt;&gt;""),COUNTIFS($A$3:$A698,RELATORIO_MEDICAO!$C$5,$C$3:$C698,RELATORIO_MEDICAO!$F$5),"")</f>
        <v/>
      </c>
      <c r="Z698">
        <f>IF(OR($A698="",PESQUISA!$C$4=""),0,IF(OR(ISNUMBER(SEARCH(PESQUISA!$C$4,$G698)),ISNUMBER(SEARCH(PESQUISA!$C$4,$K698)),ISNUMBER(SEARCH(PESQUISA!$C$4,$L698))),1,0))</f>
        <v/>
      </c>
      <c r="AA698">
        <f>IF($Z698=1,SUM($Z$3:$Z698),"")</f>
        <v/>
      </c>
      <c r="AB698">
        <f>IF(OR($A698="",PESQUISA!$C$50=""),0,IF(ISNUMBER(SEARCH(PESQUISA!$C$50,$I698)),1,0))</f>
        <v/>
      </c>
      <c r="AC698">
        <f>IF($AB698=1,SUM($AB$3:$AB698),"")</f>
        <v/>
      </c>
    </row>
    <row r="699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>
        <f>IFERROR(INDEX(CONFIGURACOES!$G$37:$G$300,MATCH($I699,CONFIGURACOES!$B$37:$B$300,0)),"")</f>
        <v/>
      </c>
      <c r="K699" s="20">
        <f>IFERROR(INDEX(CONFIGURACOES!$H$37:$H$300,MATCH($I699,CONFIGURACOES!$B$37:$B$300,0)),"")</f>
        <v/>
      </c>
      <c r="L699" s="20" t="n"/>
      <c r="M699" s="20">
        <f>IFERROR(INDEX(CONFIGURACOES!$I$37:$I$300,MATCH($I699,CONFIGURACOES!$B$37:$B$300,0)),"")</f>
        <v/>
      </c>
      <c r="N699" s="21" t="n"/>
      <c r="O699" s="21" t="n"/>
      <c r="P699" s="21" t="n"/>
      <c r="Q699" s="21" t="n"/>
      <c r="R699" s="21">
        <f>IF($N699="","",$N699*IF($Q699="",1,$Q699)*IF($P699="",1,$P699)*IF($O699="",1,$O699))</f>
        <v/>
      </c>
      <c r="S699" s="22">
        <f>IFERROR(INDEX(CONFIGURACOES!$J$37:$J$300,MATCH($I699,CONFIGURACOES!$B$37:$B$300,0)),"")</f>
        <v/>
      </c>
      <c r="T699" s="22">
        <f>IF(OR($R699="",$S699=""),"",$R699*$S699)</f>
        <v/>
      </c>
      <c r="U699" s="20" t="n"/>
      <c r="V699" s="20" t="n"/>
      <c r="W699" s="20" t="n"/>
      <c r="X699">
        <f>IF($A699="","",$A699&amp;"|"&amp;$C699&amp;"|"&amp;$I699)</f>
        <v/>
      </c>
      <c r="Y699">
        <f>IF(AND($A699=RELATORIO_MEDICAO!$C$5,$C699=RELATORIO_MEDICAO!$F$5,$A699&lt;&gt;""),COUNTIFS($A$3:$A699,RELATORIO_MEDICAO!$C$5,$C$3:$C699,RELATORIO_MEDICAO!$F$5),"")</f>
        <v/>
      </c>
      <c r="Z699">
        <f>IF(OR($A699="",PESQUISA!$C$4=""),0,IF(OR(ISNUMBER(SEARCH(PESQUISA!$C$4,$G699)),ISNUMBER(SEARCH(PESQUISA!$C$4,$K699)),ISNUMBER(SEARCH(PESQUISA!$C$4,$L699))),1,0))</f>
        <v/>
      </c>
      <c r="AA699">
        <f>IF($Z699=1,SUM($Z$3:$Z699),"")</f>
        <v/>
      </c>
      <c r="AB699">
        <f>IF(OR($A699="",PESQUISA!$C$50=""),0,IF(ISNUMBER(SEARCH(PESQUISA!$C$50,$I699)),1,0))</f>
        <v/>
      </c>
      <c r="AC699">
        <f>IF($AB699=1,SUM($AB$3:$AB699),"")</f>
        <v/>
      </c>
    </row>
    <row r="700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>
        <f>IFERROR(INDEX(CONFIGURACOES!$G$37:$G$300,MATCH($I700,CONFIGURACOES!$B$37:$B$300,0)),"")</f>
        <v/>
      </c>
      <c r="K700" s="20">
        <f>IFERROR(INDEX(CONFIGURACOES!$H$37:$H$300,MATCH($I700,CONFIGURACOES!$B$37:$B$300,0)),"")</f>
        <v/>
      </c>
      <c r="L700" s="20" t="n"/>
      <c r="M700" s="20">
        <f>IFERROR(INDEX(CONFIGURACOES!$I$37:$I$300,MATCH($I700,CONFIGURACOES!$B$37:$B$300,0)),"")</f>
        <v/>
      </c>
      <c r="N700" s="21" t="n"/>
      <c r="O700" s="21" t="n"/>
      <c r="P700" s="21" t="n"/>
      <c r="Q700" s="21" t="n"/>
      <c r="R700" s="21">
        <f>IF($N700="","",$N700*IF($Q700="",1,$Q700)*IF($P700="",1,$P700)*IF($O700="",1,$O700))</f>
        <v/>
      </c>
      <c r="S700" s="22">
        <f>IFERROR(INDEX(CONFIGURACOES!$J$37:$J$300,MATCH($I700,CONFIGURACOES!$B$37:$B$300,0)),"")</f>
        <v/>
      </c>
      <c r="T700" s="22">
        <f>IF(OR($R700="",$S700=""),"",$R700*$S700)</f>
        <v/>
      </c>
      <c r="U700" s="20" t="n"/>
      <c r="V700" s="20" t="n"/>
      <c r="W700" s="20" t="n"/>
      <c r="X700">
        <f>IF($A700="","",$A700&amp;"|"&amp;$C700&amp;"|"&amp;$I700)</f>
        <v/>
      </c>
      <c r="Y700">
        <f>IF(AND($A700=RELATORIO_MEDICAO!$C$5,$C700=RELATORIO_MEDICAO!$F$5,$A700&lt;&gt;""),COUNTIFS($A$3:$A700,RELATORIO_MEDICAO!$C$5,$C$3:$C700,RELATORIO_MEDICAO!$F$5),"")</f>
        <v/>
      </c>
      <c r="Z700">
        <f>IF(OR($A700="",PESQUISA!$C$4=""),0,IF(OR(ISNUMBER(SEARCH(PESQUISA!$C$4,$G700)),ISNUMBER(SEARCH(PESQUISA!$C$4,$K700)),ISNUMBER(SEARCH(PESQUISA!$C$4,$L700))),1,0))</f>
        <v/>
      </c>
      <c r="AA700">
        <f>IF($Z700=1,SUM($Z$3:$Z700),"")</f>
        <v/>
      </c>
      <c r="AB700">
        <f>IF(OR($A700="",PESQUISA!$C$50=""),0,IF(ISNUMBER(SEARCH(PESQUISA!$C$50,$I700)),1,0))</f>
        <v/>
      </c>
      <c r="AC700">
        <f>IF($AB700=1,SUM($AB$3:$AB700),"")</f>
        <v/>
      </c>
    </row>
    <row r="701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>
        <f>IFERROR(INDEX(CONFIGURACOES!$G$37:$G$300,MATCH($I701,CONFIGURACOES!$B$37:$B$300,0)),"")</f>
        <v/>
      </c>
      <c r="K701" s="20">
        <f>IFERROR(INDEX(CONFIGURACOES!$H$37:$H$300,MATCH($I701,CONFIGURACOES!$B$37:$B$300,0)),"")</f>
        <v/>
      </c>
      <c r="L701" s="20" t="n"/>
      <c r="M701" s="20">
        <f>IFERROR(INDEX(CONFIGURACOES!$I$37:$I$300,MATCH($I701,CONFIGURACOES!$B$37:$B$300,0)),"")</f>
        <v/>
      </c>
      <c r="N701" s="21" t="n"/>
      <c r="O701" s="21" t="n"/>
      <c r="P701" s="21" t="n"/>
      <c r="Q701" s="21" t="n"/>
      <c r="R701" s="21">
        <f>IF($N701="","",$N701*IF($Q701="",1,$Q701)*IF($P701="",1,$P701)*IF($O701="",1,$O701))</f>
        <v/>
      </c>
      <c r="S701" s="22">
        <f>IFERROR(INDEX(CONFIGURACOES!$J$37:$J$300,MATCH($I701,CONFIGURACOES!$B$37:$B$300,0)),"")</f>
        <v/>
      </c>
      <c r="T701" s="22">
        <f>IF(OR($R701="",$S701=""),"",$R701*$S701)</f>
        <v/>
      </c>
      <c r="U701" s="20" t="n"/>
      <c r="V701" s="20" t="n"/>
      <c r="W701" s="20" t="n"/>
      <c r="X701">
        <f>IF($A701="","",$A701&amp;"|"&amp;$C701&amp;"|"&amp;$I701)</f>
        <v/>
      </c>
      <c r="Y701">
        <f>IF(AND($A701=RELATORIO_MEDICAO!$C$5,$C701=RELATORIO_MEDICAO!$F$5,$A701&lt;&gt;""),COUNTIFS($A$3:$A701,RELATORIO_MEDICAO!$C$5,$C$3:$C701,RELATORIO_MEDICAO!$F$5),"")</f>
        <v/>
      </c>
      <c r="Z701">
        <f>IF(OR($A701="",PESQUISA!$C$4=""),0,IF(OR(ISNUMBER(SEARCH(PESQUISA!$C$4,$G701)),ISNUMBER(SEARCH(PESQUISA!$C$4,$K701)),ISNUMBER(SEARCH(PESQUISA!$C$4,$L701))),1,0))</f>
        <v/>
      </c>
      <c r="AA701">
        <f>IF($Z701=1,SUM($Z$3:$Z701),"")</f>
        <v/>
      </c>
      <c r="AB701">
        <f>IF(OR($A701="",PESQUISA!$C$50=""),0,IF(ISNUMBER(SEARCH(PESQUISA!$C$50,$I701)),1,0))</f>
        <v/>
      </c>
      <c r="AC701">
        <f>IF($AB701=1,SUM($AB$3:$AB701),"")</f>
        <v/>
      </c>
    </row>
    <row r="702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>
        <f>IFERROR(INDEX(CONFIGURACOES!$G$37:$G$300,MATCH($I702,CONFIGURACOES!$B$37:$B$300,0)),"")</f>
        <v/>
      </c>
      <c r="K702" s="20">
        <f>IFERROR(INDEX(CONFIGURACOES!$H$37:$H$300,MATCH($I702,CONFIGURACOES!$B$37:$B$300,0)),"")</f>
        <v/>
      </c>
      <c r="L702" s="20" t="n"/>
      <c r="M702" s="20">
        <f>IFERROR(INDEX(CONFIGURACOES!$I$37:$I$300,MATCH($I702,CONFIGURACOES!$B$37:$B$300,0)),"")</f>
        <v/>
      </c>
      <c r="N702" s="21" t="n"/>
      <c r="O702" s="21" t="n"/>
      <c r="P702" s="21" t="n"/>
      <c r="Q702" s="21" t="n"/>
      <c r="R702" s="21">
        <f>IF($N702="","",$N702*IF($Q702="",1,$Q702)*IF($P702="",1,$P702)*IF($O702="",1,$O702))</f>
        <v/>
      </c>
      <c r="S702" s="22">
        <f>IFERROR(INDEX(CONFIGURACOES!$J$37:$J$300,MATCH($I702,CONFIGURACOES!$B$37:$B$300,0)),"")</f>
        <v/>
      </c>
      <c r="T702" s="22">
        <f>IF(OR($R702="",$S702=""),"",$R702*$S702)</f>
        <v/>
      </c>
      <c r="U702" s="20" t="n"/>
      <c r="V702" s="20" t="n"/>
      <c r="W702" s="20" t="n"/>
      <c r="X702">
        <f>IF($A702="","",$A702&amp;"|"&amp;$C702&amp;"|"&amp;$I702)</f>
        <v/>
      </c>
      <c r="Y702">
        <f>IF(AND($A702=RELATORIO_MEDICAO!$C$5,$C702=RELATORIO_MEDICAO!$F$5,$A702&lt;&gt;""),COUNTIFS($A$3:$A702,RELATORIO_MEDICAO!$C$5,$C$3:$C702,RELATORIO_MEDICAO!$F$5),"")</f>
        <v/>
      </c>
      <c r="Z702">
        <f>IF(OR($A702="",PESQUISA!$C$4=""),0,IF(OR(ISNUMBER(SEARCH(PESQUISA!$C$4,$G702)),ISNUMBER(SEARCH(PESQUISA!$C$4,$K702)),ISNUMBER(SEARCH(PESQUISA!$C$4,$L702))),1,0))</f>
        <v/>
      </c>
      <c r="AA702">
        <f>IF($Z702=1,SUM($Z$3:$Z702),"")</f>
        <v/>
      </c>
      <c r="AB702">
        <f>IF(OR($A702="",PESQUISA!$C$50=""),0,IF(ISNUMBER(SEARCH(PESQUISA!$C$50,$I702)),1,0))</f>
        <v/>
      </c>
      <c r="AC702">
        <f>IF($AB702=1,SUM($AB$3:$AB702),"")</f>
        <v/>
      </c>
    </row>
    <row r="703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>
        <f>IFERROR(INDEX(CONFIGURACOES!$G$37:$G$300,MATCH($I703,CONFIGURACOES!$B$37:$B$300,0)),"")</f>
        <v/>
      </c>
      <c r="K703" s="20">
        <f>IFERROR(INDEX(CONFIGURACOES!$H$37:$H$300,MATCH($I703,CONFIGURACOES!$B$37:$B$300,0)),"")</f>
        <v/>
      </c>
      <c r="L703" s="20" t="n"/>
      <c r="M703" s="20">
        <f>IFERROR(INDEX(CONFIGURACOES!$I$37:$I$300,MATCH($I703,CONFIGURACOES!$B$37:$B$300,0)),"")</f>
        <v/>
      </c>
      <c r="N703" s="21" t="n"/>
      <c r="O703" s="21" t="n"/>
      <c r="P703" s="21" t="n"/>
      <c r="Q703" s="21" t="n"/>
      <c r="R703" s="21">
        <f>IF($N703="","",$N703*IF($Q703="",1,$Q703)*IF($P703="",1,$P703)*IF($O703="",1,$O703))</f>
        <v/>
      </c>
      <c r="S703" s="22">
        <f>IFERROR(INDEX(CONFIGURACOES!$J$37:$J$300,MATCH($I703,CONFIGURACOES!$B$37:$B$300,0)),"")</f>
        <v/>
      </c>
      <c r="T703" s="22">
        <f>IF(OR($R703="",$S703=""),"",$R703*$S703)</f>
        <v/>
      </c>
      <c r="U703" s="20" t="n"/>
      <c r="V703" s="20" t="n"/>
      <c r="W703" s="20" t="n"/>
      <c r="X703">
        <f>IF($A703="","",$A703&amp;"|"&amp;$C703&amp;"|"&amp;$I703)</f>
        <v/>
      </c>
      <c r="Y703">
        <f>IF(AND($A703=RELATORIO_MEDICAO!$C$5,$C703=RELATORIO_MEDICAO!$F$5,$A703&lt;&gt;""),COUNTIFS($A$3:$A703,RELATORIO_MEDICAO!$C$5,$C$3:$C703,RELATORIO_MEDICAO!$F$5),"")</f>
        <v/>
      </c>
      <c r="Z703">
        <f>IF(OR($A703="",PESQUISA!$C$4=""),0,IF(OR(ISNUMBER(SEARCH(PESQUISA!$C$4,$G703)),ISNUMBER(SEARCH(PESQUISA!$C$4,$K703)),ISNUMBER(SEARCH(PESQUISA!$C$4,$L703))),1,0))</f>
        <v/>
      </c>
      <c r="AA703">
        <f>IF($Z703=1,SUM($Z$3:$Z703),"")</f>
        <v/>
      </c>
      <c r="AB703">
        <f>IF(OR($A703="",PESQUISA!$C$50=""),0,IF(ISNUMBER(SEARCH(PESQUISA!$C$50,$I703)),1,0))</f>
        <v/>
      </c>
      <c r="AC703">
        <f>IF($AB703=1,SUM($AB$3:$AB703),"")</f>
        <v/>
      </c>
    </row>
    <row r="704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>
        <f>IFERROR(INDEX(CONFIGURACOES!$G$37:$G$300,MATCH($I704,CONFIGURACOES!$B$37:$B$300,0)),"")</f>
        <v/>
      </c>
      <c r="K704" s="20">
        <f>IFERROR(INDEX(CONFIGURACOES!$H$37:$H$300,MATCH($I704,CONFIGURACOES!$B$37:$B$300,0)),"")</f>
        <v/>
      </c>
      <c r="L704" s="20" t="n"/>
      <c r="M704" s="20">
        <f>IFERROR(INDEX(CONFIGURACOES!$I$37:$I$300,MATCH($I704,CONFIGURACOES!$B$37:$B$300,0)),"")</f>
        <v/>
      </c>
      <c r="N704" s="21" t="n"/>
      <c r="O704" s="21" t="n"/>
      <c r="P704" s="21" t="n"/>
      <c r="Q704" s="21" t="n"/>
      <c r="R704" s="21">
        <f>IF($N704="","",$N704*IF($Q704="",1,$Q704)*IF($P704="",1,$P704)*IF($O704="",1,$O704))</f>
        <v/>
      </c>
      <c r="S704" s="22">
        <f>IFERROR(INDEX(CONFIGURACOES!$J$37:$J$300,MATCH($I704,CONFIGURACOES!$B$37:$B$300,0)),"")</f>
        <v/>
      </c>
      <c r="T704" s="22">
        <f>IF(OR($R704="",$S704=""),"",$R704*$S704)</f>
        <v/>
      </c>
      <c r="U704" s="20" t="n"/>
      <c r="V704" s="20" t="n"/>
      <c r="W704" s="20" t="n"/>
      <c r="X704">
        <f>IF($A704="","",$A704&amp;"|"&amp;$C704&amp;"|"&amp;$I704)</f>
        <v/>
      </c>
      <c r="Y704">
        <f>IF(AND($A704=RELATORIO_MEDICAO!$C$5,$C704=RELATORIO_MEDICAO!$F$5,$A704&lt;&gt;""),COUNTIFS($A$3:$A704,RELATORIO_MEDICAO!$C$5,$C$3:$C704,RELATORIO_MEDICAO!$F$5),"")</f>
        <v/>
      </c>
      <c r="Z704">
        <f>IF(OR($A704="",PESQUISA!$C$4=""),0,IF(OR(ISNUMBER(SEARCH(PESQUISA!$C$4,$G704)),ISNUMBER(SEARCH(PESQUISA!$C$4,$K704)),ISNUMBER(SEARCH(PESQUISA!$C$4,$L704))),1,0))</f>
        <v/>
      </c>
      <c r="AA704">
        <f>IF($Z704=1,SUM($Z$3:$Z704),"")</f>
        <v/>
      </c>
      <c r="AB704">
        <f>IF(OR($A704="",PESQUISA!$C$50=""),0,IF(ISNUMBER(SEARCH(PESQUISA!$C$50,$I704)),1,0))</f>
        <v/>
      </c>
      <c r="AC704">
        <f>IF($AB704=1,SUM($AB$3:$AB704),"")</f>
        <v/>
      </c>
    </row>
    <row r="705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>
        <f>IFERROR(INDEX(CONFIGURACOES!$G$37:$G$300,MATCH($I705,CONFIGURACOES!$B$37:$B$300,0)),"")</f>
        <v/>
      </c>
      <c r="K705" s="20">
        <f>IFERROR(INDEX(CONFIGURACOES!$H$37:$H$300,MATCH($I705,CONFIGURACOES!$B$37:$B$300,0)),"")</f>
        <v/>
      </c>
      <c r="L705" s="20" t="n"/>
      <c r="M705" s="20">
        <f>IFERROR(INDEX(CONFIGURACOES!$I$37:$I$300,MATCH($I705,CONFIGURACOES!$B$37:$B$300,0)),"")</f>
        <v/>
      </c>
      <c r="N705" s="21" t="n"/>
      <c r="O705" s="21" t="n"/>
      <c r="P705" s="21" t="n"/>
      <c r="Q705" s="21" t="n"/>
      <c r="R705" s="21">
        <f>IF($N705="","",$N705*IF($Q705="",1,$Q705)*IF($P705="",1,$P705)*IF($O705="",1,$O705))</f>
        <v/>
      </c>
      <c r="S705" s="22">
        <f>IFERROR(INDEX(CONFIGURACOES!$J$37:$J$300,MATCH($I705,CONFIGURACOES!$B$37:$B$300,0)),"")</f>
        <v/>
      </c>
      <c r="T705" s="22">
        <f>IF(OR($R705="",$S705=""),"",$R705*$S705)</f>
        <v/>
      </c>
      <c r="U705" s="20" t="n"/>
      <c r="V705" s="20" t="n"/>
      <c r="W705" s="20" t="n"/>
      <c r="X705">
        <f>IF($A705="","",$A705&amp;"|"&amp;$C705&amp;"|"&amp;$I705)</f>
        <v/>
      </c>
      <c r="Y705">
        <f>IF(AND($A705=RELATORIO_MEDICAO!$C$5,$C705=RELATORIO_MEDICAO!$F$5,$A705&lt;&gt;""),COUNTIFS($A$3:$A705,RELATORIO_MEDICAO!$C$5,$C$3:$C705,RELATORIO_MEDICAO!$F$5),"")</f>
        <v/>
      </c>
      <c r="Z705">
        <f>IF(OR($A705="",PESQUISA!$C$4=""),0,IF(OR(ISNUMBER(SEARCH(PESQUISA!$C$4,$G705)),ISNUMBER(SEARCH(PESQUISA!$C$4,$K705)),ISNUMBER(SEARCH(PESQUISA!$C$4,$L705))),1,0))</f>
        <v/>
      </c>
      <c r="AA705">
        <f>IF($Z705=1,SUM($Z$3:$Z705),"")</f>
        <v/>
      </c>
      <c r="AB705">
        <f>IF(OR($A705="",PESQUISA!$C$50=""),0,IF(ISNUMBER(SEARCH(PESQUISA!$C$50,$I705)),1,0))</f>
        <v/>
      </c>
      <c r="AC705">
        <f>IF($AB705=1,SUM($AB$3:$AB705),"")</f>
        <v/>
      </c>
    </row>
    <row r="706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>
        <f>IFERROR(INDEX(CONFIGURACOES!$G$37:$G$300,MATCH($I706,CONFIGURACOES!$B$37:$B$300,0)),"")</f>
        <v/>
      </c>
      <c r="K706" s="20">
        <f>IFERROR(INDEX(CONFIGURACOES!$H$37:$H$300,MATCH($I706,CONFIGURACOES!$B$37:$B$300,0)),"")</f>
        <v/>
      </c>
      <c r="L706" s="20" t="n"/>
      <c r="M706" s="20">
        <f>IFERROR(INDEX(CONFIGURACOES!$I$37:$I$300,MATCH($I706,CONFIGURACOES!$B$37:$B$300,0)),"")</f>
        <v/>
      </c>
      <c r="N706" s="21" t="n"/>
      <c r="O706" s="21" t="n"/>
      <c r="P706" s="21" t="n"/>
      <c r="Q706" s="21" t="n"/>
      <c r="R706" s="21">
        <f>IF($N706="","",$N706*IF($Q706="",1,$Q706)*IF($P706="",1,$P706)*IF($O706="",1,$O706))</f>
        <v/>
      </c>
      <c r="S706" s="22">
        <f>IFERROR(INDEX(CONFIGURACOES!$J$37:$J$300,MATCH($I706,CONFIGURACOES!$B$37:$B$300,0)),"")</f>
        <v/>
      </c>
      <c r="T706" s="22">
        <f>IF(OR($R706="",$S706=""),"",$R706*$S706)</f>
        <v/>
      </c>
      <c r="U706" s="20" t="n"/>
      <c r="V706" s="20" t="n"/>
      <c r="W706" s="20" t="n"/>
      <c r="X706">
        <f>IF($A706="","",$A706&amp;"|"&amp;$C706&amp;"|"&amp;$I706)</f>
        <v/>
      </c>
      <c r="Y706">
        <f>IF(AND($A706=RELATORIO_MEDICAO!$C$5,$C706=RELATORIO_MEDICAO!$F$5,$A706&lt;&gt;""),COUNTIFS($A$3:$A706,RELATORIO_MEDICAO!$C$5,$C$3:$C706,RELATORIO_MEDICAO!$F$5),"")</f>
        <v/>
      </c>
      <c r="Z706">
        <f>IF(OR($A706="",PESQUISA!$C$4=""),0,IF(OR(ISNUMBER(SEARCH(PESQUISA!$C$4,$G706)),ISNUMBER(SEARCH(PESQUISA!$C$4,$K706)),ISNUMBER(SEARCH(PESQUISA!$C$4,$L706))),1,0))</f>
        <v/>
      </c>
      <c r="AA706">
        <f>IF($Z706=1,SUM($Z$3:$Z706),"")</f>
        <v/>
      </c>
      <c r="AB706">
        <f>IF(OR($A706="",PESQUISA!$C$50=""),0,IF(ISNUMBER(SEARCH(PESQUISA!$C$50,$I706)),1,0))</f>
        <v/>
      </c>
      <c r="AC706">
        <f>IF($AB706=1,SUM($AB$3:$AB706),"")</f>
        <v/>
      </c>
    </row>
    <row r="707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>
        <f>IFERROR(INDEX(CONFIGURACOES!$G$37:$G$300,MATCH($I707,CONFIGURACOES!$B$37:$B$300,0)),"")</f>
        <v/>
      </c>
      <c r="K707" s="20">
        <f>IFERROR(INDEX(CONFIGURACOES!$H$37:$H$300,MATCH($I707,CONFIGURACOES!$B$37:$B$300,0)),"")</f>
        <v/>
      </c>
      <c r="L707" s="20" t="n"/>
      <c r="M707" s="20">
        <f>IFERROR(INDEX(CONFIGURACOES!$I$37:$I$300,MATCH($I707,CONFIGURACOES!$B$37:$B$300,0)),"")</f>
        <v/>
      </c>
      <c r="N707" s="21" t="n"/>
      <c r="O707" s="21" t="n"/>
      <c r="P707" s="21" t="n"/>
      <c r="Q707" s="21" t="n"/>
      <c r="R707" s="21">
        <f>IF($N707="","",$N707*IF($Q707="",1,$Q707)*IF($P707="",1,$P707)*IF($O707="",1,$O707))</f>
        <v/>
      </c>
      <c r="S707" s="22">
        <f>IFERROR(INDEX(CONFIGURACOES!$J$37:$J$300,MATCH($I707,CONFIGURACOES!$B$37:$B$300,0)),"")</f>
        <v/>
      </c>
      <c r="T707" s="22">
        <f>IF(OR($R707="",$S707=""),"",$R707*$S707)</f>
        <v/>
      </c>
      <c r="U707" s="20" t="n"/>
      <c r="V707" s="20" t="n"/>
      <c r="W707" s="20" t="n"/>
      <c r="X707">
        <f>IF($A707="","",$A707&amp;"|"&amp;$C707&amp;"|"&amp;$I707)</f>
        <v/>
      </c>
      <c r="Y707">
        <f>IF(AND($A707=RELATORIO_MEDICAO!$C$5,$C707=RELATORIO_MEDICAO!$F$5,$A707&lt;&gt;""),COUNTIFS($A$3:$A707,RELATORIO_MEDICAO!$C$5,$C$3:$C707,RELATORIO_MEDICAO!$F$5),"")</f>
        <v/>
      </c>
      <c r="Z707">
        <f>IF(OR($A707="",PESQUISA!$C$4=""),0,IF(OR(ISNUMBER(SEARCH(PESQUISA!$C$4,$G707)),ISNUMBER(SEARCH(PESQUISA!$C$4,$K707)),ISNUMBER(SEARCH(PESQUISA!$C$4,$L707))),1,0))</f>
        <v/>
      </c>
      <c r="AA707">
        <f>IF($Z707=1,SUM($Z$3:$Z707),"")</f>
        <v/>
      </c>
      <c r="AB707">
        <f>IF(OR($A707="",PESQUISA!$C$50=""),0,IF(ISNUMBER(SEARCH(PESQUISA!$C$50,$I707)),1,0))</f>
        <v/>
      </c>
      <c r="AC707">
        <f>IF($AB707=1,SUM($AB$3:$AB707),"")</f>
        <v/>
      </c>
    </row>
    <row r="708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>
        <f>IFERROR(INDEX(CONFIGURACOES!$G$37:$G$300,MATCH($I708,CONFIGURACOES!$B$37:$B$300,0)),"")</f>
        <v/>
      </c>
      <c r="K708" s="20">
        <f>IFERROR(INDEX(CONFIGURACOES!$H$37:$H$300,MATCH($I708,CONFIGURACOES!$B$37:$B$300,0)),"")</f>
        <v/>
      </c>
      <c r="L708" s="20" t="n"/>
      <c r="M708" s="20">
        <f>IFERROR(INDEX(CONFIGURACOES!$I$37:$I$300,MATCH($I708,CONFIGURACOES!$B$37:$B$300,0)),"")</f>
        <v/>
      </c>
      <c r="N708" s="21" t="n"/>
      <c r="O708" s="21" t="n"/>
      <c r="P708" s="21" t="n"/>
      <c r="Q708" s="21" t="n"/>
      <c r="R708" s="21">
        <f>IF($N708="","",$N708*IF($Q708="",1,$Q708)*IF($P708="",1,$P708)*IF($O708="",1,$O708))</f>
        <v/>
      </c>
      <c r="S708" s="22">
        <f>IFERROR(INDEX(CONFIGURACOES!$J$37:$J$300,MATCH($I708,CONFIGURACOES!$B$37:$B$300,0)),"")</f>
        <v/>
      </c>
      <c r="T708" s="22">
        <f>IF(OR($R708="",$S708=""),"",$R708*$S708)</f>
        <v/>
      </c>
      <c r="U708" s="20" t="n"/>
      <c r="V708" s="20" t="n"/>
      <c r="W708" s="20" t="n"/>
      <c r="X708">
        <f>IF($A708="","",$A708&amp;"|"&amp;$C708&amp;"|"&amp;$I708)</f>
        <v/>
      </c>
      <c r="Y708">
        <f>IF(AND($A708=RELATORIO_MEDICAO!$C$5,$C708=RELATORIO_MEDICAO!$F$5,$A708&lt;&gt;""),COUNTIFS($A$3:$A708,RELATORIO_MEDICAO!$C$5,$C$3:$C708,RELATORIO_MEDICAO!$F$5),"")</f>
        <v/>
      </c>
      <c r="Z708">
        <f>IF(OR($A708="",PESQUISA!$C$4=""),0,IF(OR(ISNUMBER(SEARCH(PESQUISA!$C$4,$G708)),ISNUMBER(SEARCH(PESQUISA!$C$4,$K708)),ISNUMBER(SEARCH(PESQUISA!$C$4,$L708))),1,0))</f>
        <v/>
      </c>
      <c r="AA708">
        <f>IF($Z708=1,SUM($Z$3:$Z708),"")</f>
        <v/>
      </c>
      <c r="AB708">
        <f>IF(OR($A708="",PESQUISA!$C$50=""),0,IF(ISNUMBER(SEARCH(PESQUISA!$C$50,$I708)),1,0))</f>
        <v/>
      </c>
      <c r="AC708">
        <f>IF($AB708=1,SUM($AB$3:$AB708),"")</f>
        <v/>
      </c>
    </row>
    <row r="709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>
        <f>IFERROR(INDEX(CONFIGURACOES!$G$37:$G$300,MATCH($I709,CONFIGURACOES!$B$37:$B$300,0)),"")</f>
        <v/>
      </c>
      <c r="K709" s="20">
        <f>IFERROR(INDEX(CONFIGURACOES!$H$37:$H$300,MATCH($I709,CONFIGURACOES!$B$37:$B$300,0)),"")</f>
        <v/>
      </c>
      <c r="L709" s="20" t="n"/>
      <c r="M709" s="20">
        <f>IFERROR(INDEX(CONFIGURACOES!$I$37:$I$300,MATCH($I709,CONFIGURACOES!$B$37:$B$300,0)),"")</f>
        <v/>
      </c>
      <c r="N709" s="21" t="n"/>
      <c r="O709" s="21" t="n"/>
      <c r="P709" s="21" t="n"/>
      <c r="Q709" s="21" t="n"/>
      <c r="R709" s="21">
        <f>IF($N709="","",$N709*IF($Q709="",1,$Q709)*IF($P709="",1,$P709)*IF($O709="",1,$O709))</f>
        <v/>
      </c>
      <c r="S709" s="22">
        <f>IFERROR(INDEX(CONFIGURACOES!$J$37:$J$300,MATCH($I709,CONFIGURACOES!$B$37:$B$300,0)),"")</f>
        <v/>
      </c>
      <c r="T709" s="22">
        <f>IF(OR($R709="",$S709=""),"",$R709*$S709)</f>
        <v/>
      </c>
      <c r="U709" s="20" t="n"/>
      <c r="V709" s="20" t="n"/>
      <c r="W709" s="20" t="n"/>
      <c r="X709">
        <f>IF($A709="","",$A709&amp;"|"&amp;$C709&amp;"|"&amp;$I709)</f>
        <v/>
      </c>
      <c r="Y709">
        <f>IF(AND($A709=RELATORIO_MEDICAO!$C$5,$C709=RELATORIO_MEDICAO!$F$5,$A709&lt;&gt;""),COUNTIFS($A$3:$A709,RELATORIO_MEDICAO!$C$5,$C$3:$C709,RELATORIO_MEDICAO!$F$5),"")</f>
        <v/>
      </c>
      <c r="Z709">
        <f>IF(OR($A709="",PESQUISA!$C$4=""),0,IF(OR(ISNUMBER(SEARCH(PESQUISA!$C$4,$G709)),ISNUMBER(SEARCH(PESQUISA!$C$4,$K709)),ISNUMBER(SEARCH(PESQUISA!$C$4,$L709))),1,0))</f>
        <v/>
      </c>
      <c r="AA709">
        <f>IF($Z709=1,SUM($Z$3:$Z709),"")</f>
        <v/>
      </c>
      <c r="AB709">
        <f>IF(OR($A709="",PESQUISA!$C$50=""),0,IF(ISNUMBER(SEARCH(PESQUISA!$C$50,$I709)),1,0))</f>
        <v/>
      </c>
      <c r="AC709">
        <f>IF($AB709=1,SUM($AB$3:$AB709),"")</f>
        <v/>
      </c>
    </row>
    <row r="710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>
        <f>IFERROR(INDEX(CONFIGURACOES!$G$37:$G$300,MATCH($I710,CONFIGURACOES!$B$37:$B$300,0)),"")</f>
        <v/>
      </c>
      <c r="K710" s="20">
        <f>IFERROR(INDEX(CONFIGURACOES!$H$37:$H$300,MATCH($I710,CONFIGURACOES!$B$37:$B$300,0)),"")</f>
        <v/>
      </c>
      <c r="L710" s="20" t="n"/>
      <c r="M710" s="20">
        <f>IFERROR(INDEX(CONFIGURACOES!$I$37:$I$300,MATCH($I710,CONFIGURACOES!$B$37:$B$300,0)),"")</f>
        <v/>
      </c>
      <c r="N710" s="21" t="n"/>
      <c r="O710" s="21" t="n"/>
      <c r="P710" s="21" t="n"/>
      <c r="Q710" s="21" t="n"/>
      <c r="R710" s="21">
        <f>IF($N710="","",$N710*IF($Q710="",1,$Q710)*IF($P710="",1,$P710)*IF($O710="",1,$O710))</f>
        <v/>
      </c>
      <c r="S710" s="22">
        <f>IFERROR(INDEX(CONFIGURACOES!$J$37:$J$300,MATCH($I710,CONFIGURACOES!$B$37:$B$300,0)),"")</f>
        <v/>
      </c>
      <c r="T710" s="22">
        <f>IF(OR($R710="",$S710=""),"",$R710*$S710)</f>
        <v/>
      </c>
      <c r="U710" s="20" t="n"/>
      <c r="V710" s="20" t="n"/>
      <c r="W710" s="20" t="n"/>
      <c r="X710">
        <f>IF($A710="","",$A710&amp;"|"&amp;$C710&amp;"|"&amp;$I710)</f>
        <v/>
      </c>
      <c r="Y710">
        <f>IF(AND($A710=RELATORIO_MEDICAO!$C$5,$C710=RELATORIO_MEDICAO!$F$5,$A710&lt;&gt;""),COUNTIFS($A$3:$A710,RELATORIO_MEDICAO!$C$5,$C$3:$C710,RELATORIO_MEDICAO!$F$5),"")</f>
        <v/>
      </c>
      <c r="Z710">
        <f>IF(OR($A710="",PESQUISA!$C$4=""),0,IF(OR(ISNUMBER(SEARCH(PESQUISA!$C$4,$G710)),ISNUMBER(SEARCH(PESQUISA!$C$4,$K710)),ISNUMBER(SEARCH(PESQUISA!$C$4,$L710))),1,0))</f>
        <v/>
      </c>
      <c r="AA710">
        <f>IF($Z710=1,SUM($Z$3:$Z710),"")</f>
        <v/>
      </c>
      <c r="AB710">
        <f>IF(OR($A710="",PESQUISA!$C$50=""),0,IF(ISNUMBER(SEARCH(PESQUISA!$C$50,$I710)),1,0))</f>
        <v/>
      </c>
      <c r="AC710">
        <f>IF($AB710=1,SUM($AB$3:$AB710),"")</f>
        <v/>
      </c>
    </row>
    <row r="711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>
        <f>IFERROR(INDEX(CONFIGURACOES!$G$37:$G$300,MATCH($I711,CONFIGURACOES!$B$37:$B$300,0)),"")</f>
        <v/>
      </c>
      <c r="K711" s="20">
        <f>IFERROR(INDEX(CONFIGURACOES!$H$37:$H$300,MATCH($I711,CONFIGURACOES!$B$37:$B$300,0)),"")</f>
        <v/>
      </c>
      <c r="L711" s="20" t="n"/>
      <c r="M711" s="20">
        <f>IFERROR(INDEX(CONFIGURACOES!$I$37:$I$300,MATCH($I711,CONFIGURACOES!$B$37:$B$300,0)),"")</f>
        <v/>
      </c>
      <c r="N711" s="21" t="n"/>
      <c r="O711" s="21" t="n"/>
      <c r="P711" s="21" t="n"/>
      <c r="Q711" s="21" t="n"/>
      <c r="R711" s="21">
        <f>IF($N711="","",$N711*IF($Q711="",1,$Q711)*IF($P711="",1,$P711)*IF($O711="",1,$O711))</f>
        <v/>
      </c>
      <c r="S711" s="22">
        <f>IFERROR(INDEX(CONFIGURACOES!$J$37:$J$300,MATCH($I711,CONFIGURACOES!$B$37:$B$300,0)),"")</f>
        <v/>
      </c>
      <c r="T711" s="22">
        <f>IF(OR($R711="",$S711=""),"",$R711*$S711)</f>
        <v/>
      </c>
      <c r="U711" s="20" t="n"/>
      <c r="V711" s="20" t="n"/>
      <c r="W711" s="20" t="n"/>
      <c r="X711">
        <f>IF($A711="","",$A711&amp;"|"&amp;$C711&amp;"|"&amp;$I711)</f>
        <v/>
      </c>
      <c r="Y711">
        <f>IF(AND($A711=RELATORIO_MEDICAO!$C$5,$C711=RELATORIO_MEDICAO!$F$5,$A711&lt;&gt;""),COUNTIFS($A$3:$A711,RELATORIO_MEDICAO!$C$5,$C$3:$C711,RELATORIO_MEDICAO!$F$5),"")</f>
        <v/>
      </c>
      <c r="Z711">
        <f>IF(OR($A711="",PESQUISA!$C$4=""),0,IF(OR(ISNUMBER(SEARCH(PESQUISA!$C$4,$G711)),ISNUMBER(SEARCH(PESQUISA!$C$4,$K711)),ISNUMBER(SEARCH(PESQUISA!$C$4,$L711))),1,0))</f>
        <v/>
      </c>
      <c r="AA711">
        <f>IF($Z711=1,SUM($Z$3:$Z711),"")</f>
        <v/>
      </c>
      <c r="AB711">
        <f>IF(OR($A711="",PESQUISA!$C$50=""),0,IF(ISNUMBER(SEARCH(PESQUISA!$C$50,$I711)),1,0))</f>
        <v/>
      </c>
      <c r="AC711">
        <f>IF($AB711=1,SUM($AB$3:$AB711),"")</f>
        <v/>
      </c>
    </row>
    <row r="712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>
        <f>IFERROR(INDEX(CONFIGURACOES!$G$37:$G$300,MATCH($I712,CONFIGURACOES!$B$37:$B$300,0)),"")</f>
        <v/>
      </c>
      <c r="K712" s="20">
        <f>IFERROR(INDEX(CONFIGURACOES!$H$37:$H$300,MATCH($I712,CONFIGURACOES!$B$37:$B$300,0)),"")</f>
        <v/>
      </c>
      <c r="L712" s="20" t="n"/>
      <c r="M712" s="20">
        <f>IFERROR(INDEX(CONFIGURACOES!$I$37:$I$300,MATCH($I712,CONFIGURACOES!$B$37:$B$300,0)),"")</f>
        <v/>
      </c>
      <c r="N712" s="21" t="n"/>
      <c r="O712" s="21" t="n"/>
      <c r="P712" s="21" t="n"/>
      <c r="Q712" s="21" t="n"/>
      <c r="R712" s="21">
        <f>IF($N712="","",$N712*IF($Q712="",1,$Q712)*IF($P712="",1,$P712)*IF($O712="",1,$O712))</f>
        <v/>
      </c>
      <c r="S712" s="22">
        <f>IFERROR(INDEX(CONFIGURACOES!$J$37:$J$300,MATCH($I712,CONFIGURACOES!$B$37:$B$300,0)),"")</f>
        <v/>
      </c>
      <c r="T712" s="22">
        <f>IF(OR($R712="",$S712=""),"",$R712*$S712)</f>
        <v/>
      </c>
      <c r="U712" s="20" t="n"/>
      <c r="V712" s="20" t="n"/>
      <c r="W712" s="20" t="n"/>
      <c r="X712">
        <f>IF($A712="","",$A712&amp;"|"&amp;$C712&amp;"|"&amp;$I712)</f>
        <v/>
      </c>
      <c r="Y712">
        <f>IF(AND($A712=RELATORIO_MEDICAO!$C$5,$C712=RELATORIO_MEDICAO!$F$5,$A712&lt;&gt;""),COUNTIFS($A$3:$A712,RELATORIO_MEDICAO!$C$5,$C$3:$C712,RELATORIO_MEDICAO!$F$5),"")</f>
        <v/>
      </c>
      <c r="Z712">
        <f>IF(OR($A712="",PESQUISA!$C$4=""),0,IF(OR(ISNUMBER(SEARCH(PESQUISA!$C$4,$G712)),ISNUMBER(SEARCH(PESQUISA!$C$4,$K712)),ISNUMBER(SEARCH(PESQUISA!$C$4,$L712))),1,0))</f>
        <v/>
      </c>
      <c r="AA712">
        <f>IF($Z712=1,SUM($Z$3:$Z712),"")</f>
        <v/>
      </c>
      <c r="AB712">
        <f>IF(OR($A712="",PESQUISA!$C$50=""),0,IF(ISNUMBER(SEARCH(PESQUISA!$C$50,$I712)),1,0))</f>
        <v/>
      </c>
      <c r="AC712">
        <f>IF($AB712=1,SUM($AB$3:$AB712),"")</f>
        <v/>
      </c>
    </row>
    <row r="713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>
        <f>IFERROR(INDEX(CONFIGURACOES!$G$37:$G$300,MATCH($I713,CONFIGURACOES!$B$37:$B$300,0)),"")</f>
        <v/>
      </c>
      <c r="K713" s="20">
        <f>IFERROR(INDEX(CONFIGURACOES!$H$37:$H$300,MATCH($I713,CONFIGURACOES!$B$37:$B$300,0)),"")</f>
        <v/>
      </c>
      <c r="L713" s="20" t="n"/>
      <c r="M713" s="20">
        <f>IFERROR(INDEX(CONFIGURACOES!$I$37:$I$300,MATCH($I713,CONFIGURACOES!$B$37:$B$300,0)),"")</f>
        <v/>
      </c>
      <c r="N713" s="21" t="n"/>
      <c r="O713" s="21" t="n"/>
      <c r="P713" s="21" t="n"/>
      <c r="Q713" s="21" t="n"/>
      <c r="R713" s="21">
        <f>IF($N713="","",$N713*IF($Q713="",1,$Q713)*IF($P713="",1,$P713)*IF($O713="",1,$O713))</f>
        <v/>
      </c>
      <c r="S713" s="22">
        <f>IFERROR(INDEX(CONFIGURACOES!$J$37:$J$300,MATCH($I713,CONFIGURACOES!$B$37:$B$300,0)),"")</f>
        <v/>
      </c>
      <c r="T713" s="22">
        <f>IF(OR($R713="",$S713=""),"",$R713*$S713)</f>
        <v/>
      </c>
      <c r="U713" s="20" t="n"/>
      <c r="V713" s="20" t="n"/>
      <c r="W713" s="20" t="n"/>
      <c r="X713">
        <f>IF($A713="","",$A713&amp;"|"&amp;$C713&amp;"|"&amp;$I713)</f>
        <v/>
      </c>
      <c r="Y713">
        <f>IF(AND($A713=RELATORIO_MEDICAO!$C$5,$C713=RELATORIO_MEDICAO!$F$5,$A713&lt;&gt;""),COUNTIFS($A$3:$A713,RELATORIO_MEDICAO!$C$5,$C$3:$C713,RELATORIO_MEDICAO!$F$5),"")</f>
        <v/>
      </c>
      <c r="Z713">
        <f>IF(OR($A713="",PESQUISA!$C$4=""),0,IF(OR(ISNUMBER(SEARCH(PESQUISA!$C$4,$G713)),ISNUMBER(SEARCH(PESQUISA!$C$4,$K713)),ISNUMBER(SEARCH(PESQUISA!$C$4,$L713))),1,0))</f>
        <v/>
      </c>
      <c r="AA713">
        <f>IF($Z713=1,SUM($Z$3:$Z713),"")</f>
        <v/>
      </c>
      <c r="AB713">
        <f>IF(OR($A713="",PESQUISA!$C$50=""),0,IF(ISNUMBER(SEARCH(PESQUISA!$C$50,$I713)),1,0))</f>
        <v/>
      </c>
      <c r="AC713">
        <f>IF($AB713=1,SUM($AB$3:$AB713),"")</f>
        <v/>
      </c>
    </row>
    <row r="714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>
        <f>IFERROR(INDEX(CONFIGURACOES!$G$37:$G$300,MATCH($I714,CONFIGURACOES!$B$37:$B$300,0)),"")</f>
        <v/>
      </c>
      <c r="K714" s="20">
        <f>IFERROR(INDEX(CONFIGURACOES!$H$37:$H$300,MATCH($I714,CONFIGURACOES!$B$37:$B$300,0)),"")</f>
        <v/>
      </c>
      <c r="L714" s="20" t="n"/>
      <c r="M714" s="20">
        <f>IFERROR(INDEX(CONFIGURACOES!$I$37:$I$300,MATCH($I714,CONFIGURACOES!$B$37:$B$300,0)),"")</f>
        <v/>
      </c>
      <c r="N714" s="21" t="n"/>
      <c r="O714" s="21" t="n"/>
      <c r="P714" s="21" t="n"/>
      <c r="Q714" s="21" t="n"/>
      <c r="R714" s="21">
        <f>IF($N714="","",$N714*IF($Q714="",1,$Q714)*IF($P714="",1,$P714)*IF($O714="",1,$O714))</f>
        <v/>
      </c>
      <c r="S714" s="22">
        <f>IFERROR(INDEX(CONFIGURACOES!$J$37:$J$300,MATCH($I714,CONFIGURACOES!$B$37:$B$300,0)),"")</f>
        <v/>
      </c>
      <c r="T714" s="22">
        <f>IF(OR($R714="",$S714=""),"",$R714*$S714)</f>
        <v/>
      </c>
      <c r="U714" s="20" t="n"/>
      <c r="V714" s="20" t="n"/>
      <c r="W714" s="20" t="n"/>
      <c r="X714">
        <f>IF($A714="","",$A714&amp;"|"&amp;$C714&amp;"|"&amp;$I714)</f>
        <v/>
      </c>
      <c r="Y714">
        <f>IF(AND($A714=RELATORIO_MEDICAO!$C$5,$C714=RELATORIO_MEDICAO!$F$5,$A714&lt;&gt;""),COUNTIFS($A$3:$A714,RELATORIO_MEDICAO!$C$5,$C$3:$C714,RELATORIO_MEDICAO!$F$5),"")</f>
        <v/>
      </c>
      <c r="Z714">
        <f>IF(OR($A714="",PESQUISA!$C$4=""),0,IF(OR(ISNUMBER(SEARCH(PESQUISA!$C$4,$G714)),ISNUMBER(SEARCH(PESQUISA!$C$4,$K714)),ISNUMBER(SEARCH(PESQUISA!$C$4,$L714))),1,0))</f>
        <v/>
      </c>
      <c r="AA714">
        <f>IF($Z714=1,SUM($Z$3:$Z714),"")</f>
        <v/>
      </c>
      <c r="AB714">
        <f>IF(OR($A714="",PESQUISA!$C$50=""),0,IF(ISNUMBER(SEARCH(PESQUISA!$C$50,$I714)),1,0))</f>
        <v/>
      </c>
      <c r="AC714">
        <f>IF($AB714=1,SUM($AB$3:$AB714),"")</f>
        <v/>
      </c>
    </row>
    <row r="7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>
        <f>IFERROR(INDEX(CONFIGURACOES!$G$37:$G$300,MATCH($I715,CONFIGURACOES!$B$37:$B$300,0)),"")</f>
        <v/>
      </c>
      <c r="K715" s="20">
        <f>IFERROR(INDEX(CONFIGURACOES!$H$37:$H$300,MATCH($I715,CONFIGURACOES!$B$37:$B$300,0)),"")</f>
        <v/>
      </c>
      <c r="L715" s="20" t="n"/>
      <c r="M715" s="20">
        <f>IFERROR(INDEX(CONFIGURACOES!$I$37:$I$300,MATCH($I715,CONFIGURACOES!$B$37:$B$300,0)),"")</f>
        <v/>
      </c>
      <c r="N715" s="21" t="n"/>
      <c r="O715" s="21" t="n"/>
      <c r="P715" s="21" t="n"/>
      <c r="Q715" s="21" t="n"/>
      <c r="R715" s="21">
        <f>IF($N715="","",$N715*IF($Q715="",1,$Q715)*IF($P715="",1,$P715)*IF($O715="",1,$O715))</f>
        <v/>
      </c>
      <c r="S715" s="22">
        <f>IFERROR(INDEX(CONFIGURACOES!$J$37:$J$300,MATCH($I715,CONFIGURACOES!$B$37:$B$300,0)),"")</f>
        <v/>
      </c>
      <c r="T715" s="22">
        <f>IF(OR($R715="",$S715=""),"",$R715*$S715)</f>
        <v/>
      </c>
      <c r="U715" s="20" t="n"/>
      <c r="V715" s="20" t="n"/>
      <c r="W715" s="20" t="n"/>
      <c r="X715">
        <f>IF($A715="","",$A715&amp;"|"&amp;$C715&amp;"|"&amp;$I715)</f>
        <v/>
      </c>
      <c r="Y715">
        <f>IF(AND($A715=RELATORIO_MEDICAO!$C$5,$C715=RELATORIO_MEDICAO!$F$5,$A715&lt;&gt;""),COUNTIFS($A$3:$A715,RELATORIO_MEDICAO!$C$5,$C$3:$C715,RELATORIO_MEDICAO!$F$5),"")</f>
        <v/>
      </c>
      <c r="Z715">
        <f>IF(OR($A715="",PESQUISA!$C$4=""),0,IF(OR(ISNUMBER(SEARCH(PESQUISA!$C$4,$G715)),ISNUMBER(SEARCH(PESQUISA!$C$4,$K715)),ISNUMBER(SEARCH(PESQUISA!$C$4,$L715))),1,0))</f>
        <v/>
      </c>
      <c r="AA715">
        <f>IF($Z715=1,SUM($Z$3:$Z715),"")</f>
        <v/>
      </c>
      <c r="AB715">
        <f>IF(OR($A715="",PESQUISA!$C$50=""),0,IF(ISNUMBER(SEARCH(PESQUISA!$C$50,$I715)),1,0))</f>
        <v/>
      </c>
      <c r="AC715">
        <f>IF($AB715=1,SUM($AB$3:$AB715),"")</f>
        <v/>
      </c>
    </row>
    <row r="716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>
        <f>IFERROR(INDEX(CONFIGURACOES!$G$37:$G$300,MATCH($I716,CONFIGURACOES!$B$37:$B$300,0)),"")</f>
        <v/>
      </c>
      <c r="K716" s="20">
        <f>IFERROR(INDEX(CONFIGURACOES!$H$37:$H$300,MATCH($I716,CONFIGURACOES!$B$37:$B$300,0)),"")</f>
        <v/>
      </c>
      <c r="L716" s="20" t="n"/>
      <c r="M716" s="20">
        <f>IFERROR(INDEX(CONFIGURACOES!$I$37:$I$300,MATCH($I716,CONFIGURACOES!$B$37:$B$300,0)),"")</f>
        <v/>
      </c>
      <c r="N716" s="21" t="n"/>
      <c r="O716" s="21" t="n"/>
      <c r="P716" s="21" t="n"/>
      <c r="Q716" s="21" t="n"/>
      <c r="R716" s="21">
        <f>IF($N716="","",$N716*IF($Q716="",1,$Q716)*IF($P716="",1,$P716)*IF($O716="",1,$O716))</f>
        <v/>
      </c>
      <c r="S716" s="22">
        <f>IFERROR(INDEX(CONFIGURACOES!$J$37:$J$300,MATCH($I716,CONFIGURACOES!$B$37:$B$300,0)),"")</f>
        <v/>
      </c>
      <c r="T716" s="22">
        <f>IF(OR($R716="",$S716=""),"",$R716*$S716)</f>
        <v/>
      </c>
      <c r="U716" s="20" t="n"/>
      <c r="V716" s="20" t="n"/>
      <c r="W716" s="20" t="n"/>
      <c r="X716">
        <f>IF($A716="","",$A716&amp;"|"&amp;$C716&amp;"|"&amp;$I716)</f>
        <v/>
      </c>
      <c r="Y716">
        <f>IF(AND($A716=RELATORIO_MEDICAO!$C$5,$C716=RELATORIO_MEDICAO!$F$5,$A716&lt;&gt;""),COUNTIFS($A$3:$A716,RELATORIO_MEDICAO!$C$5,$C$3:$C716,RELATORIO_MEDICAO!$F$5),"")</f>
        <v/>
      </c>
      <c r="Z716">
        <f>IF(OR($A716="",PESQUISA!$C$4=""),0,IF(OR(ISNUMBER(SEARCH(PESQUISA!$C$4,$G716)),ISNUMBER(SEARCH(PESQUISA!$C$4,$K716)),ISNUMBER(SEARCH(PESQUISA!$C$4,$L716))),1,0))</f>
        <v/>
      </c>
      <c r="AA716">
        <f>IF($Z716=1,SUM($Z$3:$Z716),"")</f>
        <v/>
      </c>
      <c r="AB716">
        <f>IF(OR($A716="",PESQUISA!$C$50=""),0,IF(ISNUMBER(SEARCH(PESQUISA!$C$50,$I716)),1,0))</f>
        <v/>
      </c>
      <c r="AC716">
        <f>IF($AB716=1,SUM($AB$3:$AB716),"")</f>
        <v/>
      </c>
    </row>
    <row r="717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>
        <f>IFERROR(INDEX(CONFIGURACOES!$G$37:$G$300,MATCH($I717,CONFIGURACOES!$B$37:$B$300,0)),"")</f>
        <v/>
      </c>
      <c r="K717" s="20">
        <f>IFERROR(INDEX(CONFIGURACOES!$H$37:$H$300,MATCH($I717,CONFIGURACOES!$B$37:$B$300,0)),"")</f>
        <v/>
      </c>
      <c r="L717" s="20" t="n"/>
      <c r="M717" s="20">
        <f>IFERROR(INDEX(CONFIGURACOES!$I$37:$I$300,MATCH($I717,CONFIGURACOES!$B$37:$B$300,0)),"")</f>
        <v/>
      </c>
      <c r="N717" s="21" t="n"/>
      <c r="O717" s="21" t="n"/>
      <c r="P717" s="21" t="n"/>
      <c r="Q717" s="21" t="n"/>
      <c r="R717" s="21">
        <f>IF($N717="","",$N717*IF($Q717="",1,$Q717)*IF($P717="",1,$P717)*IF($O717="",1,$O717))</f>
        <v/>
      </c>
      <c r="S717" s="22">
        <f>IFERROR(INDEX(CONFIGURACOES!$J$37:$J$300,MATCH($I717,CONFIGURACOES!$B$37:$B$300,0)),"")</f>
        <v/>
      </c>
      <c r="T717" s="22">
        <f>IF(OR($R717="",$S717=""),"",$R717*$S717)</f>
        <v/>
      </c>
      <c r="U717" s="20" t="n"/>
      <c r="V717" s="20" t="n"/>
      <c r="W717" s="20" t="n"/>
      <c r="X717">
        <f>IF($A717="","",$A717&amp;"|"&amp;$C717&amp;"|"&amp;$I717)</f>
        <v/>
      </c>
      <c r="Y717">
        <f>IF(AND($A717=RELATORIO_MEDICAO!$C$5,$C717=RELATORIO_MEDICAO!$F$5,$A717&lt;&gt;""),COUNTIFS($A$3:$A717,RELATORIO_MEDICAO!$C$5,$C$3:$C717,RELATORIO_MEDICAO!$F$5),"")</f>
        <v/>
      </c>
      <c r="Z717">
        <f>IF(OR($A717="",PESQUISA!$C$4=""),0,IF(OR(ISNUMBER(SEARCH(PESQUISA!$C$4,$G717)),ISNUMBER(SEARCH(PESQUISA!$C$4,$K717)),ISNUMBER(SEARCH(PESQUISA!$C$4,$L717))),1,0))</f>
        <v/>
      </c>
      <c r="AA717">
        <f>IF($Z717=1,SUM($Z$3:$Z717),"")</f>
        <v/>
      </c>
      <c r="AB717">
        <f>IF(OR($A717="",PESQUISA!$C$50=""),0,IF(ISNUMBER(SEARCH(PESQUISA!$C$50,$I717)),1,0))</f>
        <v/>
      </c>
      <c r="AC717">
        <f>IF($AB717=1,SUM($AB$3:$AB717),"")</f>
        <v/>
      </c>
    </row>
    <row r="71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>
        <f>IFERROR(INDEX(CONFIGURACOES!$G$37:$G$300,MATCH($I718,CONFIGURACOES!$B$37:$B$300,0)),"")</f>
        <v/>
      </c>
      <c r="K718" s="20">
        <f>IFERROR(INDEX(CONFIGURACOES!$H$37:$H$300,MATCH($I718,CONFIGURACOES!$B$37:$B$300,0)),"")</f>
        <v/>
      </c>
      <c r="L718" s="20" t="n"/>
      <c r="M718" s="20">
        <f>IFERROR(INDEX(CONFIGURACOES!$I$37:$I$300,MATCH($I718,CONFIGURACOES!$B$37:$B$300,0)),"")</f>
        <v/>
      </c>
      <c r="N718" s="21" t="n"/>
      <c r="O718" s="21" t="n"/>
      <c r="P718" s="21" t="n"/>
      <c r="Q718" s="21" t="n"/>
      <c r="R718" s="21">
        <f>IF($N718="","",$N718*IF($Q718="",1,$Q718)*IF($P718="",1,$P718)*IF($O718="",1,$O718))</f>
        <v/>
      </c>
      <c r="S718" s="22">
        <f>IFERROR(INDEX(CONFIGURACOES!$J$37:$J$300,MATCH($I718,CONFIGURACOES!$B$37:$B$300,0)),"")</f>
        <v/>
      </c>
      <c r="T718" s="22">
        <f>IF(OR($R718="",$S718=""),"",$R718*$S718)</f>
        <v/>
      </c>
      <c r="U718" s="20" t="n"/>
      <c r="V718" s="20" t="n"/>
      <c r="W718" s="20" t="n"/>
      <c r="X718">
        <f>IF($A718="","",$A718&amp;"|"&amp;$C718&amp;"|"&amp;$I718)</f>
        <v/>
      </c>
      <c r="Y718">
        <f>IF(AND($A718=RELATORIO_MEDICAO!$C$5,$C718=RELATORIO_MEDICAO!$F$5,$A718&lt;&gt;""),COUNTIFS($A$3:$A718,RELATORIO_MEDICAO!$C$5,$C$3:$C718,RELATORIO_MEDICAO!$F$5),"")</f>
        <v/>
      </c>
      <c r="Z718">
        <f>IF(OR($A718="",PESQUISA!$C$4=""),0,IF(OR(ISNUMBER(SEARCH(PESQUISA!$C$4,$G718)),ISNUMBER(SEARCH(PESQUISA!$C$4,$K718)),ISNUMBER(SEARCH(PESQUISA!$C$4,$L718))),1,0))</f>
        <v/>
      </c>
      <c r="AA718">
        <f>IF($Z718=1,SUM($Z$3:$Z718),"")</f>
        <v/>
      </c>
      <c r="AB718">
        <f>IF(OR($A718="",PESQUISA!$C$50=""),0,IF(ISNUMBER(SEARCH(PESQUISA!$C$50,$I718)),1,0))</f>
        <v/>
      </c>
      <c r="AC718">
        <f>IF($AB718=1,SUM($AB$3:$AB718),"")</f>
        <v/>
      </c>
    </row>
    <row r="719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>
        <f>IFERROR(INDEX(CONFIGURACOES!$G$37:$G$300,MATCH($I719,CONFIGURACOES!$B$37:$B$300,0)),"")</f>
        <v/>
      </c>
      <c r="K719" s="20">
        <f>IFERROR(INDEX(CONFIGURACOES!$H$37:$H$300,MATCH($I719,CONFIGURACOES!$B$37:$B$300,0)),"")</f>
        <v/>
      </c>
      <c r="L719" s="20" t="n"/>
      <c r="M719" s="20">
        <f>IFERROR(INDEX(CONFIGURACOES!$I$37:$I$300,MATCH($I719,CONFIGURACOES!$B$37:$B$300,0)),"")</f>
        <v/>
      </c>
      <c r="N719" s="21" t="n"/>
      <c r="O719" s="21" t="n"/>
      <c r="P719" s="21" t="n"/>
      <c r="Q719" s="21" t="n"/>
      <c r="R719" s="21">
        <f>IF($N719="","",$N719*IF($Q719="",1,$Q719)*IF($P719="",1,$P719)*IF($O719="",1,$O719))</f>
        <v/>
      </c>
      <c r="S719" s="22">
        <f>IFERROR(INDEX(CONFIGURACOES!$J$37:$J$300,MATCH($I719,CONFIGURACOES!$B$37:$B$300,0)),"")</f>
        <v/>
      </c>
      <c r="T719" s="22">
        <f>IF(OR($R719="",$S719=""),"",$R719*$S719)</f>
        <v/>
      </c>
      <c r="U719" s="20" t="n"/>
      <c r="V719" s="20" t="n"/>
      <c r="W719" s="20" t="n"/>
      <c r="X719">
        <f>IF($A719="","",$A719&amp;"|"&amp;$C719&amp;"|"&amp;$I719)</f>
        <v/>
      </c>
      <c r="Y719">
        <f>IF(AND($A719=RELATORIO_MEDICAO!$C$5,$C719=RELATORIO_MEDICAO!$F$5,$A719&lt;&gt;""),COUNTIFS($A$3:$A719,RELATORIO_MEDICAO!$C$5,$C$3:$C719,RELATORIO_MEDICAO!$F$5),"")</f>
        <v/>
      </c>
      <c r="Z719">
        <f>IF(OR($A719="",PESQUISA!$C$4=""),0,IF(OR(ISNUMBER(SEARCH(PESQUISA!$C$4,$G719)),ISNUMBER(SEARCH(PESQUISA!$C$4,$K719)),ISNUMBER(SEARCH(PESQUISA!$C$4,$L719))),1,0))</f>
        <v/>
      </c>
      <c r="AA719">
        <f>IF($Z719=1,SUM($Z$3:$Z719),"")</f>
        <v/>
      </c>
      <c r="AB719">
        <f>IF(OR($A719="",PESQUISA!$C$50=""),0,IF(ISNUMBER(SEARCH(PESQUISA!$C$50,$I719)),1,0))</f>
        <v/>
      </c>
      <c r="AC719">
        <f>IF($AB719=1,SUM($AB$3:$AB719),"")</f>
        <v/>
      </c>
    </row>
    <row r="720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>
        <f>IFERROR(INDEX(CONFIGURACOES!$G$37:$G$300,MATCH($I720,CONFIGURACOES!$B$37:$B$300,0)),"")</f>
        <v/>
      </c>
      <c r="K720" s="20">
        <f>IFERROR(INDEX(CONFIGURACOES!$H$37:$H$300,MATCH($I720,CONFIGURACOES!$B$37:$B$300,0)),"")</f>
        <v/>
      </c>
      <c r="L720" s="20" t="n"/>
      <c r="M720" s="20">
        <f>IFERROR(INDEX(CONFIGURACOES!$I$37:$I$300,MATCH($I720,CONFIGURACOES!$B$37:$B$300,0)),"")</f>
        <v/>
      </c>
      <c r="N720" s="21" t="n"/>
      <c r="O720" s="21" t="n"/>
      <c r="P720" s="21" t="n"/>
      <c r="Q720" s="21" t="n"/>
      <c r="R720" s="21">
        <f>IF($N720="","",$N720*IF($Q720="",1,$Q720)*IF($P720="",1,$P720)*IF($O720="",1,$O720))</f>
        <v/>
      </c>
      <c r="S720" s="22">
        <f>IFERROR(INDEX(CONFIGURACOES!$J$37:$J$300,MATCH($I720,CONFIGURACOES!$B$37:$B$300,0)),"")</f>
        <v/>
      </c>
      <c r="T720" s="22">
        <f>IF(OR($R720="",$S720=""),"",$R720*$S720)</f>
        <v/>
      </c>
      <c r="U720" s="20" t="n"/>
      <c r="V720" s="20" t="n"/>
      <c r="W720" s="20" t="n"/>
      <c r="X720">
        <f>IF($A720="","",$A720&amp;"|"&amp;$C720&amp;"|"&amp;$I720)</f>
        <v/>
      </c>
      <c r="Y720">
        <f>IF(AND($A720=RELATORIO_MEDICAO!$C$5,$C720=RELATORIO_MEDICAO!$F$5,$A720&lt;&gt;""),COUNTIFS($A$3:$A720,RELATORIO_MEDICAO!$C$5,$C$3:$C720,RELATORIO_MEDICAO!$F$5),"")</f>
        <v/>
      </c>
      <c r="Z720">
        <f>IF(OR($A720="",PESQUISA!$C$4=""),0,IF(OR(ISNUMBER(SEARCH(PESQUISA!$C$4,$G720)),ISNUMBER(SEARCH(PESQUISA!$C$4,$K720)),ISNUMBER(SEARCH(PESQUISA!$C$4,$L720))),1,0))</f>
        <v/>
      </c>
      <c r="AA720">
        <f>IF($Z720=1,SUM($Z$3:$Z720),"")</f>
        <v/>
      </c>
      <c r="AB720">
        <f>IF(OR($A720="",PESQUISA!$C$50=""),0,IF(ISNUMBER(SEARCH(PESQUISA!$C$50,$I720)),1,0))</f>
        <v/>
      </c>
      <c r="AC720">
        <f>IF($AB720=1,SUM($AB$3:$AB720),"")</f>
        <v/>
      </c>
    </row>
    <row r="721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>
        <f>IFERROR(INDEX(CONFIGURACOES!$G$37:$G$300,MATCH($I721,CONFIGURACOES!$B$37:$B$300,0)),"")</f>
        <v/>
      </c>
      <c r="K721" s="20">
        <f>IFERROR(INDEX(CONFIGURACOES!$H$37:$H$300,MATCH($I721,CONFIGURACOES!$B$37:$B$300,0)),"")</f>
        <v/>
      </c>
      <c r="L721" s="20" t="n"/>
      <c r="M721" s="20">
        <f>IFERROR(INDEX(CONFIGURACOES!$I$37:$I$300,MATCH($I721,CONFIGURACOES!$B$37:$B$300,0)),"")</f>
        <v/>
      </c>
      <c r="N721" s="21" t="n"/>
      <c r="O721" s="21" t="n"/>
      <c r="P721" s="21" t="n"/>
      <c r="Q721" s="21" t="n"/>
      <c r="R721" s="21">
        <f>IF($N721="","",$N721*IF($Q721="",1,$Q721)*IF($P721="",1,$P721)*IF($O721="",1,$O721))</f>
        <v/>
      </c>
      <c r="S721" s="22">
        <f>IFERROR(INDEX(CONFIGURACOES!$J$37:$J$300,MATCH($I721,CONFIGURACOES!$B$37:$B$300,0)),"")</f>
        <v/>
      </c>
      <c r="T721" s="22">
        <f>IF(OR($R721="",$S721=""),"",$R721*$S721)</f>
        <v/>
      </c>
      <c r="U721" s="20" t="n"/>
      <c r="V721" s="20" t="n"/>
      <c r="W721" s="20" t="n"/>
      <c r="X721">
        <f>IF($A721="","",$A721&amp;"|"&amp;$C721&amp;"|"&amp;$I721)</f>
        <v/>
      </c>
      <c r="Y721">
        <f>IF(AND($A721=RELATORIO_MEDICAO!$C$5,$C721=RELATORIO_MEDICAO!$F$5,$A721&lt;&gt;""),COUNTIFS($A$3:$A721,RELATORIO_MEDICAO!$C$5,$C$3:$C721,RELATORIO_MEDICAO!$F$5),"")</f>
        <v/>
      </c>
      <c r="Z721">
        <f>IF(OR($A721="",PESQUISA!$C$4=""),0,IF(OR(ISNUMBER(SEARCH(PESQUISA!$C$4,$G721)),ISNUMBER(SEARCH(PESQUISA!$C$4,$K721)),ISNUMBER(SEARCH(PESQUISA!$C$4,$L721))),1,0))</f>
        <v/>
      </c>
      <c r="AA721">
        <f>IF($Z721=1,SUM($Z$3:$Z721),"")</f>
        <v/>
      </c>
      <c r="AB721">
        <f>IF(OR($A721="",PESQUISA!$C$50=""),0,IF(ISNUMBER(SEARCH(PESQUISA!$C$50,$I721)),1,0))</f>
        <v/>
      </c>
      <c r="AC721">
        <f>IF($AB721=1,SUM($AB$3:$AB721),"")</f>
        <v/>
      </c>
    </row>
    <row r="722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>
        <f>IFERROR(INDEX(CONFIGURACOES!$G$37:$G$300,MATCH($I722,CONFIGURACOES!$B$37:$B$300,0)),"")</f>
        <v/>
      </c>
      <c r="K722" s="20">
        <f>IFERROR(INDEX(CONFIGURACOES!$H$37:$H$300,MATCH($I722,CONFIGURACOES!$B$37:$B$300,0)),"")</f>
        <v/>
      </c>
      <c r="L722" s="20" t="n"/>
      <c r="M722" s="20">
        <f>IFERROR(INDEX(CONFIGURACOES!$I$37:$I$300,MATCH($I722,CONFIGURACOES!$B$37:$B$300,0)),"")</f>
        <v/>
      </c>
      <c r="N722" s="21" t="n"/>
      <c r="O722" s="21" t="n"/>
      <c r="P722" s="21" t="n"/>
      <c r="Q722" s="21" t="n"/>
      <c r="R722" s="21">
        <f>IF($N722="","",$N722*IF($Q722="",1,$Q722)*IF($P722="",1,$P722)*IF($O722="",1,$O722))</f>
        <v/>
      </c>
      <c r="S722" s="22">
        <f>IFERROR(INDEX(CONFIGURACOES!$J$37:$J$300,MATCH($I722,CONFIGURACOES!$B$37:$B$300,0)),"")</f>
        <v/>
      </c>
      <c r="T722" s="22">
        <f>IF(OR($R722="",$S722=""),"",$R722*$S722)</f>
        <v/>
      </c>
      <c r="U722" s="20" t="n"/>
      <c r="V722" s="20" t="n"/>
      <c r="W722" s="20" t="n"/>
      <c r="X722">
        <f>IF($A722="","",$A722&amp;"|"&amp;$C722&amp;"|"&amp;$I722)</f>
        <v/>
      </c>
      <c r="Y722">
        <f>IF(AND($A722=RELATORIO_MEDICAO!$C$5,$C722=RELATORIO_MEDICAO!$F$5,$A722&lt;&gt;""),COUNTIFS($A$3:$A722,RELATORIO_MEDICAO!$C$5,$C$3:$C722,RELATORIO_MEDICAO!$F$5),"")</f>
        <v/>
      </c>
      <c r="Z722">
        <f>IF(OR($A722="",PESQUISA!$C$4=""),0,IF(OR(ISNUMBER(SEARCH(PESQUISA!$C$4,$G722)),ISNUMBER(SEARCH(PESQUISA!$C$4,$K722)),ISNUMBER(SEARCH(PESQUISA!$C$4,$L722))),1,0))</f>
        <v/>
      </c>
      <c r="AA722">
        <f>IF($Z722=1,SUM($Z$3:$Z722),"")</f>
        <v/>
      </c>
      <c r="AB722">
        <f>IF(OR($A722="",PESQUISA!$C$50=""),0,IF(ISNUMBER(SEARCH(PESQUISA!$C$50,$I722)),1,0))</f>
        <v/>
      </c>
      <c r="AC722">
        <f>IF($AB722=1,SUM($AB$3:$AB722),"")</f>
        <v/>
      </c>
    </row>
    <row r="723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>
        <f>IFERROR(INDEX(CONFIGURACOES!$G$37:$G$300,MATCH($I723,CONFIGURACOES!$B$37:$B$300,0)),"")</f>
        <v/>
      </c>
      <c r="K723" s="20">
        <f>IFERROR(INDEX(CONFIGURACOES!$H$37:$H$300,MATCH($I723,CONFIGURACOES!$B$37:$B$300,0)),"")</f>
        <v/>
      </c>
      <c r="L723" s="20" t="n"/>
      <c r="M723" s="20">
        <f>IFERROR(INDEX(CONFIGURACOES!$I$37:$I$300,MATCH($I723,CONFIGURACOES!$B$37:$B$300,0)),"")</f>
        <v/>
      </c>
      <c r="N723" s="21" t="n"/>
      <c r="O723" s="21" t="n"/>
      <c r="P723" s="21" t="n"/>
      <c r="Q723" s="21" t="n"/>
      <c r="R723" s="21">
        <f>IF($N723="","",$N723*IF($Q723="",1,$Q723)*IF($P723="",1,$P723)*IF($O723="",1,$O723))</f>
        <v/>
      </c>
      <c r="S723" s="22">
        <f>IFERROR(INDEX(CONFIGURACOES!$J$37:$J$300,MATCH($I723,CONFIGURACOES!$B$37:$B$300,0)),"")</f>
        <v/>
      </c>
      <c r="T723" s="22">
        <f>IF(OR($R723="",$S723=""),"",$R723*$S723)</f>
        <v/>
      </c>
      <c r="U723" s="20" t="n"/>
      <c r="V723" s="20" t="n"/>
      <c r="W723" s="20" t="n"/>
      <c r="X723">
        <f>IF($A723="","",$A723&amp;"|"&amp;$C723&amp;"|"&amp;$I723)</f>
        <v/>
      </c>
      <c r="Y723">
        <f>IF(AND($A723=RELATORIO_MEDICAO!$C$5,$C723=RELATORIO_MEDICAO!$F$5,$A723&lt;&gt;""),COUNTIFS($A$3:$A723,RELATORIO_MEDICAO!$C$5,$C$3:$C723,RELATORIO_MEDICAO!$F$5),"")</f>
        <v/>
      </c>
      <c r="Z723">
        <f>IF(OR($A723="",PESQUISA!$C$4=""),0,IF(OR(ISNUMBER(SEARCH(PESQUISA!$C$4,$G723)),ISNUMBER(SEARCH(PESQUISA!$C$4,$K723)),ISNUMBER(SEARCH(PESQUISA!$C$4,$L723))),1,0))</f>
        <v/>
      </c>
      <c r="AA723">
        <f>IF($Z723=1,SUM($Z$3:$Z723),"")</f>
        <v/>
      </c>
      <c r="AB723">
        <f>IF(OR($A723="",PESQUISA!$C$50=""),0,IF(ISNUMBER(SEARCH(PESQUISA!$C$50,$I723)),1,0))</f>
        <v/>
      </c>
      <c r="AC723">
        <f>IF($AB723=1,SUM($AB$3:$AB723),"")</f>
        <v/>
      </c>
    </row>
    <row r="724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>
        <f>IFERROR(INDEX(CONFIGURACOES!$G$37:$G$300,MATCH($I724,CONFIGURACOES!$B$37:$B$300,0)),"")</f>
        <v/>
      </c>
      <c r="K724" s="20">
        <f>IFERROR(INDEX(CONFIGURACOES!$H$37:$H$300,MATCH($I724,CONFIGURACOES!$B$37:$B$300,0)),"")</f>
        <v/>
      </c>
      <c r="L724" s="20" t="n"/>
      <c r="M724" s="20">
        <f>IFERROR(INDEX(CONFIGURACOES!$I$37:$I$300,MATCH($I724,CONFIGURACOES!$B$37:$B$300,0)),"")</f>
        <v/>
      </c>
      <c r="N724" s="21" t="n"/>
      <c r="O724" s="21" t="n"/>
      <c r="P724" s="21" t="n"/>
      <c r="Q724" s="21" t="n"/>
      <c r="R724" s="21">
        <f>IF($N724="","",$N724*IF($Q724="",1,$Q724)*IF($P724="",1,$P724)*IF($O724="",1,$O724))</f>
        <v/>
      </c>
      <c r="S724" s="22">
        <f>IFERROR(INDEX(CONFIGURACOES!$J$37:$J$300,MATCH($I724,CONFIGURACOES!$B$37:$B$300,0)),"")</f>
        <v/>
      </c>
      <c r="T724" s="22">
        <f>IF(OR($R724="",$S724=""),"",$R724*$S724)</f>
        <v/>
      </c>
      <c r="U724" s="20" t="n"/>
      <c r="V724" s="20" t="n"/>
      <c r="W724" s="20" t="n"/>
      <c r="X724">
        <f>IF($A724="","",$A724&amp;"|"&amp;$C724&amp;"|"&amp;$I724)</f>
        <v/>
      </c>
      <c r="Y724">
        <f>IF(AND($A724=RELATORIO_MEDICAO!$C$5,$C724=RELATORIO_MEDICAO!$F$5,$A724&lt;&gt;""),COUNTIFS($A$3:$A724,RELATORIO_MEDICAO!$C$5,$C$3:$C724,RELATORIO_MEDICAO!$F$5),"")</f>
        <v/>
      </c>
      <c r="Z724">
        <f>IF(OR($A724="",PESQUISA!$C$4=""),0,IF(OR(ISNUMBER(SEARCH(PESQUISA!$C$4,$G724)),ISNUMBER(SEARCH(PESQUISA!$C$4,$K724)),ISNUMBER(SEARCH(PESQUISA!$C$4,$L724))),1,0))</f>
        <v/>
      </c>
      <c r="AA724">
        <f>IF($Z724=1,SUM($Z$3:$Z724),"")</f>
        <v/>
      </c>
      <c r="AB724">
        <f>IF(OR($A724="",PESQUISA!$C$50=""),0,IF(ISNUMBER(SEARCH(PESQUISA!$C$50,$I724)),1,0))</f>
        <v/>
      </c>
      <c r="AC724">
        <f>IF($AB724=1,SUM($AB$3:$AB724),"")</f>
        <v/>
      </c>
    </row>
    <row r="725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>
        <f>IFERROR(INDEX(CONFIGURACOES!$G$37:$G$300,MATCH($I725,CONFIGURACOES!$B$37:$B$300,0)),"")</f>
        <v/>
      </c>
      <c r="K725" s="20">
        <f>IFERROR(INDEX(CONFIGURACOES!$H$37:$H$300,MATCH($I725,CONFIGURACOES!$B$37:$B$300,0)),"")</f>
        <v/>
      </c>
      <c r="L725" s="20" t="n"/>
      <c r="M725" s="20">
        <f>IFERROR(INDEX(CONFIGURACOES!$I$37:$I$300,MATCH($I725,CONFIGURACOES!$B$37:$B$300,0)),"")</f>
        <v/>
      </c>
      <c r="N725" s="21" t="n"/>
      <c r="O725" s="21" t="n"/>
      <c r="P725" s="21" t="n"/>
      <c r="Q725" s="21" t="n"/>
      <c r="R725" s="21">
        <f>IF($N725="","",$N725*IF($Q725="",1,$Q725)*IF($P725="",1,$P725)*IF($O725="",1,$O725))</f>
        <v/>
      </c>
      <c r="S725" s="22">
        <f>IFERROR(INDEX(CONFIGURACOES!$J$37:$J$300,MATCH($I725,CONFIGURACOES!$B$37:$B$300,0)),"")</f>
        <v/>
      </c>
      <c r="T725" s="22">
        <f>IF(OR($R725="",$S725=""),"",$R725*$S725)</f>
        <v/>
      </c>
      <c r="U725" s="20" t="n"/>
      <c r="V725" s="20" t="n"/>
      <c r="W725" s="20" t="n"/>
      <c r="X725">
        <f>IF($A725="","",$A725&amp;"|"&amp;$C725&amp;"|"&amp;$I725)</f>
        <v/>
      </c>
      <c r="Y725">
        <f>IF(AND($A725=RELATORIO_MEDICAO!$C$5,$C725=RELATORIO_MEDICAO!$F$5,$A725&lt;&gt;""),COUNTIFS($A$3:$A725,RELATORIO_MEDICAO!$C$5,$C$3:$C725,RELATORIO_MEDICAO!$F$5),"")</f>
        <v/>
      </c>
      <c r="Z725">
        <f>IF(OR($A725="",PESQUISA!$C$4=""),0,IF(OR(ISNUMBER(SEARCH(PESQUISA!$C$4,$G725)),ISNUMBER(SEARCH(PESQUISA!$C$4,$K725)),ISNUMBER(SEARCH(PESQUISA!$C$4,$L725))),1,0))</f>
        <v/>
      </c>
      <c r="AA725">
        <f>IF($Z725=1,SUM($Z$3:$Z725),"")</f>
        <v/>
      </c>
      <c r="AB725">
        <f>IF(OR($A725="",PESQUISA!$C$50=""),0,IF(ISNUMBER(SEARCH(PESQUISA!$C$50,$I725)),1,0))</f>
        <v/>
      </c>
      <c r="AC725">
        <f>IF($AB725=1,SUM($AB$3:$AB725),"")</f>
        <v/>
      </c>
    </row>
    <row r="726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>
        <f>IFERROR(INDEX(CONFIGURACOES!$G$37:$G$300,MATCH($I726,CONFIGURACOES!$B$37:$B$300,0)),"")</f>
        <v/>
      </c>
      <c r="K726" s="20">
        <f>IFERROR(INDEX(CONFIGURACOES!$H$37:$H$300,MATCH($I726,CONFIGURACOES!$B$37:$B$300,0)),"")</f>
        <v/>
      </c>
      <c r="L726" s="20" t="n"/>
      <c r="M726" s="20">
        <f>IFERROR(INDEX(CONFIGURACOES!$I$37:$I$300,MATCH($I726,CONFIGURACOES!$B$37:$B$300,0)),"")</f>
        <v/>
      </c>
      <c r="N726" s="21" t="n"/>
      <c r="O726" s="21" t="n"/>
      <c r="P726" s="21" t="n"/>
      <c r="Q726" s="21" t="n"/>
      <c r="R726" s="21">
        <f>IF($N726="","",$N726*IF($Q726="",1,$Q726)*IF($P726="",1,$P726)*IF($O726="",1,$O726))</f>
        <v/>
      </c>
      <c r="S726" s="22">
        <f>IFERROR(INDEX(CONFIGURACOES!$J$37:$J$300,MATCH($I726,CONFIGURACOES!$B$37:$B$300,0)),"")</f>
        <v/>
      </c>
      <c r="T726" s="22">
        <f>IF(OR($R726="",$S726=""),"",$R726*$S726)</f>
        <v/>
      </c>
      <c r="U726" s="20" t="n"/>
      <c r="V726" s="20" t="n"/>
      <c r="W726" s="20" t="n"/>
      <c r="X726">
        <f>IF($A726="","",$A726&amp;"|"&amp;$C726&amp;"|"&amp;$I726)</f>
        <v/>
      </c>
      <c r="Y726">
        <f>IF(AND($A726=RELATORIO_MEDICAO!$C$5,$C726=RELATORIO_MEDICAO!$F$5,$A726&lt;&gt;""),COUNTIFS($A$3:$A726,RELATORIO_MEDICAO!$C$5,$C$3:$C726,RELATORIO_MEDICAO!$F$5),"")</f>
        <v/>
      </c>
      <c r="Z726">
        <f>IF(OR($A726="",PESQUISA!$C$4=""),0,IF(OR(ISNUMBER(SEARCH(PESQUISA!$C$4,$G726)),ISNUMBER(SEARCH(PESQUISA!$C$4,$K726)),ISNUMBER(SEARCH(PESQUISA!$C$4,$L726))),1,0))</f>
        <v/>
      </c>
      <c r="AA726">
        <f>IF($Z726=1,SUM($Z$3:$Z726),"")</f>
        <v/>
      </c>
      <c r="AB726">
        <f>IF(OR($A726="",PESQUISA!$C$50=""),0,IF(ISNUMBER(SEARCH(PESQUISA!$C$50,$I726)),1,0))</f>
        <v/>
      </c>
      <c r="AC726">
        <f>IF($AB726=1,SUM($AB$3:$AB726),"")</f>
        <v/>
      </c>
    </row>
    <row r="727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>
        <f>IFERROR(INDEX(CONFIGURACOES!$G$37:$G$300,MATCH($I727,CONFIGURACOES!$B$37:$B$300,0)),"")</f>
        <v/>
      </c>
      <c r="K727" s="20">
        <f>IFERROR(INDEX(CONFIGURACOES!$H$37:$H$300,MATCH($I727,CONFIGURACOES!$B$37:$B$300,0)),"")</f>
        <v/>
      </c>
      <c r="L727" s="20" t="n"/>
      <c r="M727" s="20">
        <f>IFERROR(INDEX(CONFIGURACOES!$I$37:$I$300,MATCH($I727,CONFIGURACOES!$B$37:$B$300,0)),"")</f>
        <v/>
      </c>
      <c r="N727" s="21" t="n"/>
      <c r="O727" s="21" t="n"/>
      <c r="P727" s="21" t="n"/>
      <c r="Q727" s="21" t="n"/>
      <c r="R727" s="21">
        <f>IF($N727="","",$N727*IF($Q727="",1,$Q727)*IF($P727="",1,$P727)*IF($O727="",1,$O727))</f>
        <v/>
      </c>
      <c r="S727" s="22">
        <f>IFERROR(INDEX(CONFIGURACOES!$J$37:$J$300,MATCH($I727,CONFIGURACOES!$B$37:$B$300,0)),"")</f>
        <v/>
      </c>
      <c r="T727" s="22">
        <f>IF(OR($R727="",$S727=""),"",$R727*$S727)</f>
        <v/>
      </c>
      <c r="U727" s="20" t="n"/>
      <c r="V727" s="20" t="n"/>
      <c r="W727" s="20" t="n"/>
      <c r="X727">
        <f>IF($A727="","",$A727&amp;"|"&amp;$C727&amp;"|"&amp;$I727)</f>
        <v/>
      </c>
      <c r="Y727">
        <f>IF(AND($A727=RELATORIO_MEDICAO!$C$5,$C727=RELATORIO_MEDICAO!$F$5,$A727&lt;&gt;""),COUNTIFS($A$3:$A727,RELATORIO_MEDICAO!$C$5,$C$3:$C727,RELATORIO_MEDICAO!$F$5),"")</f>
        <v/>
      </c>
      <c r="Z727">
        <f>IF(OR($A727="",PESQUISA!$C$4=""),0,IF(OR(ISNUMBER(SEARCH(PESQUISA!$C$4,$G727)),ISNUMBER(SEARCH(PESQUISA!$C$4,$K727)),ISNUMBER(SEARCH(PESQUISA!$C$4,$L727))),1,0))</f>
        <v/>
      </c>
      <c r="AA727">
        <f>IF($Z727=1,SUM($Z$3:$Z727),"")</f>
        <v/>
      </c>
      <c r="AB727">
        <f>IF(OR($A727="",PESQUISA!$C$50=""),0,IF(ISNUMBER(SEARCH(PESQUISA!$C$50,$I727)),1,0))</f>
        <v/>
      </c>
      <c r="AC727">
        <f>IF($AB727=1,SUM($AB$3:$AB727),"")</f>
        <v/>
      </c>
    </row>
    <row r="728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>
        <f>IFERROR(INDEX(CONFIGURACOES!$G$37:$G$300,MATCH($I728,CONFIGURACOES!$B$37:$B$300,0)),"")</f>
        <v/>
      </c>
      <c r="K728" s="20">
        <f>IFERROR(INDEX(CONFIGURACOES!$H$37:$H$300,MATCH($I728,CONFIGURACOES!$B$37:$B$300,0)),"")</f>
        <v/>
      </c>
      <c r="L728" s="20" t="n"/>
      <c r="M728" s="20">
        <f>IFERROR(INDEX(CONFIGURACOES!$I$37:$I$300,MATCH($I728,CONFIGURACOES!$B$37:$B$300,0)),"")</f>
        <v/>
      </c>
      <c r="N728" s="21" t="n"/>
      <c r="O728" s="21" t="n"/>
      <c r="P728" s="21" t="n"/>
      <c r="Q728" s="21" t="n"/>
      <c r="R728" s="21">
        <f>IF($N728="","",$N728*IF($Q728="",1,$Q728)*IF($P728="",1,$P728)*IF($O728="",1,$O728))</f>
        <v/>
      </c>
      <c r="S728" s="22">
        <f>IFERROR(INDEX(CONFIGURACOES!$J$37:$J$300,MATCH($I728,CONFIGURACOES!$B$37:$B$300,0)),"")</f>
        <v/>
      </c>
      <c r="T728" s="22">
        <f>IF(OR($R728="",$S728=""),"",$R728*$S728)</f>
        <v/>
      </c>
      <c r="U728" s="20" t="n"/>
      <c r="V728" s="20" t="n"/>
      <c r="W728" s="20" t="n"/>
      <c r="X728">
        <f>IF($A728="","",$A728&amp;"|"&amp;$C728&amp;"|"&amp;$I728)</f>
        <v/>
      </c>
      <c r="Y728">
        <f>IF(AND($A728=RELATORIO_MEDICAO!$C$5,$C728=RELATORIO_MEDICAO!$F$5,$A728&lt;&gt;""),COUNTIFS($A$3:$A728,RELATORIO_MEDICAO!$C$5,$C$3:$C728,RELATORIO_MEDICAO!$F$5),"")</f>
        <v/>
      </c>
      <c r="Z728">
        <f>IF(OR($A728="",PESQUISA!$C$4=""),0,IF(OR(ISNUMBER(SEARCH(PESQUISA!$C$4,$G728)),ISNUMBER(SEARCH(PESQUISA!$C$4,$K728)),ISNUMBER(SEARCH(PESQUISA!$C$4,$L728))),1,0))</f>
        <v/>
      </c>
      <c r="AA728">
        <f>IF($Z728=1,SUM($Z$3:$Z728),"")</f>
        <v/>
      </c>
      <c r="AB728">
        <f>IF(OR($A728="",PESQUISA!$C$50=""),0,IF(ISNUMBER(SEARCH(PESQUISA!$C$50,$I728)),1,0))</f>
        <v/>
      </c>
      <c r="AC728">
        <f>IF($AB728=1,SUM($AB$3:$AB728),"")</f>
        <v/>
      </c>
    </row>
    <row r="729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>
        <f>IFERROR(INDEX(CONFIGURACOES!$G$37:$G$300,MATCH($I729,CONFIGURACOES!$B$37:$B$300,0)),"")</f>
        <v/>
      </c>
      <c r="K729" s="20">
        <f>IFERROR(INDEX(CONFIGURACOES!$H$37:$H$300,MATCH($I729,CONFIGURACOES!$B$37:$B$300,0)),"")</f>
        <v/>
      </c>
      <c r="L729" s="20" t="n"/>
      <c r="M729" s="20">
        <f>IFERROR(INDEX(CONFIGURACOES!$I$37:$I$300,MATCH($I729,CONFIGURACOES!$B$37:$B$300,0)),"")</f>
        <v/>
      </c>
      <c r="N729" s="21" t="n"/>
      <c r="O729" s="21" t="n"/>
      <c r="P729" s="21" t="n"/>
      <c r="Q729" s="21" t="n"/>
      <c r="R729" s="21">
        <f>IF($N729="","",$N729*IF($Q729="",1,$Q729)*IF($P729="",1,$P729)*IF($O729="",1,$O729))</f>
        <v/>
      </c>
      <c r="S729" s="22">
        <f>IFERROR(INDEX(CONFIGURACOES!$J$37:$J$300,MATCH($I729,CONFIGURACOES!$B$37:$B$300,0)),"")</f>
        <v/>
      </c>
      <c r="T729" s="22">
        <f>IF(OR($R729="",$S729=""),"",$R729*$S729)</f>
        <v/>
      </c>
      <c r="U729" s="20" t="n"/>
      <c r="V729" s="20" t="n"/>
      <c r="W729" s="20" t="n"/>
      <c r="X729">
        <f>IF($A729="","",$A729&amp;"|"&amp;$C729&amp;"|"&amp;$I729)</f>
        <v/>
      </c>
      <c r="Y729">
        <f>IF(AND($A729=RELATORIO_MEDICAO!$C$5,$C729=RELATORIO_MEDICAO!$F$5,$A729&lt;&gt;""),COUNTIFS($A$3:$A729,RELATORIO_MEDICAO!$C$5,$C$3:$C729,RELATORIO_MEDICAO!$F$5),"")</f>
        <v/>
      </c>
      <c r="Z729">
        <f>IF(OR($A729="",PESQUISA!$C$4=""),0,IF(OR(ISNUMBER(SEARCH(PESQUISA!$C$4,$G729)),ISNUMBER(SEARCH(PESQUISA!$C$4,$K729)),ISNUMBER(SEARCH(PESQUISA!$C$4,$L729))),1,0))</f>
        <v/>
      </c>
      <c r="AA729">
        <f>IF($Z729=1,SUM($Z$3:$Z729),"")</f>
        <v/>
      </c>
      <c r="AB729">
        <f>IF(OR($A729="",PESQUISA!$C$50=""),0,IF(ISNUMBER(SEARCH(PESQUISA!$C$50,$I729)),1,0))</f>
        <v/>
      </c>
      <c r="AC729">
        <f>IF($AB729=1,SUM($AB$3:$AB729),"")</f>
        <v/>
      </c>
    </row>
    <row r="730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>
        <f>IFERROR(INDEX(CONFIGURACOES!$G$37:$G$300,MATCH($I730,CONFIGURACOES!$B$37:$B$300,0)),"")</f>
        <v/>
      </c>
      <c r="K730" s="20">
        <f>IFERROR(INDEX(CONFIGURACOES!$H$37:$H$300,MATCH($I730,CONFIGURACOES!$B$37:$B$300,0)),"")</f>
        <v/>
      </c>
      <c r="L730" s="20" t="n"/>
      <c r="M730" s="20">
        <f>IFERROR(INDEX(CONFIGURACOES!$I$37:$I$300,MATCH($I730,CONFIGURACOES!$B$37:$B$300,0)),"")</f>
        <v/>
      </c>
      <c r="N730" s="21" t="n"/>
      <c r="O730" s="21" t="n"/>
      <c r="P730" s="21" t="n"/>
      <c r="Q730" s="21" t="n"/>
      <c r="R730" s="21">
        <f>IF($N730="","",$N730*IF($Q730="",1,$Q730)*IF($P730="",1,$P730)*IF($O730="",1,$O730))</f>
        <v/>
      </c>
      <c r="S730" s="22">
        <f>IFERROR(INDEX(CONFIGURACOES!$J$37:$J$300,MATCH($I730,CONFIGURACOES!$B$37:$B$300,0)),"")</f>
        <v/>
      </c>
      <c r="T730" s="22">
        <f>IF(OR($R730="",$S730=""),"",$R730*$S730)</f>
        <v/>
      </c>
      <c r="U730" s="20" t="n"/>
      <c r="V730" s="20" t="n"/>
      <c r="W730" s="20" t="n"/>
      <c r="X730">
        <f>IF($A730="","",$A730&amp;"|"&amp;$C730&amp;"|"&amp;$I730)</f>
        <v/>
      </c>
      <c r="Y730">
        <f>IF(AND($A730=RELATORIO_MEDICAO!$C$5,$C730=RELATORIO_MEDICAO!$F$5,$A730&lt;&gt;""),COUNTIFS($A$3:$A730,RELATORIO_MEDICAO!$C$5,$C$3:$C730,RELATORIO_MEDICAO!$F$5),"")</f>
        <v/>
      </c>
      <c r="Z730">
        <f>IF(OR($A730="",PESQUISA!$C$4=""),0,IF(OR(ISNUMBER(SEARCH(PESQUISA!$C$4,$G730)),ISNUMBER(SEARCH(PESQUISA!$C$4,$K730)),ISNUMBER(SEARCH(PESQUISA!$C$4,$L730))),1,0))</f>
        <v/>
      </c>
      <c r="AA730">
        <f>IF($Z730=1,SUM($Z$3:$Z730),"")</f>
        <v/>
      </c>
      <c r="AB730">
        <f>IF(OR($A730="",PESQUISA!$C$50=""),0,IF(ISNUMBER(SEARCH(PESQUISA!$C$50,$I730)),1,0))</f>
        <v/>
      </c>
      <c r="AC730">
        <f>IF($AB730=1,SUM($AB$3:$AB730),"")</f>
        <v/>
      </c>
    </row>
    <row r="731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>
        <f>IFERROR(INDEX(CONFIGURACOES!$G$37:$G$300,MATCH($I731,CONFIGURACOES!$B$37:$B$300,0)),"")</f>
        <v/>
      </c>
      <c r="K731" s="20">
        <f>IFERROR(INDEX(CONFIGURACOES!$H$37:$H$300,MATCH($I731,CONFIGURACOES!$B$37:$B$300,0)),"")</f>
        <v/>
      </c>
      <c r="L731" s="20" t="n"/>
      <c r="M731" s="20">
        <f>IFERROR(INDEX(CONFIGURACOES!$I$37:$I$300,MATCH($I731,CONFIGURACOES!$B$37:$B$300,0)),"")</f>
        <v/>
      </c>
      <c r="N731" s="21" t="n"/>
      <c r="O731" s="21" t="n"/>
      <c r="P731" s="21" t="n"/>
      <c r="Q731" s="21" t="n"/>
      <c r="R731" s="21">
        <f>IF($N731="","",$N731*IF($Q731="",1,$Q731)*IF($P731="",1,$P731)*IF($O731="",1,$O731))</f>
        <v/>
      </c>
      <c r="S731" s="22">
        <f>IFERROR(INDEX(CONFIGURACOES!$J$37:$J$300,MATCH($I731,CONFIGURACOES!$B$37:$B$300,0)),"")</f>
        <v/>
      </c>
      <c r="T731" s="22">
        <f>IF(OR($R731="",$S731=""),"",$R731*$S731)</f>
        <v/>
      </c>
      <c r="U731" s="20" t="n"/>
      <c r="V731" s="20" t="n"/>
      <c r="W731" s="20" t="n"/>
      <c r="X731">
        <f>IF($A731="","",$A731&amp;"|"&amp;$C731&amp;"|"&amp;$I731)</f>
        <v/>
      </c>
      <c r="Y731">
        <f>IF(AND($A731=RELATORIO_MEDICAO!$C$5,$C731=RELATORIO_MEDICAO!$F$5,$A731&lt;&gt;""),COUNTIFS($A$3:$A731,RELATORIO_MEDICAO!$C$5,$C$3:$C731,RELATORIO_MEDICAO!$F$5),"")</f>
        <v/>
      </c>
      <c r="Z731">
        <f>IF(OR($A731="",PESQUISA!$C$4=""),0,IF(OR(ISNUMBER(SEARCH(PESQUISA!$C$4,$G731)),ISNUMBER(SEARCH(PESQUISA!$C$4,$K731)),ISNUMBER(SEARCH(PESQUISA!$C$4,$L731))),1,0))</f>
        <v/>
      </c>
      <c r="AA731">
        <f>IF($Z731=1,SUM($Z$3:$Z731),"")</f>
        <v/>
      </c>
      <c r="AB731">
        <f>IF(OR($A731="",PESQUISA!$C$50=""),0,IF(ISNUMBER(SEARCH(PESQUISA!$C$50,$I731)),1,0))</f>
        <v/>
      </c>
      <c r="AC731">
        <f>IF($AB731=1,SUM($AB$3:$AB731),"")</f>
        <v/>
      </c>
    </row>
    <row r="732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>
        <f>IFERROR(INDEX(CONFIGURACOES!$G$37:$G$300,MATCH($I732,CONFIGURACOES!$B$37:$B$300,0)),"")</f>
        <v/>
      </c>
      <c r="K732" s="20">
        <f>IFERROR(INDEX(CONFIGURACOES!$H$37:$H$300,MATCH($I732,CONFIGURACOES!$B$37:$B$300,0)),"")</f>
        <v/>
      </c>
      <c r="L732" s="20" t="n"/>
      <c r="M732" s="20">
        <f>IFERROR(INDEX(CONFIGURACOES!$I$37:$I$300,MATCH($I732,CONFIGURACOES!$B$37:$B$300,0)),"")</f>
        <v/>
      </c>
      <c r="N732" s="21" t="n"/>
      <c r="O732" s="21" t="n"/>
      <c r="P732" s="21" t="n"/>
      <c r="Q732" s="21" t="n"/>
      <c r="R732" s="21">
        <f>IF($N732="","",$N732*IF($Q732="",1,$Q732)*IF($P732="",1,$P732)*IF($O732="",1,$O732))</f>
        <v/>
      </c>
      <c r="S732" s="22">
        <f>IFERROR(INDEX(CONFIGURACOES!$J$37:$J$300,MATCH($I732,CONFIGURACOES!$B$37:$B$300,0)),"")</f>
        <v/>
      </c>
      <c r="T732" s="22">
        <f>IF(OR($R732="",$S732=""),"",$R732*$S732)</f>
        <v/>
      </c>
      <c r="U732" s="20" t="n"/>
      <c r="V732" s="20" t="n"/>
      <c r="W732" s="20" t="n"/>
      <c r="X732">
        <f>IF($A732="","",$A732&amp;"|"&amp;$C732&amp;"|"&amp;$I732)</f>
        <v/>
      </c>
      <c r="Y732">
        <f>IF(AND($A732=RELATORIO_MEDICAO!$C$5,$C732=RELATORIO_MEDICAO!$F$5,$A732&lt;&gt;""),COUNTIFS($A$3:$A732,RELATORIO_MEDICAO!$C$5,$C$3:$C732,RELATORIO_MEDICAO!$F$5),"")</f>
        <v/>
      </c>
      <c r="Z732">
        <f>IF(OR($A732="",PESQUISA!$C$4=""),0,IF(OR(ISNUMBER(SEARCH(PESQUISA!$C$4,$G732)),ISNUMBER(SEARCH(PESQUISA!$C$4,$K732)),ISNUMBER(SEARCH(PESQUISA!$C$4,$L732))),1,0))</f>
        <v/>
      </c>
      <c r="AA732">
        <f>IF($Z732=1,SUM($Z$3:$Z732),"")</f>
        <v/>
      </c>
      <c r="AB732">
        <f>IF(OR($A732="",PESQUISA!$C$50=""),0,IF(ISNUMBER(SEARCH(PESQUISA!$C$50,$I732)),1,0))</f>
        <v/>
      </c>
      <c r="AC732">
        <f>IF($AB732=1,SUM($AB$3:$AB732),"")</f>
        <v/>
      </c>
    </row>
    <row r="733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>
        <f>IFERROR(INDEX(CONFIGURACOES!$G$37:$G$300,MATCH($I733,CONFIGURACOES!$B$37:$B$300,0)),"")</f>
        <v/>
      </c>
      <c r="K733" s="20">
        <f>IFERROR(INDEX(CONFIGURACOES!$H$37:$H$300,MATCH($I733,CONFIGURACOES!$B$37:$B$300,0)),"")</f>
        <v/>
      </c>
      <c r="L733" s="20" t="n"/>
      <c r="M733" s="20">
        <f>IFERROR(INDEX(CONFIGURACOES!$I$37:$I$300,MATCH($I733,CONFIGURACOES!$B$37:$B$300,0)),"")</f>
        <v/>
      </c>
      <c r="N733" s="21" t="n"/>
      <c r="O733" s="21" t="n"/>
      <c r="P733" s="21" t="n"/>
      <c r="Q733" s="21" t="n"/>
      <c r="R733" s="21">
        <f>IF($N733="","",$N733*IF($Q733="",1,$Q733)*IF($P733="",1,$P733)*IF($O733="",1,$O733))</f>
        <v/>
      </c>
      <c r="S733" s="22">
        <f>IFERROR(INDEX(CONFIGURACOES!$J$37:$J$300,MATCH($I733,CONFIGURACOES!$B$37:$B$300,0)),"")</f>
        <v/>
      </c>
      <c r="T733" s="22">
        <f>IF(OR($R733="",$S733=""),"",$R733*$S733)</f>
        <v/>
      </c>
      <c r="U733" s="20" t="n"/>
      <c r="V733" s="20" t="n"/>
      <c r="W733" s="20" t="n"/>
      <c r="X733">
        <f>IF($A733="","",$A733&amp;"|"&amp;$C733&amp;"|"&amp;$I733)</f>
        <v/>
      </c>
      <c r="Y733">
        <f>IF(AND($A733=RELATORIO_MEDICAO!$C$5,$C733=RELATORIO_MEDICAO!$F$5,$A733&lt;&gt;""),COUNTIFS($A$3:$A733,RELATORIO_MEDICAO!$C$5,$C$3:$C733,RELATORIO_MEDICAO!$F$5),"")</f>
        <v/>
      </c>
      <c r="Z733">
        <f>IF(OR($A733="",PESQUISA!$C$4=""),0,IF(OR(ISNUMBER(SEARCH(PESQUISA!$C$4,$G733)),ISNUMBER(SEARCH(PESQUISA!$C$4,$K733)),ISNUMBER(SEARCH(PESQUISA!$C$4,$L733))),1,0))</f>
        <v/>
      </c>
      <c r="AA733">
        <f>IF($Z733=1,SUM($Z$3:$Z733),"")</f>
        <v/>
      </c>
      <c r="AB733">
        <f>IF(OR($A733="",PESQUISA!$C$50=""),0,IF(ISNUMBER(SEARCH(PESQUISA!$C$50,$I733)),1,0))</f>
        <v/>
      </c>
      <c r="AC733">
        <f>IF($AB733=1,SUM($AB$3:$AB733),"")</f>
        <v/>
      </c>
    </row>
    <row r="734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>
        <f>IFERROR(INDEX(CONFIGURACOES!$G$37:$G$300,MATCH($I734,CONFIGURACOES!$B$37:$B$300,0)),"")</f>
        <v/>
      </c>
      <c r="K734" s="20">
        <f>IFERROR(INDEX(CONFIGURACOES!$H$37:$H$300,MATCH($I734,CONFIGURACOES!$B$37:$B$300,0)),"")</f>
        <v/>
      </c>
      <c r="L734" s="20" t="n"/>
      <c r="M734" s="20">
        <f>IFERROR(INDEX(CONFIGURACOES!$I$37:$I$300,MATCH($I734,CONFIGURACOES!$B$37:$B$300,0)),"")</f>
        <v/>
      </c>
      <c r="N734" s="21" t="n"/>
      <c r="O734" s="21" t="n"/>
      <c r="P734" s="21" t="n"/>
      <c r="Q734" s="21" t="n"/>
      <c r="R734" s="21">
        <f>IF($N734="","",$N734*IF($Q734="",1,$Q734)*IF($P734="",1,$P734)*IF($O734="",1,$O734))</f>
        <v/>
      </c>
      <c r="S734" s="22">
        <f>IFERROR(INDEX(CONFIGURACOES!$J$37:$J$300,MATCH($I734,CONFIGURACOES!$B$37:$B$300,0)),"")</f>
        <v/>
      </c>
      <c r="T734" s="22">
        <f>IF(OR($R734="",$S734=""),"",$R734*$S734)</f>
        <v/>
      </c>
      <c r="U734" s="20" t="n"/>
      <c r="V734" s="20" t="n"/>
      <c r="W734" s="20" t="n"/>
      <c r="X734">
        <f>IF($A734="","",$A734&amp;"|"&amp;$C734&amp;"|"&amp;$I734)</f>
        <v/>
      </c>
      <c r="Y734">
        <f>IF(AND($A734=RELATORIO_MEDICAO!$C$5,$C734=RELATORIO_MEDICAO!$F$5,$A734&lt;&gt;""),COUNTIFS($A$3:$A734,RELATORIO_MEDICAO!$C$5,$C$3:$C734,RELATORIO_MEDICAO!$F$5),"")</f>
        <v/>
      </c>
      <c r="Z734">
        <f>IF(OR($A734="",PESQUISA!$C$4=""),0,IF(OR(ISNUMBER(SEARCH(PESQUISA!$C$4,$G734)),ISNUMBER(SEARCH(PESQUISA!$C$4,$K734)),ISNUMBER(SEARCH(PESQUISA!$C$4,$L734))),1,0))</f>
        <v/>
      </c>
      <c r="AA734">
        <f>IF($Z734=1,SUM($Z$3:$Z734),"")</f>
        <v/>
      </c>
      <c r="AB734">
        <f>IF(OR($A734="",PESQUISA!$C$50=""),0,IF(ISNUMBER(SEARCH(PESQUISA!$C$50,$I734)),1,0))</f>
        <v/>
      </c>
      <c r="AC734">
        <f>IF($AB734=1,SUM($AB$3:$AB734),"")</f>
        <v/>
      </c>
    </row>
    <row r="735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>
        <f>IFERROR(INDEX(CONFIGURACOES!$G$37:$G$300,MATCH($I735,CONFIGURACOES!$B$37:$B$300,0)),"")</f>
        <v/>
      </c>
      <c r="K735" s="20">
        <f>IFERROR(INDEX(CONFIGURACOES!$H$37:$H$300,MATCH($I735,CONFIGURACOES!$B$37:$B$300,0)),"")</f>
        <v/>
      </c>
      <c r="L735" s="20" t="n"/>
      <c r="M735" s="20">
        <f>IFERROR(INDEX(CONFIGURACOES!$I$37:$I$300,MATCH($I735,CONFIGURACOES!$B$37:$B$300,0)),"")</f>
        <v/>
      </c>
      <c r="N735" s="21" t="n"/>
      <c r="O735" s="21" t="n"/>
      <c r="P735" s="21" t="n"/>
      <c r="Q735" s="21" t="n"/>
      <c r="R735" s="21">
        <f>IF($N735="","",$N735*IF($Q735="",1,$Q735)*IF($P735="",1,$P735)*IF($O735="",1,$O735))</f>
        <v/>
      </c>
      <c r="S735" s="22">
        <f>IFERROR(INDEX(CONFIGURACOES!$J$37:$J$300,MATCH($I735,CONFIGURACOES!$B$37:$B$300,0)),"")</f>
        <v/>
      </c>
      <c r="T735" s="22">
        <f>IF(OR($R735="",$S735=""),"",$R735*$S735)</f>
        <v/>
      </c>
      <c r="U735" s="20" t="n"/>
      <c r="V735" s="20" t="n"/>
      <c r="W735" s="20" t="n"/>
      <c r="X735">
        <f>IF($A735="","",$A735&amp;"|"&amp;$C735&amp;"|"&amp;$I735)</f>
        <v/>
      </c>
      <c r="Y735">
        <f>IF(AND($A735=RELATORIO_MEDICAO!$C$5,$C735=RELATORIO_MEDICAO!$F$5,$A735&lt;&gt;""),COUNTIFS($A$3:$A735,RELATORIO_MEDICAO!$C$5,$C$3:$C735,RELATORIO_MEDICAO!$F$5),"")</f>
        <v/>
      </c>
      <c r="Z735">
        <f>IF(OR($A735="",PESQUISA!$C$4=""),0,IF(OR(ISNUMBER(SEARCH(PESQUISA!$C$4,$G735)),ISNUMBER(SEARCH(PESQUISA!$C$4,$K735)),ISNUMBER(SEARCH(PESQUISA!$C$4,$L735))),1,0))</f>
        <v/>
      </c>
      <c r="AA735">
        <f>IF($Z735=1,SUM($Z$3:$Z735),"")</f>
        <v/>
      </c>
      <c r="AB735">
        <f>IF(OR($A735="",PESQUISA!$C$50=""),0,IF(ISNUMBER(SEARCH(PESQUISA!$C$50,$I735)),1,0))</f>
        <v/>
      </c>
      <c r="AC735">
        <f>IF($AB735=1,SUM($AB$3:$AB735),"")</f>
        <v/>
      </c>
    </row>
    <row r="736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>
        <f>IFERROR(INDEX(CONFIGURACOES!$G$37:$G$300,MATCH($I736,CONFIGURACOES!$B$37:$B$300,0)),"")</f>
        <v/>
      </c>
      <c r="K736" s="20">
        <f>IFERROR(INDEX(CONFIGURACOES!$H$37:$H$300,MATCH($I736,CONFIGURACOES!$B$37:$B$300,0)),"")</f>
        <v/>
      </c>
      <c r="L736" s="20" t="n"/>
      <c r="M736" s="20">
        <f>IFERROR(INDEX(CONFIGURACOES!$I$37:$I$300,MATCH($I736,CONFIGURACOES!$B$37:$B$300,0)),"")</f>
        <v/>
      </c>
      <c r="N736" s="21" t="n"/>
      <c r="O736" s="21" t="n"/>
      <c r="P736" s="21" t="n"/>
      <c r="Q736" s="21" t="n"/>
      <c r="R736" s="21">
        <f>IF($N736="","",$N736*IF($Q736="",1,$Q736)*IF($P736="",1,$P736)*IF($O736="",1,$O736))</f>
        <v/>
      </c>
      <c r="S736" s="22">
        <f>IFERROR(INDEX(CONFIGURACOES!$J$37:$J$300,MATCH($I736,CONFIGURACOES!$B$37:$B$300,0)),"")</f>
        <v/>
      </c>
      <c r="T736" s="22">
        <f>IF(OR($R736="",$S736=""),"",$R736*$S736)</f>
        <v/>
      </c>
      <c r="U736" s="20" t="n"/>
      <c r="V736" s="20" t="n"/>
      <c r="W736" s="20" t="n"/>
      <c r="X736">
        <f>IF($A736="","",$A736&amp;"|"&amp;$C736&amp;"|"&amp;$I736)</f>
        <v/>
      </c>
      <c r="Y736">
        <f>IF(AND($A736=RELATORIO_MEDICAO!$C$5,$C736=RELATORIO_MEDICAO!$F$5,$A736&lt;&gt;""),COUNTIFS($A$3:$A736,RELATORIO_MEDICAO!$C$5,$C$3:$C736,RELATORIO_MEDICAO!$F$5),"")</f>
        <v/>
      </c>
      <c r="Z736">
        <f>IF(OR($A736="",PESQUISA!$C$4=""),0,IF(OR(ISNUMBER(SEARCH(PESQUISA!$C$4,$G736)),ISNUMBER(SEARCH(PESQUISA!$C$4,$K736)),ISNUMBER(SEARCH(PESQUISA!$C$4,$L736))),1,0))</f>
        <v/>
      </c>
      <c r="AA736">
        <f>IF($Z736=1,SUM($Z$3:$Z736),"")</f>
        <v/>
      </c>
      <c r="AB736">
        <f>IF(OR($A736="",PESQUISA!$C$50=""),0,IF(ISNUMBER(SEARCH(PESQUISA!$C$50,$I736)),1,0))</f>
        <v/>
      </c>
      <c r="AC736">
        <f>IF($AB736=1,SUM($AB$3:$AB736),"")</f>
        <v/>
      </c>
    </row>
    <row r="737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>
        <f>IFERROR(INDEX(CONFIGURACOES!$G$37:$G$300,MATCH($I737,CONFIGURACOES!$B$37:$B$300,0)),"")</f>
        <v/>
      </c>
      <c r="K737" s="20">
        <f>IFERROR(INDEX(CONFIGURACOES!$H$37:$H$300,MATCH($I737,CONFIGURACOES!$B$37:$B$300,0)),"")</f>
        <v/>
      </c>
      <c r="L737" s="20" t="n"/>
      <c r="M737" s="20">
        <f>IFERROR(INDEX(CONFIGURACOES!$I$37:$I$300,MATCH($I737,CONFIGURACOES!$B$37:$B$300,0)),"")</f>
        <v/>
      </c>
      <c r="N737" s="21" t="n"/>
      <c r="O737" s="21" t="n"/>
      <c r="P737" s="21" t="n"/>
      <c r="Q737" s="21" t="n"/>
      <c r="R737" s="21">
        <f>IF($N737="","",$N737*IF($Q737="",1,$Q737)*IF($P737="",1,$P737)*IF($O737="",1,$O737))</f>
        <v/>
      </c>
      <c r="S737" s="22">
        <f>IFERROR(INDEX(CONFIGURACOES!$J$37:$J$300,MATCH($I737,CONFIGURACOES!$B$37:$B$300,0)),"")</f>
        <v/>
      </c>
      <c r="T737" s="22">
        <f>IF(OR($R737="",$S737=""),"",$R737*$S737)</f>
        <v/>
      </c>
      <c r="U737" s="20" t="n"/>
      <c r="V737" s="20" t="n"/>
      <c r="W737" s="20" t="n"/>
      <c r="X737">
        <f>IF($A737="","",$A737&amp;"|"&amp;$C737&amp;"|"&amp;$I737)</f>
        <v/>
      </c>
      <c r="Y737">
        <f>IF(AND($A737=RELATORIO_MEDICAO!$C$5,$C737=RELATORIO_MEDICAO!$F$5,$A737&lt;&gt;""),COUNTIFS($A$3:$A737,RELATORIO_MEDICAO!$C$5,$C$3:$C737,RELATORIO_MEDICAO!$F$5),"")</f>
        <v/>
      </c>
      <c r="Z737">
        <f>IF(OR($A737="",PESQUISA!$C$4=""),0,IF(OR(ISNUMBER(SEARCH(PESQUISA!$C$4,$G737)),ISNUMBER(SEARCH(PESQUISA!$C$4,$K737)),ISNUMBER(SEARCH(PESQUISA!$C$4,$L737))),1,0))</f>
        <v/>
      </c>
      <c r="AA737">
        <f>IF($Z737=1,SUM($Z$3:$Z737),"")</f>
        <v/>
      </c>
      <c r="AB737">
        <f>IF(OR($A737="",PESQUISA!$C$50=""),0,IF(ISNUMBER(SEARCH(PESQUISA!$C$50,$I737)),1,0))</f>
        <v/>
      </c>
      <c r="AC737">
        <f>IF($AB737=1,SUM($AB$3:$AB737),"")</f>
        <v/>
      </c>
    </row>
    <row r="738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>
        <f>IFERROR(INDEX(CONFIGURACOES!$G$37:$G$300,MATCH($I738,CONFIGURACOES!$B$37:$B$300,0)),"")</f>
        <v/>
      </c>
      <c r="K738" s="20">
        <f>IFERROR(INDEX(CONFIGURACOES!$H$37:$H$300,MATCH($I738,CONFIGURACOES!$B$37:$B$300,0)),"")</f>
        <v/>
      </c>
      <c r="L738" s="20" t="n"/>
      <c r="M738" s="20">
        <f>IFERROR(INDEX(CONFIGURACOES!$I$37:$I$300,MATCH($I738,CONFIGURACOES!$B$37:$B$300,0)),"")</f>
        <v/>
      </c>
      <c r="N738" s="21" t="n"/>
      <c r="O738" s="21" t="n"/>
      <c r="P738" s="21" t="n"/>
      <c r="Q738" s="21" t="n"/>
      <c r="R738" s="21">
        <f>IF($N738="","",$N738*IF($Q738="",1,$Q738)*IF($P738="",1,$P738)*IF($O738="",1,$O738))</f>
        <v/>
      </c>
      <c r="S738" s="22">
        <f>IFERROR(INDEX(CONFIGURACOES!$J$37:$J$300,MATCH($I738,CONFIGURACOES!$B$37:$B$300,0)),"")</f>
        <v/>
      </c>
      <c r="T738" s="22">
        <f>IF(OR($R738="",$S738=""),"",$R738*$S738)</f>
        <v/>
      </c>
      <c r="U738" s="20" t="n"/>
      <c r="V738" s="20" t="n"/>
      <c r="W738" s="20" t="n"/>
      <c r="X738">
        <f>IF($A738="","",$A738&amp;"|"&amp;$C738&amp;"|"&amp;$I738)</f>
        <v/>
      </c>
      <c r="Y738">
        <f>IF(AND($A738=RELATORIO_MEDICAO!$C$5,$C738=RELATORIO_MEDICAO!$F$5,$A738&lt;&gt;""),COUNTIFS($A$3:$A738,RELATORIO_MEDICAO!$C$5,$C$3:$C738,RELATORIO_MEDICAO!$F$5),"")</f>
        <v/>
      </c>
      <c r="Z738">
        <f>IF(OR($A738="",PESQUISA!$C$4=""),0,IF(OR(ISNUMBER(SEARCH(PESQUISA!$C$4,$G738)),ISNUMBER(SEARCH(PESQUISA!$C$4,$K738)),ISNUMBER(SEARCH(PESQUISA!$C$4,$L738))),1,0))</f>
        <v/>
      </c>
      <c r="AA738">
        <f>IF($Z738=1,SUM($Z$3:$Z738),"")</f>
        <v/>
      </c>
      <c r="AB738">
        <f>IF(OR($A738="",PESQUISA!$C$50=""),0,IF(ISNUMBER(SEARCH(PESQUISA!$C$50,$I738)),1,0))</f>
        <v/>
      </c>
      <c r="AC738">
        <f>IF($AB738=1,SUM($AB$3:$AB738),"")</f>
        <v/>
      </c>
    </row>
    <row r="739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>
        <f>IFERROR(INDEX(CONFIGURACOES!$G$37:$G$300,MATCH($I739,CONFIGURACOES!$B$37:$B$300,0)),"")</f>
        <v/>
      </c>
      <c r="K739" s="20">
        <f>IFERROR(INDEX(CONFIGURACOES!$H$37:$H$300,MATCH($I739,CONFIGURACOES!$B$37:$B$300,0)),"")</f>
        <v/>
      </c>
      <c r="L739" s="20" t="n"/>
      <c r="M739" s="20">
        <f>IFERROR(INDEX(CONFIGURACOES!$I$37:$I$300,MATCH($I739,CONFIGURACOES!$B$37:$B$300,0)),"")</f>
        <v/>
      </c>
      <c r="N739" s="21" t="n"/>
      <c r="O739" s="21" t="n"/>
      <c r="P739" s="21" t="n"/>
      <c r="Q739" s="21" t="n"/>
      <c r="R739" s="21">
        <f>IF($N739="","",$N739*IF($Q739="",1,$Q739)*IF($P739="",1,$P739)*IF($O739="",1,$O739))</f>
        <v/>
      </c>
      <c r="S739" s="22">
        <f>IFERROR(INDEX(CONFIGURACOES!$J$37:$J$300,MATCH($I739,CONFIGURACOES!$B$37:$B$300,0)),"")</f>
        <v/>
      </c>
      <c r="T739" s="22">
        <f>IF(OR($R739="",$S739=""),"",$R739*$S739)</f>
        <v/>
      </c>
      <c r="U739" s="20" t="n"/>
      <c r="V739" s="20" t="n"/>
      <c r="W739" s="20" t="n"/>
      <c r="X739">
        <f>IF($A739="","",$A739&amp;"|"&amp;$C739&amp;"|"&amp;$I739)</f>
        <v/>
      </c>
      <c r="Y739">
        <f>IF(AND($A739=RELATORIO_MEDICAO!$C$5,$C739=RELATORIO_MEDICAO!$F$5,$A739&lt;&gt;""),COUNTIFS($A$3:$A739,RELATORIO_MEDICAO!$C$5,$C$3:$C739,RELATORIO_MEDICAO!$F$5),"")</f>
        <v/>
      </c>
      <c r="Z739">
        <f>IF(OR($A739="",PESQUISA!$C$4=""),0,IF(OR(ISNUMBER(SEARCH(PESQUISA!$C$4,$G739)),ISNUMBER(SEARCH(PESQUISA!$C$4,$K739)),ISNUMBER(SEARCH(PESQUISA!$C$4,$L739))),1,0))</f>
        <v/>
      </c>
      <c r="AA739">
        <f>IF($Z739=1,SUM($Z$3:$Z739),"")</f>
        <v/>
      </c>
      <c r="AB739">
        <f>IF(OR($A739="",PESQUISA!$C$50=""),0,IF(ISNUMBER(SEARCH(PESQUISA!$C$50,$I739)),1,0))</f>
        <v/>
      </c>
      <c r="AC739">
        <f>IF($AB739=1,SUM($AB$3:$AB739),"")</f>
        <v/>
      </c>
    </row>
    <row r="740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>
        <f>IFERROR(INDEX(CONFIGURACOES!$G$37:$G$300,MATCH($I740,CONFIGURACOES!$B$37:$B$300,0)),"")</f>
        <v/>
      </c>
      <c r="K740" s="20">
        <f>IFERROR(INDEX(CONFIGURACOES!$H$37:$H$300,MATCH($I740,CONFIGURACOES!$B$37:$B$300,0)),"")</f>
        <v/>
      </c>
      <c r="L740" s="20" t="n"/>
      <c r="M740" s="20">
        <f>IFERROR(INDEX(CONFIGURACOES!$I$37:$I$300,MATCH($I740,CONFIGURACOES!$B$37:$B$300,0)),"")</f>
        <v/>
      </c>
      <c r="N740" s="21" t="n"/>
      <c r="O740" s="21" t="n"/>
      <c r="P740" s="21" t="n"/>
      <c r="Q740" s="21" t="n"/>
      <c r="R740" s="21">
        <f>IF($N740="","",$N740*IF($Q740="",1,$Q740)*IF($P740="",1,$P740)*IF($O740="",1,$O740))</f>
        <v/>
      </c>
      <c r="S740" s="22">
        <f>IFERROR(INDEX(CONFIGURACOES!$J$37:$J$300,MATCH($I740,CONFIGURACOES!$B$37:$B$300,0)),"")</f>
        <v/>
      </c>
      <c r="T740" s="22">
        <f>IF(OR($R740="",$S740=""),"",$R740*$S740)</f>
        <v/>
      </c>
      <c r="U740" s="20" t="n"/>
      <c r="V740" s="20" t="n"/>
      <c r="W740" s="20" t="n"/>
      <c r="X740">
        <f>IF($A740="","",$A740&amp;"|"&amp;$C740&amp;"|"&amp;$I740)</f>
        <v/>
      </c>
      <c r="Y740">
        <f>IF(AND($A740=RELATORIO_MEDICAO!$C$5,$C740=RELATORIO_MEDICAO!$F$5,$A740&lt;&gt;""),COUNTIFS($A$3:$A740,RELATORIO_MEDICAO!$C$5,$C$3:$C740,RELATORIO_MEDICAO!$F$5),"")</f>
        <v/>
      </c>
      <c r="Z740">
        <f>IF(OR($A740="",PESQUISA!$C$4=""),0,IF(OR(ISNUMBER(SEARCH(PESQUISA!$C$4,$G740)),ISNUMBER(SEARCH(PESQUISA!$C$4,$K740)),ISNUMBER(SEARCH(PESQUISA!$C$4,$L740))),1,0))</f>
        <v/>
      </c>
      <c r="AA740">
        <f>IF($Z740=1,SUM($Z$3:$Z740),"")</f>
        <v/>
      </c>
      <c r="AB740">
        <f>IF(OR($A740="",PESQUISA!$C$50=""),0,IF(ISNUMBER(SEARCH(PESQUISA!$C$50,$I740)),1,0))</f>
        <v/>
      </c>
      <c r="AC740">
        <f>IF($AB740=1,SUM($AB$3:$AB740),"")</f>
        <v/>
      </c>
    </row>
    <row r="741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>
        <f>IFERROR(INDEX(CONFIGURACOES!$G$37:$G$300,MATCH($I741,CONFIGURACOES!$B$37:$B$300,0)),"")</f>
        <v/>
      </c>
      <c r="K741" s="20">
        <f>IFERROR(INDEX(CONFIGURACOES!$H$37:$H$300,MATCH($I741,CONFIGURACOES!$B$37:$B$300,0)),"")</f>
        <v/>
      </c>
      <c r="L741" s="20" t="n"/>
      <c r="M741" s="20">
        <f>IFERROR(INDEX(CONFIGURACOES!$I$37:$I$300,MATCH($I741,CONFIGURACOES!$B$37:$B$300,0)),"")</f>
        <v/>
      </c>
      <c r="N741" s="21" t="n"/>
      <c r="O741" s="21" t="n"/>
      <c r="P741" s="21" t="n"/>
      <c r="Q741" s="21" t="n"/>
      <c r="R741" s="21">
        <f>IF($N741="","",$N741*IF($Q741="",1,$Q741)*IF($P741="",1,$P741)*IF($O741="",1,$O741))</f>
        <v/>
      </c>
      <c r="S741" s="22">
        <f>IFERROR(INDEX(CONFIGURACOES!$J$37:$J$300,MATCH($I741,CONFIGURACOES!$B$37:$B$300,0)),"")</f>
        <v/>
      </c>
      <c r="T741" s="22">
        <f>IF(OR($R741="",$S741=""),"",$R741*$S741)</f>
        <v/>
      </c>
      <c r="U741" s="20" t="n"/>
      <c r="V741" s="20" t="n"/>
      <c r="W741" s="20" t="n"/>
      <c r="X741">
        <f>IF($A741="","",$A741&amp;"|"&amp;$C741&amp;"|"&amp;$I741)</f>
        <v/>
      </c>
      <c r="Y741">
        <f>IF(AND($A741=RELATORIO_MEDICAO!$C$5,$C741=RELATORIO_MEDICAO!$F$5,$A741&lt;&gt;""),COUNTIFS($A$3:$A741,RELATORIO_MEDICAO!$C$5,$C$3:$C741,RELATORIO_MEDICAO!$F$5),"")</f>
        <v/>
      </c>
      <c r="Z741">
        <f>IF(OR($A741="",PESQUISA!$C$4=""),0,IF(OR(ISNUMBER(SEARCH(PESQUISA!$C$4,$G741)),ISNUMBER(SEARCH(PESQUISA!$C$4,$K741)),ISNUMBER(SEARCH(PESQUISA!$C$4,$L741))),1,0))</f>
        <v/>
      </c>
      <c r="AA741">
        <f>IF($Z741=1,SUM($Z$3:$Z741),"")</f>
        <v/>
      </c>
      <c r="AB741">
        <f>IF(OR($A741="",PESQUISA!$C$50=""),0,IF(ISNUMBER(SEARCH(PESQUISA!$C$50,$I741)),1,0))</f>
        <v/>
      </c>
      <c r="AC741">
        <f>IF($AB741=1,SUM($AB$3:$AB741),"")</f>
        <v/>
      </c>
    </row>
    <row r="742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>
        <f>IFERROR(INDEX(CONFIGURACOES!$G$37:$G$300,MATCH($I742,CONFIGURACOES!$B$37:$B$300,0)),"")</f>
        <v/>
      </c>
      <c r="K742" s="20">
        <f>IFERROR(INDEX(CONFIGURACOES!$H$37:$H$300,MATCH($I742,CONFIGURACOES!$B$37:$B$300,0)),"")</f>
        <v/>
      </c>
      <c r="L742" s="20" t="n"/>
      <c r="M742" s="20">
        <f>IFERROR(INDEX(CONFIGURACOES!$I$37:$I$300,MATCH($I742,CONFIGURACOES!$B$37:$B$300,0)),"")</f>
        <v/>
      </c>
      <c r="N742" s="21" t="n"/>
      <c r="O742" s="21" t="n"/>
      <c r="P742" s="21" t="n"/>
      <c r="Q742" s="21" t="n"/>
      <c r="R742" s="21">
        <f>IF($N742="","",$N742*IF($Q742="",1,$Q742)*IF($P742="",1,$P742)*IF($O742="",1,$O742))</f>
        <v/>
      </c>
      <c r="S742" s="22">
        <f>IFERROR(INDEX(CONFIGURACOES!$J$37:$J$300,MATCH($I742,CONFIGURACOES!$B$37:$B$300,0)),"")</f>
        <v/>
      </c>
      <c r="T742" s="22">
        <f>IF(OR($R742="",$S742=""),"",$R742*$S742)</f>
        <v/>
      </c>
      <c r="U742" s="20" t="n"/>
      <c r="V742" s="20" t="n"/>
      <c r="W742" s="20" t="n"/>
      <c r="X742">
        <f>IF($A742="","",$A742&amp;"|"&amp;$C742&amp;"|"&amp;$I742)</f>
        <v/>
      </c>
      <c r="Y742">
        <f>IF(AND($A742=RELATORIO_MEDICAO!$C$5,$C742=RELATORIO_MEDICAO!$F$5,$A742&lt;&gt;""),COUNTIFS($A$3:$A742,RELATORIO_MEDICAO!$C$5,$C$3:$C742,RELATORIO_MEDICAO!$F$5),"")</f>
        <v/>
      </c>
      <c r="Z742">
        <f>IF(OR($A742="",PESQUISA!$C$4=""),0,IF(OR(ISNUMBER(SEARCH(PESQUISA!$C$4,$G742)),ISNUMBER(SEARCH(PESQUISA!$C$4,$K742)),ISNUMBER(SEARCH(PESQUISA!$C$4,$L742))),1,0))</f>
        <v/>
      </c>
      <c r="AA742">
        <f>IF($Z742=1,SUM($Z$3:$Z742),"")</f>
        <v/>
      </c>
      <c r="AB742">
        <f>IF(OR($A742="",PESQUISA!$C$50=""),0,IF(ISNUMBER(SEARCH(PESQUISA!$C$50,$I742)),1,0))</f>
        <v/>
      </c>
      <c r="AC742">
        <f>IF($AB742=1,SUM($AB$3:$AB742),"")</f>
        <v/>
      </c>
    </row>
    <row r="743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>
        <f>IFERROR(INDEX(CONFIGURACOES!$G$37:$G$300,MATCH($I743,CONFIGURACOES!$B$37:$B$300,0)),"")</f>
        <v/>
      </c>
      <c r="K743" s="20">
        <f>IFERROR(INDEX(CONFIGURACOES!$H$37:$H$300,MATCH($I743,CONFIGURACOES!$B$37:$B$300,0)),"")</f>
        <v/>
      </c>
      <c r="L743" s="20" t="n"/>
      <c r="M743" s="20">
        <f>IFERROR(INDEX(CONFIGURACOES!$I$37:$I$300,MATCH($I743,CONFIGURACOES!$B$37:$B$300,0)),"")</f>
        <v/>
      </c>
      <c r="N743" s="21" t="n"/>
      <c r="O743" s="21" t="n"/>
      <c r="P743" s="21" t="n"/>
      <c r="Q743" s="21" t="n"/>
      <c r="R743" s="21">
        <f>IF($N743="","",$N743*IF($Q743="",1,$Q743)*IF($P743="",1,$P743)*IF($O743="",1,$O743))</f>
        <v/>
      </c>
      <c r="S743" s="22">
        <f>IFERROR(INDEX(CONFIGURACOES!$J$37:$J$300,MATCH($I743,CONFIGURACOES!$B$37:$B$300,0)),"")</f>
        <v/>
      </c>
      <c r="T743" s="22">
        <f>IF(OR($R743="",$S743=""),"",$R743*$S743)</f>
        <v/>
      </c>
      <c r="U743" s="20" t="n"/>
      <c r="V743" s="20" t="n"/>
      <c r="W743" s="20" t="n"/>
      <c r="X743">
        <f>IF($A743="","",$A743&amp;"|"&amp;$C743&amp;"|"&amp;$I743)</f>
        <v/>
      </c>
      <c r="Y743">
        <f>IF(AND($A743=RELATORIO_MEDICAO!$C$5,$C743=RELATORIO_MEDICAO!$F$5,$A743&lt;&gt;""),COUNTIFS($A$3:$A743,RELATORIO_MEDICAO!$C$5,$C$3:$C743,RELATORIO_MEDICAO!$F$5),"")</f>
        <v/>
      </c>
      <c r="Z743">
        <f>IF(OR($A743="",PESQUISA!$C$4=""),0,IF(OR(ISNUMBER(SEARCH(PESQUISA!$C$4,$G743)),ISNUMBER(SEARCH(PESQUISA!$C$4,$K743)),ISNUMBER(SEARCH(PESQUISA!$C$4,$L743))),1,0))</f>
        <v/>
      </c>
      <c r="AA743">
        <f>IF($Z743=1,SUM($Z$3:$Z743),"")</f>
        <v/>
      </c>
      <c r="AB743">
        <f>IF(OR($A743="",PESQUISA!$C$50=""),0,IF(ISNUMBER(SEARCH(PESQUISA!$C$50,$I743)),1,0))</f>
        <v/>
      </c>
      <c r="AC743">
        <f>IF($AB743=1,SUM($AB$3:$AB743),"")</f>
        <v/>
      </c>
    </row>
    <row r="744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>
        <f>IFERROR(INDEX(CONFIGURACOES!$G$37:$G$300,MATCH($I744,CONFIGURACOES!$B$37:$B$300,0)),"")</f>
        <v/>
      </c>
      <c r="K744" s="20">
        <f>IFERROR(INDEX(CONFIGURACOES!$H$37:$H$300,MATCH($I744,CONFIGURACOES!$B$37:$B$300,0)),"")</f>
        <v/>
      </c>
      <c r="L744" s="20" t="n"/>
      <c r="M744" s="20">
        <f>IFERROR(INDEX(CONFIGURACOES!$I$37:$I$300,MATCH($I744,CONFIGURACOES!$B$37:$B$300,0)),"")</f>
        <v/>
      </c>
      <c r="N744" s="21" t="n"/>
      <c r="O744" s="21" t="n"/>
      <c r="P744" s="21" t="n"/>
      <c r="Q744" s="21" t="n"/>
      <c r="R744" s="21">
        <f>IF($N744="","",$N744*IF($Q744="",1,$Q744)*IF($P744="",1,$P744)*IF($O744="",1,$O744))</f>
        <v/>
      </c>
      <c r="S744" s="22">
        <f>IFERROR(INDEX(CONFIGURACOES!$J$37:$J$300,MATCH($I744,CONFIGURACOES!$B$37:$B$300,0)),"")</f>
        <v/>
      </c>
      <c r="T744" s="22">
        <f>IF(OR($R744="",$S744=""),"",$R744*$S744)</f>
        <v/>
      </c>
      <c r="U744" s="20" t="n"/>
      <c r="V744" s="20" t="n"/>
      <c r="W744" s="20" t="n"/>
      <c r="X744">
        <f>IF($A744="","",$A744&amp;"|"&amp;$C744&amp;"|"&amp;$I744)</f>
        <v/>
      </c>
      <c r="Y744">
        <f>IF(AND($A744=RELATORIO_MEDICAO!$C$5,$C744=RELATORIO_MEDICAO!$F$5,$A744&lt;&gt;""),COUNTIFS($A$3:$A744,RELATORIO_MEDICAO!$C$5,$C$3:$C744,RELATORIO_MEDICAO!$F$5),"")</f>
        <v/>
      </c>
      <c r="Z744">
        <f>IF(OR($A744="",PESQUISA!$C$4=""),0,IF(OR(ISNUMBER(SEARCH(PESQUISA!$C$4,$G744)),ISNUMBER(SEARCH(PESQUISA!$C$4,$K744)),ISNUMBER(SEARCH(PESQUISA!$C$4,$L744))),1,0))</f>
        <v/>
      </c>
      <c r="AA744">
        <f>IF($Z744=1,SUM($Z$3:$Z744),"")</f>
        <v/>
      </c>
      <c r="AB744">
        <f>IF(OR($A744="",PESQUISA!$C$50=""),0,IF(ISNUMBER(SEARCH(PESQUISA!$C$50,$I744)),1,0))</f>
        <v/>
      </c>
      <c r="AC744">
        <f>IF($AB744=1,SUM($AB$3:$AB744),"")</f>
        <v/>
      </c>
    </row>
    <row r="745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>
        <f>IFERROR(INDEX(CONFIGURACOES!$G$37:$G$300,MATCH($I745,CONFIGURACOES!$B$37:$B$300,0)),"")</f>
        <v/>
      </c>
      <c r="K745" s="20">
        <f>IFERROR(INDEX(CONFIGURACOES!$H$37:$H$300,MATCH($I745,CONFIGURACOES!$B$37:$B$300,0)),"")</f>
        <v/>
      </c>
      <c r="L745" s="20" t="n"/>
      <c r="M745" s="20">
        <f>IFERROR(INDEX(CONFIGURACOES!$I$37:$I$300,MATCH($I745,CONFIGURACOES!$B$37:$B$300,0)),"")</f>
        <v/>
      </c>
      <c r="N745" s="21" t="n"/>
      <c r="O745" s="21" t="n"/>
      <c r="P745" s="21" t="n"/>
      <c r="Q745" s="21" t="n"/>
      <c r="R745" s="21">
        <f>IF($N745="","",$N745*IF($Q745="",1,$Q745)*IF($P745="",1,$P745)*IF($O745="",1,$O745))</f>
        <v/>
      </c>
      <c r="S745" s="22">
        <f>IFERROR(INDEX(CONFIGURACOES!$J$37:$J$300,MATCH($I745,CONFIGURACOES!$B$37:$B$300,0)),"")</f>
        <v/>
      </c>
      <c r="T745" s="22">
        <f>IF(OR($R745="",$S745=""),"",$R745*$S745)</f>
        <v/>
      </c>
      <c r="U745" s="20" t="n"/>
      <c r="V745" s="20" t="n"/>
      <c r="W745" s="20" t="n"/>
      <c r="X745">
        <f>IF($A745="","",$A745&amp;"|"&amp;$C745&amp;"|"&amp;$I745)</f>
        <v/>
      </c>
      <c r="Y745">
        <f>IF(AND($A745=RELATORIO_MEDICAO!$C$5,$C745=RELATORIO_MEDICAO!$F$5,$A745&lt;&gt;""),COUNTIFS($A$3:$A745,RELATORIO_MEDICAO!$C$5,$C$3:$C745,RELATORIO_MEDICAO!$F$5),"")</f>
        <v/>
      </c>
      <c r="Z745">
        <f>IF(OR($A745="",PESQUISA!$C$4=""),0,IF(OR(ISNUMBER(SEARCH(PESQUISA!$C$4,$G745)),ISNUMBER(SEARCH(PESQUISA!$C$4,$K745)),ISNUMBER(SEARCH(PESQUISA!$C$4,$L745))),1,0))</f>
        <v/>
      </c>
      <c r="AA745">
        <f>IF($Z745=1,SUM($Z$3:$Z745),"")</f>
        <v/>
      </c>
      <c r="AB745">
        <f>IF(OR($A745="",PESQUISA!$C$50=""),0,IF(ISNUMBER(SEARCH(PESQUISA!$C$50,$I745)),1,0))</f>
        <v/>
      </c>
      <c r="AC745">
        <f>IF($AB745=1,SUM($AB$3:$AB745),"")</f>
        <v/>
      </c>
    </row>
    <row r="746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>
        <f>IFERROR(INDEX(CONFIGURACOES!$G$37:$G$300,MATCH($I746,CONFIGURACOES!$B$37:$B$300,0)),"")</f>
        <v/>
      </c>
      <c r="K746" s="20">
        <f>IFERROR(INDEX(CONFIGURACOES!$H$37:$H$300,MATCH($I746,CONFIGURACOES!$B$37:$B$300,0)),"")</f>
        <v/>
      </c>
      <c r="L746" s="20" t="n"/>
      <c r="M746" s="20">
        <f>IFERROR(INDEX(CONFIGURACOES!$I$37:$I$300,MATCH($I746,CONFIGURACOES!$B$37:$B$300,0)),"")</f>
        <v/>
      </c>
      <c r="N746" s="21" t="n"/>
      <c r="O746" s="21" t="n"/>
      <c r="P746" s="21" t="n"/>
      <c r="Q746" s="21" t="n"/>
      <c r="R746" s="21">
        <f>IF($N746="","",$N746*IF($Q746="",1,$Q746)*IF($P746="",1,$P746)*IF($O746="",1,$O746))</f>
        <v/>
      </c>
      <c r="S746" s="22">
        <f>IFERROR(INDEX(CONFIGURACOES!$J$37:$J$300,MATCH($I746,CONFIGURACOES!$B$37:$B$300,0)),"")</f>
        <v/>
      </c>
      <c r="T746" s="22">
        <f>IF(OR($R746="",$S746=""),"",$R746*$S746)</f>
        <v/>
      </c>
      <c r="U746" s="20" t="n"/>
      <c r="V746" s="20" t="n"/>
      <c r="W746" s="20" t="n"/>
      <c r="X746">
        <f>IF($A746="","",$A746&amp;"|"&amp;$C746&amp;"|"&amp;$I746)</f>
        <v/>
      </c>
      <c r="Y746">
        <f>IF(AND($A746=RELATORIO_MEDICAO!$C$5,$C746=RELATORIO_MEDICAO!$F$5,$A746&lt;&gt;""),COUNTIFS($A$3:$A746,RELATORIO_MEDICAO!$C$5,$C$3:$C746,RELATORIO_MEDICAO!$F$5),"")</f>
        <v/>
      </c>
      <c r="Z746">
        <f>IF(OR($A746="",PESQUISA!$C$4=""),0,IF(OR(ISNUMBER(SEARCH(PESQUISA!$C$4,$G746)),ISNUMBER(SEARCH(PESQUISA!$C$4,$K746)),ISNUMBER(SEARCH(PESQUISA!$C$4,$L746))),1,0))</f>
        <v/>
      </c>
      <c r="AA746">
        <f>IF($Z746=1,SUM($Z$3:$Z746),"")</f>
        <v/>
      </c>
      <c r="AB746">
        <f>IF(OR($A746="",PESQUISA!$C$50=""),0,IF(ISNUMBER(SEARCH(PESQUISA!$C$50,$I746)),1,0))</f>
        <v/>
      </c>
      <c r="AC746">
        <f>IF($AB746=1,SUM($AB$3:$AB746),"")</f>
        <v/>
      </c>
    </row>
    <row r="747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>
        <f>IFERROR(INDEX(CONFIGURACOES!$G$37:$G$300,MATCH($I747,CONFIGURACOES!$B$37:$B$300,0)),"")</f>
        <v/>
      </c>
      <c r="K747" s="20">
        <f>IFERROR(INDEX(CONFIGURACOES!$H$37:$H$300,MATCH($I747,CONFIGURACOES!$B$37:$B$300,0)),"")</f>
        <v/>
      </c>
      <c r="L747" s="20" t="n"/>
      <c r="M747" s="20">
        <f>IFERROR(INDEX(CONFIGURACOES!$I$37:$I$300,MATCH($I747,CONFIGURACOES!$B$37:$B$300,0)),"")</f>
        <v/>
      </c>
      <c r="N747" s="21" t="n"/>
      <c r="O747" s="21" t="n"/>
      <c r="P747" s="21" t="n"/>
      <c r="Q747" s="21" t="n"/>
      <c r="R747" s="21">
        <f>IF($N747="","",$N747*IF($Q747="",1,$Q747)*IF($P747="",1,$P747)*IF($O747="",1,$O747))</f>
        <v/>
      </c>
      <c r="S747" s="22">
        <f>IFERROR(INDEX(CONFIGURACOES!$J$37:$J$300,MATCH($I747,CONFIGURACOES!$B$37:$B$300,0)),"")</f>
        <v/>
      </c>
      <c r="T747" s="22">
        <f>IF(OR($R747="",$S747=""),"",$R747*$S747)</f>
        <v/>
      </c>
      <c r="U747" s="20" t="n"/>
      <c r="V747" s="20" t="n"/>
      <c r="W747" s="20" t="n"/>
      <c r="X747">
        <f>IF($A747="","",$A747&amp;"|"&amp;$C747&amp;"|"&amp;$I747)</f>
        <v/>
      </c>
      <c r="Y747">
        <f>IF(AND($A747=RELATORIO_MEDICAO!$C$5,$C747=RELATORIO_MEDICAO!$F$5,$A747&lt;&gt;""),COUNTIFS($A$3:$A747,RELATORIO_MEDICAO!$C$5,$C$3:$C747,RELATORIO_MEDICAO!$F$5),"")</f>
        <v/>
      </c>
      <c r="Z747">
        <f>IF(OR($A747="",PESQUISA!$C$4=""),0,IF(OR(ISNUMBER(SEARCH(PESQUISA!$C$4,$G747)),ISNUMBER(SEARCH(PESQUISA!$C$4,$K747)),ISNUMBER(SEARCH(PESQUISA!$C$4,$L747))),1,0))</f>
        <v/>
      </c>
      <c r="AA747">
        <f>IF($Z747=1,SUM($Z$3:$Z747),"")</f>
        <v/>
      </c>
      <c r="AB747">
        <f>IF(OR($A747="",PESQUISA!$C$50=""),0,IF(ISNUMBER(SEARCH(PESQUISA!$C$50,$I747)),1,0))</f>
        <v/>
      </c>
      <c r="AC747">
        <f>IF($AB747=1,SUM($AB$3:$AB747),"")</f>
        <v/>
      </c>
    </row>
    <row r="748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>
        <f>IFERROR(INDEX(CONFIGURACOES!$G$37:$G$300,MATCH($I748,CONFIGURACOES!$B$37:$B$300,0)),"")</f>
        <v/>
      </c>
      <c r="K748" s="20">
        <f>IFERROR(INDEX(CONFIGURACOES!$H$37:$H$300,MATCH($I748,CONFIGURACOES!$B$37:$B$300,0)),"")</f>
        <v/>
      </c>
      <c r="L748" s="20" t="n"/>
      <c r="M748" s="20">
        <f>IFERROR(INDEX(CONFIGURACOES!$I$37:$I$300,MATCH($I748,CONFIGURACOES!$B$37:$B$300,0)),"")</f>
        <v/>
      </c>
      <c r="N748" s="21" t="n"/>
      <c r="O748" s="21" t="n"/>
      <c r="P748" s="21" t="n"/>
      <c r="Q748" s="21" t="n"/>
      <c r="R748" s="21">
        <f>IF($N748="","",$N748*IF($Q748="",1,$Q748)*IF($P748="",1,$P748)*IF($O748="",1,$O748))</f>
        <v/>
      </c>
      <c r="S748" s="22">
        <f>IFERROR(INDEX(CONFIGURACOES!$J$37:$J$300,MATCH($I748,CONFIGURACOES!$B$37:$B$300,0)),"")</f>
        <v/>
      </c>
      <c r="T748" s="22">
        <f>IF(OR($R748="",$S748=""),"",$R748*$S748)</f>
        <v/>
      </c>
      <c r="U748" s="20" t="n"/>
      <c r="V748" s="20" t="n"/>
      <c r="W748" s="20" t="n"/>
      <c r="X748">
        <f>IF($A748="","",$A748&amp;"|"&amp;$C748&amp;"|"&amp;$I748)</f>
        <v/>
      </c>
      <c r="Y748">
        <f>IF(AND($A748=RELATORIO_MEDICAO!$C$5,$C748=RELATORIO_MEDICAO!$F$5,$A748&lt;&gt;""),COUNTIFS($A$3:$A748,RELATORIO_MEDICAO!$C$5,$C$3:$C748,RELATORIO_MEDICAO!$F$5),"")</f>
        <v/>
      </c>
      <c r="Z748">
        <f>IF(OR($A748="",PESQUISA!$C$4=""),0,IF(OR(ISNUMBER(SEARCH(PESQUISA!$C$4,$G748)),ISNUMBER(SEARCH(PESQUISA!$C$4,$K748)),ISNUMBER(SEARCH(PESQUISA!$C$4,$L748))),1,0))</f>
        <v/>
      </c>
      <c r="AA748">
        <f>IF($Z748=1,SUM($Z$3:$Z748),"")</f>
        <v/>
      </c>
      <c r="AB748">
        <f>IF(OR($A748="",PESQUISA!$C$50=""),0,IF(ISNUMBER(SEARCH(PESQUISA!$C$50,$I748)),1,0))</f>
        <v/>
      </c>
      <c r="AC748">
        <f>IF($AB748=1,SUM($AB$3:$AB748),"")</f>
        <v/>
      </c>
    </row>
    <row r="749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>
        <f>IFERROR(INDEX(CONFIGURACOES!$G$37:$G$300,MATCH($I749,CONFIGURACOES!$B$37:$B$300,0)),"")</f>
        <v/>
      </c>
      <c r="K749" s="20">
        <f>IFERROR(INDEX(CONFIGURACOES!$H$37:$H$300,MATCH($I749,CONFIGURACOES!$B$37:$B$300,0)),"")</f>
        <v/>
      </c>
      <c r="L749" s="20" t="n"/>
      <c r="M749" s="20">
        <f>IFERROR(INDEX(CONFIGURACOES!$I$37:$I$300,MATCH($I749,CONFIGURACOES!$B$37:$B$300,0)),"")</f>
        <v/>
      </c>
      <c r="N749" s="21" t="n"/>
      <c r="O749" s="21" t="n"/>
      <c r="P749" s="21" t="n"/>
      <c r="Q749" s="21" t="n"/>
      <c r="R749" s="21">
        <f>IF($N749="","",$N749*IF($Q749="",1,$Q749)*IF($P749="",1,$P749)*IF($O749="",1,$O749))</f>
        <v/>
      </c>
      <c r="S749" s="22">
        <f>IFERROR(INDEX(CONFIGURACOES!$J$37:$J$300,MATCH($I749,CONFIGURACOES!$B$37:$B$300,0)),"")</f>
        <v/>
      </c>
      <c r="T749" s="22">
        <f>IF(OR($R749="",$S749=""),"",$R749*$S749)</f>
        <v/>
      </c>
      <c r="U749" s="20" t="n"/>
      <c r="V749" s="20" t="n"/>
      <c r="W749" s="20" t="n"/>
      <c r="X749">
        <f>IF($A749="","",$A749&amp;"|"&amp;$C749&amp;"|"&amp;$I749)</f>
        <v/>
      </c>
      <c r="Y749">
        <f>IF(AND($A749=RELATORIO_MEDICAO!$C$5,$C749=RELATORIO_MEDICAO!$F$5,$A749&lt;&gt;""),COUNTIFS($A$3:$A749,RELATORIO_MEDICAO!$C$5,$C$3:$C749,RELATORIO_MEDICAO!$F$5),"")</f>
        <v/>
      </c>
      <c r="Z749">
        <f>IF(OR($A749="",PESQUISA!$C$4=""),0,IF(OR(ISNUMBER(SEARCH(PESQUISA!$C$4,$G749)),ISNUMBER(SEARCH(PESQUISA!$C$4,$K749)),ISNUMBER(SEARCH(PESQUISA!$C$4,$L749))),1,0))</f>
        <v/>
      </c>
      <c r="AA749">
        <f>IF($Z749=1,SUM($Z$3:$Z749),"")</f>
        <v/>
      </c>
      <c r="AB749">
        <f>IF(OR($A749="",PESQUISA!$C$50=""),0,IF(ISNUMBER(SEARCH(PESQUISA!$C$50,$I749)),1,0))</f>
        <v/>
      </c>
      <c r="AC749">
        <f>IF($AB749=1,SUM($AB$3:$AB749),"")</f>
        <v/>
      </c>
    </row>
    <row r="750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>
        <f>IFERROR(INDEX(CONFIGURACOES!$G$37:$G$300,MATCH($I750,CONFIGURACOES!$B$37:$B$300,0)),"")</f>
        <v/>
      </c>
      <c r="K750" s="20">
        <f>IFERROR(INDEX(CONFIGURACOES!$H$37:$H$300,MATCH($I750,CONFIGURACOES!$B$37:$B$300,0)),"")</f>
        <v/>
      </c>
      <c r="L750" s="20" t="n"/>
      <c r="M750" s="20">
        <f>IFERROR(INDEX(CONFIGURACOES!$I$37:$I$300,MATCH($I750,CONFIGURACOES!$B$37:$B$300,0)),"")</f>
        <v/>
      </c>
      <c r="N750" s="21" t="n"/>
      <c r="O750" s="21" t="n"/>
      <c r="P750" s="21" t="n"/>
      <c r="Q750" s="21" t="n"/>
      <c r="R750" s="21">
        <f>IF($N750="","",$N750*IF($Q750="",1,$Q750)*IF($P750="",1,$P750)*IF($O750="",1,$O750))</f>
        <v/>
      </c>
      <c r="S750" s="22">
        <f>IFERROR(INDEX(CONFIGURACOES!$J$37:$J$300,MATCH($I750,CONFIGURACOES!$B$37:$B$300,0)),"")</f>
        <v/>
      </c>
      <c r="T750" s="22">
        <f>IF(OR($R750="",$S750=""),"",$R750*$S750)</f>
        <v/>
      </c>
      <c r="U750" s="20" t="n"/>
      <c r="V750" s="20" t="n"/>
      <c r="W750" s="20" t="n"/>
      <c r="X750">
        <f>IF($A750="","",$A750&amp;"|"&amp;$C750&amp;"|"&amp;$I750)</f>
        <v/>
      </c>
      <c r="Y750">
        <f>IF(AND($A750=RELATORIO_MEDICAO!$C$5,$C750=RELATORIO_MEDICAO!$F$5,$A750&lt;&gt;""),COUNTIFS($A$3:$A750,RELATORIO_MEDICAO!$C$5,$C$3:$C750,RELATORIO_MEDICAO!$F$5),"")</f>
        <v/>
      </c>
      <c r="Z750">
        <f>IF(OR($A750="",PESQUISA!$C$4=""),0,IF(OR(ISNUMBER(SEARCH(PESQUISA!$C$4,$G750)),ISNUMBER(SEARCH(PESQUISA!$C$4,$K750)),ISNUMBER(SEARCH(PESQUISA!$C$4,$L750))),1,0))</f>
        <v/>
      </c>
      <c r="AA750">
        <f>IF($Z750=1,SUM($Z$3:$Z750),"")</f>
        <v/>
      </c>
      <c r="AB750">
        <f>IF(OR($A750="",PESQUISA!$C$50=""),0,IF(ISNUMBER(SEARCH(PESQUISA!$C$50,$I750)),1,0))</f>
        <v/>
      </c>
      <c r="AC750">
        <f>IF($AB750=1,SUM($AB$3:$AB750),"")</f>
        <v/>
      </c>
    </row>
    <row r="751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>
        <f>IFERROR(INDEX(CONFIGURACOES!$G$37:$G$300,MATCH($I751,CONFIGURACOES!$B$37:$B$300,0)),"")</f>
        <v/>
      </c>
      <c r="K751" s="20">
        <f>IFERROR(INDEX(CONFIGURACOES!$H$37:$H$300,MATCH($I751,CONFIGURACOES!$B$37:$B$300,0)),"")</f>
        <v/>
      </c>
      <c r="L751" s="20" t="n"/>
      <c r="M751" s="20">
        <f>IFERROR(INDEX(CONFIGURACOES!$I$37:$I$300,MATCH($I751,CONFIGURACOES!$B$37:$B$300,0)),"")</f>
        <v/>
      </c>
      <c r="N751" s="21" t="n"/>
      <c r="O751" s="21" t="n"/>
      <c r="P751" s="21" t="n"/>
      <c r="Q751" s="21" t="n"/>
      <c r="R751" s="21">
        <f>IF($N751="","",$N751*IF($Q751="",1,$Q751)*IF($P751="",1,$P751)*IF($O751="",1,$O751))</f>
        <v/>
      </c>
      <c r="S751" s="22">
        <f>IFERROR(INDEX(CONFIGURACOES!$J$37:$J$300,MATCH($I751,CONFIGURACOES!$B$37:$B$300,0)),"")</f>
        <v/>
      </c>
      <c r="T751" s="22">
        <f>IF(OR($R751="",$S751=""),"",$R751*$S751)</f>
        <v/>
      </c>
      <c r="U751" s="20" t="n"/>
      <c r="V751" s="20" t="n"/>
      <c r="W751" s="20" t="n"/>
      <c r="X751">
        <f>IF($A751="","",$A751&amp;"|"&amp;$C751&amp;"|"&amp;$I751)</f>
        <v/>
      </c>
      <c r="Y751">
        <f>IF(AND($A751=RELATORIO_MEDICAO!$C$5,$C751=RELATORIO_MEDICAO!$F$5,$A751&lt;&gt;""),COUNTIFS($A$3:$A751,RELATORIO_MEDICAO!$C$5,$C$3:$C751,RELATORIO_MEDICAO!$F$5),"")</f>
        <v/>
      </c>
      <c r="Z751">
        <f>IF(OR($A751="",PESQUISA!$C$4=""),0,IF(OR(ISNUMBER(SEARCH(PESQUISA!$C$4,$G751)),ISNUMBER(SEARCH(PESQUISA!$C$4,$K751)),ISNUMBER(SEARCH(PESQUISA!$C$4,$L751))),1,0))</f>
        <v/>
      </c>
      <c r="AA751">
        <f>IF($Z751=1,SUM($Z$3:$Z751),"")</f>
        <v/>
      </c>
      <c r="AB751">
        <f>IF(OR($A751="",PESQUISA!$C$50=""),0,IF(ISNUMBER(SEARCH(PESQUISA!$C$50,$I751)),1,0))</f>
        <v/>
      </c>
      <c r="AC751">
        <f>IF($AB751=1,SUM($AB$3:$AB751),"")</f>
        <v/>
      </c>
    </row>
    <row r="752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>
        <f>IFERROR(INDEX(CONFIGURACOES!$G$37:$G$300,MATCH($I752,CONFIGURACOES!$B$37:$B$300,0)),"")</f>
        <v/>
      </c>
      <c r="K752" s="20">
        <f>IFERROR(INDEX(CONFIGURACOES!$H$37:$H$300,MATCH($I752,CONFIGURACOES!$B$37:$B$300,0)),"")</f>
        <v/>
      </c>
      <c r="L752" s="20" t="n"/>
      <c r="M752" s="20">
        <f>IFERROR(INDEX(CONFIGURACOES!$I$37:$I$300,MATCH($I752,CONFIGURACOES!$B$37:$B$300,0)),"")</f>
        <v/>
      </c>
      <c r="N752" s="21" t="n"/>
      <c r="O752" s="21" t="n"/>
      <c r="P752" s="21" t="n"/>
      <c r="Q752" s="21" t="n"/>
      <c r="R752" s="21">
        <f>IF($N752="","",$N752*IF($Q752="",1,$Q752)*IF($P752="",1,$P752)*IF($O752="",1,$O752))</f>
        <v/>
      </c>
      <c r="S752" s="22">
        <f>IFERROR(INDEX(CONFIGURACOES!$J$37:$J$300,MATCH($I752,CONFIGURACOES!$B$37:$B$300,0)),"")</f>
        <v/>
      </c>
      <c r="T752" s="22">
        <f>IF(OR($R752="",$S752=""),"",$R752*$S752)</f>
        <v/>
      </c>
      <c r="U752" s="20" t="n"/>
      <c r="V752" s="20" t="n"/>
      <c r="W752" s="20" t="n"/>
      <c r="X752">
        <f>IF($A752="","",$A752&amp;"|"&amp;$C752&amp;"|"&amp;$I752)</f>
        <v/>
      </c>
      <c r="Y752">
        <f>IF(AND($A752=RELATORIO_MEDICAO!$C$5,$C752=RELATORIO_MEDICAO!$F$5,$A752&lt;&gt;""),COUNTIFS($A$3:$A752,RELATORIO_MEDICAO!$C$5,$C$3:$C752,RELATORIO_MEDICAO!$F$5),"")</f>
        <v/>
      </c>
      <c r="Z752">
        <f>IF(OR($A752="",PESQUISA!$C$4=""),0,IF(OR(ISNUMBER(SEARCH(PESQUISA!$C$4,$G752)),ISNUMBER(SEARCH(PESQUISA!$C$4,$K752)),ISNUMBER(SEARCH(PESQUISA!$C$4,$L752))),1,0))</f>
        <v/>
      </c>
      <c r="AA752">
        <f>IF($Z752=1,SUM($Z$3:$Z752),"")</f>
        <v/>
      </c>
      <c r="AB752">
        <f>IF(OR($A752="",PESQUISA!$C$50=""),0,IF(ISNUMBER(SEARCH(PESQUISA!$C$50,$I752)),1,0))</f>
        <v/>
      </c>
      <c r="AC752">
        <f>IF($AB752=1,SUM($AB$3:$AB752),"")</f>
        <v/>
      </c>
    </row>
    <row r="753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>
        <f>IFERROR(INDEX(CONFIGURACOES!$G$37:$G$300,MATCH($I753,CONFIGURACOES!$B$37:$B$300,0)),"")</f>
        <v/>
      </c>
      <c r="K753" s="20">
        <f>IFERROR(INDEX(CONFIGURACOES!$H$37:$H$300,MATCH($I753,CONFIGURACOES!$B$37:$B$300,0)),"")</f>
        <v/>
      </c>
      <c r="L753" s="20" t="n"/>
      <c r="M753" s="20">
        <f>IFERROR(INDEX(CONFIGURACOES!$I$37:$I$300,MATCH($I753,CONFIGURACOES!$B$37:$B$300,0)),"")</f>
        <v/>
      </c>
      <c r="N753" s="21" t="n"/>
      <c r="O753" s="21" t="n"/>
      <c r="P753" s="21" t="n"/>
      <c r="Q753" s="21" t="n"/>
      <c r="R753" s="21">
        <f>IF($N753="","",$N753*IF($Q753="",1,$Q753)*IF($P753="",1,$P753)*IF($O753="",1,$O753))</f>
        <v/>
      </c>
      <c r="S753" s="22">
        <f>IFERROR(INDEX(CONFIGURACOES!$J$37:$J$300,MATCH($I753,CONFIGURACOES!$B$37:$B$300,0)),"")</f>
        <v/>
      </c>
      <c r="T753" s="22">
        <f>IF(OR($R753="",$S753=""),"",$R753*$S753)</f>
        <v/>
      </c>
      <c r="U753" s="20" t="n"/>
      <c r="V753" s="20" t="n"/>
      <c r="W753" s="20" t="n"/>
      <c r="X753">
        <f>IF($A753="","",$A753&amp;"|"&amp;$C753&amp;"|"&amp;$I753)</f>
        <v/>
      </c>
      <c r="Y753">
        <f>IF(AND($A753=RELATORIO_MEDICAO!$C$5,$C753=RELATORIO_MEDICAO!$F$5,$A753&lt;&gt;""),COUNTIFS($A$3:$A753,RELATORIO_MEDICAO!$C$5,$C$3:$C753,RELATORIO_MEDICAO!$F$5),"")</f>
        <v/>
      </c>
      <c r="Z753">
        <f>IF(OR($A753="",PESQUISA!$C$4=""),0,IF(OR(ISNUMBER(SEARCH(PESQUISA!$C$4,$G753)),ISNUMBER(SEARCH(PESQUISA!$C$4,$K753)),ISNUMBER(SEARCH(PESQUISA!$C$4,$L753))),1,0))</f>
        <v/>
      </c>
      <c r="AA753">
        <f>IF($Z753=1,SUM($Z$3:$Z753),"")</f>
        <v/>
      </c>
      <c r="AB753">
        <f>IF(OR($A753="",PESQUISA!$C$50=""),0,IF(ISNUMBER(SEARCH(PESQUISA!$C$50,$I753)),1,0))</f>
        <v/>
      </c>
      <c r="AC753">
        <f>IF($AB753=1,SUM($AB$3:$AB753),"")</f>
        <v/>
      </c>
    </row>
    <row r="754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>
        <f>IFERROR(INDEX(CONFIGURACOES!$G$37:$G$300,MATCH($I754,CONFIGURACOES!$B$37:$B$300,0)),"")</f>
        <v/>
      </c>
      <c r="K754" s="20">
        <f>IFERROR(INDEX(CONFIGURACOES!$H$37:$H$300,MATCH($I754,CONFIGURACOES!$B$37:$B$300,0)),"")</f>
        <v/>
      </c>
      <c r="L754" s="20" t="n"/>
      <c r="M754" s="20">
        <f>IFERROR(INDEX(CONFIGURACOES!$I$37:$I$300,MATCH($I754,CONFIGURACOES!$B$37:$B$300,0)),"")</f>
        <v/>
      </c>
      <c r="N754" s="21" t="n"/>
      <c r="O754" s="21" t="n"/>
      <c r="P754" s="21" t="n"/>
      <c r="Q754" s="21" t="n"/>
      <c r="R754" s="21">
        <f>IF($N754="","",$N754*IF($Q754="",1,$Q754)*IF($P754="",1,$P754)*IF($O754="",1,$O754))</f>
        <v/>
      </c>
      <c r="S754" s="22">
        <f>IFERROR(INDEX(CONFIGURACOES!$J$37:$J$300,MATCH($I754,CONFIGURACOES!$B$37:$B$300,0)),"")</f>
        <v/>
      </c>
      <c r="T754" s="22">
        <f>IF(OR($R754="",$S754=""),"",$R754*$S754)</f>
        <v/>
      </c>
      <c r="U754" s="20" t="n"/>
      <c r="V754" s="20" t="n"/>
      <c r="W754" s="20" t="n"/>
      <c r="X754">
        <f>IF($A754="","",$A754&amp;"|"&amp;$C754&amp;"|"&amp;$I754)</f>
        <v/>
      </c>
      <c r="Y754">
        <f>IF(AND($A754=RELATORIO_MEDICAO!$C$5,$C754=RELATORIO_MEDICAO!$F$5,$A754&lt;&gt;""),COUNTIFS($A$3:$A754,RELATORIO_MEDICAO!$C$5,$C$3:$C754,RELATORIO_MEDICAO!$F$5),"")</f>
        <v/>
      </c>
      <c r="Z754">
        <f>IF(OR($A754="",PESQUISA!$C$4=""),0,IF(OR(ISNUMBER(SEARCH(PESQUISA!$C$4,$G754)),ISNUMBER(SEARCH(PESQUISA!$C$4,$K754)),ISNUMBER(SEARCH(PESQUISA!$C$4,$L754))),1,0))</f>
        <v/>
      </c>
      <c r="AA754">
        <f>IF($Z754=1,SUM($Z$3:$Z754),"")</f>
        <v/>
      </c>
      <c r="AB754">
        <f>IF(OR($A754="",PESQUISA!$C$50=""),0,IF(ISNUMBER(SEARCH(PESQUISA!$C$50,$I754)),1,0))</f>
        <v/>
      </c>
      <c r="AC754">
        <f>IF($AB754=1,SUM($AB$3:$AB754),"")</f>
        <v/>
      </c>
    </row>
    <row r="755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>
        <f>IFERROR(INDEX(CONFIGURACOES!$G$37:$G$300,MATCH($I755,CONFIGURACOES!$B$37:$B$300,0)),"")</f>
        <v/>
      </c>
      <c r="K755" s="20">
        <f>IFERROR(INDEX(CONFIGURACOES!$H$37:$H$300,MATCH($I755,CONFIGURACOES!$B$37:$B$300,0)),"")</f>
        <v/>
      </c>
      <c r="L755" s="20" t="n"/>
      <c r="M755" s="20">
        <f>IFERROR(INDEX(CONFIGURACOES!$I$37:$I$300,MATCH($I755,CONFIGURACOES!$B$37:$B$300,0)),"")</f>
        <v/>
      </c>
      <c r="N755" s="21" t="n"/>
      <c r="O755" s="21" t="n"/>
      <c r="P755" s="21" t="n"/>
      <c r="Q755" s="21" t="n"/>
      <c r="R755" s="21">
        <f>IF($N755="","",$N755*IF($Q755="",1,$Q755)*IF($P755="",1,$P755)*IF($O755="",1,$O755))</f>
        <v/>
      </c>
      <c r="S755" s="22">
        <f>IFERROR(INDEX(CONFIGURACOES!$J$37:$J$300,MATCH($I755,CONFIGURACOES!$B$37:$B$300,0)),"")</f>
        <v/>
      </c>
      <c r="T755" s="22">
        <f>IF(OR($R755="",$S755=""),"",$R755*$S755)</f>
        <v/>
      </c>
      <c r="U755" s="20" t="n"/>
      <c r="V755" s="20" t="n"/>
      <c r="W755" s="20" t="n"/>
      <c r="X755">
        <f>IF($A755="","",$A755&amp;"|"&amp;$C755&amp;"|"&amp;$I755)</f>
        <v/>
      </c>
      <c r="Y755">
        <f>IF(AND($A755=RELATORIO_MEDICAO!$C$5,$C755=RELATORIO_MEDICAO!$F$5,$A755&lt;&gt;""),COUNTIFS($A$3:$A755,RELATORIO_MEDICAO!$C$5,$C$3:$C755,RELATORIO_MEDICAO!$F$5),"")</f>
        <v/>
      </c>
      <c r="Z755">
        <f>IF(OR($A755="",PESQUISA!$C$4=""),0,IF(OR(ISNUMBER(SEARCH(PESQUISA!$C$4,$G755)),ISNUMBER(SEARCH(PESQUISA!$C$4,$K755)),ISNUMBER(SEARCH(PESQUISA!$C$4,$L755))),1,0))</f>
        <v/>
      </c>
      <c r="AA755">
        <f>IF($Z755=1,SUM($Z$3:$Z755),"")</f>
        <v/>
      </c>
      <c r="AB755">
        <f>IF(OR($A755="",PESQUISA!$C$50=""),0,IF(ISNUMBER(SEARCH(PESQUISA!$C$50,$I755)),1,0))</f>
        <v/>
      </c>
      <c r="AC755">
        <f>IF($AB755=1,SUM($AB$3:$AB755),"")</f>
        <v/>
      </c>
    </row>
    <row r="756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>
        <f>IFERROR(INDEX(CONFIGURACOES!$G$37:$G$300,MATCH($I756,CONFIGURACOES!$B$37:$B$300,0)),"")</f>
        <v/>
      </c>
      <c r="K756" s="20">
        <f>IFERROR(INDEX(CONFIGURACOES!$H$37:$H$300,MATCH($I756,CONFIGURACOES!$B$37:$B$300,0)),"")</f>
        <v/>
      </c>
      <c r="L756" s="20" t="n"/>
      <c r="M756" s="20">
        <f>IFERROR(INDEX(CONFIGURACOES!$I$37:$I$300,MATCH($I756,CONFIGURACOES!$B$37:$B$300,0)),"")</f>
        <v/>
      </c>
      <c r="N756" s="21" t="n"/>
      <c r="O756" s="21" t="n"/>
      <c r="P756" s="21" t="n"/>
      <c r="Q756" s="21" t="n"/>
      <c r="R756" s="21">
        <f>IF($N756="","",$N756*IF($Q756="",1,$Q756)*IF($P756="",1,$P756)*IF($O756="",1,$O756))</f>
        <v/>
      </c>
      <c r="S756" s="22">
        <f>IFERROR(INDEX(CONFIGURACOES!$J$37:$J$300,MATCH($I756,CONFIGURACOES!$B$37:$B$300,0)),"")</f>
        <v/>
      </c>
      <c r="T756" s="22">
        <f>IF(OR($R756="",$S756=""),"",$R756*$S756)</f>
        <v/>
      </c>
      <c r="U756" s="20" t="n"/>
      <c r="V756" s="20" t="n"/>
      <c r="W756" s="20" t="n"/>
      <c r="X756">
        <f>IF($A756="","",$A756&amp;"|"&amp;$C756&amp;"|"&amp;$I756)</f>
        <v/>
      </c>
      <c r="Y756">
        <f>IF(AND($A756=RELATORIO_MEDICAO!$C$5,$C756=RELATORIO_MEDICAO!$F$5,$A756&lt;&gt;""),COUNTIFS($A$3:$A756,RELATORIO_MEDICAO!$C$5,$C$3:$C756,RELATORIO_MEDICAO!$F$5),"")</f>
        <v/>
      </c>
      <c r="Z756">
        <f>IF(OR($A756="",PESQUISA!$C$4=""),0,IF(OR(ISNUMBER(SEARCH(PESQUISA!$C$4,$G756)),ISNUMBER(SEARCH(PESQUISA!$C$4,$K756)),ISNUMBER(SEARCH(PESQUISA!$C$4,$L756))),1,0))</f>
        <v/>
      </c>
      <c r="AA756">
        <f>IF($Z756=1,SUM($Z$3:$Z756),"")</f>
        <v/>
      </c>
      <c r="AB756">
        <f>IF(OR($A756="",PESQUISA!$C$50=""),0,IF(ISNUMBER(SEARCH(PESQUISA!$C$50,$I756)),1,0))</f>
        <v/>
      </c>
      <c r="AC756">
        <f>IF($AB756=1,SUM($AB$3:$AB756),"")</f>
        <v/>
      </c>
    </row>
    <row r="757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>
        <f>IFERROR(INDEX(CONFIGURACOES!$G$37:$G$300,MATCH($I757,CONFIGURACOES!$B$37:$B$300,0)),"")</f>
        <v/>
      </c>
      <c r="K757" s="20">
        <f>IFERROR(INDEX(CONFIGURACOES!$H$37:$H$300,MATCH($I757,CONFIGURACOES!$B$37:$B$300,0)),"")</f>
        <v/>
      </c>
      <c r="L757" s="20" t="n"/>
      <c r="M757" s="20">
        <f>IFERROR(INDEX(CONFIGURACOES!$I$37:$I$300,MATCH($I757,CONFIGURACOES!$B$37:$B$300,0)),"")</f>
        <v/>
      </c>
      <c r="N757" s="21" t="n"/>
      <c r="O757" s="21" t="n"/>
      <c r="P757" s="21" t="n"/>
      <c r="Q757" s="21" t="n"/>
      <c r="R757" s="21">
        <f>IF($N757="","",$N757*IF($Q757="",1,$Q757)*IF($P757="",1,$P757)*IF($O757="",1,$O757))</f>
        <v/>
      </c>
      <c r="S757" s="22">
        <f>IFERROR(INDEX(CONFIGURACOES!$J$37:$J$300,MATCH($I757,CONFIGURACOES!$B$37:$B$300,0)),"")</f>
        <v/>
      </c>
      <c r="T757" s="22">
        <f>IF(OR($R757="",$S757=""),"",$R757*$S757)</f>
        <v/>
      </c>
      <c r="U757" s="20" t="n"/>
      <c r="V757" s="20" t="n"/>
      <c r="W757" s="20" t="n"/>
      <c r="X757">
        <f>IF($A757="","",$A757&amp;"|"&amp;$C757&amp;"|"&amp;$I757)</f>
        <v/>
      </c>
      <c r="Y757">
        <f>IF(AND($A757=RELATORIO_MEDICAO!$C$5,$C757=RELATORIO_MEDICAO!$F$5,$A757&lt;&gt;""),COUNTIFS($A$3:$A757,RELATORIO_MEDICAO!$C$5,$C$3:$C757,RELATORIO_MEDICAO!$F$5),"")</f>
        <v/>
      </c>
      <c r="Z757">
        <f>IF(OR($A757="",PESQUISA!$C$4=""),0,IF(OR(ISNUMBER(SEARCH(PESQUISA!$C$4,$G757)),ISNUMBER(SEARCH(PESQUISA!$C$4,$K757)),ISNUMBER(SEARCH(PESQUISA!$C$4,$L757))),1,0))</f>
        <v/>
      </c>
      <c r="AA757">
        <f>IF($Z757=1,SUM($Z$3:$Z757),"")</f>
        <v/>
      </c>
      <c r="AB757">
        <f>IF(OR($A757="",PESQUISA!$C$50=""),0,IF(ISNUMBER(SEARCH(PESQUISA!$C$50,$I757)),1,0))</f>
        <v/>
      </c>
      <c r="AC757">
        <f>IF($AB757=1,SUM($AB$3:$AB757),"")</f>
        <v/>
      </c>
    </row>
    <row r="75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>
        <f>IFERROR(INDEX(CONFIGURACOES!$G$37:$G$300,MATCH($I758,CONFIGURACOES!$B$37:$B$300,0)),"")</f>
        <v/>
      </c>
      <c r="K758" s="20">
        <f>IFERROR(INDEX(CONFIGURACOES!$H$37:$H$300,MATCH($I758,CONFIGURACOES!$B$37:$B$300,0)),"")</f>
        <v/>
      </c>
      <c r="L758" s="20" t="n"/>
      <c r="M758" s="20">
        <f>IFERROR(INDEX(CONFIGURACOES!$I$37:$I$300,MATCH($I758,CONFIGURACOES!$B$37:$B$300,0)),"")</f>
        <v/>
      </c>
      <c r="N758" s="21" t="n"/>
      <c r="O758" s="21" t="n"/>
      <c r="P758" s="21" t="n"/>
      <c r="Q758" s="21" t="n"/>
      <c r="R758" s="21">
        <f>IF($N758="","",$N758*IF($Q758="",1,$Q758)*IF($P758="",1,$P758)*IF($O758="",1,$O758))</f>
        <v/>
      </c>
      <c r="S758" s="22">
        <f>IFERROR(INDEX(CONFIGURACOES!$J$37:$J$300,MATCH($I758,CONFIGURACOES!$B$37:$B$300,0)),"")</f>
        <v/>
      </c>
      <c r="T758" s="22">
        <f>IF(OR($R758="",$S758=""),"",$R758*$S758)</f>
        <v/>
      </c>
      <c r="U758" s="20" t="n"/>
      <c r="V758" s="20" t="n"/>
      <c r="W758" s="20" t="n"/>
      <c r="X758">
        <f>IF($A758="","",$A758&amp;"|"&amp;$C758&amp;"|"&amp;$I758)</f>
        <v/>
      </c>
      <c r="Y758">
        <f>IF(AND($A758=RELATORIO_MEDICAO!$C$5,$C758=RELATORIO_MEDICAO!$F$5,$A758&lt;&gt;""),COUNTIFS($A$3:$A758,RELATORIO_MEDICAO!$C$5,$C$3:$C758,RELATORIO_MEDICAO!$F$5),"")</f>
        <v/>
      </c>
      <c r="Z758">
        <f>IF(OR($A758="",PESQUISA!$C$4=""),0,IF(OR(ISNUMBER(SEARCH(PESQUISA!$C$4,$G758)),ISNUMBER(SEARCH(PESQUISA!$C$4,$K758)),ISNUMBER(SEARCH(PESQUISA!$C$4,$L758))),1,0))</f>
        <v/>
      </c>
      <c r="AA758">
        <f>IF($Z758=1,SUM($Z$3:$Z758),"")</f>
        <v/>
      </c>
      <c r="AB758">
        <f>IF(OR($A758="",PESQUISA!$C$50=""),0,IF(ISNUMBER(SEARCH(PESQUISA!$C$50,$I758)),1,0))</f>
        <v/>
      </c>
      <c r="AC758">
        <f>IF($AB758=1,SUM($AB$3:$AB758),"")</f>
        <v/>
      </c>
    </row>
    <row r="759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>
        <f>IFERROR(INDEX(CONFIGURACOES!$G$37:$G$300,MATCH($I759,CONFIGURACOES!$B$37:$B$300,0)),"")</f>
        <v/>
      </c>
      <c r="K759" s="20">
        <f>IFERROR(INDEX(CONFIGURACOES!$H$37:$H$300,MATCH($I759,CONFIGURACOES!$B$37:$B$300,0)),"")</f>
        <v/>
      </c>
      <c r="L759" s="20" t="n"/>
      <c r="M759" s="20">
        <f>IFERROR(INDEX(CONFIGURACOES!$I$37:$I$300,MATCH($I759,CONFIGURACOES!$B$37:$B$300,0)),"")</f>
        <v/>
      </c>
      <c r="N759" s="21" t="n"/>
      <c r="O759" s="21" t="n"/>
      <c r="P759" s="21" t="n"/>
      <c r="Q759" s="21" t="n"/>
      <c r="R759" s="21">
        <f>IF($N759="","",$N759*IF($Q759="",1,$Q759)*IF($P759="",1,$P759)*IF($O759="",1,$O759))</f>
        <v/>
      </c>
      <c r="S759" s="22">
        <f>IFERROR(INDEX(CONFIGURACOES!$J$37:$J$300,MATCH($I759,CONFIGURACOES!$B$37:$B$300,0)),"")</f>
        <v/>
      </c>
      <c r="T759" s="22">
        <f>IF(OR($R759="",$S759=""),"",$R759*$S759)</f>
        <v/>
      </c>
      <c r="U759" s="20" t="n"/>
      <c r="V759" s="20" t="n"/>
      <c r="W759" s="20" t="n"/>
      <c r="X759">
        <f>IF($A759="","",$A759&amp;"|"&amp;$C759&amp;"|"&amp;$I759)</f>
        <v/>
      </c>
      <c r="Y759">
        <f>IF(AND($A759=RELATORIO_MEDICAO!$C$5,$C759=RELATORIO_MEDICAO!$F$5,$A759&lt;&gt;""),COUNTIFS($A$3:$A759,RELATORIO_MEDICAO!$C$5,$C$3:$C759,RELATORIO_MEDICAO!$F$5),"")</f>
        <v/>
      </c>
      <c r="Z759">
        <f>IF(OR($A759="",PESQUISA!$C$4=""),0,IF(OR(ISNUMBER(SEARCH(PESQUISA!$C$4,$G759)),ISNUMBER(SEARCH(PESQUISA!$C$4,$K759)),ISNUMBER(SEARCH(PESQUISA!$C$4,$L759))),1,0))</f>
        <v/>
      </c>
      <c r="AA759">
        <f>IF($Z759=1,SUM($Z$3:$Z759),"")</f>
        <v/>
      </c>
      <c r="AB759">
        <f>IF(OR($A759="",PESQUISA!$C$50=""),0,IF(ISNUMBER(SEARCH(PESQUISA!$C$50,$I759)),1,0))</f>
        <v/>
      </c>
      <c r="AC759">
        <f>IF($AB759=1,SUM($AB$3:$AB759),"")</f>
        <v/>
      </c>
    </row>
    <row r="760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>
        <f>IFERROR(INDEX(CONFIGURACOES!$G$37:$G$300,MATCH($I760,CONFIGURACOES!$B$37:$B$300,0)),"")</f>
        <v/>
      </c>
      <c r="K760" s="20">
        <f>IFERROR(INDEX(CONFIGURACOES!$H$37:$H$300,MATCH($I760,CONFIGURACOES!$B$37:$B$300,0)),"")</f>
        <v/>
      </c>
      <c r="L760" s="20" t="n"/>
      <c r="M760" s="20">
        <f>IFERROR(INDEX(CONFIGURACOES!$I$37:$I$300,MATCH($I760,CONFIGURACOES!$B$37:$B$300,0)),"")</f>
        <v/>
      </c>
      <c r="N760" s="21" t="n"/>
      <c r="O760" s="21" t="n"/>
      <c r="P760" s="21" t="n"/>
      <c r="Q760" s="21" t="n"/>
      <c r="R760" s="21">
        <f>IF($N760="","",$N760*IF($Q760="",1,$Q760)*IF($P760="",1,$P760)*IF($O760="",1,$O760))</f>
        <v/>
      </c>
      <c r="S760" s="22">
        <f>IFERROR(INDEX(CONFIGURACOES!$J$37:$J$300,MATCH($I760,CONFIGURACOES!$B$37:$B$300,0)),"")</f>
        <v/>
      </c>
      <c r="T760" s="22">
        <f>IF(OR($R760="",$S760=""),"",$R760*$S760)</f>
        <v/>
      </c>
      <c r="U760" s="20" t="n"/>
      <c r="V760" s="20" t="n"/>
      <c r="W760" s="20" t="n"/>
      <c r="X760">
        <f>IF($A760="","",$A760&amp;"|"&amp;$C760&amp;"|"&amp;$I760)</f>
        <v/>
      </c>
      <c r="Y760">
        <f>IF(AND($A760=RELATORIO_MEDICAO!$C$5,$C760=RELATORIO_MEDICAO!$F$5,$A760&lt;&gt;""),COUNTIFS($A$3:$A760,RELATORIO_MEDICAO!$C$5,$C$3:$C760,RELATORIO_MEDICAO!$F$5),"")</f>
        <v/>
      </c>
      <c r="Z760">
        <f>IF(OR($A760="",PESQUISA!$C$4=""),0,IF(OR(ISNUMBER(SEARCH(PESQUISA!$C$4,$G760)),ISNUMBER(SEARCH(PESQUISA!$C$4,$K760)),ISNUMBER(SEARCH(PESQUISA!$C$4,$L760))),1,0))</f>
        <v/>
      </c>
      <c r="AA760">
        <f>IF($Z760=1,SUM($Z$3:$Z760),"")</f>
        <v/>
      </c>
      <c r="AB760">
        <f>IF(OR($A760="",PESQUISA!$C$50=""),0,IF(ISNUMBER(SEARCH(PESQUISA!$C$50,$I760)),1,0))</f>
        <v/>
      </c>
      <c r="AC760">
        <f>IF($AB760=1,SUM($AB$3:$AB760),"")</f>
        <v/>
      </c>
    </row>
    <row r="761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>
        <f>IFERROR(INDEX(CONFIGURACOES!$G$37:$G$300,MATCH($I761,CONFIGURACOES!$B$37:$B$300,0)),"")</f>
        <v/>
      </c>
      <c r="K761" s="20">
        <f>IFERROR(INDEX(CONFIGURACOES!$H$37:$H$300,MATCH($I761,CONFIGURACOES!$B$37:$B$300,0)),"")</f>
        <v/>
      </c>
      <c r="L761" s="20" t="n"/>
      <c r="M761" s="20">
        <f>IFERROR(INDEX(CONFIGURACOES!$I$37:$I$300,MATCH($I761,CONFIGURACOES!$B$37:$B$300,0)),"")</f>
        <v/>
      </c>
      <c r="N761" s="21" t="n"/>
      <c r="O761" s="21" t="n"/>
      <c r="P761" s="21" t="n"/>
      <c r="Q761" s="21" t="n"/>
      <c r="R761" s="21">
        <f>IF($N761="","",$N761*IF($Q761="",1,$Q761)*IF($P761="",1,$P761)*IF($O761="",1,$O761))</f>
        <v/>
      </c>
      <c r="S761" s="22">
        <f>IFERROR(INDEX(CONFIGURACOES!$J$37:$J$300,MATCH($I761,CONFIGURACOES!$B$37:$B$300,0)),"")</f>
        <v/>
      </c>
      <c r="T761" s="22">
        <f>IF(OR($R761="",$S761=""),"",$R761*$S761)</f>
        <v/>
      </c>
      <c r="U761" s="20" t="n"/>
      <c r="V761" s="20" t="n"/>
      <c r="W761" s="20" t="n"/>
      <c r="X761">
        <f>IF($A761="","",$A761&amp;"|"&amp;$C761&amp;"|"&amp;$I761)</f>
        <v/>
      </c>
      <c r="Y761">
        <f>IF(AND($A761=RELATORIO_MEDICAO!$C$5,$C761=RELATORIO_MEDICAO!$F$5,$A761&lt;&gt;""),COUNTIFS($A$3:$A761,RELATORIO_MEDICAO!$C$5,$C$3:$C761,RELATORIO_MEDICAO!$F$5),"")</f>
        <v/>
      </c>
      <c r="Z761">
        <f>IF(OR($A761="",PESQUISA!$C$4=""),0,IF(OR(ISNUMBER(SEARCH(PESQUISA!$C$4,$G761)),ISNUMBER(SEARCH(PESQUISA!$C$4,$K761)),ISNUMBER(SEARCH(PESQUISA!$C$4,$L761))),1,0))</f>
        <v/>
      </c>
      <c r="AA761">
        <f>IF($Z761=1,SUM($Z$3:$Z761),"")</f>
        <v/>
      </c>
      <c r="AB761">
        <f>IF(OR($A761="",PESQUISA!$C$50=""),0,IF(ISNUMBER(SEARCH(PESQUISA!$C$50,$I761)),1,0))</f>
        <v/>
      </c>
      <c r="AC761">
        <f>IF($AB761=1,SUM($AB$3:$AB761),"")</f>
        <v/>
      </c>
    </row>
    <row r="762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>
        <f>IFERROR(INDEX(CONFIGURACOES!$G$37:$G$300,MATCH($I762,CONFIGURACOES!$B$37:$B$300,0)),"")</f>
        <v/>
      </c>
      <c r="K762" s="20">
        <f>IFERROR(INDEX(CONFIGURACOES!$H$37:$H$300,MATCH($I762,CONFIGURACOES!$B$37:$B$300,0)),"")</f>
        <v/>
      </c>
      <c r="L762" s="20" t="n"/>
      <c r="M762" s="20">
        <f>IFERROR(INDEX(CONFIGURACOES!$I$37:$I$300,MATCH($I762,CONFIGURACOES!$B$37:$B$300,0)),"")</f>
        <v/>
      </c>
      <c r="N762" s="21" t="n"/>
      <c r="O762" s="21" t="n"/>
      <c r="P762" s="21" t="n"/>
      <c r="Q762" s="21" t="n"/>
      <c r="R762" s="21">
        <f>IF($N762="","",$N762*IF($Q762="",1,$Q762)*IF($P762="",1,$P762)*IF($O762="",1,$O762))</f>
        <v/>
      </c>
      <c r="S762" s="22">
        <f>IFERROR(INDEX(CONFIGURACOES!$J$37:$J$300,MATCH($I762,CONFIGURACOES!$B$37:$B$300,0)),"")</f>
        <v/>
      </c>
      <c r="T762" s="22">
        <f>IF(OR($R762="",$S762=""),"",$R762*$S762)</f>
        <v/>
      </c>
      <c r="U762" s="20" t="n"/>
      <c r="V762" s="20" t="n"/>
      <c r="W762" s="20" t="n"/>
      <c r="X762">
        <f>IF($A762="","",$A762&amp;"|"&amp;$C762&amp;"|"&amp;$I762)</f>
        <v/>
      </c>
      <c r="Y762">
        <f>IF(AND($A762=RELATORIO_MEDICAO!$C$5,$C762=RELATORIO_MEDICAO!$F$5,$A762&lt;&gt;""),COUNTIFS($A$3:$A762,RELATORIO_MEDICAO!$C$5,$C$3:$C762,RELATORIO_MEDICAO!$F$5),"")</f>
        <v/>
      </c>
      <c r="Z762">
        <f>IF(OR($A762="",PESQUISA!$C$4=""),0,IF(OR(ISNUMBER(SEARCH(PESQUISA!$C$4,$G762)),ISNUMBER(SEARCH(PESQUISA!$C$4,$K762)),ISNUMBER(SEARCH(PESQUISA!$C$4,$L762))),1,0))</f>
        <v/>
      </c>
      <c r="AA762">
        <f>IF($Z762=1,SUM($Z$3:$Z762),"")</f>
        <v/>
      </c>
      <c r="AB762">
        <f>IF(OR($A762="",PESQUISA!$C$50=""),0,IF(ISNUMBER(SEARCH(PESQUISA!$C$50,$I762)),1,0))</f>
        <v/>
      </c>
      <c r="AC762">
        <f>IF($AB762=1,SUM($AB$3:$AB762),"")</f>
        <v/>
      </c>
    </row>
    <row r="763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>
        <f>IFERROR(INDEX(CONFIGURACOES!$G$37:$G$300,MATCH($I763,CONFIGURACOES!$B$37:$B$300,0)),"")</f>
        <v/>
      </c>
      <c r="K763" s="20">
        <f>IFERROR(INDEX(CONFIGURACOES!$H$37:$H$300,MATCH($I763,CONFIGURACOES!$B$37:$B$300,0)),"")</f>
        <v/>
      </c>
      <c r="L763" s="20" t="n"/>
      <c r="M763" s="20">
        <f>IFERROR(INDEX(CONFIGURACOES!$I$37:$I$300,MATCH($I763,CONFIGURACOES!$B$37:$B$300,0)),"")</f>
        <v/>
      </c>
      <c r="N763" s="21" t="n"/>
      <c r="O763" s="21" t="n"/>
      <c r="P763" s="21" t="n"/>
      <c r="Q763" s="21" t="n"/>
      <c r="R763" s="21">
        <f>IF($N763="","",$N763*IF($Q763="",1,$Q763)*IF($P763="",1,$P763)*IF($O763="",1,$O763))</f>
        <v/>
      </c>
      <c r="S763" s="22">
        <f>IFERROR(INDEX(CONFIGURACOES!$J$37:$J$300,MATCH($I763,CONFIGURACOES!$B$37:$B$300,0)),"")</f>
        <v/>
      </c>
      <c r="T763" s="22">
        <f>IF(OR($R763="",$S763=""),"",$R763*$S763)</f>
        <v/>
      </c>
      <c r="U763" s="20" t="n"/>
      <c r="V763" s="20" t="n"/>
      <c r="W763" s="20" t="n"/>
      <c r="X763">
        <f>IF($A763="","",$A763&amp;"|"&amp;$C763&amp;"|"&amp;$I763)</f>
        <v/>
      </c>
      <c r="Y763">
        <f>IF(AND($A763=RELATORIO_MEDICAO!$C$5,$C763=RELATORIO_MEDICAO!$F$5,$A763&lt;&gt;""),COUNTIFS($A$3:$A763,RELATORIO_MEDICAO!$C$5,$C$3:$C763,RELATORIO_MEDICAO!$F$5),"")</f>
        <v/>
      </c>
      <c r="Z763">
        <f>IF(OR($A763="",PESQUISA!$C$4=""),0,IF(OR(ISNUMBER(SEARCH(PESQUISA!$C$4,$G763)),ISNUMBER(SEARCH(PESQUISA!$C$4,$K763)),ISNUMBER(SEARCH(PESQUISA!$C$4,$L763))),1,0))</f>
        <v/>
      </c>
      <c r="AA763">
        <f>IF($Z763=1,SUM($Z$3:$Z763),"")</f>
        <v/>
      </c>
      <c r="AB763">
        <f>IF(OR($A763="",PESQUISA!$C$50=""),0,IF(ISNUMBER(SEARCH(PESQUISA!$C$50,$I763)),1,0))</f>
        <v/>
      </c>
      <c r="AC763">
        <f>IF($AB763=1,SUM($AB$3:$AB763),"")</f>
        <v/>
      </c>
    </row>
    <row r="764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>
        <f>IFERROR(INDEX(CONFIGURACOES!$G$37:$G$300,MATCH($I764,CONFIGURACOES!$B$37:$B$300,0)),"")</f>
        <v/>
      </c>
      <c r="K764" s="20">
        <f>IFERROR(INDEX(CONFIGURACOES!$H$37:$H$300,MATCH($I764,CONFIGURACOES!$B$37:$B$300,0)),"")</f>
        <v/>
      </c>
      <c r="L764" s="20" t="n"/>
      <c r="M764" s="20">
        <f>IFERROR(INDEX(CONFIGURACOES!$I$37:$I$300,MATCH($I764,CONFIGURACOES!$B$37:$B$300,0)),"")</f>
        <v/>
      </c>
      <c r="N764" s="21" t="n"/>
      <c r="O764" s="21" t="n"/>
      <c r="P764" s="21" t="n"/>
      <c r="Q764" s="21" t="n"/>
      <c r="R764" s="21">
        <f>IF($N764="","",$N764*IF($Q764="",1,$Q764)*IF($P764="",1,$P764)*IF($O764="",1,$O764))</f>
        <v/>
      </c>
      <c r="S764" s="22">
        <f>IFERROR(INDEX(CONFIGURACOES!$J$37:$J$300,MATCH($I764,CONFIGURACOES!$B$37:$B$300,0)),"")</f>
        <v/>
      </c>
      <c r="T764" s="22">
        <f>IF(OR($R764="",$S764=""),"",$R764*$S764)</f>
        <v/>
      </c>
      <c r="U764" s="20" t="n"/>
      <c r="V764" s="20" t="n"/>
      <c r="W764" s="20" t="n"/>
      <c r="X764">
        <f>IF($A764="","",$A764&amp;"|"&amp;$C764&amp;"|"&amp;$I764)</f>
        <v/>
      </c>
      <c r="Y764">
        <f>IF(AND($A764=RELATORIO_MEDICAO!$C$5,$C764=RELATORIO_MEDICAO!$F$5,$A764&lt;&gt;""),COUNTIFS($A$3:$A764,RELATORIO_MEDICAO!$C$5,$C$3:$C764,RELATORIO_MEDICAO!$F$5),"")</f>
        <v/>
      </c>
      <c r="Z764">
        <f>IF(OR($A764="",PESQUISA!$C$4=""),0,IF(OR(ISNUMBER(SEARCH(PESQUISA!$C$4,$G764)),ISNUMBER(SEARCH(PESQUISA!$C$4,$K764)),ISNUMBER(SEARCH(PESQUISA!$C$4,$L764))),1,0))</f>
        <v/>
      </c>
      <c r="AA764">
        <f>IF($Z764=1,SUM($Z$3:$Z764),"")</f>
        <v/>
      </c>
      <c r="AB764">
        <f>IF(OR($A764="",PESQUISA!$C$50=""),0,IF(ISNUMBER(SEARCH(PESQUISA!$C$50,$I764)),1,0))</f>
        <v/>
      </c>
      <c r="AC764">
        <f>IF($AB764=1,SUM($AB$3:$AB764),"")</f>
        <v/>
      </c>
    </row>
    <row r="765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>
        <f>IFERROR(INDEX(CONFIGURACOES!$G$37:$G$300,MATCH($I765,CONFIGURACOES!$B$37:$B$300,0)),"")</f>
        <v/>
      </c>
      <c r="K765" s="20">
        <f>IFERROR(INDEX(CONFIGURACOES!$H$37:$H$300,MATCH($I765,CONFIGURACOES!$B$37:$B$300,0)),"")</f>
        <v/>
      </c>
      <c r="L765" s="20" t="n"/>
      <c r="M765" s="20">
        <f>IFERROR(INDEX(CONFIGURACOES!$I$37:$I$300,MATCH($I765,CONFIGURACOES!$B$37:$B$300,0)),"")</f>
        <v/>
      </c>
      <c r="N765" s="21" t="n"/>
      <c r="O765" s="21" t="n"/>
      <c r="P765" s="21" t="n"/>
      <c r="Q765" s="21" t="n"/>
      <c r="R765" s="21">
        <f>IF($N765="","",$N765*IF($Q765="",1,$Q765)*IF($P765="",1,$P765)*IF($O765="",1,$O765))</f>
        <v/>
      </c>
      <c r="S765" s="22">
        <f>IFERROR(INDEX(CONFIGURACOES!$J$37:$J$300,MATCH($I765,CONFIGURACOES!$B$37:$B$300,0)),"")</f>
        <v/>
      </c>
      <c r="T765" s="22">
        <f>IF(OR($R765="",$S765=""),"",$R765*$S765)</f>
        <v/>
      </c>
      <c r="U765" s="20" t="n"/>
      <c r="V765" s="20" t="n"/>
      <c r="W765" s="20" t="n"/>
      <c r="X765">
        <f>IF($A765="","",$A765&amp;"|"&amp;$C765&amp;"|"&amp;$I765)</f>
        <v/>
      </c>
      <c r="Y765">
        <f>IF(AND($A765=RELATORIO_MEDICAO!$C$5,$C765=RELATORIO_MEDICAO!$F$5,$A765&lt;&gt;""),COUNTIFS($A$3:$A765,RELATORIO_MEDICAO!$C$5,$C$3:$C765,RELATORIO_MEDICAO!$F$5),"")</f>
        <v/>
      </c>
      <c r="Z765">
        <f>IF(OR($A765="",PESQUISA!$C$4=""),0,IF(OR(ISNUMBER(SEARCH(PESQUISA!$C$4,$G765)),ISNUMBER(SEARCH(PESQUISA!$C$4,$K765)),ISNUMBER(SEARCH(PESQUISA!$C$4,$L765))),1,0))</f>
        <v/>
      </c>
      <c r="AA765">
        <f>IF($Z765=1,SUM($Z$3:$Z765),"")</f>
        <v/>
      </c>
      <c r="AB765">
        <f>IF(OR($A765="",PESQUISA!$C$50=""),0,IF(ISNUMBER(SEARCH(PESQUISA!$C$50,$I765)),1,0))</f>
        <v/>
      </c>
      <c r="AC765">
        <f>IF($AB765=1,SUM($AB$3:$AB765),"")</f>
        <v/>
      </c>
    </row>
    <row r="766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>
        <f>IFERROR(INDEX(CONFIGURACOES!$G$37:$G$300,MATCH($I766,CONFIGURACOES!$B$37:$B$300,0)),"")</f>
        <v/>
      </c>
      <c r="K766" s="20">
        <f>IFERROR(INDEX(CONFIGURACOES!$H$37:$H$300,MATCH($I766,CONFIGURACOES!$B$37:$B$300,0)),"")</f>
        <v/>
      </c>
      <c r="L766" s="20" t="n"/>
      <c r="M766" s="20">
        <f>IFERROR(INDEX(CONFIGURACOES!$I$37:$I$300,MATCH($I766,CONFIGURACOES!$B$37:$B$300,0)),"")</f>
        <v/>
      </c>
      <c r="N766" s="21" t="n"/>
      <c r="O766" s="21" t="n"/>
      <c r="P766" s="21" t="n"/>
      <c r="Q766" s="21" t="n"/>
      <c r="R766" s="21">
        <f>IF($N766="","",$N766*IF($Q766="",1,$Q766)*IF($P766="",1,$P766)*IF($O766="",1,$O766))</f>
        <v/>
      </c>
      <c r="S766" s="22">
        <f>IFERROR(INDEX(CONFIGURACOES!$J$37:$J$300,MATCH($I766,CONFIGURACOES!$B$37:$B$300,0)),"")</f>
        <v/>
      </c>
      <c r="T766" s="22">
        <f>IF(OR($R766="",$S766=""),"",$R766*$S766)</f>
        <v/>
      </c>
      <c r="U766" s="20" t="n"/>
      <c r="V766" s="20" t="n"/>
      <c r="W766" s="20" t="n"/>
      <c r="X766">
        <f>IF($A766="","",$A766&amp;"|"&amp;$C766&amp;"|"&amp;$I766)</f>
        <v/>
      </c>
      <c r="Y766">
        <f>IF(AND($A766=RELATORIO_MEDICAO!$C$5,$C766=RELATORIO_MEDICAO!$F$5,$A766&lt;&gt;""),COUNTIFS($A$3:$A766,RELATORIO_MEDICAO!$C$5,$C$3:$C766,RELATORIO_MEDICAO!$F$5),"")</f>
        <v/>
      </c>
      <c r="Z766">
        <f>IF(OR($A766="",PESQUISA!$C$4=""),0,IF(OR(ISNUMBER(SEARCH(PESQUISA!$C$4,$G766)),ISNUMBER(SEARCH(PESQUISA!$C$4,$K766)),ISNUMBER(SEARCH(PESQUISA!$C$4,$L766))),1,0))</f>
        <v/>
      </c>
      <c r="AA766">
        <f>IF($Z766=1,SUM($Z$3:$Z766),"")</f>
        <v/>
      </c>
      <c r="AB766">
        <f>IF(OR($A766="",PESQUISA!$C$50=""),0,IF(ISNUMBER(SEARCH(PESQUISA!$C$50,$I766)),1,0))</f>
        <v/>
      </c>
      <c r="AC766">
        <f>IF($AB766=1,SUM($AB$3:$AB766),"")</f>
        <v/>
      </c>
    </row>
    <row r="767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>
        <f>IFERROR(INDEX(CONFIGURACOES!$G$37:$G$300,MATCH($I767,CONFIGURACOES!$B$37:$B$300,0)),"")</f>
        <v/>
      </c>
      <c r="K767" s="20">
        <f>IFERROR(INDEX(CONFIGURACOES!$H$37:$H$300,MATCH($I767,CONFIGURACOES!$B$37:$B$300,0)),"")</f>
        <v/>
      </c>
      <c r="L767" s="20" t="n"/>
      <c r="M767" s="20">
        <f>IFERROR(INDEX(CONFIGURACOES!$I$37:$I$300,MATCH($I767,CONFIGURACOES!$B$37:$B$300,0)),"")</f>
        <v/>
      </c>
      <c r="N767" s="21" t="n"/>
      <c r="O767" s="21" t="n"/>
      <c r="P767" s="21" t="n"/>
      <c r="Q767" s="21" t="n"/>
      <c r="R767" s="21">
        <f>IF($N767="","",$N767*IF($Q767="",1,$Q767)*IF($P767="",1,$P767)*IF($O767="",1,$O767))</f>
        <v/>
      </c>
      <c r="S767" s="22">
        <f>IFERROR(INDEX(CONFIGURACOES!$J$37:$J$300,MATCH($I767,CONFIGURACOES!$B$37:$B$300,0)),"")</f>
        <v/>
      </c>
      <c r="T767" s="22">
        <f>IF(OR($R767="",$S767=""),"",$R767*$S767)</f>
        <v/>
      </c>
      <c r="U767" s="20" t="n"/>
      <c r="V767" s="20" t="n"/>
      <c r="W767" s="20" t="n"/>
      <c r="X767">
        <f>IF($A767="","",$A767&amp;"|"&amp;$C767&amp;"|"&amp;$I767)</f>
        <v/>
      </c>
      <c r="Y767">
        <f>IF(AND($A767=RELATORIO_MEDICAO!$C$5,$C767=RELATORIO_MEDICAO!$F$5,$A767&lt;&gt;""),COUNTIFS($A$3:$A767,RELATORIO_MEDICAO!$C$5,$C$3:$C767,RELATORIO_MEDICAO!$F$5),"")</f>
        <v/>
      </c>
      <c r="Z767">
        <f>IF(OR($A767="",PESQUISA!$C$4=""),0,IF(OR(ISNUMBER(SEARCH(PESQUISA!$C$4,$G767)),ISNUMBER(SEARCH(PESQUISA!$C$4,$K767)),ISNUMBER(SEARCH(PESQUISA!$C$4,$L767))),1,0))</f>
        <v/>
      </c>
      <c r="AA767">
        <f>IF($Z767=1,SUM($Z$3:$Z767),"")</f>
        <v/>
      </c>
      <c r="AB767">
        <f>IF(OR($A767="",PESQUISA!$C$50=""),0,IF(ISNUMBER(SEARCH(PESQUISA!$C$50,$I767)),1,0))</f>
        <v/>
      </c>
      <c r="AC767">
        <f>IF($AB767=1,SUM($AB$3:$AB767),"")</f>
        <v/>
      </c>
    </row>
    <row r="768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>
        <f>IFERROR(INDEX(CONFIGURACOES!$G$37:$G$300,MATCH($I768,CONFIGURACOES!$B$37:$B$300,0)),"")</f>
        <v/>
      </c>
      <c r="K768" s="20">
        <f>IFERROR(INDEX(CONFIGURACOES!$H$37:$H$300,MATCH($I768,CONFIGURACOES!$B$37:$B$300,0)),"")</f>
        <v/>
      </c>
      <c r="L768" s="20" t="n"/>
      <c r="M768" s="20">
        <f>IFERROR(INDEX(CONFIGURACOES!$I$37:$I$300,MATCH($I768,CONFIGURACOES!$B$37:$B$300,0)),"")</f>
        <v/>
      </c>
      <c r="N768" s="21" t="n"/>
      <c r="O768" s="21" t="n"/>
      <c r="P768" s="21" t="n"/>
      <c r="Q768" s="21" t="n"/>
      <c r="R768" s="21">
        <f>IF($N768="","",$N768*IF($Q768="",1,$Q768)*IF($P768="",1,$P768)*IF($O768="",1,$O768))</f>
        <v/>
      </c>
      <c r="S768" s="22">
        <f>IFERROR(INDEX(CONFIGURACOES!$J$37:$J$300,MATCH($I768,CONFIGURACOES!$B$37:$B$300,0)),"")</f>
        <v/>
      </c>
      <c r="T768" s="22">
        <f>IF(OR($R768="",$S768=""),"",$R768*$S768)</f>
        <v/>
      </c>
      <c r="U768" s="20" t="n"/>
      <c r="V768" s="20" t="n"/>
      <c r="W768" s="20" t="n"/>
      <c r="X768">
        <f>IF($A768="","",$A768&amp;"|"&amp;$C768&amp;"|"&amp;$I768)</f>
        <v/>
      </c>
      <c r="Y768">
        <f>IF(AND($A768=RELATORIO_MEDICAO!$C$5,$C768=RELATORIO_MEDICAO!$F$5,$A768&lt;&gt;""),COUNTIFS($A$3:$A768,RELATORIO_MEDICAO!$C$5,$C$3:$C768,RELATORIO_MEDICAO!$F$5),"")</f>
        <v/>
      </c>
      <c r="Z768">
        <f>IF(OR($A768="",PESQUISA!$C$4=""),0,IF(OR(ISNUMBER(SEARCH(PESQUISA!$C$4,$G768)),ISNUMBER(SEARCH(PESQUISA!$C$4,$K768)),ISNUMBER(SEARCH(PESQUISA!$C$4,$L768))),1,0))</f>
        <v/>
      </c>
      <c r="AA768">
        <f>IF($Z768=1,SUM($Z$3:$Z768),"")</f>
        <v/>
      </c>
      <c r="AB768">
        <f>IF(OR($A768="",PESQUISA!$C$50=""),0,IF(ISNUMBER(SEARCH(PESQUISA!$C$50,$I768)),1,0))</f>
        <v/>
      </c>
      <c r="AC768">
        <f>IF($AB768=1,SUM($AB$3:$AB768),"")</f>
        <v/>
      </c>
    </row>
    <row r="769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>
        <f>IFERROR(INDEX(CONFIGURACOES!$G$37:$G$300,MATCH($I769,CONFIGURACOES!$B$37:$B$300,0)),"")</f>
        <v/>
      </c>
      <c r="K769" s="20">
        <f>IFERROR(INDEX(CONFIGURACOES!$H$37:$H$300,MATCH($I769,CONFIGURACOES!$B$37:$B$300,0)),"")</f>
        <v/>
      </c>
      <c r="L769" s="20" t="n"/>
      <c r="M769" s="20">
        <f>IFERROR(INDEX(CONFIGURACOES!$I$37:$I$300,MATCH($I769,CONFIGURACOES!$B$37:$B$300,0)),"")</f>
        <v/>
      </c>
      <c r="N769" s="21" t="n"/>
      <c r="O769" s="21" t="n"/>
      <c r="P769" s="21" t="n"/>
      <c r="Q769" s="21" t="n"/>
      <c r="R769" s="21">
        <f>IF($N769="","",$N769*IF($Q769="",1,$Q769)*IF($P769="",1,$P769)*IF($O769="",1,$O769))</f>
        <v/>
      </c>
      <c r="S769" s="22">
        <f>IFERROR(INDEX(CONFIGURACOES!$J$37:$J$300,MATCH($I769,CONFIGURACOES!$B$37:$B$300,0)),"")</f>
        <v/>
      </c>
      <c r="T769" s="22">
        <f>IF(OR($R769="",$S769=""),"",$R769*$S769)</f>
        <v/>
      </c>
      <c r="U769" s="20" t="n"/>
      <c r="V769" s="20" t="n"/>
      <c r="W769" s="20" t="n"/>
      <c r="X769">
        <f>IF($A769="","",$A769&amp;"|"&amp;$C769&amp;"|"&amp;$I769)</f>
        <v/>
      </c>
      <c r="Y769">
        <f>IF(AND($A769=RELATORIO_MEDICAO!$C$5,$C769=RELATORIO_MEDICAO!$F$5,$A769&lt;&gt;""),COUNTIFS($A$3:$A769,RELATORIO_MEDICAO!$C$5,$C$3:$C769,RELATORIO_MEDICAO!$F$5),"")</f>
        <v/>
      </c>
      <c r="Z769">
        <f>IF(OR($A769="",PESQUISA!$C$4=""),0,IF(OR(ISNUMBER(SEARCH(PESQUISA!$C$4,$G769)),ISNUMBER(SEARCH(PESQUISA!$C$4,$K769)),ISNUMBER(SEARCH(PESQUISA!$C$4,$L769))),1,0))</f>
        <v/>
      </c>
      <c r="AA769">
        <f>IF($Z769=1,SUM($Z$3:$Z769),"")</f>
        <v/>
      </c>
      <c r="AB769">
        <f>IF(OR($A769="",PESQUISA!$C$50=""),0,IF(ISNUMBER(SEARCH(PESQUISA!$C$50,$I769)),1,0))</f>
        <v/>
      </c>
      <c r="AC769">
        <f>IF($AB769=1,SUM($AB$3:$AB769),"")</f>
        <v/>
      </c>
    </row>
    <row r="770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>
        <f>IFERROR(INDEX(CONFIGURACOES!$G$37:$G$300,MATCH($I770,CONFIGURACOES!$B$37:$B$300,0)),"")</f>
        <v/>
      </c>
      <c r="K770" s="20">
        <f>IFERROR(INDEX(CONFIGURACOES!$H$37:$H$300,MATCH($I770,CONFIGURACOES!$B$37:$B$300,0)),"")</f>
        <v/>
      </c>
      <c r="L770" s="20" t="n"/>
      <c r="M770" s="20">
        <f>IFERROR(INDEX(CONFIGURACOES!$I$37:$I$300,MATCH($I770,CONFIGURACOES!$B$37:$B$300,0)),"")</f>
        <v/>
      </c>
      <c r="N770" s="21" t="n"/>
      <c r="O770" s="21" t="n"/>
      <c r="P770" s="21" t="n"/>
      <c r="Q770" s="21" t="n"/>
      <c r="R770" s="21">
        <f>IF($N770="","",$N770*IF($Q770="",1,$Q770)*IF($P770="",1,$P770)*IF($O770="",1,$O770))</f>
        <v/>
      </c>
      <c r="S770" s="22">
        <f>IFERROR(INDEX(CONFIGURACOES!$J$37:$J$300,MATCH($I770,CONFIGURACOES!$B$37:$B$300,0)),"")</f>
        <v/>
      </c>
      <c r="T770" s="22">
        <f>IF(OR($R770="",$S770=""),"",$R770*$S770)</f>
        <v/>
      </c>
      <c r="U770" s="20" t="n"/>
      <c r="V770" s="20" t="n"/>
      <c r="W770" s="20" t="n"/>
      <c r="X770">
        <f>IF($A770="","",$A770&amp;"|"&amp;$C770&amp;"|"&amp;$I770)</f>
        <v/>
      </c>
      <c r="Y770">
        <f>IF(AND($A770=RELATORIO_MEDICAO!$C$5,$C770=RELATORIO_MEDICAO!$F$5,$A770&lt;&gt;""),COUNTIFS($A$3:$A770,RELATORIO_MEDICAO!$C$5,$C$3:$C770,RELATORIO_MEDICAO!$F$5),"")</f>
        <v/>
      </c>
      <c r="Z770">
        <f>IF(OR($A770="",PESQUISA!$C$4=""),0,IF(OR(ISNUMBER(SEARCH(PESQUISA!$C$4,$G770)),ISNUMBER(SEARCH(PESQUISA!$C$4,$K770)),ISNUMBER(SEARCH(PESQUISA!$C$4,$L770))),1,0))</f>
        <v/>
      </c>
      <c r="AA770">
        <f>IF($Z770=1,SUM($Z$3:$Z770),"")</f>
        <v/>
      </c>
      <c r="AB770">
        <f>IF(OR($A770="",PESQUISA!$C$50=""),0,IF(ISNUMBER(SEARCH(PESQUISA!$C$50,$I770)),1,0))</f>
        <v/>
      </c>
      <c r="AC770">
        <f>IF($AB770=1,SUM($AB$3:$AB770),"")</f>
        <v/>
      </c>
    </row>
    <row r="771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>
        <f>IFERROR(INDEX(CONFIGURACOES!$G$37:$G$300,MATCH($I771,CONFIGURACOES!$B$37:$B$300,0)),"")</f>
        <v/>
      </c>
      <c r="K771" s="20">
        <f>IFERROR(INDEX(CONFIGURACOES!$H$37:$H$300,MATCH($I771,CONFIGURACOES!$B$37:$B$300,0)),"")</f>
        <v/>
      </c>
      <c r="L771" s="20" t="n"/>
      <c r="M771" s="20">
        <f>IFERROR(INDEX(CONFIGURACOES!$I$37:$I$300,MATCH($I771,CONFIGURACOES!$B$37:$B$300,0)),"")</f>
        <v/>
      </c>
      <c r="N771" s="21" t="n"/>
      <c r="O771" s="21" t="n"/>
      <c r="P771" s="21" t="n"/>
      <c r="Q771" s="21" t="n"/>
      <c r="R771" s="21">
        <f>IF($N771="","",$N771*IF($Q771="",1,$Q771)*IF($P771="",1,$P771)*IF($O771="",1,$O771))</f>
        <v/>
      </c>
      <c r="S771" s="22">
        <f>IFERROR(INDEX(CONFIGURACOES!$J$37:$J$300,MATCH($I771,CONFIGURACOES!$B$37:$B$300,0)),"")</f>
        <v/>
      </c>
      <c r="T771" s="22">
        <f>IF(OR($R771="",$S771=""),"",$R771*$S771)</f>
        <v/>
      </c>
      <c r="U771" s="20" t="n"/>
      <c r="V771" s="20" t="n"/>
      <c r="W771" s="20" t="n"/>
      <c r="X771">
        <f>IF($A771="","",$A771&amp;"|"&amp;$C771&amp;"|"&amp;$I771)</f>
        <v/>
      </c>
      <c r="Y771">
        <f>IF(AND($A771=RELATORIO_MEDICAO!$C$5,$C771=RELATORIO_MEDICAO!$F$5,$A771&lt;&gt;""),COUNTIFS($A$3:$A771,RELATORIO_MEDICAO!$C$5,$C$3:$C771,RELATORIO_MEDICAO!$F$5),"")</f>
        <v/>
      </c>
      <c r="Z771">
        <f>IF(OR($A771="",PESQUISA!$C$4=""),0,IF(OR(ISNUMBER(SEARCH(PESQUISA!$C$4,$G771)),ISNUMBER(SEARCH(PESQUISA!$C$4,$K771)),ISNUMBER(SEARCH(PESQUISA!$C$4,$L771))),1,0))</f>
        <v/>
      </c>
      <c r="AA771">
        <f>IF($Z771=1,SUM($Z$3:$Z771),"")</f>
        <v/>
      </c>
      <c r="AB771">
        <f>IF(OR($A771="",PESQUISA!$C$50=""),0,IF(ISNUMBER(SEARCH(PESQUISA!$C$50,$I771)),1,0))</f>
        <v/>
      </c>
      <c r="AC771">
        <f>IF($AB771=1,SUM($AB$3:$AB771),"")</f>
        <v/>
      </c>
    </row>
    <row r="772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>
        <f>IFERROR(INDEX(CONFIGURACOES!$G$37:$G$300,MATCH($I772,CONFIGURACOES!$B$37:$B$300,0)),"")</f>
        <v/>
      </c>
      <c r="K772" s="20">
        <f>IFERROR(INDEX(CONFIGURACOES!$H$37:$H$300,MATCH($I772,CONFIGURACOES!$B$37:$B$300,0)),"")</f>
        <v/>
      </c>
      <c r="L772" s="20" t="n"/>
      <c r="M772" s="20">
        <f>IFERROR(INDEX(CONFIGURACOES!$I$37:$I$300,MATCH($I772,CONFIGURACOES!$B$37:$B$300,0)),"")</f>
        <v/>
      </c>
      <c r="N772" s="21" t="n"/>
      <c r="O772" s="21" t="n"/>
      <c r="P772" s="21" t="n"/>
      <c r="Q772" s="21" t="n"/>
      <c r="R772" s="21">
        <f>IF($N772="","",$N772*IF($Q772="",1,$Q772)*IF($P772="",1,$P772)*IF($O772="",1,$O772))</f>
        <v/>
      </c>
      <c r="S772" s="22">
        <f>IFERROR(INDEX(CONFIGURACOES!$J$37:$J$300,MATCH($I772,CONFIGURACOES!$B$37:$B$300,0)),"")</f>
        <v/>
      </c>
      <c r="T772" s="22">
        <f>IF(OR($R772="",$S772=""),"",$R772*$S772)</f>
        <v/>
      </c>
      <c r="U772" s="20" t="n"/>
      <c r="V772" s="20" t="n"/>
      <c r="W772" s="20" t="n"/>
      <c r="X772">
        <f>IF($A772="","",$A772&amp;"|"&amp;$C772&amp;"|"&amp;$I772)</f>
        <v/>
      </c>
      <c r="Y772">
        <f>IF(AND($A772=RELATORIO_MEDICAO!$C$5,$C772=RELATORIO_MEDICAO!$F$5,$A772&lt;&gt;""),COUNTIFS($A$3:$A772,RELATORIO_MEDICAO!$C$5,$C$3:$C772,RELATORIO_MEDICAO!$F$5),"")</f>
        <v/>
      </c>
      <c r="Z772">
        <f>IF(OR($A772="",PESQUISA!$C$4=""),0,IF(OR(ISNUMBER(SEARCH(PESQUISA!$C$4,$G772)),ISNUMBER(SEARCH(PESQUISA!$C$4,$K772)),ISNUMBER(SEARCH(PESQUISA!$C$4,$L772))),1,0))</f>
        <v/>
      </c>
      <c r="AA772">
        <f>IF($Z772=1,SUM($Z$3:$Z772),"")</f>
        <v/>
      </c>
      <c r="AB772">
        <f>IF(OR($A772="",PESQUISA!$C$50=""),0,IF(ISNUMBER(SEARCH(PESQUISA!$C$50,$I772)),1,0))</f>
        <v/>
      </c>
      <c r="AC772">
        <f>IF($AB772=1,SUM($AB$3:$AB772),"")</f>
        <v/>
      </c>
    </row>
    <row r="773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>
        <f>IFERROR(INDEX(CONFIGURACOES!$G$37:$G$300,MATCH($I773,CONFIGURACOES!$B$37:$B$300,0)),"")</f>
        <v/>
      </c>
      <c r="K773" s="20">
        <f>IFERROR(INDEX(CONFIGURACOES!$H$37:$H$300,MATCH($I773,CONFIGURACOES!$B$37:$B$300,0)),"")</f>
        <v/>
      </c>
      <c r="L773" s="20" t="n"/>
      <c r="M773" s="20">
        <f>IFERROR(INDEX(CONFIGURACOES!$I$37:$I$300,MATCH($I773,CONFIGURACOES!$B$37:$B$300,0)),"")</f>
        <v/>
      </c>
      <c r="N773" s="21" t="n"/>
      <c r="O773" s="21" t="n"/>
      <c r="P773" s="21" t="n"/>
      <c r="Q773" s="21" t="n"/>
      <c r="R773" s="21">
        <f>IF($N773="","",$N773*IF($Q773="",1,$Q773)*IF($P773="",1,$P773)*IF($O773="",1,$O773))</f>
        <v/>
      </c>
      <c r="S773" s="22">
        <f>IFERROR(INDEX(CONFIGURACOES!$J$37:$J$300,MATCH($I773,CONFIGURACOES!$B$37:$B$300,0)),"")</f>
        <v/>
      </c>
      <c r="T773" s="22">
        <f>IF(OR($R773="",$S773=""),"",$R773*$S773)</f>
        <v/>
      </c>
      <c r="U773" s="20" t="n"/>
      <c r="V773" s="20" t="n"/>
      <c r="W773" s="20" t="n"/>
      <c r="X773">
        <f>IF($A773="","",$A773&amp;"|"&amp;$C773&amp;"|"&amp;$I773)</f>
        <v/>
      </c>
      <c r="Y773">
        <f>IF(AND($A773=RELATORIO_MEDICAO!$C$5,$C773=RELATORIO_MEDICAO!$F$5,$A773&lt;&gt;""),COUNTIFS($A$3:$A773,RELATORIO_MEDICAO!$C$5,$C$3:$C773,RELATORIO_MEDICAO!$F$5),"")</f>
        <v/>
      </c>
      <c r="Z773">
        <f>IF(OR($A773="",PESQUISA!$C$4=""),0,IF(OR(ISNUMBER(SEARCH(PESQUISA!$C$4,$G773)),ISNUMBER(SEARCH(PESQUISA!$C$4,$K773)),ISNUMBER(SEARCH(PESQUISA!$C$4,$L773))),1,0))</f>
        <v/>
      </c>
      <c r="AA773">
        <f>IF($Z773=1,SUM($Z$3:$Z773),"")</f>
        <v/>
      </c>
      <c r="AB773">
        <f>IF(OR($A773="",PESQUISA!$C$50=""),0,IF(ISNUMBER(SEARCH(PESQUISA!$C$50,$I773)),1,0))</f>
        <v/>
      </c>
      <c r="AC773">
        <f>IF($AB773=1,SUM($AB$3:$AB773),"")</f>
        <v/>
      </c>
    </row>
    <row r="774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>
        <f>IFERROR(INDEX(CONFIGURACOES!$G$37:$G$300,MATCH($I774,CONFIGURACOES!$B$37:$B$300,0)),"")</f>
        <v/>
      </c>
      <c r="K774" s="20">
        <f>IFERROR(INDEX(CONFIGURACOES!$H$37:$H$300,MATCH($I774,CONFIGURACOES!$B$37:$B$300,0)),"")</f>
        <v/>
      </c>
      <c r="L774" s="20" t="n"/>
      <c r="M774" s="20">
        <f>IFERROR(INDEX(CONFIGURACOES!$I$37:$I$300,MATCH($I774,CONFIGURACOES!$B$37:$B$300,0)),"")</f>
        <v/>
      </c>
      <c r="N774" s="21" t="n"/>
      <c r="O774" s="21" t="n"/>
      <c r="P774" s="21" t="n"/>
      <c r="Q774" s="21" t="n"/>
      <c r="R774" s="21">
        <f>IF($N774="","",$N774*IF($Q774="",1,$Q774)*IF($P774="",1,$P774)*IF($O774="",1,$O774))</f>
        <v/>
      </c>
      <c r="S774" s="22">
        <f>IFERROR(INDEX(CONFIGURACOES!$J$37:$J$300,MATCH($I774,CONFIGURACOES!$B$37:$B$300,0)),"")</f>
        <v/>
      </c>
      <c r="T774" s="22">
        <f>IF(OR($R774="",$S774=""),"",$R774*$S774)</f>
        <v/>
      </c>
      <c r="U774" s="20" t="n"/>
      <c r="V774" s="20" t="n"/>
      <c r="W774" s="20" t="n"/>
      <c r="X774">
        <f>IF($A774="","",$A774&amp;"|"&amp;$C774&amp;"|"&amp;$I774)</f>
        <v/>
      </c>
      <c r="Y774">
        <f>IF(AND($A774=RELATORIO_MEDICAO!$C$5,$C774=RELATORIO_MEDICAO!$F$5,$A774&lt;&gt;""),COUNTIFS($A$3:$A774,RELATORIO_MEDICAO!$C$5,$C$3:$C774,RELATORIO_MEDICAO!$F$5),"")</f>
        <v/>
      </c>
      <c r="Z774">
        <f>IF(OR($A774="",PESQUISA!$C$4=""),0,IF(OR(ISNUMBER(SEARCH(PESQUISA!$C$4,$G774)),ISNUMBER(SEARCH(PESQUISA!$C$4,$K774)),ISNUMBER(SEARCH(PESQUISA!$C$4,$L774))),1,0))</f>
        <v/>
      </c>
      <c r="AA774">
        <f>IF($Z774=1,SUM($Z$3:$Z774),"")</f>
        <v/>
      </c>
      <c r="AB774">
        <f>IF(OR($A774="",PESQUISA!$C$50=""),0,IF(ISNUMBER(SEARCH(PESQUISA!$C$50,$I774)),1,0))</f>
        <v/>
      </c>
      <c r="AC774">
        <f>IF($AB774=1,SUM($AB$3:$AB774),"")</f>
        <v/>
      </c>
    </row>
    <row r="775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>
        <f>IFERROR(INDEX(CONFIGURACOES!$G$37:$G$300,MATCH($I775,CONFIGURACOES!$B$37:$B$300,0)),"")</f>
        <v/>
      </c>
      <c r="K775" s="20">
        <f>IFERROR(INDEX(CONFIGURACOES!$H$37:$H$300,MATCH($I775,CONFIGURACOES!$B$37:$B$300,0)),"")</f>
        <v/>
      </c>
      <c r="L775" s="20" t="n"/>
      <c r="M775" s="20">
        <f>IFERROR(INDEX(CONFIGURACOES!$I$37:$I$300,MATCH($I775,CONFIGURACOES!$B$37:$B$300,0)),"")</f>
        <v/>
      </c>
      <c r="N775" s="21" t="n"/>
      <c r="O775" s="21" t="n"/>
      <c r="P775" s="21" t="n"/>
      <c r="Q775" s="21" t="n"/>
      <c r="R775" s="21">
        <f>IF($N775="","",$N775*IF($Q775="",1,$Q775)*IF($P775="",1,$P775)*IF($O775="",1,$O775))</f>
        <v/>
      </c>
      <c r="S775" s="22">
        <f>IFERROR(INDEX(CONFIGURACOES!$J$37:$J$300,MATCH($I775,CONFIGURACOES!$B$37:$B$300,0)),"")</f>
        <v/>
      </c>
      <c r="T775" s="22">
        <f>IF(OR($R775="",$S775=""),"",$R775*$S775)</f>
        <v/>
      </c>
      <c r="U775" s="20" t="n"/>
      <c r="V775" s="20" t="n"/>
      <c r="W775" s="20" t="n"/>
      <c r="X775">
        <f>IF($A775="","",$A775&amp;"|"&amp;$C775&amp;"|"&amp;$I775)</f>
        <v/>
      </c>
      <c r="Y775">
        <f>IF(AND($A775=RELATORIO_MEDICAO!$C$5,$C775=RELATORIO_MEDICAO!$F$5,$A775&lt;&gt;""),COUNTIFS($A$3:$A775,RELATORIO_MEDICAO!$C$5,$C$3:$C775,RELATORIO_MEDICAO!$F$5),"")</f>
        <v/>
      </c>
      <c r="Z775">
        <f>IF(OR($A775="",PESQUISA!$C$4=""),0,IF(OR(ISNUMBER(SEARCH(PESQUISA!$C$4,$G775)),ISNUMBER(SEARCH(PESQUISA!$C$4,$K775)),ISNUMBER(SEARCH(PESQUISA!$C$4,$L775))),1,0))</f>
        <v/>
      </c>
      <c r="AA775">
        <f>IF($Z775=1,SUM($Z$3:$Z775),"")</f>
        <v/>
      </c>
      <c r="AB775">
        <f>IF(OR($A775="",PESQUISA!$C$50=""),0,IF(ISNUMBER(SEARCH(PESQUISA!$C$50,$I775)),1,0))</f>
        <v/>
      </c>
      <c r="AC775">
        <f>IF($AB775=1,SUM($AB$3:$AB775),"")</f>
        <v/>
      </c>
    </row>
    <row r="776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>
        <f>IFERROR(INDEX(CONFIGURACOES!$G$37:$G$300,MATCH($I776,CONFIGURACOES!$B$37:$B$300,0)),"")</f>
        <v/>
      </c>
      <c r="K776" s="20">
        <f>IFERROR(INDEX(CONFIGURACOES!$H$37:$H$300,MATCH($I776,CONFIGURACOES!$B$37:$B$300,0)),"")</f>
        <v/>
      </c>
      <c r="L776" s="20" t="n"/>
      <c r="M776" s="20">
        <f>IFERROR(INDEX(CONFIGURACOES!$I$37:$I$300,MATCH($I776,CONFIGURACOES!$B$37:$B$300,0)),"")</f>
        <v/>
      </c>
      <c r="N776" s="21" t="n"/>
      <c r="O776" s="21" t="n"/>
      <c r="P776" s="21" t="n"/>
      <c r="Q776" s="21" t="n"/>
      <c r="R776" s="21">
        <f>IF($N776="","",$N776*IF($Q776="",1,$Q776)*IF($P776="",1,$P776)*IF($O776="",1,$O776))</f>
        <v/>
      </c>
      <c r="S776" s="22">
        <f>IFERROR(INDEX(CONFIGURACOES!$J$37:$J$300,MATCH($I776,CONFIGURACOES!$B$37:$B$300,0)),"")</f>
        <v/>
      </c>
      <c r="T776" s="22">
        <f>IF(OR($R776="",$S776=""),"",$R776*$S776)</f>
        <v/>
      </c>
      <c r="U776" s="20" t="n"/>
      <c r="V776" s="20" t="n"/>
      <c r="W776" s="20" t="n"/>
      <c r="X776">
        <f>IF($A776="","",$A776&amp;"|"&amp;$C776&amp;"|"&amp;$I776)</f>
        <v/>
      </c>
      <c r="Y776">
        <f>IF(AND($A776=RELATORIO_MEDICAO!$C$5,$C776=RELATORIO_MEDICAO!$F$5,$A776&lt;&gt;""),COUNTIFS($A$3:$A776,RELATORIO_MEDICAO!$C$5,$C$3:$C776,RELATORIO_MEDICAO!$F$5),"")</f>
        <v/>
      </c>
      <c r="Z776">
        <f>IF(OR($A776="",PESQUISA!$C$4=""),0,IF(OR(ISNUMBER(SEARCH(PESQUISA!$C$4,$G776)),ISNUMBER(SEARCH(PESQUISA!$C$4,$K776)),ISNUMBER(SEARCH(PESQUISA!$C$4,$L776))),1,0))</f>
        <v/>
      </c>
      <c r="AA776">
        <f>IF($Z776=1,SUM($Z$3:$Z776),"")</f>
        <v/>
      </c>
      <c r="AB776">
        <f>IF(OR($A776="",PESQUISA!$C$50=""),0,IF(ISNUMBER(SEARCH(PESQUISA!$C$50,$I776)),1,0))</f>
        <v/>
      </c>
      <c r="AC776">
        <f>IF($AB776=1,SUM($AB$3:$AB776),"")</f>
        <v/>
      </c>
    </row>
    <row r="777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>
        <f>IFERROR(INDEX(CONFIGURACOES!$G$37:$G$300,MATCH($I777,CONFIGURACOES!$B$37:$B$300,0)),"")</f>
        <v/>
      </c>
      <c r="K777" s="20">
        <f>IFERROR(INDEX(CONFIGURACOES!$H$37:$H$300,MATCH($I777,CONFIGURACOES!$B$37:$B$300,0)),"")</f>
        <v/>
      </c>
      <c r="L777" s="20" t="n"/>
      <c r="M777" s="20">
        <f>IFERROR(INDEX(CONFIGURACOES!$I$37:$I$300,MATCH($I777,CONFIGURACOES!$B$37:$B$300,0)),"")</f>
        <v/>
      </c>
      <c r="N777" s="21" t="n"/>
      <c r="O777" s="21" t="n"/>
      <c r="P777" s="21" t="n"/>
      <c r="Q777" s="21" t="n"/>
      <c r="R777" s="21">
        <f>IF($N777="","",$N777*IF($Q777="",1,$Q777)*IF($P777="",1,$P777)*IF($O777="",1,$O777))</f>
        <v/>
      </c>
      <c r="S777" s="22">
        <f>IFERROR(INDEX(CONFIGURACOES!$J$37:$J$300,MATCH($I777,CONFIGURACOES!$B$37:$B$300,0)),"")</f>
        <v/>
      </c>
      <c r="T777" s="22">
        <f>IF(OR($R777="",$S777=""),"",$R777*$S777)</f>
        <v/>
      </c>
      <c r="U777" s="20" t="n"/>
      <c r="V777" s="20" t="n"/>
      <c r="W777" s="20" t="n"/>
      <c r="X777">
        <f>IF($A777="","",$A777&amp;"|"&amp;$C777&amp;"|"&amp;$I777)</f>
        <v/>
      </c>
      <c r="Y777">
        <f>IF(AND($A777=RELATORIO_MEDICAO!$C$5,$C777=RELATORIO_MEDICAO!$F$5,$A777&lt;&gt;""),COUNTIFS($A$3:$A777,RELATORIO_MEDICAO!$C$5,$C$3:$C777,RELATORIO_MEDICAO!$F$5),"")</f>
        <v/>
      </c>
      <c r="Z777">
        <f>IF(OR($A777="",PESQUISA!$C$4=""),0,IF(OR(ISNUMBER(SEARCH(PESQUISA!$C$4,$G777)),ISNUMBER(SEARCH(PESQUISA!$C$4,$K777)),ISNUMBER(SEARCH(PESQUISA!$C$4,$L777))),1,0))</f>
        <v/>
      </c>
      <c r="AA777">
        <f>IF($Z777=1,SUM($Z$3:$Z777),"")</f>
        <v/>
      </c>
      <c r="AB777">
        <f>IF(OR($A777="",PESQUISA!$C$50=""),0,IF(ISNUMBER(SEARCH(PESQUISA!$C$50,$I777)),1,0))</f>
        <v/>
      </c>
      <c r="AC777">
        <f>IF($AB777=1,SUM($AB$3:$AB777),"")</f>
        <v/>
      </c>
    </row>
    <row r="778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>
        <f>IFERROR(INDEX(CONFIGURACOES!$G$37:$G$300,MATCH($I778,CONFIGURACOES!$B$37:$B$300,0)),"")</f>
        <v/>
      </c>
      <c r="K778" s="20">
        <f>IFERROR(INDEX(CONFIGURACOES!$H$37:$H$300,MATCH($I778,CONFIGURACOES!$B$37:$B$300,0)),"")</f>
        <v/>
      </c>
      <c r="L778" s="20" t="n"/>
      <c r="M778" s="20">
        <f>IFERROR(INDEX(CONFIGURACOES!$I$37:$I$300,MATCH($I778,CONFIGURACOES!$B$37:$B$300,0)),"")</f>
        <v/>
      </c>
      <c r="N778" s="21" t="n"/>
      <c r="O778" s="21" t="n"/>
      <c r="P778" s="21" t="n"/>
      <c r="Q778" s="21" t="n"/>
      <c r="R778" s="21">
        <f>IF($N778="","",$N778*IF($Q778="",1,$Q778)*IF($P778="",1,$P778)*IF($O778="",1,$O778))</f>
        <v/>
      </c>
      <c r="S778" s="22">
        <f>IFERROR(INDEX(CONFIGURACOES!$J$37:$J$300,MATCH($I778,CONFIGURACOES!$B$37:$B$300,0)),"")</f>
        <v/>
      </c>
      <c r="T778" s="22">
        <f>IF(OR($R778="",$S778=""),"",$R778*$S778)</f>
        <v/>
      </c>
      <c r="U778" s="20" t="n"/>
      <c r="V778" s="20" t="n"/>
      <c r="W778" s="20" t="n"/>
      <c r="X778">
        <f>IF($A778="","",$A778&amp;"|"&amp;$C778&amp;"|"&amp;$I778)</f>
        <v/>
      </c>
      <c r="Y778">
        <f>IF(AND($A778=RELATORIO_MEDICAO!$C$5,$C778=RELATORIO_MEDICAO!$F$5,$A778&lt;&gt;""),COUNTIFS($A$3:$A778,RELATORIO_MEDICAO!$C$5,$C$3:$C778,RELATORIO_MEDICAO!$F$5),"")</f>
        <v/>
      </c>
      <c r="Z778">
        <f>IF(OR($A778="",PESQUISA!$C$4=""),0,IF(OR(ISNUMBER(SEARCH(PESQUISA!$C$4,$G778)),ISNUMBER(SEARCH(PESQUISA!$C$4,$K778)),ISNUMBER(SEARCH(PESQUISA!$C$4,$L778))),1,0))</f>
        <v/>
      </c>
      <c r="AA778">
        <f>IF($Z778=1,SUM($Z$3:$Z778),"")</f>
        <v/>
      </c>
      <c r="AB778">
        <f>IF(OR($A778="",PESQUISA!$C$50=""),0,IF(ISNUMBER(SEARCH(PESQUISA!$C$50,$I778)),1,0))</f>
        <v/>
      </c>
      <c r="AC778">
        <f>IF($AB778=1,SUM($AB$3:$AB778),"")</f>
        <v/>
      </c>
    </row>
    <row r="779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>
        <f>IFERROR(INDEX(CONFIGURACOES!$G$37:$G$300,MATCH($I779,CONFIGURACOES!$B$37:$B$300,0)),"")</f>
        <v/>
      </c>
      <c r="K779" s="20">
        <f>IFERROR(INDEX(CONFIGURACOES!$H$37:$H$300,MATCH($I779,CONFIGURACOES!$B$37:$B$300,0)),"")</f>
        <v/>
      </c>
      <c r="L779" s="20" t="n"/>
      <c r="M779" s="20">
        <f>IFERROR(INDEX(CONFIGURACOES!$I$37:$I$300,MATCH($I779,CONFIGURACOES!$B$37:$B$300,0)),"")</f>
        <v/>
      </c>
      <c r="N779" s="21" t="n"/>
      <c r="O779" s="21" t="n"/>
      <c r="P779" s="21" t="n"/>
      <c r="Q779" s="21" t="n"/>
      <c r="R779" s="21">
        <f>IF($N779="","",$N779*IF($Q779="",1,$Q779)*IF($P779="",1,$P779)*IF($O779="",1,$O779))</f>
        <v/>
      </c>
      <c r="S779" s="22">
        <f>IFERROR(INDEX(CONFIGURACOES!$J$37:$J$300,MATCH($I779,CONFIGURACOES!$B$37:$B$300,0)),"")</f>
        <v/>
      </c>
      <c r="T779" s="22">
        <f>IF(OR($R779="",$S779=""),"",$R779*$S779)</f>
        <v/>
      </c>
      <c r="U779" s="20" t="n"/>
      <c r="V779" s="20" t="n"/>
      <c r="W779" s="20" t="n"/>
      <c r="X779">
        <f>IF($A779="","",$A779&amp;"|"&amp;$C779&amp;"|"&amp;$I779)</f>
        <v/>
      </c>
      <c r="Y779">
        <f>IF(AND($A779=RELATORIO_MEDICAO!$C$5,$C779=RELATORIO_MEDICAO!$F$5,$A779&lt;&gt;""),COUNTIFS($A$3:$A779,RELATORIO_MEDICAO!$C$5,$C$3:$C779,RELATORIO_MEDICAO!$F$5),"")</f>
        <v/>
      </c>
      <c r="Z779">
        <f>IF(OR($A779="",PESQUISA!$C$4=""),0,IF(OR(ISNUMBER(SEARCH(PESQUISA!$C$4,$G779)),ISNUMBER(SEARCH(PESQUISA!$C$4,$K779)),ISNUMBER(SEARCH(PESQUISA!$C$4,$L779))),1,0))</f>
        <v/>
      </c>
      <c r="AA779">
        <f>IF($Z779=1,SUM($Z$3:$Z779),"")</f>
        <v/>
      </c>
      <c r="AB779">
        <f>IF(OR($A779="",PESQUISA!$C$50=""),0,IF(ISNUMBER(SEARCH(PESQUISA!$C$50,$I779)),1,0))</f>
        <v/>
      </c>
      <c r="AC779">
        <f>IF($AB779=1,SUM($AB$3:$AB779),"")</f>
        <v/>
      </c>
    </row>
    <row r="780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>
        <f>IFERROR(INDEX(CONFIGURACOES!$G$37:$G$300,MATCH($I780,CONFIGURACOES!$B$37:$B$300,0)),"")</f>
        <v/>
      </c>
      <c r="K780" s="20">
        <f>IFERROR(INDEX(CONFIGURACOES!$H$37:$H$300,MATCH($I780,CONFIGURACOES!$B$37:$B$300,0)),"")</f>
        <v/>
      </c>
      <c r="L780" s="20" t="n"/>
      <c r="M780" s="20">
        <f>IFERROR(INDEX(CONFIGURACOES!$I$37:$I$300,MATCH($I780,CONFIGURACOES!$B$37:$B$300,0)),"")</f>
        <v/>
      </c>
      <c r="N780" s="21" t="n"/>
      <c r="O780" s="21" t="n"/>
      <c r="P780" s="21" t="n"/>
      <c r="Q780" s="21" t="n"/>
      <c r="R780" s="21">
        <f>IF($N780="","",$N780*IF($Q780="",1,$Q780)*IF($P780="",1,$P780)*IF($O780="",1,$O780))</f>
        <v/>
      </c>
      <c r="S780" s="22">
        <f>IFERROR(INDEX(CONFIGURACOES!$J$37:$J$300,MATCH($I780,CONFIGURACOES!$B$37:$B$300,0)),"")</f>
        <v/>
      </c>
      <c r="T780" s="22">
        <f>IF(OR($R780="",$S780=""),"",$R780*$S780)</f>
        <v/>
      </c>
      <c r="U780" s="20" t="n"/>
      <c r="V780" s="20" t="n"/>
      <c r="W780" s="20" t="n"/>
      <c r="X780">
        <f>IF($A780="","",$A780&amp;"|"&amp;$C780&amp;"|"&amp;$I780)</f>
        <v/>
      </c>
      <c r="Y780">
        <f>IF(AND($A780=RELATORIO_MEDICAO!$C$5,$C780=RELATORIO_MEDICAO!$F$5,$A780&lt;&gt;""),COUNTIFS($A$3:$A780,RELATORIO_MEDICAO!$C$5,$C$3:$C780,RELATORIO_MEDICAO!$F$5),"")</f>
        <v/>
      </c>
      <c r="Z780">
        <f>IF(OR($A780="",PESQUISA!$C$4=""),0,IF(OR(ISNUMBER(SEARCH(PESQUISA!$C$4,$G780)),ISNUMBER(SEARCH(PESQUISA!$C$4,$K780)),ISNUMBER(SEARCH(PESQUISA!$C$4,$L780))),1,0))</f>
        <v/>
      </c>
      <c r="AA780">
        <f>IF($Z780=1,SUM($Z$3:$Z780),"")</f>
        <v/>
      </c>
      <c r="AB780">
        <f>IF(OR($A780="",PESQUISA!$C$50=""),0,IF(ISNUMBER(SEARCH(PESQUISA!$C$50,$I780)),1,0))</f>
        <v/>
      </c>
      <c r="AC780">
        <f>IF($AB780=1,SUM($AB$3:$AB780),"")</f>
        <v/>
      </c>
    </row>
    <row r="781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>
        <f>IFERROR(INDEX(CONFIGURACOES!$G$37:$G$300,MATCH($I781,CONFIGURACOES!$B$37:$B$300,0)),"")</f>
        <v/>
      </c>
      <c r="K781" s="20">
        <f>IFERROR(INDEX(CONFIGURACOES!$H$37:$H$300,MATCH($I781,CONFIGURACOES!$B$37:$B$300,0)),"")</f>
        <v/>
      </c>
      <c r="L781" s="20" t="n"/>
      <c r="M781" s="20">
        <f>IFERROR(INDEX(CONFIGURACOES!$I$37:$I$300,MATCH($I781,CONFIGURACOES!$B$37:$B$300,0)),"")</f>
        <v/>
      </c>
      <c r="N781" s="21" t="n"/>
      <c r="O781" s="21" t="n"/>
      <c r="P781" s="21" t="n"/>
      <c r="Q781" s="21" t="n"/>
      <c r="R781" s="21">
        <f>IF($N781="","",$N781*IF($Q781="",1,$Q781)*IF($P781="",1,$P781)*IF($O781="",1,$O781))</f>
        <v/>
      </c>
      <c r="S781" s="22">
        <f>IFERROR(INDEX(CONFIGURACOES!$J$37:$J$300,MATCH($I781,CONFIGURACOES!$B$37:$B$300,0)),"")</f>
        <v/>
      </c>
      <c r="T781" s="22">
        <f>IF(OR($R781="",$S781=""),"",$R781*$S781)</f>
        <v/>
      </c>
      <c r="U781" s="20" t="n"/>
      <c r="V781" s="20" t="n"/>
      <c r="W781" s="20" t="n"/>
      <c r="X781">
        <f>IF($A781="","",$A781&amp;"|"&amp;$C781&amp;"|"&amp;$I781)</f>
        <v/>
      </c>
      <c r="Y781">
        <f>IF(AND($A781=RELATORIO_MEDICAO!$C$5,$C781=RELATORIO_MEDICAO!$F$5,$A781&lt;&gt;""),COUNTIFS($A$3:$A781,RELATORIO_MEDICAO!$C$5,$C$3:$C781,RELATORIO_MEDICAO!$F$5),"")</f>
        <v/>
      </c>
      <c r="Z781">
        <f>IF(OR($A781="",PESQUISA!$C$4=""),0,IF(OR(ISNUMBER(SEARCH(PESQUISA!$C$4,$G781)),ISNUMBER(SEARCH(PESQUISA!$C$4,$K781)),ISNUMBER(SEARCH(PESQUISA!$C$4,$L781))),1,0))</f>
        <v/>
      </c>
      <c r="AA781">
        <f>IF($Z781=1,SUM($Z$3:$Z781),"")</f>
        <v/>
      </c>
      <c r="AB781">
        <f>IF(OR($A781="",PESQUISA!$C$50=""),0,IF(ISNUMBER(SEARCH(PESQUISA!$C$50,$I781)),1,0))</f>
        <v/>
      </c>
      <c r="AC781">
        <f>IF($AB781=1,SUM($AB$3:$AB781),"")</f>
        <v/>
      </c>
    </row>
    <row r="782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>
        <f>IFERROR(INDEX(CONFIGURACOES!$G$37:$G$300,MATCH($I782,CONFIGURACOES!$B$37:$B$300,0)),"")</f>
        <v/>
      </c>
      <c r="K782" s="20">
        <f>IFERROR(INDEX(CONFIGURACOES!$H$37:$H$300,MATCH($I782,CONFIGURACOES!$B$37:$B$300,0)),"")</f>
        <v/>
      </c>
      <c r="L782" s="20" t="n"/>
      <c r="M782" s="20">
        <f>IFERROR(INDEX(CONFIGURACOES!$I$37:$I$300,MATCH($I782,CONFIGURACOES!$B$37:$B$300,0)),"")</f>
        <v/>
      </c>
      <c r="N782" s="21" t="n"/>
      <c r="O782" s="21" t="n"/>
      <c r="P782" s="21" t="n"/>
      <c r="Q782" s="21" t="n"/>
      <c r="R782" s="21">
        <f>IF($N782="","",$N782*IF($Q782="",1,$Q782)*IF($P782="",1,$P782)*IF($O782="",1,$O782))</f>
        <v/>
      </c>
      <c r="S782" s="22">
        <f>IFERROR(INDEX(CONFIGURACOES!$J$37:$J$300,MATCH($I782,CONFIGURACOES!$B$37:$B$300,0)),"")</f>
        <v/>
      </c>
      <c r="T782" s="22">
        <f>IF(OR($R782="",$S782=""),"",$R782*$S782)</f>
        <v/>
      </c>
      <c r="U782" s="20" t="n"/>
      <c r="V782" s="20" t="n"/>
      <c r="W782" s="20" t="n"/>
      <c r="X782">
        <f>IF($A782="","",$A782&amp;"|"&amp;$C782&amp;"|"&amp;$I782)</f>
        <v/>
      </c>
      <c r="Y782">
        <f>IF(AND($A782=RELATORIO_MEDICAO!$C$5,$C782=RELATORIO_MEDICAO!$F$5,$A782&lt;&gt;""),COUNTIFS($A$3:$A782,RELATORIO_MEDICAO!$C$5,$C$3:$C782,RELATORIO_MEDICAO!$F$5),"")</f>
        <v/>
      </c>
      <c r="Z782">
        <f>IF(OR($A782="",PESQUISA!$C$4=""),0,IF(OR(ISNUMBER(SEARCH(PESQUISA!$C$4,$G782)),ISNUMBER(SEARCH(PESQUISA!$C$4,$K782)),ISNUMBER(SEARCH(PESQUISA!$C$4,$L782))),1,0))</f>
        <v/>
      </c>
      <c r="AA782">
        <f>IF($Z782=1,SUM($Z$3:$Z782),"")</f>
        <v/>
      </c>
      <c r="AB782">
        <f>IF(OR($A782="",PESQUISA!$C$50=""),0,IF(ISNUMBER(SEARCH(PESQUISA!$C$50,$I782)),1,0))</f>
        <v/>
      </c>
      <c r="AC782">
        <f>IF($AB782=1,SUM($AB$3:$AB782),"")</f>
        <v/>
      </c>
    </row>
    <row r="783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>
        <f>IFERROR(INDEX(CONFIGURACOES!$G$37:$G$300,MATCH($I783,CONFIGURACOES!$B$37:$B$300,0)),"")</f>
        <v/>
      </c>
      <c r="K783" s="20">
        <f>IFERROR(INDEX(CONFIGURACOES!$H$37:$H$300,MATCH($I783,CONFIGURACOES!$B$37:$B$300,0)),"")</f>
        <v/>
      </c>
      <c r="L783" s="20" t="n"/>
      <c r="M783" s="20">
        <f>IFERROR(INDEX(CONFIGURACOES!$I$37:$I$300,MATCH($I783,CONFIGURACOES!$B$37:$B$300,0)),"")</f>
        <v/>
      </c>
      <c r="N783" s="21" t="n"/>
      <c r="O783" s="21" t="n"/>
      <c r="P783" s="21" t="n"/>
      <c r="Q783" s="21" t="n"/>
      <c r="R783" s="21">
        <f>IF($N783="","",$N783*IF($Q783="",1,$Q783)*IF($P783="",1,$P783)*IF($O783="",1,$O783))</f>
        <v/>
      </c>
      <c r="S783" s="22">
        <f>IFERROR(INDEX(CONFIGURACOES!$J$37:$J$300,MATCH($I783,CONFIGURACOES!$B$37:$B$300,0)),"")</f>
        <v/>
      </c>
      <c r="T783" s="22">
        <f>IF(OR($R783="",$S783=""),"",$R783*$S783)</f>
        <v/>
      </c>
      <c r="U783" s="20" t="n"/>
      <c r="V783" s="20" t="n"/>
      <c r="W783" s="20" t="n"/>
      <c r="X783">
        <f>IF($A783="","",$A783&amp;"|"&amp;$C783&amp;"|"&amp;$I783)</f>
        <v/>
      </c>
      <c r="Y783">
        <f>IF(AND($A783=RELATORIO_MEDICAO!$C$5,$C783=RELATORIO_MEDICAO!$F$5,$A783&lt;&gt;""),COUNTIFS($A$3:$A783,RELATORIO_MEDICAO!$C$5,$C$3:$C783,RELATORIO_MEDICAO!$F$5),"")</f>
        <v/>
      </c>
      <c r="Z783">
        <f>IF(OR($A783="",PESQUISA!$C$4=""),0,IF(OR(ISNUMBER(SEARCH(PESQUISA!$C$4,$G783)),ISNUMBER(SEARCH(PESQUISA!$C$4,$K783)),ISNUMBER(SEARCH(PESQUISA!$C$4,$L783))),1,0))</f>
        <v/>
      </c>
      <c r="AA783">
        <f>IF($Z783=1,SUM($Z$3:$Z783),"")</f>
        <v/>
      </c>
      <c r="AB783">
        <f>IF(OR($A783="",PESQUISA!$C$50=""),0,IF(ISNUMBER(SEARCH(PESQUISA!$C$50,$I783)),1,0))</f>
        <v/>
      </c>
      <c r="AC783">
        <f>IF($AB783=1,SUM($AB$3:$AB783),"")</f>
        <v/>
      </c>
    </row>
    <row r="784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>
        <f>IFERROR(INDEX(CONFIGURACOES!$G$37:$G$300,MATCH($I784,CONFIGURACOES!$B$37:$B$300,0)),"")</f>
        <v/>
      </c>
      <c r="K784" s="20">
        <f>IFERROR(INDEX(CONFIGURACOES!$H$37:$H$300,MATCH($I784,CONFIGURACOES!$B$37:$B$300,0)),"")</f>
        <v/>
      </c>
      <c r="L784" s="20" t="n"/>
      <c r="M784" s="20">
        <f>IFERROR(INDEX(CONFIGURACOES!$I$37:$I$300,MATCH($I784,CONFIGURACOES!$B$37:$B$300,0)),"")</f>
        <v/>
      </c>
      <c r="N784" s="21" t="n"/>
      <c r="O784" s="21" t="n"/>
      <c r="P784" s="21" t="n"/>
      <c r="Q784" s="21" t="n"/>
      <c r="R784" s="21">
        <f>IF($N784="","",$N784*IF($Q784="",1,$Q784)*IF($P784="",1,$P784)*IF($O784="",1,$O784))</f>
        <v/>
      </c>
      <c r="S784" s="22">
        <f>IFERROR(INDEX(CONFIGURACOES!$J$37:$J$300,MATCH($I784,CONFIGURACOES!$B$37:$B$300,0)),"")</f>
        <v/>
      </c>
      <c r="T784" s="22">
        <f>IF(OR($R784="",$S784=""),"",$R784*$S784)</f>
        <v/>
      </c>
      <c r="U784" s="20" t="n"/>
      <c r="V784" s="20" t="n"/>
      <c r="W784" s="20" t="n"/>
      <c r="X784">
        <f>IF($A784="","",$A784&amp;"|"&amp;$C784&amp;"|"&amp;$I784)</f>
        <v/>
      </c>
      <c r="Y784">
        <f>IF(AND($A784=RELATORIO_MEDICAO!$C$5,$C784=RELATORIO_MEDICAO!$F$5,$A784&lt;&gt;""),COUNTIFS($A$3:$A784,RELATORIO_MEDICAO!$C$5,$C$3:$C784,RELATORIO_MEDICAO!$F$5),"")</f>
        <v/>
      </c>
      <c r="Z784">
        <f>IF(OR($A784="",PESQUISA!$C$4=""),0,IF(OR(ISNUMBER(SEARCH(PESQUISA!$C$4,$G784)),ISNUMBER(SEARCH(PESQUISA!$C$4,$K784)),ISNUMBER(SEARCH(PESQUISA!$C$4,$L784))),1,0))</f>
        <v/>
      </c>
      <c r="AA784">
        <f>IF($Z784=1,SUM($Z$3:$Z784),"")</f>
        <v/>
      </c>
      <c r="AB784">
        <f>IF(OR($A784="",PESQUISA!$C$50=""),0,IF(ISNUMBER(SEARCH(PESQUISA!$C$50,$I784)),1,0))</f>
        <v/>
      </c>
      <c r="AC784">
        <f>IF($AB784=1,SUM($AB$3:$AB784),"")</f>
        <v/>
      </c>
    </row>
    <row r="785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>
        <f>IFERROR(INDEX(CONFIGURACOES!$G$37:$G$300,MATCH($I785,CONFIGURACOES!$B$37:$B$300,0)),"")</f>
        <v/>
      </c>
      <c r="K785" s="20">
        <f>IFERROR(INDEX(CONFIGURACOES!$H$37:$H$300,MATCH($I785,CONFIGURACOES!$B$37:$B$300,0)),"")</f>
        <v/>
      </c>
      <c r="L785" s="20" t="n"/>
      <c r="M785" s="20">
        <f>IFERROR(INDEX(CONFIGURACOES!$I$37:$I$300,MATCH($I785,CONFIGURACOES!$B$37:$B$300,0)),"")</f>
        <v/>
      </c>
      <c r="N785" s="21" t="n"/>
      <c r="O785" s="21" t="n"/>
      <c r="P785" s="21" t="n"/>
      <c r="Q785" s="21" t="n"/>
      <c r="R785" s="21">
        <f>IF($N785="","",$N785*IF($Q785="",1,$Q785)*IF($P785="",1,$P785)*IF($O785="",1,$O785))</f>
        <v/>
      </c>
      <c r="S785" s="22">
        <f>IFERROR(INDEX(CONFIGURACOES!$J$37:$J$300,MATCH($I785,CONFIGURACOES!$B$37:$B$300,0)),"")</f>
        <v/>
      </c>
      <c r="T785" s="22">
        <f>IF(OR($R785="",$S785=""),"",$R785*$S785)</f>
        <v/>
      </c>
      <c r="U785" s="20" t="n"/>
      <c r="V785" s="20" t="n"/>
      <c r="W785" s="20" t="n"/>
      <c r="X785">
        <f>IF($A785="","",$A785&amp;"|"&amp;$C785&amp;"|"&amp;$I785)</f>
        <v/>
      </c>
      <c r="Y785">
        <f>IF(AND($A785=RELATORIO_MEDICAO!$C$5,$C785=RELATORIO_MEDICAO!$F$5,$A785&lt;&gt;""),COUNTIFS($A$3:$A785,RELATORIO_MEDICAO!$C$5,$C$3:$C785,RELATORIO_MEDICAO!$F$5),"")</f>
        <v/>
      </c>
      <c r="Z785">
        <f>IF(OR($A785="",PESQUISA!$C$4=""),0,IF(OR(ISNUMBER(SEARCH(PESQUISA!$C$4,$G785)),ISNUMBER(SEARCH(PESQUISA!$C$4,$K785)),ISNUMBER(SEARCH(PESQUISA!$C$4,$L785))),1,0))</f>
        <v/>
      </c>
      <c r="AA785">
        <f>IF($Z785=1,SUM($Z$3:$Z785),"")</f>
        <v/>
      </c>
      <c r="AB785">
        <f>IF(OR($A785="",PESQUISA!$C$50=""),0,IF(ISNUMBER(SEARCH(PESQUISA!$C$50,$I785)),1,0))</f>
        <v/>
      </c>
      <c r="AC785">
        <f>IF($AB785=1,SUM($AB$3:$AB785),"")</f>
        <v/>
      </c>
    </row>
    <row r="786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>
        <f>IFERROR(INDEX(CONFIGURACOES!$G$37:$G$300,MATCH($I786,CONFIGURACOES!$B$37:$B$300,0)),"")</f>
        <v/>
      </c>
      <c r="K786" s="20">
        <f>IFERROR(INDEX(CONFIGURACOES!$H$37:$H$300,MATCH($I786,CONFIGURACOES!$B$37:$B$300,0)),"")</f>
        <v/>
      </c>
      <c r="L786" s="20" t="n"/>
      <c r="M786" s="20">
        <f>IFERROR(INDEX(CONFIGURACOES!$I$37:$I$300,MATCH($I786,CONFIGURACOES!$B$37:$B$300,0)),"")</f>
        <v/>
      </c>
      <c r="N786" s="21" t="n"/>
      <c r="O786" s="21" t="n"/>
      <c r="P786" s="21" t="n"/>
      <c r="Q786" s="21" t="n"/>
      <c r="R786" s="21">
        <f>IF($N786="","",$N786*IF($Q786="",1,$Q786)*IF($P786="",1,$P786)*IF($O786="",1,$O786))</f>
        <v/>
      </c>
      <c r="S786" s="22">
        <f>IFERROR(INDEX(CONFIGURACOES!$J$37:$J$300,MATCH($I786,CONFIGURACOES!$B$37:$B$300,0)),"")</f>
        <v/>
      </c>
      <c r="T786" s="22">
        <f>IF(OR($R786="",$S786=""),"",$R786*$S786)</f>
        <v/>
      </c>
      <c r="U786" s="20" t="n"/>
      <c r="V786" s="20" t="n"/>
      <c r="W786" s="20" t="n"/>
      <c r="X786">
        <f>IF($A786="","",$A786&amp;"|"&amp;$C786&amp;"|"&amp;$I786)</f>
        <v/>
      </c>
      <c r="Y786">
        <f>IF(AND($A786=RELATORIO_MEDICAO!$C$5,$C786=RELATORIO_MEDICAO!$F$5,$A786&lt;&gt;""),COUNTIFS($A$3:$A786,RELATORIO_MEDICAO!$C$5,$C$3:$C786,RELATORIO_MEDICAO!$F$5),"")</f>
        <v/>
      </c>
      <c r="Z786">
        <f>IF(OR($A786="",PESQUISA!$C$4=""),0,IF(OR(ISNUMBER(SEARCH(PESQUISA!$C$4,$G786)),ISNUMBER(SEARCH(PESQUISA!$C$4,$K786)),ISNUMBER(SEARCH(PESQUISA!$C$4,$L786))),1,0))</f>
        <v/>
      </c>
      <c r="AA786">
        <f>IF($Z786=1,SUM($Z$3:$Z786),"")</f>
        <v/>
      </c>
      <c r="AB786">
        <f>IF(OR($A786="",PESQUISA!$C$50=""),0,IF(ISNUMBER(SEARCH(PESQUISA!$C$50,$I786)),1,0))</f>
        <v/>
      </c>
      <c r="AC786">
        <f>IF($AB786=1,SUM($AB$3:$AB786),"")</f>
        <v/>
      </c>
    </row>
    <row r="787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>
        <f>IFERROR(INDEX(CONFIGURACOES!$G$37:$G$300,MATCH($I787,CONFIGURACOES!$B$37:$B$300,0)),"")</f>
        <v/>
      </c>
      <c r="K787" s="20">
        <f>IFERROR(INDEX(CONFIGURACOES!$H$37:$H$300,MATCH($I787,CONFIGURACOES!$B$37:$B$300,0)),"")</f>
        <v/>
      </c>
      <c r="L787" s="20" t="n"/>
      <c r="M787" s="20">
        <f>IFERROR(INDEX(CONFIGURACOES!$I$37:$I$300,MATCH($I787,CONFIGURACOES!$B$37:$B$300,0)),"")</f>
        <v/>
      </c>
      <c r="N787" s="21" t="n"/>
      <c r="O787" s="21" t="n"/>
      <c r="P787" s="21" t="n"/>
      <c r="Q787" s="21" t="n"/>
      <c r="R787" s="21">
        <f>IF($N787="","",$N787*IF($Q787="",1,$Q787)*IF($P787="",1,$P787)*IF($O787="",1,$O787))</f>
        <v/>
      </c>
      <c r="S787" s="22">
        <f>IFERROR(INDEX(CONFIGURACOES!$J$37:$J$300,MATCH($I787,CONFIGURACOES!$B$37:$B$300,0)),"")</f>
        <v/>
      </c>
      <c r="T787" s="22">
        <f>IF(OR($R787="",$S787=""),"",$R787*$S787)</f>
        <v/>
      </c>
      <c r="U787" s="20" t="n"/>
      <c r="V787" s="20" t="n"/>
      <c r="W787" s="20" t="n"/>
      <c r="X787">
        <f>IF($A787="","",$A787&amp;"|"&amp;$C787&amp;"|"&amp;$I787)</f>
        <v/>
      </c>
      <c r="Y787">
        <f>IF(AND($A787=RELATORIO_MEDICAO!$C$5,$C787=RELATORIO_MEDICAO!$F$5,$A787&lt;&gt;""),COUNTIFS($A$3:$A787,RELATORIO_MEDICAO!$C$5,$C$3:$C787,RELATORIO_MEDICAO!$F$5),"")</f>
        <v/>
      </c>
      <c r="Z787">
        <f>IF(OR($A787="",PESQUISA!$C$4=""),0,IF(OR(ISNUMBER(SEARCH(PESQUISA!$C$4,$G787)),ISNUMBER(SEARCH(PESQUISA!$C$4,$K787)),ISNUMBER(SEARCH(PESQUISA!$C$4,$L787))),1,0))</f>
        <v/>
      </c>
      <c r="AA787">
        <f>IF($Z787=1,SUM($Z$3:$Z787),"")</f>
        <v/>
      </c>
      <c r="AB787">
        <f>IF(OR($A787="",PESQUISA!$C$50=""),0,IF(ISNUMBER(SEARCH(PESQUISA!$C$50,$I787)),1,0))</f>
        <v/>
      </c>
      <c r="AC787">
        <f>IF($AB787=1,SUM($AB$3:$AB787),"")</f>
        <v/>
      </c>
    </row>
    <row r="788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>
        <f>IFERROR(INDEX(CONFIGURACOES!$G$37:$G$300,MATCH($I788,CONFIGURACOES!$B$37:$B$300,0)),"")</f>
        <v/>
      </c>
      <c r="K788" s="20">
        <f>IFERROR(INDEX(CONFIGURACOES!$H$37:$H$300,MATCH($I788,CONFIGURACOES!$B$37:$B$300,0)),"")</f>
        <v/>
      </c>
      <c r="L788" s="20" t="n"/>
      <c r="M788" s="20">
        <f>IFERROR(INDEX(CONFIGURACOES!$I$37:$I$300,MATCH($I788,CONFIGURACOES!$B$37:$B$300,0)),"")</f>
        <v/>
      </c>
      <c r="N788" s="21" t="n"/>
      <c r="O788" s="21" t="n"/>
      <c r="P788" s="21" t="n"/>
      <c r="Q788" s="21" t="n"/>
      <c r="R788" s="21">
        <f>IF($N788="","",$N788*IF($Q788="",1,$Q788)*IF($P788="",1,$P788)*IF($O788="",1,$O788))</f>
        <v/>
      </c>
      <c r="S788" s="22">
        <f>IFERROR(INDEX(CONFIGURACOES!$J$37:$J$300,MATCH($I788,CONFIGURACOES!$B$37:$B$300,0)),"")</f>
        <v/>
      </c>
      <c r="T788" s="22">
        <f>IF(OR($R788="",$S788=""),"",$R788*$S788)</f>
        <v/>
      </c>
      <c r="U788" s="20" t="n"/>
      <c r="V788" s="20" t="n"/>
      <c r="W788" s="20" t="n"/>
      <c r="X788">
        <f>IF($A788="","",$A788&amp;"|"&amp;$C788&amp;"|"&amp;$I788)</f>
        <v/>
      </c>
      <c r="Y788">
        <f>IF(AND($A788=RELATORIO_MEDICAO!$C$5,$C788=RELATORIO_MEDICAO!$F$5,$A788&lt;&gt;""),COUNTIFS($A$3:$A788,RELATORIO_MEDICAO!$C$5,$C$3:$C788,RELATORIO_MEDICAO!$F$5),"")</f>
        <v/>
      </c>
      <c r="Z788">
        <f>IF(OR($A788="",PESQUISA!$C$4=""),0,IF(OR(ISNUMBER(SEARCH(PESQUISA!$C$4,$G788)),ISNUMBER(SEARCH(PESQUISA!$C$4,$K788)),ISNUMBER(SEARCH(PESQUISA!$C$4,$L788))),1,0))</f>
        <v/>
      </c>
      <c r="AA788">
        <f>IF($Z788=1,SUM($Z$3:$Z788),"")</f>
        <v/>
      </c>
      <c r="AB788">
        <f>IF(OR($A788="",PESQUISA!$C$50=""),0,IF(ISNUMBER(SEARCH(PESQUISA!$C$50,$I788)),1,0))</f>
        <v/>
      </c>
      <c r="AC788">
        <f>IF($AB788=1,SUM($AB$3:$AB788),"")</f>
        <v/>
      </c>
    </row>
    <row r="789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>
        <f>IFERROR(INDEX(CONFIGURACOES!$G$37:$G$300,MATCH($I789,CONFIGURACOES!$B$37:$B$300,0)),"")</f>
        <v/>
      </c>
      <c r="K789" s="20">
        <f>IFERROR(INDEX(CONFIGURACOES!$H$37:$H$300,MATCH($I789,CONFIGURACOES!$B$37:$B$300,0)),"")</f>
        <v/>
      </c>
      <c r="L789" s="20" t="n"/>
      <c r="M789" s="20">
        <f>IFERROR(INDEX(CONFIGURACOES!$I$37:$I$300,MATCH($I789,CONFIGURACOES!$B$37:$B$300,0)),"")</f>
        <v/>
      </c>
      <c r="N789" s="21" t="n"/>
      <c r="O789" s="21" t="n"/>
      <c r="P789" s="21" t="n"/>
      <c r="Q789" s="21" t="n"/>
      <c r="R789" s="21">
        <f>IF($N789="","",$N789*IF($Q789="",1,$Q789)*IF($P789="",1,$P789)*IF($O789="",1,$O789))</f>
        <v/>
      </c>
      <c r="S789" s="22">
        <f>IFERROR(INDEX(CONFIGURACOES!$J$37:$J$300,MATCH($I789,CONFIGURACOES!$B$37:$B$300,0)),"")</f>
        <v/>
      </c>
      <c r="T789" s="22">
        <f>IF(OR($R789="",$S789=""),"",$R789*$S789)</f>
        <v/>
      </c>
      <c r="U789" s="20" t="n"/>
      <c r="V789" s="20" t="n"/>
      <c r="W789" s="20" t="n"/>
      <c r="X789">
        <f>IF($A789="","",$A789&amp;"|"&amp;$C789&amp;"|"&amp;$I789)</f>
        <v/>
      </c>
      <c r="Y789">
        <f>IF(AND($A789=RELATORIO_MEDICAO!$C$5,$C789=RELATORIO_MEDICAO!$F$5,$A789&lt;&gt;""),COUNTIFS($A$3:$A789,RELATORIO_MEDICAO!$C$5,$C$3:$C789,RELATORIO_MEDICAO!$F$5),"")</f>
        <v/>
      </c>
      <c r="Z789">
        <f>IF(OR($A789="",PESQUISA!$C$4=""),0,IF(OR(ISNUMBER(SEARCH(PESQUISA!$C$4,$G789)),ISNUMBER(SEARCH(PESQUISA!$C$4,$K789)),ISNUMBER(SEARCH(PESQUISA!$C$4,$L789))),1,0))</f>
        <v/>
      </c>
      <c r="AA789">
        <f>IF($Z789=1,SUM($Z$3:$Z789),"")</f>
        <v/>
      </c>
      <c r="AB789">
        <f>IF(OR($A789="",PESQUISA!$C$50=""),0,IF(ISNUMBER(SEARCH(PESQUISA!$C$50,$I789)),1,0))</f>
        <v/>
      </c>
      <c r="AC789">
        <f>IF($AB789=1,SUM($AB$3:$AB789),"")</f>
        <v/>
      </c>
    </row>
    <row r="790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>
        <f>IFERROR(INDEX(CONFIGURACOES!$G$37:$G$300,MATCH($I790,CONFIGURACOES!$B$37:$B$300,0)),"")</f>
        <v/>
      </c>
      <c r="K790" s="20">
        <f>IFERROR(INDEX(CONFIGURACOES!$H$37:$H$300,MATCH($I790,CONFIGURACOES!$B$37:$B$300,0)),"")</f>
        <v/>
      </c>
      <c r="L790" s="20" t="n"/>
      <c r="M790" s="20">
        <f>IFERROR(INDEX(CONFIGURACOES!$I$37:$I$300,MATCH($I790,CONFIGURACOES!$B$37:$B$300,0)),"")</f>
        <v/>
      </c>
      <c r="N790" s="21" t="n"/>
      <c r="O790" s="21" t="n"/>
      <c r="P790" s="21" t="n"/>
      <c r="Q790" s="21" t="n"/>
      <c r="R790" s="21">
        <f>IF($N790="","",$N790*IF($Q790="",1,$Q790)*IF($P790="",1,$P790)*IF($O790="",1,$O790))</f>
        <v/>
      </c>
      <c r="S790" s="22">
        <f>IFERROR(INDEX(CONFIGURACOES!$J$37:$J$300,MATCH($I790,CONFIGURACOES!$B$37:$B$300,0)),"")</f>
        <v/>
      </c>
      <c r="T790" s="22">
        <f>IF(OR($R790="",$S790=""),"",$R790*$S790)</f>
        <v/>
      </c>
      <c r="U790" s="20" t="n"/>
      <c r="V790" s="20" t="n"/>
      <c r="W790" s="20" t="n"/>
      <c r="X790">
        <f>IF($A790="","",$A790&amp;"|"&amp;$C790&amp;"|"&amp;$I790)</f>
        <v/>
      </c>
      <c r="Y790">
        <f>IF(AND($A790=RELATORIO_MEDICAO!$C$5,$C790=RELATORIO_MEDICAO!$F$5,$A790&lt;&gt;""),COUNTIFS($A$3:$A790,RELATORIO_MEDICAO!$C$5,$C$3:$C790,RELATORIO_MEDICAO!$F$5),"")</f>
        <v/>
      </c>
      <c r="Z790">
        <f>IF(OR($A790="",PESQUISA!$C$4=""),0,IF(OR(ISNUMBER(SEARCH(PESQUISA!$C$4,$G790)),ISNUMBER(SEARCH(PESQUISA!$C$4,$K790)),ISNUMBER(SEARCH(PESQUISA!$C$4,$L790))),1,0))</f>
        <v/>
      </c>
      <c r="AA790">
        <f>IF($Z790=1,SUM($Z$3:$Z790),"")</f>
        <v/>
      </c>
      <c r="AB790">
        <f>IF(OR($A790="",PESQUISA!$C$50=""),0,IF(ISNUMBER(SEARCH(PESQUISA!$C$50,$I790)),1,0))</f>
        <v/>
      </c>
      <c r="AC790">
        <f>IF($AB790=1,SUM($AB$3:$AB790),"")</f>
        <v/>
      </c>
    </row>
    <row r="791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>
        <f>IFERROR(INDEX(CONFIGURACOES!$G$37:$G$300,MATCH($I791,CONFIGURACOES!$B$37:$B$300,0)),"")</f>
        <v/>
      </c>
      <c r="K791" s="20">
        <f>IFERROR(INDEX(CONFIGURACOES!$H$37:$H$300,MATCH($I791,CONFIGURACOES!$B$37:$B$300,0)),"")</f>
        <v/>
      </c>
      <c r="L791" s="20" t="n"/>
      <c r="M791" s="20">
        <f>IFERROR(INDEX(CONFIGURACOES!$I$37:$I$300,MATCH($I791,CONFIGURACOES!$B$37:$B$300,0)),"")</f>
        <v/>
      </c>
      <c r="N791" s="21" t="n"/>
      <c r="O791" s="21" t="n"/>
      <c r="P791" s="21" t="n"/>
      <c r="Q791" s="21" t="n"/>
      <c r="R791" s="21">
        <f>IF($N791="","",$N791*IF($Q791="",1,$Q791)*IF($P791="",1,$P791)*IF($O791="",1,$O791))</f>
        <v/>
      </c>
      <c r="S791" s="22">
        <f>IFERROR(INDEX(CONFIGURACOES!$J$37:$J$300,MATCH($I791,CONFIGURACOES!$B$37:$B$300,0)),"")</f>
        <v/>
      </c>
      <c r="T791" s="22">
        <f>IF(OR($R791="",$S791=""),"",$R791*$S791)</f>
        <v/>
      </c>
      <c r="U791" s="20" t="n"/>
      <c r="V791" s="20" t="n"/>
      <c r="W791" s="20" t="n"/>
      <c r="X791">
        <f>IF($A791="","",$A791&amp;"|"&amp;$C791&amp;"|"&amp;$I791)</f>
        <v/>
      </c>
      <c r="Y791">
        <f>IF(AND($A791=RELATORIO_MEDICAO!$C$5,$C791=RELATORIO_MEDICAO!$F$5,$A791&lt;&gt;""),COUNTIFS($A$3:$A791,RELATORIO_MEDICAO!$C$5,$C$3:$C791,RELATORIO_MEDICAO!$F$5),"")</f>
        <v/>
      </c>
      <c r="Z791">
        <f>IF(OR($A791="",PESQUISA!$C$4=""),0,IF(OR(ISNUMBER(SEARCH(PESQUISA!$C$4,$G791)),ISNUMBER(SEARCH(PESQUISA!$C$4,$K791)),ISNUMBER(SEARCH(PESQUISA!$C$4,$L791))),1,0))</f>
        <v/>
      </c>
      <c r="AA791">
        <f>IF($Z791=1,SUM($Z$3:$Z791),"")</f>
        <v/>
      </c>
      <c r="AB791">
        <f>IF(OR($A791="",PESQUISA!$C$50=""),0,IF(ISNUMBER(SEARCH(PESQUISA!$C$50,$I791)),1,0))</f>
        <v/>
      </c>
      <c r="AC791">
        <f>IF($AB791=1,SUM($AB$3:$AB791),"")</f>
        <v/>
      </c>
    </row>
    <row r="792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>
        <f>IFERROR(INDEX(CONFIGURACOES!$G$37:$G$300,MATCH($I792,CONFIGURACOES!$B$37:$B$300,0)),"")</f>
        <v/>
      </c>
      <c r="K792" s="20">
        <f>IFERROR(INDEX(CONFIGURACOES!$H$37:$H$300,MATCH($I792,CONFIGURACOES!$B$37:$B$300,0)),"")</f>
        <v/>
      </c>
      <c r="L792" s="20" t="n"/>
      <c r="M792" s="20">
        <f>IFERROR(INDEX(CONFIGURACOES!$I$37:$I$300,MATCH($I792,CONFIGURACOES!$B$37:$B$300,0)),"")</f>
        <v/>
      </c>
      <c r="N792" s="21" t="n"/>
      <c r="O792" s="21" t="n"/>
      <c r="P792" s="21" t="n"/>
      <c r="Q792" s="21" t="n"/>
      <c r="R792" s="21">
        <f>IF($N792="","",$N792*IF($Q792="",1,$Q792)*IF($P792="",1,$P792)*IF($O792="",1,$O792))</f>
        <v/>
      </c>
      <c r="S792" s="22">
        <f>IFERROR(INDEX(CONFIGURACOES!$J$37:$J$300,MATCH($I792,CONFIGURACOES!$B$37:$B$300,0)),"")</f>
        <v/>
      </c>
      <c r="T792" s="22">
        <f>IF(OR($R792="",$S792=""),"",$R792*$S792)</f>
        <v/>
      </c>
      <c r="U792" s="20" t="n"/>
      <c r="V792" s="20" t="n"/>
      <c r="W792" s="20" t="n"/>
      <c r="X792">
        <f>IF($A792="","",$A792&amp;"|"&amp;$C792&amp;"|"&amp;$I792)</f>
        <v/>
      </c>
      <c r="Y792">
        <f>IF(AND($A792=RELATORIO_MEDICAO!$C$5,$C792=RELATORIO_MEDICAO!$F$5,$A792&lt;&gt;""),COUNTIFS($A$3:$A792,RELATORIO_MEDICAO!$C$5,$C$3:$C792,RELATORIO_MEDICAO!$F$5),"")</f>
        <v/>
      </c>
      <c r="Z792">
        <f>IF(OR($A792="",PESQUISA!$C$4=""),0,IF(OR(ISNUMBER(SEARCH(PESQUISA!$C$4,$G792)),ISNUMBER(SEARCH(PESQUISA!$C$4,$K792)),ISNUMBER(SEARCH(PESQUISA!$C$4,$L792))),1,0))</f>
        <v/>
      </c>
      <c r="AA792">
        <f>IF($Z792=1,SUM($Z$3:$Z792),"")</f>
        <v/>
      </c>
      <c r="AB792">
        <f>IF(OR($A792="",PESQUISA!$C$50=""),0,IF(ISNUMBER(SEARCH(PESQUISA!$C$50,$I792)),1,0))</f>
        <v/>
      </c>
      <c r="AC792">
        <f>IF($AB792=1,SUM($AB$3:$AB792),"")</f>
        <v/>
      </c>
    </row>
    <row r="793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>
        <f>IFERROR(INDEX(CONFIGURACOES!$G$37:$G$300,MATCH($I793,CONFIGURACOES!$B$37:$B$300,0)),"")</f>
        <v/>
      </c>
      <c r="K793" s="20">
        <f>IFERROR(INDEX(CONFIGURACOES!$H$37:$H$300,MATCH($I793,CONFIGURACOES!$B$37:$B$300,0)),"")</f>
        <v/>
      </c>
      <c r="L793" s="20" t="n"/>
      <c r="M793" s="20">
        <f>IFERROR(INDEX(CONFIGURACOES!$I$37:$I$300,MATCH($I793,CONFIGURACOES!$B$37:$B$300,0)),"")</f>
        <v/>
      </c>
      <c r="N793" s="21" t="n"/>
      <c r="O793" s="21" t="n"/>
      <c r="P793" s="21" t="n"/>
      <c r="Q793" s="21" t="n"/>
      <c r="R793" s="21">
        <f>IF($N793="","",$N793*IF($Q793="",1,$Q793)*IF($P793="",1,$P793)*IF($O793="",1,$O793))</f>
        <v/>
      </c>
      <c r="S793" s="22">
        <f>IFERROR(INDEX(CONFIGURACOES!$J$37:$J$300,MATCH($I793,CONFIGURACOES!$B$37:$B$300,0)),"")</f>
        <v/>
      </c>
      <c r="T793" s="22">
        <f>IF(OR($R793="",$S793=""),"",$R793*$S793)</f>
        <v/>
      </c>
      <c r="U793" s="20" t="n"/>
      <c r="V793" s="20" t="n"/>
      <c r="W793" s="20" t="n"/>
      <c r="X793">
        <f>IF($A793="","",$A793&amp;"|"&amp;$C793&amp;"|"&amp;$I793)</f>
        <v/>
      </c>
      <c r="Y793">
        <f>IF(AND($A793=RELATORIO_MEDICAO!$C$5,$C793=RELATORIO_MEDICAO!$F$5,$A793&lt;&gt;""),COUNTIFS($A$3:$A793,RELATORIO_MEDICAO!$C$5,$C$3:$C793,RELATORIO_MEDICAO!$F$5),"")</f>
        <v/>
      </c>
      <c r="Z793">
        <f>IF(OR($A793="",PESQUISA!$C$4=""),0,IF(OR(ISNUMBER(SEARCH(PESQUISA!$C$4,$G793)),ISNUMBER(SEARCH(PESQUISA!$C$4,$K793)),ISNUMBER(SEARCH(PESQUISA!$C$4,$L793))),1,0))</f>
        <v/>
      </c>
      <c r="AA793">
        <f>IF($Z793=1,SUM($Z$3:$Z793),"")</f>
        <v/>
      </c>
      <c r="AB793">
        <f>IF(OR($A793="",PESQUISA!$C$50=""),0,IF(ISNUMBER(SEARCH(PESQUISA!$C$50,$I793)),1,0))</f>
        <v/>
      </c>
      <c r="AC793">
        <f>IF($AB793=1,SUM($AB$3:$AB793),"")</f>
        <v/>
      </c>
    </row>
    <row r="794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>
        <f>IFERROR(INDEX(CONFIGURACOES!$G$37:$G$300,MATCH($I794,CONFIGURACOES!$B$37:$B$300,0)),"")</f>
        <v/>
      </c>
      <c r="K794" s="20">
        <f>IFERROR(INDEX(CONFIGURACOES!$H$37:$H$300,MATCH($I794,CONFIGURACOES!$B$37:$B$300,0)),"")</f>
        <v/>
      </c>
      <c r="L794" s="20" t="n"/>
      <c r="M794" s="20">
        <f>IFERROR(INDEX(CONFIGURACOES!$I$37:$I$300,MATCH($I794,CONFIGURACOES!$B$37:$B$300,0)),"")</f>
        <v/>
      </c>
      <c r="N794" s="21" t="n"/>
      <c r="O794" s="21" t="n"/>
      <c r="P794" s="21" t="n"/>
      <c r="Q794" s="21" t="n"/>
      <c r="R794" s="21">
        <f>IF($N794="","",$N794*IF($Q794="",1,$Q794)*IF($P794="",1,$P794)*IF($O794="",1,$O794))</f>
        <v/>
      </c>
      <c r="S794" s="22">
        <f>IFERROR(INDEX(CONFIGURACOES!$J$37:$J$300,MATCH($I794,CONFIGURACOES!$B$37:$B$300,0)),"")</f>
        <v/>
      </c>
      <c r="T794" s="22">
        <f>IF(OR($R794="",$S794=""),"",$R794*$S794)</f>
        <v/>
      </c>
      <c r="U794" s="20" t="n"/>
      <c r="V794" s="20" t="n"/>
      <c r="W794" s="20" t="n"/>
      <c r="X794">
        <f>IF($A794="","",$A794&amp;"|"&amp;$C794&amp;"|"&amp;$I794)</f>
        <v/>
      </c>
      <c r="Y794">
        <f>IF(AND($A794=RELATORIO_MEDICAO!$C$5,$C794=RELATORIO_MEDICAO!$F$5,$A794&lt;&gt;""),COUNTIFS($A$3:$A794,RELATORIO_MEDICAO!$C$5,$C$3:$C794,RELATORIO_MEDICAO!$F$5),"")</f>
        <v/>
      </c>
      <c r="Z794">
        <f>IF(OR($A794="",PESQUISA!$C$4=""),0,IF(OR(ISNUMBER(SEARCH(PESQUISA!$C$4,$G794)),ISNUMBER(SEARCH(PESQUISA!$C$4,$K794)),ISNUMBER(SEARCH(PESQUISA!$C$4,$L794))),1,0))</f>
        <v/>
      </c>
      <c r="AA794">
        <f>IF($Z794=1,SUM($Z$3:$Z794),"")</f>
        <v/>
      </c>
      <c r="AB794">
        <f>IF(OR($A794="",PESQUISA!$C$50=""),0,IF(ISNUMBER(SEARCH(PESQUISA!$C$50,$I794)),1,0))</f>
        <v/>
      </c>
      <c r="AC794">
        <f>IF($AB794=1,SUM($AB$3:$AB794),"")</f>
        <v/>
      </c>
    </row>
    <row r="795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>
        <f>IFERROR(INDEX(CONFIGURACOES!$G$37:$G$300,MATCH($I795,CONFIGURACOES!$B$37:$B$300,0)),"")</f>
        <v/>
      </c>
      <c r="K795" s="20">
        <f>IFERROR(INDEX(CONFIGURACOES!$H$37:$H$300,MATCH($I795,CONFIGURACOES!$B$37:$B$300,0)),"")</f>
        <v/>
      </c>
      <c r="L795" s="20" t="n"/>
      <c r="M795" s="20">
        <f>IFERROR(INDEX(CONFIGURACOES!$I$37:$I$300,MATCH($I795,CONFIGURACOES!$B$37:$B$300,0)),"")</f>
        <v/>
      </c>
      <c r="N795" s="21" t="n"/>
      <c r="O795" s="21" t="n"/>
      <c r="P795" s="21" t="n"/>
      <c r="Q795" s="21" t="n"/>
      <c r="R795" s="21">
        <f>IF($N795="","",$N795*IF($Q795="",1,$Q795)*IF($P795="",1,$P795)*IF($O795="",1,$O795))</f>
        <v/>
      </c>
      <c r="S795" s="22">
        <f>IFERROR(INDEX(CONFIGURACOES!$J$37:$J$300,MATCH($I795,CONFIGURACOES!$B$37:$B$300,0)),"")</f>
        <v/>
      </c>
      <c r="T795" s="22">
        <f>IF(OR($R795="",$S795=""),"",$R795*$S795)</f>
        <v/>
      </c>
      <c r="U795" s="20" t="n"/>
      <c r="V795" s="20" t="n"/>
      <c r="W795" s="20" t="n"/>
      <c r="X795">
        <f>IF($A795="","",$A795&amp;"|"&amp;$C795&amp;"|"&amp;$I795)</f>
        <v/>
      </c>
      <c r="Y795">
        <f>IF(AND($A795=RELATORIO_MEDICAO!$C$5,$C795=RELATORIO_MEDICAO!$F$5,$A795&lt;&gt;""),COUNTIFS($A$3:$A795,RELATORIO_MEDICAO!$C$5,$C$3:$C795,RELATORIO_MEDICAO!$F$5),"")</f>
        <v/>
      </c>
      <c r="Z795">
        <f>IF(OR($A795="",PESQUISA!$C$4=""),0,IF(OR(ISNUMBER(SEARCH(PESQUISA!$C$4,$G795)),ISNUMBER(SEARCH(PESQUISA!$C$4,$K795)),ISNUMBER(SEARCH(PESQUISA!$C$4,$L795))),1,0))</f>
        <v/>
      </c>
      <c r="AA795">
        <f>IF($Z795=1,SUM($Z$3:$Z795),"")</f>
        <v/>
      </c>
      <c r="AB795">
        <f>IF(OR($A795="",PESQUISA!$C$50=""),0,IF(ISNUMBER(SEARCH(PESQUISA!$C$50,$I795)),1,0))</f>
        <v/>
      </c>
      <c r="AC795">
        <f>IF($AB795=1,SUM($AB$3:$AB795),"")</f>
        <v/>
      </c>
    </row>
    <row r="796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>
        <f>IFERROR(INDEX(CONFIGURACOES!$G$37:$G$300,MATCH($I796,CONFIGURACOES!$B$37:$B$300,0)),"")</f>
        <v/>
      </c>
      <c r="K796" s="20">
        <f>IFERROR(INDEX(CONFIGURACOES!$H$37:$H$300,MATCH($I796,CONFIGURACOES!$B$37:$B$300,0)),"")</f>
        <v/>
      </c>
      <c r="L796" s="20" t="n"/>
      <c r="M796" s="20">
        <f>IFERROR(INDEX(CONFIGURACOES!$I$37:$I$300,MATCH($I796,CONFIGURACOES!$B$37:$B$300,0)),"")</f>
        <v/>
      </c>
      <c r="N796" s="21" t="n"/>
      <c r="O796" s="21" t="n"/>
      <c r="P796" s="21" t="n"/>
      <c r="Q796" s="21" t="n"/>
      <c r="R796" s="21">
        <f>IF($N796="","",$N796*IF($Q796="",1,$Q796)*IF($P796="",1,$P796)*IF($O796="",1,$O796))</f>
        <v/>
      </c>
      <c r="S796" s="22">
        <f>IFERROR(INDEX(CONFIGURACOES!$J$37:$J$300,MATCH($I796,CONFIGURACOES!$B$37:$B$300,0)),"")</f>
        <v/>
      </c>
      <c r="T796" s="22">
        <f>IF(OR($R796="",$S796=""),"",$R796*$S796)</f>
        <v/>
      </c>
      <c r="U796" s="20" t="n"/>
      <c r="V796" s="20" t="n"/>
      <c r="W796" s="20" t="n"/>
      <c r="X796">
        <f>IF($A796="","",$A796&amp;"|"&amp;$C796&amp;"|"&amp;$I796)</f>
        <v/>
      </c>
      <c r="Y796">
        <f>IF(AND($A796=RELATORIO_MEDICAO!$C$5,$C796=RELATORIO_MEDICAO!$F$5,$A796&lt;&gt;""),COUNTIFS($A$3:$A796,RELATORIO_MEDICAO!$C$5,$C$3:$C796,RELATORIO_MEDICAO!$F$5),"")</f>
        <v/>
      </c>
      <c r="Z796">
        <f>IF(OR($A796="",PESQUISA!$C$4=""),0,IF(OR(ISNUMBER(SEARCH(PESQUISA!$C$4,$G796)),ISNUMBER(SEARCH(PESQUISA!$C$4,$K796)),ISNUMBER(SEARCH(PESQUISA!$C$4,$L796))),1,0))</f>
        <v/>
      </c>
      <c r="AA796">
        <f>IF($Z796=1,SUM($Z$3:$Z796),"")</f>
        <v/>
      </c>
      <c r="AB796">
        <f>IF(OR($A796="",PESQUISA!$C$50=""),0,IF(ISNUMBER(SEARCH(PESQUISA!$C$50,$I796)),1,0))</f>
        <v/>
      </c>
      <c r="AC796">
        <f>IF($AB796=1,SUM($AB$3:$AB796),"")</f>
        <v/>
      </c>
    </row>
    <row r="797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>
        <f>IFERROR(INDEX(CONFIGURACOES!$G$37:$G$300,MATCH($I797,CONFIGURACOES!$B$37:$B$300,0)),"")</f>
        <v/>
      </c>
      <c r="K797" s="20">
        <f>IFERROR(INDEX(CONFIGURACOES!$H$37:$H$300,MATCH($I797,CONFIGURACOES!$B$37:$B$300,0)),"")</f>
        <v/>
      </c>
      <c r="L797" s="20" t="n"/>
      <c r="M797" s="20">
        <f>IFERROR(INDEX(CONFIGURACOES!$I$37:$I$300,MATCH($I797,CONFIGURACOES!$B$37:$B$300,0)),"")</f>
        <v/>
      </c>
      <c r="N797" s="21" t="n"/>
      <c r="O797" s="21" t="n"/>
      <c r="P797" s="21" t="n"/>
      <c r="Q797" s="21" t="n"/>
      <c r="R797" s="21">
        <f>IF($N797="","",$N797*IF($Q797="",1,$Q797)*IF($P797="",1,$P797)*IF($O797="",1,$O797))</f>
        <v/>
      </c>
      <c r="S797" s="22">
        <f>IFERROR(INDEX(CONFIGURACOES!$J$37:$J$300,MATCH($I797,CONFIGURACOES!$B$37:$B$300,0)),"")</f>
        <v/>
      </c>
      <c r="T797" s="22">
        <f>IF(OR($R797="",$S797=""),"",$R797*$S797)</f>
        <v/>
      </c>
      <c r="U797" s="20" t="n"/>
      <c r="V797" s="20" t="n"/>
      <c r="W797" s="20" t="n"/>
      <c r="X797">
        <f>IF($A797="","",$A797&amp;"|"&amp;$C797&amp;"|"&amp;$I797)</f>
        <v/>
      </c>
      <c r="Y797">
        <f>IF(AND($A797=RELATORIO_MEDICAO!$C$5,$C797=RELATORIO_MEDICAO!$F$5,$A797&lt;&gt;""),COUNTIFS($A$3:$A797,RELATORIO_MEDICAO!$C$5,$C$3:$C797,RELATORIO_MEDICAO!$F$5),"")</f>
        <v/>
      </c>
      <c r="Z797">
        <f>IF(OR($A797="",PESQUISA!$C$4=""),0,IF(OR(ISNUMBER(SEARCH(PESQUISA!$C$4,$G797)),ISNUMBER(SEARCH(PESQUISA!$C$4,$K797)),ISNUMBER(SEARCH(PESQUISA!$C$4,$L797))),1,0))</f>
        <v/>
      </c>
      <c r="AA797">
        <f>IF($Z797=1,SUM($Z$3:$Z797),"")</f>
        <v/>
      </c>
      <c r="AB797">
        <f>IF(OR($A797="",PESQUISA!$C$50=""),0,IF(ISNUMBER(SEARCH(PESQUISA!$C$50,$I797)),1,0))</f>
        <v/>
      </c>
      <c r="AC797">
        <f>IF($AB797=1,SUM($AB$3:$AB797),"")</f>
        <v/>
      </c>
    </row>
    <row r="798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>
        <f>IFERROR(INDEX(CONFIGURACOES!$G$37:$G$300,MATCH($I798,CONFIGURACOES!$B$37:$B$300,0)),"")</f>
        <v/>
      </c>
      <c r="K798" s="20">
        <f>IFERROR(INDEX(CONFIGURACOES!$H$37:$H$300,MATCH($I798,CONFIGURACOES!$B$37:$B$300,0)),"")</f>
        <v/>
      </c>
      <c r="L798" s="20" t="n"/>
      <c r="M798" s="20">
        <f>IFERROR(INDEX(CONFIGURACOES!$I$37:$I$300,MATCH($I798,CONFIGURACOES!$B$37:$B$300,0)),"")</f>
        <v/>
      </c>
      <c r="N798" s="21" t="n"/>
      <c r="O798" s="21" t="n"/>
      <c r="P798" s="21" t="n"/>
      <c r="Q798" s="21" t="n"/>
      <c r="R798" s="21">
        <f>IF($N798="","",$N798*IF($Q798="",1,$Q798)*IF($P798="",1,$P798)*IF($O798="",1,$O798))</f>
        <v/>
      </c>
      <c r="S798" s="22">
        <f>IFERROR(INDEX(CONFIGURACOES!$J$37:$J$300,MATCH($I798,CONFIGURACOES!$B$37:$B$300,0)),"")</f>
        <v/>
      </c>
      <c r="T798" s="22">
        <f>IF(OR($R798="",$S798=""),"",$R798*$S798)</f>
        <v/>
      </c>
      <c r="U798" s="20" t="n"/>
      <c r="V798" s="20" t="n"/>
      <c r="W798" s="20" t="n"/>
      <c r="X798">
        <f>IF($A798="","",$A798&amp;"|"&amp;$C798&amp;"|"&amp;$I798)</f>
        <v/>
      </c>
      <c r="Y798">
        <f>IF(AND($A798=RELATORIO_MEDICAO!$C$5,$C798=RELATORIO_MEDICAO!$F$5,$A798&lt;&gt;""),COUNTIFS($A$3:$A798,RELATORIO_MEDICAO!$C$5,$C$3:$C798,RELATORIO_MEDICAO!$F$5),"")</f>
        <v/>
      </c>
      <c r="Z798">
        <f>IF(OR($A798="",PESQUISA!$C$4=""),0,IF(OR(ISNUMBER(SEARCH(PESQUISA!$C$4,$G798)),ISNUMBER(SEARCH(PESQUISA!$C$4,$K798)),ISNUMBER(SEARCH(PESQUISA!$C$4,$L798))),1,0))</f>
        <v/>
      </c>
      <c r="AA798">
        <f>IF($Z798=1,SUM($Z$3:$Z798),"")</f>
        <v/>
      </c>
      <c r="AB798">
        <f>IF(OR($A798="",PESQUISA!$C$50=""),0,IF(ISNUMBER(SEARCH(PESQUISA!$C$50,$I798)),1,0))</f>
        <v/>
      </c>
      <c r="AC798">
        <f>IF($AB798=1,SUM($AB$3:$AB798),"")</f>
        <v/>
      </c>
    </row>
    <row r="799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>
        <f>IFERROR(INDEX(CONFIGURACOES!$G$37:$G$300,MATCH($I799,CONFIGURACOES!$B$37:$B$300,0)),"")</f>
        <v/>
      </c>
      <c r="K799" s="20">
        <f>IFERROR(INDEX(CONFIGURACOES!$H$37:$H$300,MATCH($I799,CONFIGURACOES!$B$37:$B$300,0)),"")</f>
        <v/>
      </c>
      <c r="L799" s="20" t="n"/>
      <c r="M799" s="20">
        <f>IFERROR(INDEX(CONFIGURACOES!$I$37:$I$300,MATCH($I799,CONFIGURACOES!$B$37:$B$300,0)),"")</f>
        <v/>
      </c>
      <c r="N799" s="21" t="n"/>
      <c r="O799" s="21" t="n"/>
      <c r="P799" s="21" t="n"/>
      <c r="Q799" s="21" t="n"/>
      <c r="R799" s="21">
        <f>IF($N799="","",$N799*IF($Q799="",1,$Q799)*IF($P799="",1,$P799)*IF($O799="",1,$O799))</f>
        <v/>
      </c>
      <c r="S799" s="22">
        <f>IFERROR(INDEX(CONFIGURACOES!$J$37:$J$300,MATCH($I799,CONFIGURACOES!$B$37:$B$300,0)),"")</f>
        <v/>
      </c>
      <c r="T799" s="22">
        <f>IF(OR($R799="",$S799=""),"",$R799*$S799)</f>
        <v/>
      </c>
      <c r="U799" s="20" t="n"/>
      <c r="V799" s="20" t="n"/>
      <c r="W799" s="20" t="n"/>
      <c r="X799">
        <f>IF($A799="","",$A799&amp;"|"&amp;$C799&amp;"|"&amp;$I799)</f>
        <v/>
      </c>
      <c r="Y799">
        <f>IF(AND($A799=RELATORIO_MEDICAO!$C$5,$C799=RELATORIO_MEDICAO!$F$5,$A799&lt;&gt;""),COUNTIFS($A$3:$A799,RELATORIO_MEDICAO!$C$5,$C$3:$C799,RELATORIO_MEDICAO!$F$5),"")</f>
        <v/>
      </c>
      <c r="Z799">
        <f>IF(OR($A799="",PESQUISA!$C$4=""),0,IF(OR(ISNUMBER(SEARCH(PESQUISA!$C$4,$G799)),ISNUMBER(SEARCH(PESQUISA!$C$4,$K799)),ISNUMBER(SEARCH(PESQUISA!$C$4,$L799))),1,0))</f>
        <v/>
      </c>
      <c r="AA799">
        <f>IF($Z799=1,SUM($Z$3:$Z799),"")</f>
        <v/>
      </c>
      <c r="AB799">
        <f>IF(OR($A799="",PESQUISA!$C$50=""),0,IF(ISNUMBER(SEARCH(PESQUISA!$C$50,$I799)),1,0))</f>
        <v/>
      </c>
      <c r="AC799">
        <f>IF($AB799=1,SUM($AB$3:$AB799),"")</f>
        <v/>
      </c>
    </row>
    <row r="800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>
        <f>IFERROR(INDEX(CONFIGURACOES!$G$37:$G$300,MATCH($I800,CONFIGURACOES!$B$37:$B$300,0)),"")</f>
        <v/>
      </c>
      <c r="K800" s="20">
        <f>IFERROR(INDEX(CONFIGURACOES!$H$37:$H$300,MATCH($I800,CONFIGURACOES!$B$37:$B$300,0)),"")</f>
        <v/>
      </c>
      <c r="L800" s="20" t="n"/>
      <c r="M800" s="20">
        <f>IFERROR(INDEX(CONFIGURACOES!$I$37:$I$300,MATCH($I800,CONFIGURACOES!$B$37:$B$300,0)),"")</f>
        <v/>
      </c>
      <c r="N800" s="21" t="n"/>
      <c r="O800" s="21" t="n"/>
      <c r="P800" s="21" t="n"/>
      <c r="Q800" s="21" t="n"/>
      <c r="R800" s="21">
        <f>IF($N800="","",$N800*IF($Q800="",1,$Q800)*IF($P800="",1,$P800)*IF($O800="",1,$O800))</f>
        <v/>
      </c>
      <c r="S800" s="22">
        <f>IFERROR(INDEX(CONFIGURACOES!$J$37:$J$300,MATCH($I800,CONFIGURACOES!$B$37:$B$300,0)),"")</f>
        <v/>
      </c>
      <c r="T800" s="22">
        <f>IF(OR($R800="",$S800=""),"",$R800*$S800)</f>
        <v/>
      </c>
      <c r="U800" s="20" t="n"/>
      <c r="V800" s="20" t="n"/>
      <c r="W800" s="20" t="n"/>
      <c r="X800">
        <f>IF($A800="","",$A800&amp;"|"&amp;$C800&amp;"|"&amp;$I800)</f>
        <v/>
      </c>
      <c r="Y800">
        <f>IF(AND($A800=RELATORIO_MEDICAO!$C$5,$C800=RELATORIO_MEDICAO!$F$5,$A800&lt;&gt;""),COUNTIFS($A$3:$A800,RELATORIO_MEDICAO!$C$5,$C$3:$C800,RELATORIO_MEDICAO!$F$5),"")</f>
        <v/>
      </c>
      <c r="Z800">
        <f>IF(OR($A800="",PESQUISA!$C$4=""),0,IF(OR(ISNUMBER(SEARCH(PESQUISA!$C$4,$G800)),ISNUMBER(SEARCH(PESQUISA!$C$4,$K800)),ISNUMBER(SEARCH(PESQUISA!$C$4,$L800))),1,0))</f>
        <v/>
      </c>
      <c r="AA800">
        <f>IF($Z800=1,SUM($Z$3:$Z800),"")</f>
        <v/>
      </c>
      <c r="AB800">
        <f>IF(OR($A800="",PESQUISA!$C$50=""),0,IF(ISNUMBER(SEARCH(PESQUISA!$C$50,$I800)),1,0))</f>
        <v/>
      </c>
      <c r="AC800">
        <f>IF($AB800=1,SUM($AB$3:$AB800),"")</f>
        <v/>
      </c>
    </row>
    <row r="801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>
        <f>IFERROR(INDEX(CONFIGURACOES!$G$37:$G$300,MATCH($I801,CONFIGURACOES!$B$37:$B$300,0)),"")</f>
        <v/>
      </c>
      <c r="K801" s="20">
        <f>IFERROR(INDEX(CONFIGURACOES!$H$37:$H$300,MATCH($I801,CONFIGURACOES!$B$37:$B$300,0)),"")</f>
        <v/>
      </c>
      <c r="L801" s="20" t="n"/>
      <c r="M801" s="20">
        <f>IFERROR(INDEX(CONFIGURACOES!$I$37:$I$300,MATCH($I801,CONFIGURACOES!$B$37:$B$300,0)),"")</f>
        <v/>
      </c>
      <c r="N801" s="21" t="n"/>
      <c r="O801" s="21" t="n"/>
      <c r="P801" s="21" t="n"/>
      <c r="Q801" s="21" t="n"/>
      <c r="R801" s="21">
        <f>IF($N801="","",$N801*IF($Q801="",1,$Q801)*IF($P801="",1,$P801)*IF($O801="",1,$O801))</f>
        <v/>
      </c>
      <c r="S801" s="22">
        <f>IFERROR(INDEX(CONFIGURACOES!$J$37:$J$300,MATCH($I801,CONFIGURACOES!$B$37:$B$300,0)),"")</f>
        <v/>
      </c>
      <c r="T801" s="22">
        <f>IF(OR($R801="",$S801=""),"",$R801*$S801)</f>
        <v/>
      </c>
      <c r="U801" s="20" t="n"/>
      <c r="V801" s="20" t="n"/>
      <c r="W801" s="20" t="n"/>
      <c r="X801">
        <f>IF($A801="","",$A801&amp;"|"&amp;$C801&amp;"|"&amp;$I801)</f>
        <v/>
      </c>
      <c r="Y801">
        <f>IF(AND($A801=RELATORIO_MEDICAO!$C$5,$C801=RELATORIO_MEDICAO!$F$5,$A801&lt;&gt;""),COUNTIFS($A$3:$A801,RELATORIO_MEDICAO!$C$5,$C$3:$C801,RELATORIO_MEDICAO!$F$5),"")</f>
        <v/>
      </c>
      <c r="Z801">
        <f>IF(OR($A801="",PESQUISA!$C$4=""),0,IF(OR(ISNUMBER(SEARCH(PESQUISA!$C$4,$G801)),ISNUMBER(SEARCH(PESQUISA!$C$4,$K801)),ISNUMBER(SEARCH(PESQUISA!$C$4,$L801))),1,0))</f>
        <v/>
      </c>
      <c r="AA801">
        <f>IF($Z801=1,SUM($Z$3:$Z801),"")</f>
        <v/>
      </c>
      <c r="AB801">
        <f>IF(OR($A801="",PESQUISA!$C$50=""),0,IF(ISNUMBER(SEARCH(PESQUISA!$C$50,$I801)),1,0))</f>
        <v/>
      </c>
      <c r="AC801">
        <f>IF($AB801=1,SUM($AB$3:$AB801),"")</f>
        <v/>
      </c>
    </row>
    <row r="802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>
        <f>IFERROR(INDEX(CONFIGURACOES!$G$37:$G$300,MATCH($I802,CONFIGURACOES!$B$37:$B$300,0)),"")</f>
        <v/>
      </c>
      <c r="K802" s="20">
        <f>IFERROR(INDEX(CONFIGURACOES!$H$37:$H$300,MATCH($I802,CONFIGURACOES!$B$37:$B$300,0)),"")</f>
        <v/>
      </c>
      <c r="L802" s="20" t="n"/>
      <c r="M802" s="20">
        <f>IFERROR(INDEX(CONFIGURACOES!$I$37:$I$300,MATCH($I802,CONFIGURACOES!$B$37:$B$300,0)),"")</f>
        <v/>
      </c>
      <c r="N802" s="21" t="n"/>
      <c r="O802" s="21" t="n"/>
      <c r="P802" s="21" t="n"/>
      <c r="Q802" s="21" t="n"/>
      <c r="R802" s="21">
        <f>IF($N802="","",$N802*IF($Q802="",1,$Q802)*IF($P802="",1,$P802)*IF($O802="",1,$O802))</f>
        <v/>
      </c>
      <c r="S802" s="22">
        <f>IFERROR(INDEX(CONFIGURACOES!$J$37:$J$300,MATCH($I802,CONFIGURACOES!$B$37:$B$300,0)),"")</f>
        <v/>
      </c>
      <c r="T802" s="22">
        <f>IF(OR($R802="",$S802=""),"",$R802*$S802)</f>
        <v/>
      </c>
      <c r="U802" s="20" t="n"/>
      <c r="V802" s="20" t="n"/>
      <c r="W802" s="20" t="n"/>
      <c r="X802">
        <f>IF($A802="","",$A802&amp;"|"&amp;$C802&amp;"|"&amp;$I802)</f>
        <v/>
      </c>
      <c r="Y802">
        <f>IF(AND($A802=RELATORIO_MEDICAO!$C$5,$C802=RELATORIO_MEDICAO!$F$5,$A802&lt;&gt;""),COUNTIFS($A$3:$A802,RELATORIO_MEDICAO!$C$5,$C$3:$C802,RELATORIO_MEDICAO!$F$5),"")</f>
        <v/>
      </c>
      <c r="Z802">
        <f>IF(OR($A802="",PESQUISA!$C$4=""),0,IF(OR(ISNUMBER(SEARCH(PESQUISA!$C$4,$G802)),ISNUMBER(SEARCH(PESQUISA!$C$4,$K802)),ISNUMBER(SEARCH(PESQUISA!$C$4,$L802))),1,0))</f>
        <v/>
      </c>
      <c r="AA802">
        <f>IF($Z802=1,SUM($Z$3:$Z802),"")</f>
        <v/>
      </c>
      <c r="AB802">
        <f>IF(OR($A802="",PESQUISA!$C$50=""),0,IF(ISNUMBER(SEARCH(PESQUISA!$C$50,$I802)),1,0))</f>
        <v/>
      </c>
      <c r="AC802">
        <f>IF($AB802=1,SUM($AB$3:$AB802),"")</f>
        <v/>
      </c>
    </row>
    <row r="803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>
        <f>IFERROR(INDEX(CONFIGURACOES!$G$37:$G$300,MATCH($I803,CONFIGURACOES!$B$37:$B$300,0)),"")</f>
        <v/>
      </c>
      <c r="K803" s="20">
        <f>IFERROR(INDEX(CONFIGURACOES!$H$37:$H$300,MATCH($I803,CONFIGURACOES!$B$37:$B$300,0)),"")</f>
        <v/>
      </c>
      <c r="L803" s="20" t="n"/>
      <c r="M803" s="20">
        <f>IFERROR(INDEX(CONFIGURACOES!$I$37:$I$300,MATCH($I803,CONFIGURACOES!$B$37:$B$300,0)),"")</f>
        <v/>
      </c>
      <c r="N803" s="21" t="n"/>
      <c r="O803" s="21" t="n"/>
      <c r="P803" s="21" t="n"/>
      <c r="Q803" s="21" t="n"/>
      <c r="R803" s="21">
        <f>IF($N803="","",$N803*IF($Q803="",1,$Q803)*IF($P803="",1,$P803)*IF($O803="",1,$O803))</f>
        <v/>
      </c>
      <c r="S803" s="22">
        <f>IFERROR(INDEX(CONFIGURACOES!$J$37:$J$300,MATCH($I803,CONFIGURACOES!$B$37:$B$300,0)),"")</f>
        <v/>
      </c>
      <c r="T803" s="22">
        <f>IF(OR($R803="",$S803=""),"",$R803*$S803)</f>
        <v/>
      </c>
      <c r="U803" s="20" t="n"/>
      <c r="V803" s="20" t="n"/>
      <c r="W803" s="20" t="n"/>
      <c r="X803">
        <f>IF($A803="","",$A803&amp;"|"&amp;$C803&amp;"|"&amp;$I803)</f>
        <v/>
      </c>
      <c r="Y803">
        <f>IF(AND($A803=RELATORIO_MEDICAO!$C$5,$C803=RELATORIO_MEDICAO!$F$5,$A803&lt;&gt;""),COUNTIFS($A$3:$A803,RELATORIO_MEDICAO!$C$5,$C$3:$C803,RELATORIO_MEDICAO!$F$5),"")</f>
        <v/>
      </c>
      <c r="Z803">
        <f>IF(OR($A803="",PESQUISA!$C$4=""),0,IF(OR(ISNUMBER(SEARCH(PESQUISA!$C$4,$G803)),ISNUMBER(SEARCH(PESQUISA!$C$4,$K803)),ISNUMBER(SEARCH(PESQUISA!$C$4,$L803))),1,0))</f>
        <v/>
      </c>
      <c r="AA803">
        <f>IF($Z803=1,SUM($Z$3:$Z803),"")</f>
        <v/>
      </c>
      <c r="AB803">
        <f>IF(OR($A803="",PESQUISA!$C$50=""),0,IF(ISNUMBER(SEARCH(PESQUISA!$C$50,$I803)),1,0))</f>
        <v/>
      </c>
      <c r="AC803">
        <f>IF($AB803=1,SUM($AB$3:$AB803),"")</f>
        <v/>
      </c>
    </row>
    <row r="804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>
        <f>IFERROR(INDEX(CONFIGURACOES!$G$37:$G$300,MATCH($I804,CONFIGURACOES!$B$37:$B$300,0)),"")</f>
        <v/>
      </c>
      <c r="K804" s="20">
        <f>IFERROR(INDEX(CONFIGURACOES!$H$37:$H$300,MATCH($I804,CONFIGURACOES!$B$37:$B$300,0)),"")</f>
        <v/>
      </c>
      <c r="L804" s="20" t="n"/>
      <c r="M804" s="20">
        <f>IFERROR(INDEX(CONFIGURACOES!$I$37:$I$300,MATCH($I804,CONFIGURACOES!$B$37:$B$300,0)),"")</f>
        <v/>
      </c>
      <c r="N804" s="21" t="n"/>
      <c r="O804" s="21" t="n"/>
      <c r="P804" s="21" t="n"/>
      <c r="Q804" s="21" t="n"/>
      <c r="R804" s="21">
        <f>IF($N804="","",$N804*IF($Q804="",1,$Q804)*IF($P804="",1,$P804)*IF($O804="",1,$O804))</f>
        <v/>
      </c>
      <c r="S804" s="22">
        <f>IFERROR(INDEX(CONFIGURACOES!$J$37:$J$300,MATCH($I804,CONFIGURACOES!$B$37:$B$300,0)),"")</f>
        <v/>
      </c>
      <c r="T804" s="22">
        <f>IF(OR($R804="",$S804=""),"",$R804*$S804)</f>
        <v/>
      </c>
      <c r="U804" s="20" t="n"/>
      <c r="V804" s="20" t="n"/>
      <c r="W804" s="20" t="n"/>
      <c r="X804">
        <f>IF($A804="","",$A804&amp;"|"&amp;$C804&amp;"|"&amp;$I804)</f>
        <v/>
      </c>
      <c r="Y804">
        <f>IF(AND($A804=RELATORIO_MEDICAO!$C$5,$C804=RELATORIO_MEDICAO!$F$5,$A804&lt;&gt;""),COUNTIFS($A$3:$A804,RELATORIO_MEDICAO!$C$5,$C$3:$C804,RELATORIO_MEDICAO!$F$5),"")</f>
        <v/>
      </c>
      <c r="Z804">
        <f>IF(OR($A804="",PESQUISA!$C$4=""),0,IF(OR(ISNUMBER(SEARCH(PESQUISA!$C$4,$G804)),ISNUMBER(SEARCH(PESQUISA!$C$4,$K804)),ISNUMBER(SEARCH(PESQUISA!$C$4,$L804))),1,0))</f>
        <v/>
      </c>
      <c r="AA804">
        <f>IF($Z804=1,SUM($Z$3:$Z804),"")</f>
        <v/>
      </c>
      <c r="AB804">
        <f>IF(OR($A804="",PESQUISA!$C$50=""),0,IF(ISNUMBER(SEARCH(PESQUISA!$C$50,$I804)),1,0))</f>
        <v/>
      </c>
      <c r="AC804">
        <f>IF($AB804=1,SUM($AB$3:$AB804),"")</f>
        <v/>
      </c>
    </row>
    <row r="805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>
        <f>IFERROR(INDEX(CONFIGURACOES!$G$37:$G$300,MATCH($I805,CONFIGURACOES!$B$37:$B$300,0)),"")</f>
        <v/>
      </c>
      <c r="K805" s="20">
        <f>IFERROR(INDEX(CONFIGURACOES!$H$37:$H$300,MATCH($I805,CONFIGURACOES!$B$37:$B$300,0)),"")</f>
        <v/>
      </c>
      <c r="L805" s="20" t="n"/>
      <c r="M805" s="20">
        <f>IFERROR(INDEX(CONFIGURACOES!$I$37:$I$300,MATCH($I805,CONFIGURACOES!$B$37:$B$300,0)),"")</f>
        <v/>
      </c>
      <c r="N805" s="21" t="n"/>
      <c r="O805" s="21" t="n"/>
      <c r="P805" s="21" t="n"/>
      <c r="Q805" s="21" t="n"/>
      <c r="R805" s="21">
        <f>IF($N805="","",$N805*IF($Q805="",1,$Q805)*IF($P805="",1,$P805)*IF($O805="",1,$O805))</f>
        <v/>
      </c>
      <c r="S805" s="22">
        <f>IFERROR(INDEX(CONFIGURACOES!$J$37:$J$300,MATCH($I805,CONFIGURACOES!$B$37:$B$300,0)),"")</f>
        <v/>
      </c>
      <c r="T805" s="22">
        <f>IF(OR($R805="",$S805=""),"",$R805*$S805)</f>
        <v/>
      </c>
      <c r="U805" s="20" t="n"/>
      <c r="V805" s="20" t="n"/>
      <c r="W805" s="20" t="n"/>
      <c r="X805">
        <f>IF($A805="","",$A805&amp;"|"&amp;$C805&amp;"|"&amp;$I805)</f>
        <v/>
      </c>
      <c r="Y805">
        <f>IF(AND($A805=RELATORIO_MEDICAO!$C$5,$C805=RELATORIO_MEDICAO!$F$5,$A805&lt;&gt;""),COUNTIFS($A$3:$A805,RELATORIO_MEDICAO!$C$5,$C$3:$C805,RELATORIO_MEDICAO!$F$5),"")</f>
        <v/>
      </c>
      <c r="Z805">
        <f>IF(OR($A805="",PESQUISA!$C$4=""),0,IF(OR(ISNUMBER(SEARCH(PESQUISA!$C$4,$G805)),ISNUMBER(SEARCH(PESQUISA!$C$4,$K805)),ISNUMBER(SEARCH(PESQUISA!$C$4,$L805))),1,0))</f>
        <v/>
      </c>
      <c r="AA805">
        <f>IF($Z805=1,SUM($Z$3:$Z805),"")</f>
        <v/>
      </c>
      <c r="AB805">
        <f>IF(OR($A805="",PESQUISA!$C$50=""),0,IF(ISNUMBER(SEARCH(PESQUISA!$C$50,$I805)),1,0))</f>
        <v/>
      </c>
      <c r="AC805">
        <f>IF($AB805=1,SUM($AB$3:$AB805),"")</f>
        <v/>
      </c>
    </row>
    <row r="806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>
        <f>IFERROR(INDEX(CONFIGURACOES!$G$37:$G$300,MATCH($I806,CONFIGURACOES!$B$37:$B$300,0)),"")</f>
        <v/>
      </c>
      <c r="K806" s="20">
        <f>IFERROR(INDEX(CONFIGURACOES!$H$37:$H$300,MATCH($I806,CONFIGURACOES!$B$37:$B$300,0)),"")</f>
        <v/>
      </c>
      <c r="L806" s="20" t="n"/>
      <c r="M806" s="20">
        <f>IFERROR(INDEX(CONFIGURACOES!$I$37:$I$300,MATCH($I806,CONFIGURACOES!$B$37:$B$300,0)),"")</f>
        <v/>
      </c>
      <c r="N806" s="21" t="n"/>
      <c r="O806" s="21" t="n"/>
      <c r="P806" s="21" t="n"/>
      <c r="Q806" s="21" t="n"/>
      <c r="R806" s="21">
        <f>IF($N806="","",$N806*IF($Q806="",1,$Q806)*IF($P806="",1,$P806)*IF($O806="",1,$O806))</f>
        <v/>
      </c>
      <c r="S806" s="22">
        <f>IFERROR(INDEX(CONFIGURACOES!$J$37:$J$300,MATCH($I806,CONFIGURACOES!$B$37:$B$300,0)),"")</f>
        <v/>
      </c>
      <c r="T806" s="22">
        <f>IF(OR($R806="",$S806=""),"",$R806*$S806)</f>
        <v/>
      </c>
      <c r="U806" s="20" t="n"/>
      <c r="V806" s="20" t="n"/>
      <c r="W806" s="20" t="n"/>
      <c r="X806">
        <f>IF($A806="","",$A806&amp;"|"&amp;$C806&amp;"|"&amp;$I806)</f>
        <v/>
      </c>
      <c r="Y806">
        <f>IF(AND($A806=RELATORIO_MEDICAO!$C$5,$C806=RELATORIO_MEDICAO!$F$5,$A806&lt;&gt;""),COUNTIFS($A$3:$A806,RELATORIO_MEDICAO!$C$5,$C$3:$C806,RELATORIO_MEDICAO!$F$5),"")</f>
        <v/>
      </c>
      <c r="Z806">
        <f>IF(OR($A806="",PESQUISA!$C$4=""),0,IF(OR(ISNUMBER(SEARCH(PESQUISA!$C$4,$G806)),ISNUMBER(SEARCH(PESQUISA!$C$4,$K806)),ISNUMBER(SEARCH(PESQUISA!$C$4,$L806))),1,0))</f>
        <v/>
      </c>
      <c r="AA806">
        <f>IF($Z806=1,SUM($Z$3:$Z806),"")</f>
        <v/>
      </c>
      <c r="AB806">
        <f>IF(OR($A806="",PESQUISA!$C$50=""),0,IF(ISNUMBER(SEARCH(PESQUISA!$C$50,$I806)),1,0))</f>
        <v/>
      </c>
      <c r="AC806">
        <f>IF($AB806=1,SUM($AB$3:$AB806),"")</f>
        <v/>
      </c>
    </row>
    <row r="807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>
        <f>IFERROR(INDEX(CONFIGURACOES!$G$37:$G$300,MATCH($I807,CONFIGURACOES!$B$37:$B$300,0)),"")</f>
        <v/>
      </c>
      <c r="K807" s="20">
        <f>IFERROR(INDEX(CONFIGURACOES!$H$37:$H$300,MATCH($I807,CONFIGURACOES!$B$37:$B$300,0)),"")</f>
        <v/>
      </c>
      <c r="L807" s="20" t="n"/>
      <c r="M807" s="20">
        <f>IFERROR(INDEX(CONFIGURACOES!$I$37:$I$300,MATCH($I807,CONFIGURACOES!$B$37:$B$300,0)),"")</f>
        <v/>
      </c>
      <c r="N807" s="21" t="n"/>
      <c r="O807" s="21" t="n"/>
      <c r="P807" s="21" t="n"/>
      <c r="Q807" s="21" t="n"/>
      <c r="R807" s="21">
        <f>IF($N807="","",$N807*IF($Q807="",1,$Q807)*IF($P807="",1,$P807)*IF($O807="",1,$O807))</f>
        <v/>
      </c>
      <c r="S807" s="22">
        <f>IFERROR(INDEX(CONFIGURACOES!$J$37:$J$300,MATCH($I807,CONFIGURACOES!$B$37:$B$300,0)),"")</f>
        <v/>
      </c>
      <c r="T807" s="22">
        <f>IF(OR($R807="",$S807=""),"",$R807*$S807)</f>
        <v/>
      </c>
      <c r="U807" s="20" t="n"/>
      <c r="V807" s="20" t="n"/>
      <c r="W807" s="20" t="n"/>
      <c r="X807">
        <f>IF($A807="","",$A807&amp;"|"&amp;$C807&amp;"|"&amp;$I807)</f>
        <v/>
      </c>
      <c r="Y807">
        <f>IF(AND($A807=RELATORIO_MEDICAO!$C$5,$C807=RELATORIO_MEDICAO!$F$5,$A807&lt;&gt;""),COUNTIFS($A$3:$A807,RELATORIO_MEDICAO!$C$5,$C$3:$C807,RELATORIO_MEDICAO!$F$5),"")</f>
        <v/>
      </c>
      <c r="Z807">
        <f>IF(OR($A807="",PESQUISA!$C$4=""),0,IF(OR(ISNUMBER(SEARCH(PESQUISA!$C$4,$G807)),ISNUMBER(SEARCH(PESQUISA!$C$4,$K807)),ISNUMBER(SEARCH(PESQUISA!$C$4,$L807))),1,0))</f>
        <v/>
      </c>
      <c r="AA807">
        <f>IF($Z807=1,SUM($Z$3:$Z807),"")</f>
        <v/>
      </c>
      <c r="AB807">
        <f>IF(OR($A807="",PESQUISA!$C$50=""),0,IF(ISNUMBER(SEARCH(PESQUISA!$C$50,$I807)),1,0))</f>
        <v/>
      </c>
      <c r="AC807">
        <f>IF($AB807=1,SUM($AB$3:$AB807),"")</f>
        <v/>
      </c>
    </row>
    <row r="808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>
        <f>IFERROR(INDEX(CONFIGURACOES!$G$37:$G$300,MATCH($I808,CONFIGURACOES!$B$37:$B$300,0)),"")</f>
        <v/>
      </c>
      <c r="K808" s="20">
        <f>IFERROR(INDEX(CONFIGURACOES!$H$37:$H$300,MATCH($I808,CONFIGURACOES!$B$37:$B$300,0)),"")</f>
        <v/>
      </c>
      <c r="L808" s="20" t="n"/>
      <c r="M808" s="20">
        <f>IFERROR(INDEX(CONFIGURACOES!$I$37:$I$300,MATCH($I808,CONFIGURACOES!$B$37:$B$300,0)),"")</f>
        <v/>
      </c>
      <c r="N808" s="21" t="n"/>
      <c r="O808" s="21" t="n"/>
      <c r="P808" s="21" t="n"/>
      <c r="Q808" s="21" t="n"/>
      <c r="R808" s="21">
        <f>IF($N808="","",$N808*IF($Q808="",1,$Q808)*IF($P808="",1,$P808)*IF($O808="",1,$O808))</f>
        <v/>
      </c>
      <c r="S808" s="22">
        <f>IFERROR(INDEX(CONFIGURACOES!$J$37:$J$300,MATCH($I808,CONFIGURACOES!$B$37:$B$300,0)),"")</f>
        <v/>
      </c>
      <c r="T808" s="22">
        <f>IF(OR($R808="",$S808=""),"",$R808*$S808)</f>
        <v/>
      </c>
      <c r="U808" s="20" t="n"/>
      <c r="V808" s="20" t="n"/>
      <c r="W808" s="20" t="n"/>
      <c r="X808">
        <f>IF($A808="","",$A808&amp;"|"&amp;$C808&amp;"|"&amp;$I808)</f>
        <v/>
      </c>
      <c r="Y808">
        <f>IF(AND($A808=RELATORIO_MEDICAO!$C$5,$C808=RELATORIO_MEDICAO!$F$5,$A808&lt;&gt;""),COUNTIFS($A$3:$A808,RELATORIO_MEDICAO!$C$5,$C$3:$C808,RELATORIO_MEDICAO!$F$5),"")</f>
        <v/>
      </c>
      <c r="Z808">
        <f>IF(OR($A808="",PESQUISA!$C$4=""),0,IF(OR(ISNUMBER(SEARCH(PESQUISA!$C$4,$G808)),ISNUMBER(SEARCH(PESQUISA!$C$4,$K808)),ISNUMBER(SEARCH(PESQUISA!$C$4,$L808))),1,0))</f>
        <v/>
      </c>
      <c r="AA808">
        <f>IF($Z808=1,SUM($Z$3:$Z808),"")</f>
        <v/>
      </c>
      <c r="AB808">
        <f>IF(OR($A808="",PESQUISA!$C$50=""),0,IF(ISNUMBER(SEARCH(PESQUISA!$C$50,$I808)),1,0))</f>
        <v/>
      </c>
      <c r="AC808">
        <f>IF($AB808=1,SUM($AB$3:$AB808),"")</f>
        <v/>
      </c>
    </row>
    <row r="809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>
        <f>IFERROR(INDEX(CONFIGURACOES!$G$37:$G$300,MATCH($I809,CONFIGURACOES!$B$37:$B$300,0)),"")</f>
        <v/>
      </c>
      <c r="K809" s="20">
        <f>IFERROR(INDEX(CONFIGURACOES!$H$37:$H$300,MATCH($I809,CONFIGURACOES!$B$37:$B$300,0)),"")</f>
        <v/>
      </c>
      <c r="L809" s="20" t="n"/>
      <c r="M809" s="20">
        <f>IFERROR(INDEX(CONFIGURACOES!$I$37:$I$300,MATCH($I809,CONFIGURACOES!$B$37:$B$300,0)),"")</f>
        <v/>
      </c>
      <c r="N809" s="21" t="n"/>
      <c r="O809" s="21" t="n"/>
      <c r="P809" s="21" t="n"/>
      <c r="Q809" s="21" t="n"/>
      <c r="R809" s="21">
        <f>IF($N809="","",$N809*IF($Q809="",1,$Q809)*IF($P809="",1,$P809)*IF($O809="",1,$O809))</f>
        <v/>
      </c>
      <c r="S809" s="22">
        <f>IFERROR(INDEX(CONFIGURACOES!$J$37:$J$300,MATCH($I809,CONFIGURACOES!$B$37:$B$300,0)),"")</f>
        <v/>
      </c>
      <c r="T809" s="22">
        <f>IF(OR($R809="",$S809=""),"",$R809*$S809)</f>
        <v/>
      </c>
      <c r="U809" s="20" t="n"/>
      <c r="V809" s="20" t="n"/>
      <c r="W809" s="20" t="n"/>
      <c r="X809">
        <f>IF($A809="","",$A809&amp;"|"&amp;$C809&amp;"|"&amp;$I809)</f>
        <v/>
      </c>
      <c r="Y809">
        <f>IF(AND($A809=RELATORIO_MEDICAO!$C$5,$C809=RELATORIO_MEDICAO!$F$5,$A809&lt;&gt;""),COUNTIFS($A$3:$A809,RELATORIO_MEDICAO!$C$5,$C$3:$C809,RELATORIO_MEDICAO!$F$5),"")</f>
        <v/>
      </c>
      <c r="Z809">
        <f>IF(OR($A809="",PESQUISA!$C$4=""),0,IF(OR(ISNUMBER(SEARCH(PESQUISA!$C$4,$G809)),ISNUMBER(SEARCH(PESQUISA!$C$4,$K809)),ISNUMBER(SEARCH(PESQUISA!$C$4,$L809))),1,0))</f>
        <v/>
      </c>
      <c r="AA809">
        <f>IF($Z809=1,SUM($Z$3:$Z809),"")</f>
        <v/>
      </c>
      <c r="AB809">
        <f>IF(OR($A809="",PESQUISA!$C$50=""),0,IF(ISNUMBER(SEARCH(PESQUISA!$C$50,$I809)),1,0))</f>
        <v/>
      </c>
      <c r="AC809">
        <f>IF($AB809=1,SUM($AB$3:$AB809),"")</f>
        <v/>
      </c>
    </row>
    <row r="810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>
        <f>IFERROR(INDEX(CONFIGURACOES!$G$37:$G$300,MATCH($I810,CONFIGURACOES!$B$37:$B$300,0)),"")</f>
        <v/>
      </c>
      <c r="K810" s="20">
        <f>IFERROR(INDEX(CONFIGURACOES!$H$37:$H$300,MATCH($I810,CONFIGURACOES!$B$37:$B$300,0)),"")</f>
        <v/>
      </c>
      <c r="L810" s="20" t="n"/>
      <c r="M810" s="20">
        <f>IFERROR(INDEX(CONFIGURACOES!$I$37:$I$300,MATCH($I810,CONFIGURACOES!$B$37:$B$300,0)),"")</f>
        <v/>
      </c>
      <c r="N810" s="21" t="n"/>
      <c r="O810" s="21" t="n"/>
      <c r="P810" s="21" t="n"/>
      <c r="Q810" s="21" t="n"/>
      <c r="R810" s="21">
        <f>IF($N810="","",$N810*IF($Q810="",1,$Q810)*IF($P810="",1,$P810)*IF($O810="",1,$O810))</f>
        <v/>
      </c>
      <c r="S810" s="22">
        <f>IFERROR(INDEX(CONFIGURACOES!$J$37:$J$300,MATCH($I810,CONFIGURACOES!$B$37:$B$300,0)),"")</f>
        <v/>
      </c>
      <c r="T810" s="22">
        <f>IF(OR($R810="",$S810=""),"",$R810*$S810)</f>
        <v/>
      </c>
      <c r="U810" s="20" t="n"/>
      <c r="V810" s="20" t="n"/>
      <c r="W810" s="20" t="n"/>
      <c r="X810">
        <f>IF($A810="","",$A810&amp;"|"&amp;$C810&amp;"|"&amp;$I810)</f>
        <v/>
      </c>
      <c r="Y810">
        <f>IF(AND($A810=RELATORIO_MEDICAO!$C$5,$C810=RELATORIO_MEDICAO!$F$5,$A810&lt;&gt;""),COUNTIFS($A$3:$A810,RELATORIO_MEDICAO!$C$5,$C$3:$C810,RELATORIO_MEDICAO!$F$5),"")</f>
        <v/>
      </c>
      <c r="Z810">
        <f>IF(OR($A810="",PESQUISA!$C$4=""),0,IF(OR(ISNUMBER(SEARCH(PESQUISA!$C$4,$G810)),ISNUMBER(SEARCH(PESQUISA!$C$4,$K810)),ISNUMBER(SEARCH(PESQUISA!$C$4,$L810))),1,0))</f>
        <v/>
      </c>
      <c r="AA810">
        <f>IF($Z810=1,SUM($Z$3:$Z810),"")</f>
        <v/>
      </c>
      <c r="AB810">
        <f>IF(OR($A810="",PESQUISA!$C$50=""),0,IF(ISNUMBER(SEARCH(PESQUISA!$C$50,$I810)),1,0))</f>
        <v/>
      </c>
      <c r="AC810">
        <f>IF($AB810=1,SUM($AB$3:$AB810),"")</f>
        <v/>
      </c>
    </row>
    <row r="811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>
        <f>IFERROR(INDEX(CONFIGURACOES!$G$37:$G$300,MATCH($I811,CONFIGURACOES!$B$37:$B$300,0)),"")</f>
        <v/>
      </c>
      <c r="K811" s="20">
        <f>IFERROR(INDEX(CONFIGURACOES!$H$37:$H$300,MATCH($I811,CONFIGURACOES!$B$37:$B$300,0)),"")</f>
        <v/>
      </c>
      <c r="L811" s="20" t="n"/>
      <c r="M811" s="20">
        <f>IFERROR(INDEX(CONFIGURACOES!$I$37:$I$300,MATCH($I811,CONFIGURACOES!$B$37:$B$300,0)),"")</f>
        <v/>
      </c>
      <c r="N811" s="21" t="n"/>
      <c r="O811" s="21" t="n"/>
      <c r="P811" s="21" t="n"/>
      <c r="Q811" s="21" t="n"/>
      <c r="R811" s="21">
        <f>IF($N811="","",$N811*IF($Q811="",1,$Q811)*IF($P811="",1,$P811)*IF($O811="",1,$O811))</f>
        <v/>
      </c>
      <c r="S811" s="22">
        <f>IFERROR(INDEX(CONFIGURACOES!$J$37:$J$300,MATCH($I811,CONFIGURACOES!$B$37:$B$300,0)),"")</f>
        <v/>
      </c>
      <c r="T811" s="22">
        <f>IF(OR($R811="",$S811=""),"",$R811*$S811)</f>
        <v/>
      </c>
      <c r="U811" s="20" t="n"/>
      <c r="V811" s="20" t="n"/>
      <c r="W811" s="20" t="n"/>
      <c r="X811">
        <f>IF($A811="","",$A811&amp;"|"&amp;$C811&amp;"|"&amp;$I811)</f>
        <v/>
      </c>
      <c r="Y811">
        <f>IF(AND($A811=RELATORIO_MEDICAO!$C$5,$C811=RELATORIO_MEDICAO!$F$5,$A811&lt;&gt;""),COUNTIFS($A$3:$A811,RELATORIO_MEDICAO!$C$5,$C$3:$C811,RELATORIO_MEDICAO!$F$5),"")</f>
        <v/>
      </c>
      <c r="Z811">
        <f>IF(OR($A811="",PESQUISA!$C$4=""),0,IF(OR(ISNUMBER(SEARCH(PESQUISA!$C$4,$G811)),ISNUMBER(SEARCH(PESQUISA!$C$4,$K811)),ISNUMBER(SEARCH(PESQUISA!$C$4,$L811))),1,0))</f>
        <v/>
      </c>
      <c r="AA811">
        <f>IF($Z811=1,SUM($Z$3:$Z811),"")</f>
        <v/>
      </c>
      <c r="AB811">
        <f>IF(OR($A811="",PESQUISA!$C$50=""),0,IF(ISNUMBER(SEARCH(PESQUISA!$C$50,$I811)),1,0))</f>
        <v/>
      </c>
      <c r="AC811">
        <f>IF($AB811=1,SUM($AB$3:$AB811),"")</f>
        <v/>
      </c>
    </row>
    <row r="812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>
        <f>IFERROR(INDEX(CONFIGURACOES!$G$37:$G$300,MATCH($I812,CONFIGURACOES!$B$37:$B$300,0)),"")</f>
        <v/>
      </c>
      <c r="K812" s="20">
        <f>IFERROR(INDEX(CONFIGURACOES!$H$37:$H$300,MATCH($I812,CONFIGURACOES!$B$37:$B$300,0)),"")</f>
        <v/>
      </c>
      <c r="L812" s="20" t="n"/>
      <c r="M812" s="20">
        <f>IFERROR(INDEX(CONFIGURACOES!$I$37:$I$300,MATCH($I812,CONFIGURACOES!$B$37:$B$300,0)),"")</f>
        <v/>
      </c>
      <c r="N812" s="21" t="n"/>
      <c r="O812" s="21" t="n"/>
      <c r="P812" s="21" t="n"/>
      <c r="Q812" s="21" t="n"/>
      <c r="R812" s="21">
        <f>IF($N812="","",$N812*IF($Q812="",1,$Q812)*IF($P812="",1,$P812)*IF($O812="",1,$O812))</f>
        <v/>
      </c>
      <c r="S812" s="22">
        <f>IFERROR(INDEX(CONFIGURACOES!$J$37:$J$300,MATCH($I812,CONFIGURACOES!$B$37:$B$300,0)),"")</f>
        <v/>
      </c>
      <c r="T812" s="22">
        <f>IF(OR($R812="",$S812=""),"",$R812*$S812)</f>
        <v/>
      </c>
      <c r="U812" s="20" t="n"/>
      <c r="V812" s="20" t="n"/>
      <c r="W812" s="20" t="n"/>
      <c r="X812">
        <f>IF($A812="","",$A812&amp;"|"&amp;$C812&amp;"|"&amp;$I812)</f>
        <v/>
      </c>
      <c r="Y812">
        <f>IF(AND($A812=RELATORIO_MEDICAO!$C$5,$C812=RELATORIO_MEDICAO!$F$5,$A812&lt;&gt;""),COUNTIFS($A$3:$A812,RELATORIO_MEDICAO!$C$5,$C$3:$C812,RELATORIO_MEDICAO!$F$5),"")</f>
        <v/>
      </c>
      <c r="Z812">
        <f>IF(OR($A812="",PESQUISA!$C$4=""),0,IF(OR(ISNUMBER(SEARCH(PESQUISA!$C$4,$G812)),ISNUMBER(SEARCH(PESQUISA!$C$4,$K812)),ISNUMBER(SEARCH(PESQUISA!$C$4,$L812))),1,0))</f>
        <v/>
      </c>
      <c r="AA812">
        <f>IF($Z812=1,SUM($Z$3:$Z812),"")</f>
        <v/>
      </c>
      <c r="AB812">
        <f>IF(OR($A812="",PESQUISA!$C$50=""),0,IF(ISNUMBER(SEARCH(PESQUISA!$C$50,$I812)),1,0))</f>
        <v/>
      </c>
      <c r="AC812">
        <f>IF($AB812=1,SUM($AB$3:$AB812),"")</f>
        <v/>
      </c>
    </row>
    <row r="813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>
        <f>IFERROR(INDEX(CONFIGURACOES!$G$37:$G$300,MATCH($I813,CONFIGURACOES!$B$37:$B$300,0)),"")</f>
        <v/>
      </c>
      <c r="K813" s="20">
        <f>IFERROR(INDEX(CONFIGURACOES!$H$37:$H$300,MATCH($I813,CONFIGURACOES!$B$37:$B$300,0)),"")</f>
        <v/>
      </c>
      <c r="L813" s="20" t="n"/>
      <c r="M813" s="20">
        <f>IFERROR(INDEX(CONFIGURACOES!$I$37:$I$300,MATCH($I813,CONFIGURACOES!$B$37:$B$300,0)),"")</f>
        <v/>
      </c>
      <c r="N813" s="21" t="n"/>
      <c r="O813" s="21" t="n"/>
      <c r="P813" s="21" t="n"/>
      <c r="Q813" s="21" t="n"/>
      <c r="R813" s="21">
        <f>IF($N813="","",$N813*IF($Q813="",1,$Q813)*IF($P813="",1,$P813)*IF($O813="",1,$O813))</f>
        <v/>
      </c>
      <c r="S813" s="22">
        <f>IFERROR(INDEX(CONFIGURACOES!$J$37:$J$300,MATCH($I813,CONFIGURACOES!$B$37:$B$300,0)),"")</f>
        <v/>
      </c>
      <c r="T813" s="22">
        <f>IF(OR($R813="",$S813=""),"",$R813*$S813)</f>
        <v/>
      </c>
      <c r="U813" s="20" t="n"/>
      <c r="V813" s="20" t="n"/>
      <c r="W813" s="20" t="n"/>
      <c r="X813">
        <f>IF($A813="","",$A813&amp;"|"&amp;$C813&amp;"|"&amp;$I813)</f>
        <v/>
      </c>
      <c r="Y813">
        <f>IF(AND($A813=RELATORIO_MEDICAO!$C$5,$C813=RELATORIO_MEDICAO!$F$5,$A813&lt;&gt;""),COUNTIFS($A$3:$A813,RELATORIO_MEDICAO!$C$5,$C$3:$C813,RELATORIO_MEDICAO!$F$5),"")</f>
        <v/>
      </c>
      <c r="Z813">
        <f>IF(OR($A813="",PESQUISA!$C$4=""),0,IF(OR(ISNUMBER(SEARCH(PESQUISA!$C$4,$G813)),ISNUMBER(SEARCH(PESQUISA!$C$4,$K813)),ISNUMBER(SEARCH(PESQUISA!$C$4,$L813))),1,0))</f>
        <v/>
      </c>
      <c r="AA813">
        <f>IF($Z813=1,SUM($Z$3:$Z813),"")</f>
        <v/>
      </c>
      <c r="AB813">
        <f>IF(OR($A813="",PESQUISA!$C$50=""),0,IF(ISNUMBER(SEARCH(PESQUISA!$C$50,$I813)),1,0))</f>
        <v/>
      </c>
      <c r="AC813">
        <f>IF($AB813=1,SUM($AB$3:$AB813),"")</f>
        <v/>
      </c>
    </row>
    <row r="814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>
        <f>IFERROR(INDEX(CONFIGURACOES!$G$37:$G$300,MATCH($I814,CONFIGURACOES!$B$37:$B$300,0)),"")</f>
        <v/>
      </c>
      <c r="K814" s="20">
        <f>IFERROR(INDEX(CONFIGURACOES!$H$37:$H$300,MATCH($I814,CONFIGURACOES!$B$37:$B$300,0)),"")</f>
        <v/>
      </c>
      <c r="L814" s="20" t="n"/>
      <c r="M814" s="20">
        <f>IFERROR(INDEX(CONFIGURACOES!$I$37:$I$300,MATCH($I814,CONFIGURACOES!$B$37:$B$300,0)),"")</f>
        <v/>
      </c>
      <c r="N814" s="21" t="n"/>
      <c r="O814" s="21" t="n"/>
      <c r="P814" s="21" t="n"/>
      <c r="Q814" s="21" t="n"/>
      <c r="R814" s="21">
        <f>IF($N814="","",$N814*IF($Q814="",1,$Q814)*IF($P814="",1,$P814)*IF($O814="",1,$O814))</f>
        <v/>
      </c>
      <c r="S814" s="22">
        <f>IFERROR(INDEX(CONFIGURACOES!$J$37:$J$300,MATCH($I814,CONFIGURACOES!$B$37:$B$300,0)),"")</f>
        <v/>
      </c>
      <c r="T814" s="22">
        <f>IF(OR($R814="",$S814=""),"",$R814*$S814)</f>
        <v/>
      </c>
      <c r="U814" s="20" t="n"/>
      <c r="V814" s="20" t="n"/>
      <c r="W814" s="20" t="n"/>
      <c r="X814">
        <f>IF($A814="","",$A814&amp;"|"&amp;$C814&amp;"|"&amp;$I814)</f>
        <v/>
      </c>
      <c r="Y814">
        <f>IF(AND($A814=RELATORIO_MEDICAO!$C$5,$C814=RELATORIO_MEDICAO!$F$5,$A814&lt;&gt;""),COUNTIFS($A$3:$A814,RELATORIO_MEDICAO!$C$5,$C$3:$C814,RELATORIO_MEDICAO!$F$5),"")</f>
        <v/>
      </c>
      <c r="Z814">
        <f>IF(OR($A814="",PESQUISA!$C$4=""),0,IF(OR(ISNUMBER(SEARCH(PESQUISA!$C$4,$G814)),ISNUMBER(SEARCH(PESQUISA!$C$4,$K814)),ISNUMBER(SEARCH(PESQUISA!$C$4,$L814))),1,0))</f>
        <v/>
      </c>
      <c r="AA814">
        <f>IF($Z814=1,SUM($Z$3:$Z814),"")</f>
        <v/>
      </c>
      <c r="AB814">
        <f>IF(OR($A814="",PESQUISA!$C$50=""),0,IF(ISNUMBER(SEARCH(PESQUISA!$C$50,$I814)),1,0))</f>
        <v/>
      </c>
      <c r="AC814">
        <f>IF($AB814=1,SUM($AB$3:$AB814),"")</f>
        <v/>
      </c>
    </row>
    <row r="815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>
        <f>IFERROR(INDEX(CONFIGURACOES!$G$37:$G$300,MATCH($I815,CONFIGURACOES!$B$37:$B$300,0)),"")</f>
        <v/>
      </c>
      <c r="K815" s="20">
        <f>IFERROR(INDEX(CONFIGURACOES!$H$37:$H$300,MATCH($I815,CONFIGURACOES!$B$37:$B$300,0)),"")</f>
        <v/>
      </c>
      <c r="L815" s="20" t="n"/>
      <c r="M815" s="20">
        <f>IFERROR(INDEX(CONFIGURACOES!$I$37:$I$300,MATCH($I815,CONFIGURACOES!$B$37:$B$300,0)),"")</f>
        <v/>
      </c>
      <c r="N815" s="21" t="n"/>
      <c r="O815" s="21" t="n"/>
      <c r="P815" s="21" t="n"/>
      <c r="Q815" s="21" t="n"/>
      <c r="R815" s="21">
        <f>IF($N815="","",$N815*IF($Q815="",1,$Q815)*IF($P815="",1,$P815)*IF($O815="",1,$O815))</f>
        <v/>
      </c>
      <c r="S815" s="22">
        <f>IFERROR(INDEX(CONFIGURACOES!$J$37:$J$300,MATCH($I815,CONFIGURACOES!$B$37:$B$300,0)),"")</f>
        <v/>
      </c>
      <c r="T815" s="22">
        <f>IF(OR($R815="",$S815=""),"",$R815*$S815)</f>
        <v/>
      </c>
      <c r="U815" s="20" t="n"/>
      <c r="V815" s="20" t="n"/>
      <c r="W815" s="20" t="n"/>
      <c r="X815">
        <f>IF($A815="","",$A815&amp;"|"&amp;$C815&amp;"|"&amp;$I815)</f>
        <v/>
      </c>
      <c r="Y815">
        <f>IF(AND($A815=RELATORIO_MEDICAO!$C$5,$C815=RELATORIO_MEDICAO!$F$5,$A815&lt;&gt;""),COUNTIFS($A$3:$A815,RELATORIO_MEDICAO!$C$5,$C$3:$C815,RELATORIO_MEDICAO!$F$5),"")</f>
        <v/>
      </c>
      <c r="Z815">
        <f>IF(OR($A815="",PESQUISA!$C$4=""),0,IF(OR(ISNUMBER(SEARCH(PESQUISA!$C$4,$G815)),ISNUMBER(SEARCH(PESQUISA!$C$4,$K815)),ISNUMBER(SEARCH(PESQUISA!$C$4,$L815))),1,0))</f>
        <v/>
      </c>
      <c r="AA815">
        <f>IF($Z815=1,SUM($Z$3:$Z815),"")</f>
        <v/>
      </c>
      <c r="AB815">
        <f>IF(OR($A815="",PESQUISA!$C$50=""),0,IF(ISNUMBER(SEARCH(PESQUISA!$C$50,$I815)),1,0))</f>
        <v/>
      </c>
      <c r="AC815">
        <f>IF($AB815=1,SUM($AB$3:$AB815),"")</f>
        <v/>
      </c>
    </row>
    <row r="816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>
        <f>IFERROR(INDEX(CONFIGURACOES!$G$37:$G$300,MATCH($I816,CONFIGURACOES!$B$37:$B$300,0)),"")</f>
        <v/>
      </c>
      <c r="K816" s="20">
        <f>IFERROR(INDEX(CONFIGURACOES!$H$37:$H$300,MATCH($I816,CONFIGURACOES!$B$37:$B$300,0)),"")</f>
        <v/>
      </c>
      <c r="L816" s="20" t="n"/>
      <c r="M816" s="20">
        <f>IFERROR(INDEX(CONFIGURACOES!$I$37:$I$300,MATCH($I816,CONFIGURACOES!$B$37:$B$300,0)),"")</f>
        <v/>
      </c>
      <c r="N816" s="21" t="n"/>
      <c r="O816" s="21" t="n"/>
      <c r="P816" s="21" t="n"/>
      <c r="Q816" s="21" t="n"/>
      <c r="R816" s="21">
        <f>IF($N816="","",$N816*IF($Q816="",1,$Q816)*IF($P816="",1,$P816)*IF($O816="",1,$O816))</f>
        <v/>
      </c>
      <c r="S816" s="22">
        <f>IFERROR(INDEX(CONFIGURACOES!$J$37:$J$300,MATCH($I816,CONFIGURACOES!$B$37:$B$300,0)),"")</f>
        <v/>
      </c>
      <c r="T816" s="22">
        <f>IF(OR($R816="",$S816=""),"",$R816*$S816)</f>
        <v/>
      </c>
      <c r="U816" s="20" t="n"/>
      <c r="V816" s="20" t="n"/>
      <c r="W816" s="20" t="n"/>
      <c r="X816">
        <f>IF($A816="","",$A816&amp;"|"&amp;$C816&amp;"|"&amp;$I816)</f>
        <v/>
      </c>
      <c r="Y816">
        <f>IF(AND($A816=RELATORIO_MEDICAO!$C$5,$C816=RELATORIO_MEDICAO!$F$5,$A816&lt;&gt;""),COUNTIFS($A$3:$A816,RELATORIO_MEDICAO!$C$5,$C$3:$C816,RELATORIO_MEDICAO!$F$5),"")</f>
        <v/>
      </c>
      <c r="Z816">
        <f>IF(OR($A816="",PESQUISA!$C$4=""),0,IF(OR(ISNUMBER(SEARCH(PESQUISA!$C$4,$G816)),ISNUMBER(SEARCH(PESQUISA!$C$4,$K816)),ISNUMBER(SEARCH(PESQUISA!$C$4,$L816))),1,0))</f>
        <v/>
      </c>
      <c r="AA816">
        <f>IF($Z816=1,SUM($Z$3:$Z816),"")</f>
        <v/>
      </c>
      <c r="AB816">
        <f>IF(OR($A816="",PESQUISA!$C$50=""),0,IF(ISNUMBER(SEARCH(PESQUISA!$C$50,$I816)),1,0))</f>
        <v/>
      </c>
      <c r="AC816">
        <f>IF($AB816=1,SUM($AB$3:$AB816),"")</f>
        <v/>
      </c>
    </row>
    <row r="817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>
        <f>IFERROR(INDEX(CONFIGURACOES!$G$37:$G$300,MATCH($I817,CONFIGURACOES!$B$37:$B$300,0)),"")</f>
        <v/>
      </c>
      <c r="K817" s="20">
        <f>IFERROR(INDEX(CONFIGURACOES!$H$37:$H$300,MATCH($I817,CONFIGURACOES!$B$37:$B$300,0)),"")</f>
        <v/>
      </c>
      <c r="L817" s="20" t="n"/>
      <c r="M817" s="20">
        <f>IFERROR(INDEX(CONFIGURACOES!$I$37:$I$300,MATCH($I817,CONFIGURACOES!$B$37:$B$300,0)),"")</f>
        <v/>
      </c>
      <c r="N817" s="21" t="n"/>
      <c r="O817" s="21" t="n"/>
      <c r="P817" s="21" t="n"/>
      <c r="Q817" s="21" t="n"/>
      <c r="R817" s="21">
        <f>IF($N817="","",$N817*IF($Q817="",1,$Q817)*IF($P817="",1,$P817)*IF($O817="",1,$O817))</f>
        <v/>
      </c>
      <c r="S817" s="22">
        <f>IFERROR(INDEX(CONFIGURACOES!$J$37:$J$300,MATCH($I817,CONFIGURACOES!$B$37:$B$300,0)),"")</f>
        <v/>
      </c>
      <c r="T817" s="22">
        <f>IF(OR($R817="",$S817=""),"",$R817*$S817)</f>
        <v/>
      </c>
      <c r="U817" s="20" t="n"/>
      <c r="V817" s="20" t="n"/>
      <c r="W817" s="20" t="n"/>
      <c r="X817">
        <f>IF($A817="","",$A817&amp;"|"&amp;$C817&amp;"|"&amp;$I817)</f>
        <v/>
      </c>
      <c r="Y817">
        <f>IF(AND($A817=RELATORIO_MEDICAO!$C$5,$C817=RELATORIO_MEDICAO!$F$5,$A817&lt;&gt;""),COUNTIFS($A$3:$A817,RELATORIO_MEDICAO!$C$5,$C$3:$C817,RELATORIO_MEDICAO!$F$5),"")</f>
        <v/>
      </c>
      <c r="Z817">
        <f>IF(OR($A817="",PESQUISA!$C$4=""),0,IF(OR(ISNUMBER(SEARCH(PESQUISA!$C$4,$G817)),ISNUMBER(SEARCH(PESQUISA!$C$4,$K817)),ISNUMBER(SEARCH(PESQUISA!$C$4,$L817))),1,0))</f>
        <v/>
      </c>
      <c r="AA817">
        <f>IF($Z817=1,SUM($Z$3:$Z817),"")</f>
        <v/>
      </c>
      <c r="AB817">
        <f>IF(OR($A817="",PESQUISA!$C$50=""),0,IF(ISNUMBER(SEARCH(PESQUISA!$C$50,$I817)),1,0))</f>
        <v/>
      </c>
      <c r="AC817">
        <f>IF($AB817=1,SUM($AB$3:$AB817),"")</f>
        <v/>
      </c>
    </row>
    <row r="818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>
        <f>IFERROR(INDEX(CONFIGURACOES!$G$37:$G$300,MATCH($I818,CONFIGURACOES!$B$37:$B$300,0)),"")</f>
        <v/>
      </c>
      <c r="K818" s="20">
        <f>IFERROR(INDEX(CONFIGURACOES!$H$37:$H$300,MATCH($I818,CONFIGURACOES!$B$37:$B$300,0)),"")</f>
        <v/>
      </c>
      <c r="L818" s="20" t="n"/>
      <c r="M818" s="20">
        <f>IFERROR(INDEX(CONFIGURACOES!$I$37:$I$300,MATCH($I818,CONFIGURACOES!$B$37:$B$300,0)),"")</f>
        <v/>
      </c>
      <c r="N818" s="21" t="n"/>
      <c r="O818" s="21" t="n"/>
      <c r="P818" s="21" t="n"/>
      <c r="Q818" s="21" t="n"/>
      <c r="R818" s="21">
        <f>IF($N818="","",$N818*IF($Q818="",1,$Q818)*IF($P818="",1,$P818)*IF($O818="",1,$O818))</f>
        <v/>
      </c>
      <c r="S818" s="22">
        <f>IFERROR(INDEX(CONFIGURACOES!$J$37:$J$300,MATCH($I818,CONFIGURACOES!$B$37:$B$300,0)),"")</f>
        <v/>
      </c>
      <c r="T818" s="22">
        <f>IF(OR($R818="",$S818=""),"",$R818*$S818)</f>
        <v/>
      </c>
      <c r="U818" s="20" t="n"/>
      <c r="V818" s="20" t="n"/>
      <c r="W818" s="20" t="n"/>
      <c r="X818">
        <f>IF($A818="","",$A818&amp;"|"&amp;$C818&amp;"|"&amp;$I818)</f>
        <v/>
      </c>
      <c r="Y818">
        <f>IF(AND($A818=RELATORIO_MEDICAO!$C$5,$C818=RELATORIO_MEDICAO!$F$5,$A818&lt;&gt;""),COUNTIFS($A$3:$A818,RELATORIO_MEDICAO!$C$5,$C$3:$C818,RELATORIO_MEDICAO!$F$5),"")</f>
        <v/>
      </c>
      <c r="Z818">
        <f>IF(OR($A818="",PESQUISA!$C$4=""),0,IF(OR(ISNUMBER(SEARCH(PESQUISA!$C$4,$G818)),ISNUMBER(SEARCH(PESQUISA!$C$4,$K818)),ISNUMBER(SEARCH(PESQUISA!$C$4,$L818))),1,0))</f>
        <v/>
      </c>
      <c r="AA818">
        <f>IF($Z818=1,SUM($Z$3:$Z818),"")</f>
        <v/>
      </c>
      <c r="AB818">
        <f>IF(OR($A818="",PESQUISA!$C$50=""),0,IF(ISNUMBER(SEARCH(PESQUISA!$C$50,$I818)),1,0))</f>
        <v/>
      </c>
      <c r="AC818">
        <f>IF($AB818=1,SUM($AB$3:$AB818),"")</f>
        <v/>
      </c>
    </row>
    <row r="819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>
        <f>IFERROR(INDEX(CONFIGURACOES!$G$37:$G$300,MATCH($I819,CONFIGURACOES!$B$37:$B$300,0)),"")</f>
        <v/>
      </c>
      <c r="K819" s="20">
        <f>IFERROR(INDEX(CONFIGURACOES!$H$37:$H$300,MATCH($I819,CONFIGURACOES!$B$37:$B$300,0)),"")</f>
        <v/>
      </c>
      <c r="L819" s="20" t="n"/>
      <c r="M819" s="20">
        <f>IFERROR(INDEX(CONFIGURACOES!$I$37:$I$300,MATCH($I819,CONFIGURACOES!$B$37:$B$300,0)),"")</f>
        <v/>
      </c>
      <c r="N819" s="21" t="n"/>
      <c r="O819" s="21" t="n"/>
      <c r="P819" s="21" t="n"/>
      <c r="Q819" s="21" t="n"/>
      <c r="R819" s="21">
        <f>IF($N819="","",$N819*IF($Q819="",1,$Q819)*IF($P819="",1,$P819)*IF($O819="",1,$O819))</f>
        <v/>
      </c>
      <c r="S819" s="22">
        <f>IFERROR(INDEX(CONFIGURACOES!$J$37:$J$300,MATCH($I819,CONFIGURACOES!$B$37:$B$300,0)),"")</f>
        <v/>
      </c>
      <c r="T819" s="22">
        <f>IF(OR($R819="",$S819=""),"",$R819*$S819)</f>
        <v/>
      </c>
      <c r="U819" s="20" t="n"/>
      <c r="V819" s="20" t="n"/>
      <c r="W819" s="20" t="n"/>
      <c r="X819">
        <f>IF($A819="","",$A819&amp;"|"&amp;$C819&amp;"|"&amp;$I819)</f>
        <v/>
      </c>
      <c r="Y819">
        <f>IF(AND($A819=RELATORIO_MEDICAO!$C$5,$C819=RELATORIO_MEDICAO!$F$5,$A819&lt;&gt;""),COUNTIFS($A$3:$A819,RELATORIO_MEDICAO!$C$5,$C$3:$C819,RELATORIO_MEDICAO!$F$5),"")</f>
        <v/>
      </c>
      <c r="Z819">
        <f>IF(OR($A819="",PESQUISA!$C$4=""),0,IF(OR(ISNUMBER(SEARCH(PESQUISA!$C$4,$G819)),ISNUMBER(SEARCH(PESQUISA!$C$4,$K819)),ISNUMBER(SEARCH(PESQUISA!$C$4,$L819))),1,0))</f>
        <v/>
      </c>
      <c r="AA819">
        <f>IF($Z819=1,SUM($Z$3:$Z819),"")</f>
        <v/>
      </c>
      <c r="AB819">
        <f>IF(OR($A819="",PESQUISA!$C$50=""),0,IF(ISNUMBER(SEARCH(PESQUISA!$C$50,$I819)),1,0))</f>
        <v/>
      </c>
      <c r="AC819">
        <f>IF($AB819=1,SUM($AB$3:$AB819),"")</f>
        <v/>
      </c>
    </row>
    <row r="820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>
        <f>IFERROR(INDEX(CONFIGURACOES!$G$37:$G$300,MATCH($I820,CONFIGURACOES!$B$37:$B$300,0)),"")</f>
        <v/>
      </c>
      <c r="K820" s="20">
        <f>IFERROR(INDEX(CONFIGURACOES!$H$37:$H$300,MATCH($I820,CONFIGURACOES!$B$37:$B$300,0)),"")</f>
        <v/>
      </c>
      <c r="L820" s="20" t="n"/>
      <c r="M820" s="20">
        <f>IFERROR(INDEX(CONFIGURACOES!$I$37:$I$300,MATCH($I820,CONFIGURACOES!$B$37:$B$300,0)),"")</f>
        <v/>
      </c>
      <c r="N820" s="21" t="n"/>
      <c r="O820" s="21" t="n"/>
      <c r="P820" s="21" t="n"/>
      <c r="Q820" s="21" t="n"/>
      <c r="R820" s="21">
        <f>IF($N820="","",$N820*IF($Q820="",1,$Q820)*IF($P820="",1,$P820)*IF($O820="",1,$O820))</f>
        <v/>
      </c>
      <c r="S820" s="22">
        <f>IFERROR(INDEX(CONFIGURACOES!$J$37:$J$300,MATCH($I820,CONFIGURACOES!$B$37:$B$300,0)),"")</f>
        <v/>
      </c>
      <c r="T820" s="22">
        <f>IF(OR($R820="",$S820=""),"",$R820*$S820)</f>
        <v/>
      </c>
      <c r="U820" s="20" t="n"/>
      <c r="V820" s="20" t="n"/>
      <c r="W820" s="20" t="n"/>
      <c r="X820">
        <f>IF($A820="","",$A820&amp;"|"&amp;$C820&amp;"|"&amp;$I820)</f>
        <v/>
      </c>
      <c r="Y820">
        <f>IF(AND($A820=RELATORIO_MEDICAO!$C$5,$C820=RELATORIO_MEDICAO!$F$5,$A820&lt;&gt;""),COUNTIFS($A$3:$A820,RELATORIO_MEDICAO!$C$5,$C$3:$C820,RELATORIO_MEDICAO!$F$5),"")</f>
        <v/>
      </c>
      <c r="Z820">
        <f>IF(OR($A820="",PESQUISA!$C$4=""),0,IF(OR(ISNUMBER(SEARCH(PESQUISA!$C$4,$G820)),ISNUMBER(SEARCH(PESQUISA!$C$4,$K820)),ISNUMBER(SEARCH(PESQUISA!$C$4,$L820))),1,0))</f>
        <v/>
      </c>
      <c r="AA820">
        <f>IF($Z820=1,SUM($Z$3:$Z820),"")</f>
        <v/>
      </c>
      <c r="AB820">
        <f>IF(OR($A820="",PESQUISA!$C$50=""),0,IF(ISNUMBER(SEARCH(PESQUISA!$C$50,$I820)),1,0))</f>
        <v/>
      </c>
      <c r="AC820">
        <f>IF($AB820=1,SUM($AB$3:$AB820),"")</f>
        <v/>
      </c>
    </row>
    <row r="821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>
        <f>IFERROR(INDEX(CONFIGURACOES!$G$37:$G$300,MATCH($I821,CONFIGURACOES!$B$37:$B$300,0)),"")</f>
        <v/>
      </c>
      <c r="K821" s="20">
        <f>IFERROR(INDEX(CONFIGURACOES!$H$37:$H$300,MATCH($I821,CONFIGURACOES!$B$37:$B$300,0)),"")</f>
        <v/>
      </c>
      <c r="L821" s="20" t="n"/>
      <c r="M821" s="20">
        <f>IFERROR(INDEX(CONFIGURACOES!$I$37:$I$300,MATCH($I821,CONFIGURACOES!$B$37:$B$300,0)),"")</f>
        <v/>
      </c>
      <c r="N821" s="21" t="n"/>
      <c r="O821" s="21" t="n"/>
      <c r="P821" s="21" t="n"/>
      <c r="Q821" s="21" t="n"/>
      <c r="R821" s="21">
        <f>IF($N821="","",$N821*IF($Q821="",1,$Q821)*IF($P821="",1,$P821)*IF($O821="",1,$O821))</f>
        <v/>
      </c>
      <c r="S821" s="22">
        <f>IFERROR(INDEX(CONFIGURACOES!$J$37:$J$300,MATCH($I821,CONFIGURACOES!$B$37:$B$300,0)),"")</f>
        <v/>
      </c>
      <c r="T821" s="22">
        <f>IF(OR($R821="",$S821=""),"",$R821*$S821)</f>
        <v/>
      </c>
      <c r="U821" s="20" t="n"/>
      <c r="V821" s="20" t="n"/>
      <c r="W821" s="20" t="n"/>
      <c r="X821">
        <f>IF($A821="","",$A821&amp;"|"&amp;$C821&amp;"|"&amp;$I821)</f>
        <v/>
      </c>
      <c r="Y821">
        <f>IF(AND($A821=RELATORIO_MEDICAO!$C$5,$C821=RELATORIO_MEDICAO!$F$5,$A821&lt;&gt;""),COUNTIFS($A$3:$A821,RELATORIO_MEDICAO!$C$5,$C$3:$C821,RELATORIO_MEDICAO!$F$5),"")</f>
        <v/>
      </c>
      <c r="Z821">
        <f>IF(OR($A821="",PESQUISA!$C$4=""),0,IF(OR(ISNUMBER(SEARCH(PESQUISA!$C$4,$G821)),ISNUMBER(SEARCH(PESQUISA!$C$4,$K821)),ISNUMBER(SEARCH(PESQUISA!$C$4,$L821))),1,0))</f>
        <v/>
      </c>
      <c r="AA821">
        <f>IF($Z821=1,SUM($Z$3:$Z821),"")</f>
        <v/>
      </c>
      <c r="AB821">
        <f>IF(OR($A821="",PESQUISA!$C$50=""),0,IF(ISNUMBER(SEARCH(PESQUISA!$C$50,$I821)),1,0))</f>
        <v/>
      </c>
      <c r="AC821">
        <f>IF($AB821=1,SUM($AB$3:$AB821),"")</f>
        <v/>
      </c>
    </row>
    <row r="822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>
        <f>IFERROR(INDEX(CONFIGURACOES!$G$37:$G$300,MATCH($I822,CONFIGURACOES!$B$37:$B$300,0)),"")</f>
        <v/>
      </c>
      <c r="K822" s="20">
        <f>IFERROR(INDEX(CONFIGURACOES!$H$37:$H$300,MATCH($I822,CONFIGURACOES!$B$37:$B$300,0)),"")</f>
        <v/>
      </c>
      <c r="L822" s="20" t="n"/>
      <c r="M822" s="20">
        <f>IFERROR(INDEX(CONFIGURACOES!$I$37:$I$300,MATCH($I822,CONFIGURACOES!$B$37:$B$300,0)),"")</f>
        <v/>
      </c>
      <c r="N822" s="21" t="n"/>
      <c r="O822" s="21" t="n"/>
      <c r="P822" s="21" t="n"/>
      <c r="Q822" s="21" t="n"/>
      <c r="R822" s="21">
        <f>IF($N822="","",$N822*IF($Q822="",1,$Q822)*IF($P822="",1,$P822)*IF($O822="",1,$O822))</f>
        <v/>
      </c>
      <c r="S822" s="22">
        <f>IFERROR(INDEX(CONFIGURACOES!$J$37:$J$300,MATCH($I822,CONFIGURACOES!$B$37:$B$300,0)),"")</f>
        <v/>
      </c>
      <c r="T822" s="22">
        <f>IF(OR($R822="",$S822=""),"",$R822*$S822)</f>
        <v/>
      </c>
      <c r="U822" s="20" t="n"/>
      <c r="V822" s="20" t="n"/>
      <c r="W822" s="20" t="n"/>
      <c r="X822">
        <f>IF($A822="","",$A822&amp;"|"&amp;$C822&amp;"|"&amp;$I822)</f>
        <v/>
      </c>
      <c r="Y822">
        <f>IF(AND($A822=RELATORIO_MEDICAO!$C$5,$C822=RELATORIO_MEDICAO!$F$5,$A822&lt;&gt;""),COUNTIFS($A$3:$A822,RELATORIO_MEDICAO!$C$5,$C$3:$C822,RELATORIO_MEDICAO!$F$5),"")</f>
        <v/>
      </c>
      <c r="Z822">
        <f>IF(OR($A822="",PESQUISA!$C$4=""),0,IF(OR(ISNUMBER(SEARCH(PESQUISA!$C$4,$G822)),ISNUMBER(SEARCH(PESQUISA!$C$4,$K822)),ISNUMBER(SEARCH(PESQUISA!$C$4,$L822))),1,0))</f>
        <v/>
      </c>
      <c r="AA822">
        <f>IF($Z822=1,SUM($Z$3:$Z822),"")</f>
        <v/>
      </c>
      <c r="AB822">
        <f>IF(OR($A822="",PESQUISA!$C$50=""),0,IF(ISNUMBER(SEARCH(PESQUISA!$C$50,$I822)),1,0))</f>
        <v/>
      </c>
      <c r="AC822">
        <f>IF($AB822=1,SUM($AB$3:$AB822),"")</f>
        <v/>
      </c>
    </row>
    <row r="823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>
        <f>IFERROR(INDEX(CONFIGURACOES!$G$37:$G$300,MATCH($I823,CONFIGURACOES!$B$37:$B$300,0)),"")</f>
        <v/>
      </c>
      <c r="K823" s="20">
        <f>IFERROR(INDEX(CONFIGURACOES!$H$37:$H$300,MATCH($I823,CONFIGURACOES!$B$37:$B$300,0)),"")</f>
        <v/>
      </c>
      <c r="L823" s="20" t="n"/>
      <c r="M823" s="20">
        <f>IFERROR(INDEX(CONFIGURACOES!$I$37:$I$300,MATCH($I823,CONFIGURACOES!$B$37:$B$300,0)),"")</f>
        <v/>
      </c>
      <c r="N823" s="21" t="n"/>
      <c r="O823" s="21" t="n"/>
      <c r="P823" s="21" t="n"/>
      <c r="Q823" s="21" t="n"/>
      <c r="R823" s="21">
        <f>IF($N823="","",$N823*IF($Q823="",1,$Q823)*IF($P823="",1,$P823)*IF($O823="",1,$O823))</f>
        <v/>
      </c>
      <c r="S823" s="22">
        <f>IFERROR(INDEX(CONFIGURACOES!$J$37:$J$300,MATCH($I823,CONFIGURACOES!$B$37:$B$300,0)),"")</f>
        <v/>
      </c>
      <c r="T823" s="22">
        <f>IF(OR($R823="",$S823=""),"",$R823*$S823)</f>
        <v/>
      </c>
      <c r="U823" s="20" t="n"/>
      <c r="V823" s="20" t="n"/>
      <c r="W823" s="20" t="n"/>
      <c r="X823">
        <f>IF($A823="","",$A823&amp;"|"&amp;$C823&amp;"|"&amp;$I823)</f>
        <v/>
      </c>
      <c r="Y823">
        <f>IF(AND($A823=RELATORIO_MEDICAO!$C$5,$C823=RELATORIO_MEDICAO!$F$5,$A823&lt;&gt;""),COUNTIFS($A$3:$A823,RELATORIO_MEDICAO!$C$5,$C$3:$C823,RELATORIO_MEDICAO!$F$5),"")</f>
        <v/>
      </c>
      <c r="Z823">
        <f>IF(OR($A823="",PESQUISA!$C$4=""),0,IF(OR(ISNUMBER(SEARCH(PESQUISA!$C$4,$G823)),ISNUMBER(SEARCH(PESQUISA!$C$4,$K823)),ISNUMBER(SEARCH(PESQUISA!$C$4,$L823))),1,0))</f>
        <v/>
      </c>
      <c r="AA823">
        <f>IF($Z823=1,SUM($Z$3:$Z823),"")</f>
        <v/>
      </c>
      <c r="AB823">
        <f>IF(OR($A823="",PESQUISA!$C$50=""),0,IF(ISNUMBER(SEARCH(PESQUISA!$C$50,$I823)),1,0))</f>
        <v/>
      </c>
      <c r="AC823">
        <f>IF($AB823=1,SUM($AB$3:$AB823),"")</f>
        <v/>
      </c>
    </row>
    <row r="824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>
        <f>IFERROR(INDEX(CONFIGURACOES!$G$37:$G$300,MATCH($I824,CONFIGURACOES!$B$37:$B$300,0)),"")</f>
        <v/>
      </c>
      <c r="K824" s="20">
        <f>IFERROR(INDEX(CONFIGURACOES!$H$37:$H$300,MATCH($I824,CONFIGURACOES!$B$37:$B$300,0)),"")</f>
        <v/>
      </c>
      <c r="L824" s="20" t="n"/>
      <c r="M824" s="20">
        <f>IFERROR(INDEX(CONFIGURACOES!$I$37:$I$300,MATCH($I824,CONFIGURACOES!$B$37:$B$300,0)),"")</f>
        <v/>
      </c>
      <c r="N824" s="21" t="n"/>
      <c r="O824" s="21" t="n"/>
      <c r="P824" s="21" t="n"/>
      <c r="Q824" s="21" t="n"/>
      <c r="R824" s="21">
        <f>IF($N824="","",$N824*IF($Q824="",1,$Q824)*IF($P824="",1,$P824)*IF($O824="",1,$O824))</f>
        <v/>
      </c>
      <c r="S824" s="22">
        <f>IFERROR(INDEX(CONFIGURACOES!$J$37:$J$300,MATCH($I824,CONFIGURACOES!$B$37:$B$300,0)),"")</f>
        <v/>
      </c>
      <c r="T824" s="22">
        <f>IF(OR($R824="",$S824=""),"",$R824*$S824)</f>
        <v/>
      </c>
      <c r="U824" s="20" t="n"/>
      <c r="V824" s="20" t="n"/>
      <c r="W824" s="20" t="n"/>
      <c r="X824">
        <f>IF($A824="","",$A824&amp;"|"&amp;$C824&amp;"|"&amp;$I824)</f>
        <v/>
      </c>
      <c r="Y824">
        <f>IF(AND($A824=RELATORIO_MEDICAO!$C$5,$C824=RELATORIO_MEDICAO!$F$5,$A824&lt;&gt;""),COUNTIFS($A$3:$A824,RELATORIO_MEDICAO!$C$5,$C$3:$C824,RELATORIO_MEDICAO!$F$5),"")</f>
        <v/>
      </c>
      <c r="Z824">
        <f>IF(OR($A824="",PESQUISA!$C$4=""),0,IF(OR(ISNUMBER(SEARCH(PESQUISA!$C$4,$G824)),ISNUMBER(SEARCH(PESQUISA!$C$4,$K824)),ISNUMBER(SEARCH(PESQUISA!$C$4,$L824))),1,0))</f>
        <v/>
      </c>
      <c r="AA824">
        <f>IF($Z824=1,SUM($Z$3:$Z824),"")</f>
        <v/>
      </c>
      <c r="AB824">
        <f>IF(OR($A824="",PESQUISA!$C$50=""),0,IF(ISNUMBER(SEARCH(PESQUISA!$C$50,$I824)),1,0))</f>
        <v/>
      </c>
      <c r="AC824">
        <f>IF($AB824=1,SUM($AB$3:$AB824),"")</f>
        <v/>
      </c>
    </row>
    <row r="825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>
        <f>IFERROR(INDEX(CONFIGURACOES!$G$37:$G$300,MATCH($I825,CONFIGURACOES!$B$37:$B$300,0)),"")</f>
        <v/>
      </c>
      <c r="K825" s="20">
        <f>IFERROR(INDEX(CONFIGURACOES!$H$37:$H$300,MATCH($I825,CONFIGURACOES!$B$37:$B$300,0)),"")</f>
        <v/>
      </c>
      <c r="L825" s="20" t="n"/>
      <c r="M825" s="20">
        <f>IFERROR(INDEX(CONFIGURACOES!$I$37:$I$300,MATCH($I825,CONFIGURACOES!$B$37:$B$300,0)),"")</f>
        <v/>
      </c>
      <c r="N825" s="21" t="n"/>
      <c r="O825" s="21" t="n"/>
      <c r="P825" s="21" t="n"/>
      <c r="Q825" s="21" t="n"/>
      <c r="R825" s="21">
        <f>IF($N825="","",$N825*IF($Q825="",1,$Q825)*IF($P825="",1,$P825)*IF($O825="",1,$O825))</f>
        <v/>
      </c>
      <c r="S825" s="22">
        <f>IFERROR(INDEX(CONFIGURACOES!$J$37:$J$300,MATCH($I825,CONFIGURACOES!$B$37:$B$300,0)),"")</f>
        <v/>
      </c>
      <c r="T825" s="22">
        <f>IF(OR($R825="",$S825=""),"",$R825*$S825)</f>
        <v/>
      </c>
      <c r="U825" s="20" t="n"/>
      <c r="V825" s="20" t="n"/>
      <c r="W825" s="20" t="n"/>
      <c r="X825">
        <f>IF($A825="","",$A825&amp;"|"&amp;$C825&amp;"|"&amp;$I825)</f>
        <v/>
      </c>
      <c r="Y825">
        <f>IF(AND($A825=RELATORIO_MEDICAO!$C$5,$C825=RELATORIO_MEDICAO!$F$5,$A825&lt;&gt;""),COUNTIFS($A$3:$A825,RELATORIO_MEDICAO!$C$5,$C$3:$C825,RELATORIO_MEDICAO!$F$5),"")</f>
        <v/>
      </c>
      <c r="Z825">
        <f>IF(OR($A825="",PESQUISA!$C$4=""),0,IF(OR(ISNUMBER(SEARCH(PESQUISA!$C$4,$G825)),ISNUMBER(SEARCH(PESQUISA!$C$4,$K825)),ISNUMBER(SEARCH(PESQUISA!$C$4,$L825))),1,0))</f>
        <v/>
      </c>
      <c r="AA825">
        <f>IF($Z825=1,SUM($Z$3:$Z825),"")</f>
        <v/>
      </c>
      <c r="AB825">
        <f>IF(OR($A825="",PESQUISA!$C$50=""),0,IF(ISNUMBER(SEARCH(PESQUISA!$C$50,$I825)),1,0))</f>
        <v/>
      </c>
      <c r="AC825">
        <f>IF($AB825=1,SUM($AB$3:$AB825),"")</f>
        <v/>
      </c>
    </row>
    <row r="826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>
        <f>IFERROR(INDEX(CONFIGURACOES!$G$37:$G$300,MATCH($I826,CONFIGURACOES!$B$37:$B$300,0)),"")</f>
        <v/>
      </c>
      <c r="K826" s="20">
        <f>IFERROR(INDEX(CONFIGURACOES!$H$37:$H$300,MATCH($I826,CONFIGURACOES!$B$37:$B$300,0)),"")</f>
        <v/>
      </c>
      <c r="L826" s="20" t="n"/>
      <c r="M826" s="20">
        <f>IFERROR(INDEX(CONFIGURACOES!$I$37:$I$300,MATCH($I826,CONFIGURACOES!$B$37:$B$300,0)),"")</f>
        <v/>
      </c>
      <c r="N826" s="21" t="n"/>
      <c r="O826" s="21" t="n"/>
      <c r="P826" s="21" t="n"/>
      <c r="Q826" s="21" t="n"/>
      <c r="R826" s="21">
        <f>IF($N826="","",$N826*IF($Q826="",1,$Q826)*IF($P826="",1,$P826)*IF($O826="",1,$O826))</f>
        <v/>
      </c>
      <c r="S826" s="22">
        <f>IFERROR(INDEX(CONFIGURACOES!$J$37:$J$300,MATCH($I826,CONFIGURACOES!$B$37:$B$300,0)),"")</f>
        <v/>
      </c>
      <c r="T826" s="22">
        <f>IF(OR($R826="",$S826=""),"",$R826*$S826)</f>
        <v/>
      </c>
      <c r="U826" s="20" t="n"/>
      <c r="V826" s="20" t="n"/>
      <c r="W826" s="20" t="n"/>
      <c r="X826">
        <f>IF($A826="","",$A826&amp;"|"&amp;$C826&amp;"|"&amp;$I826)</f>
        <v/>
      </c>
      <c r="Y826">
        <f>IF(AND($A826=RELATORIO_MEDICAO!$C$5,$C826=RELATORIO_MEDICAO!$F$5,$A826&lt;&gt;""),COUNTIFS($A$3:$A826,RELATORIO_MEDICAO!$C$5,$C$3:$C826,RELATORIO_MEDICAO!$F$5),"")</f>
        <v/>
      </c>
      <c r="Z826">
        <f>IF(OR($A826="",PESQUISA!$C$4=""),0,IF(OR(ISNUMBER(SEARCH(PESQUISA!$C$4,$G826)),ISNUMBER(SEARCH(PESQUISA!$C$4,$K826)),ISNUMBER(SEARCH(PESQUISA!$C$4,$L826))),1,0))</f>
        <v/>
      </c>
      <c r="AA826">
        <f>IF($Z826=1,SUM($Z$3:$Z826),"")</f>
        <v/>
      </c>
      <c r="AB826">
        <f>IF(OR($A826="",PESQUISA!$C$50=""),0,IF(ISNUMBER(SEARCH(PESQUISA!$C$50,$I826)),1,0))</f>
        <v/>
      </c>
      <c r="AC826">
        <f>IF($AB826=1,SUM($AB$3:$AB826),"")</f>
        <v/>
      </c>
    </row>
    <row r="827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>
        <f>IFERROR(INDEX(CONFIGURACOES!$G$37:$G$300,MATCH($I827,CONFIGURACOES!$B$37:$B$300,0)),"")</f>
        <v/>
      </c>
      <c r="K827" s="20">
        <f>IFERROR(INDEX(CONFIGURACOES!$H$37:$H$300,MATCH($I827,CONFIGURACOES!$B$37:$B$300,0)),"")</f>
        <v/>
      </c>
      <c r="L827" s="20" t="n"/>
      <c r="M827" s="20">
        <f>IFERROR(INDEX(CONFIGURACOES!$I$37:$I$300,MATCH($I827,CONFIGURACOES!$B$37:$B$300,0)),"")</f>
        <v/>
      </c>
      <c r="N827" s="21" t="n"/>
      <c r="O827" s="21" t="n"/>
      <c r="P827" s="21" t="n"/>
      <c r="Q827" s="21" t="n"/>
      <c r="R827" s="21">
        <f>IF($N827="","",$N827*IF($Q827="",1,$Q827)*IF($P827="",1,$P827)*IF($O827="",1,$O827))</f>
        <v/>
      </c>
      <c r="S827" s="22">
        <f>IFERROR(INDEX(CONFIGURACOES!$J$37:$J$300,MATCH($I827,CONFIGURACOES!$B$37:$B$300,0)),"")</f>
        <v/>
      </c>
      <c r="T827" s="22">
        <f>IF(OR($R827="",$S827=""),"",$R827*$S827)</f>
        <v/>
      </c>
      <c r="U827" s="20" t="n"/>
      <c r="V827" s="20" t="n"/>
      <c r="W827" s="20" t="n"/>
      <c r="X827">
        <f>IF($A827="","",$A827&amp;"|"&amp;$C827&amp;"|"&amp;$I827)</f>
        <v/>
      </c>
      <c r="Y827">
        <f>IF(AND($A827=RELATORIO_MEDICAO!$C$5,$C827=RELATORIO_MEDICAO!$F$5,$A827&lt;&gt;""),COUNTIFS($A$3:$A827,RELATORIO_MEDICAO!$C$5,$C$3:$C827,RELATORIO_MEDICAO!$F$5),"")</f>
        <v/>
      </c>
      <c r="Z827">
        <f>IF(OR($A827="",PESQUISA!$C$4=""),0,IF(OR(ISNUMBER(SEARCH(PESQUISA!$C$4,$G827)),ISNUMBER(SEARCH(PESQUISA!$C$4,$K827)),ISNUMBER(SEARCH(PESQUISA!$C$4,$L827))),1,0))</f>
        <v/>
      </c>
      <c r="AA827">
        <f>IF($Z827=1,SUM($Z$3:$Z827),"")</f>
        <v/>
      </c>
      <c r="AB827">
        <f>IF(OR($A827="",PESQUISA!$C$50=""),0,IF(ISNUMBER(SEARCH(PESQUISA!$C$50,$I827)),1,0))</f>
        <v/>
      </c>
      <c r="AC827">
        <f>IF($AB827=1,SUM($AB$3:$AB827),"")</f>
        <v/>
      </c>
    </row>
    <row r="82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>
        <f>IFERROR(INDEX(CONFIGURACOES!$G$37:$G$300,MATCH($I828,CONFIGURACOES!$B$37:$B$300,0)),"")</f>
        <v/>
      </c>
      <c r="K828" s="20">
        <f>IFERROR(INDEX(CONFIGURACOES!$H$37:$H$300,MATCH($I828,CONFIGURACOES!$B$37:$B$300,0)),"")</f>
        <v/>
      </c>
      <c r="L828" s="20" t="n"/>
      <c r="M828" s="20">
        <f>IFERROR(INDEX(CONFIGURACOES!$I$37:$I$300,MATCH($I828,CONFIGURACOES!$B$37:$B$300,0)),"")</f>
        <v/>
      </c>
      <c r="N828" s="21" t="n"/>
      <c r="O828" s="21" t="n"/>
      <c r="P828" s="21" t="n"/>
      <c r="Q828" s="21" t="n"/>
      <c r="R828" s="21">
        <f>IF($N828="","",$N828*IF($Q828="",1,$Q828)*IF($P828="",1,$P828)*IF($O828="",1,$O828))</f>
        <v/>
      </c>
      <c r="S828" s="22">
        <f>IFERROR(INDEX(CONFIGURACOES!$J$37:$J$300,MATCH($I828,CONFIGURACOES!$B$37:$B$300,0)),"")</f>
        <v/>
      </c>
      <c r="T828" s="22">
        <f>IF(OR($R828="",$S828=""),"",$R828*$S828)</f>
        <v/>
      </c>
      <c r="U828" s="20" t="n"/>
      <c r="V828" s="20" t="n"/>
      <c r="W828" s="20" t="n"/>
      <c r="X828">
        <f>IF($A828="","",$A828&amp;"|"&amp;$C828&amp;"|"&amp;$I828)</f>
        <v/>
      </c>
      <c r="Y828">
        <f>IF(AND($A828=RELATORIO_MEDICAO!$C$5,$C828=RELATORIO_MEDICAO!$F$5,$A828&lt;&gt;""),COUNTIFS($A$3:$A828,RELATORIO_MEDICAO!$C$5,$C$3:$C828,RELATORIO_MEDICAO!$F$5),"")</f>
        <v/>
      </c>
      <c r="Z828">
        <f>IF(OR($A828="",PESQUISA!$C$4=""),0,IF(OR(ISNUMBER(SEARCH(PESQUISA!$C$4,$G828)),ISNUMBER(SEARCH(PESQUISA!$C$4,$K828)),ISNUMBER(SEARCH(PESQUISA!$C$4,$L828))),1,0))</f>
        <v/>
      </c>
      <c r="AA828">
        <f>IF($Z828=1,SUM($Z$3:$Z828),"")</f>
        <v/>
      </c>
      <c r="AB828">
        <f>IF(OR($A828="",PESQUISA!$C$50=""),0,IF(ISNUMBER(SEARCH(PESQUISA!$C$50,$I828)),1,0))</f>
        <v/>
      </c>
      <c r="AC828">
        <f>IF($AB828=1,SUM($AB$3:$AB828),"")</f>
        <v/>
      </c>
    </row>
    <row r="829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>
        <f>IFERROR(INDEX(CONFIGURACOES!$G$37:$G$300,MATCH($I829,CONFIGURACOES!$B$37:$B$300,0)),"")</f>
        <v/>
      </c>
      <c r="K829" s="20">
        <f>IFERROR(INDEX(CONFIGURACOES!$H$37:$H$300,MATCH($I829,CONFIGURACOES!$B$37:$B$300,0)),"")</f>
        <v/>
      </c>
      <c r="L829" s="20" t="n"/>
      <c r="M829" s="20">
        <f>IFERROR(INDEX(CONFIGURACOES!$I$37:$I$300,MATCH($I829,CONFIGURACOES!$B$37:$B$300,0)),"")</f>
        <v/>
      </c>
      <c r="N829" s="21" t="n"/>
      <c r="O829" s="21" t="n"/>
      <c r="P829" s="21" t="n"/>
      <c r="Q829" s="21" t="n"/>
      <c r="R829" s="21">
        <f>IF($N829="","",$N829*IF($Q829="",1,$Q829)*IF($P829="",1,$P829)*IF($O829="",1,$O829))</f>
        <v/>
      </c>
      <c r="S829" s="22">
        <f>IFERROR(INDEX(CONFIGURACOES!$J$37:$J$300,MATCH($I829,CONFIGURACOES!$B$37:$B$300,0)),"")</f>
        <v/>
      </c>
      <c r="T829" s="22">
        <f>IF(OR($R829="",$S829=""),"",$R829*$S829)</f>
        <v/>
      </c>
      <c r="U829" s="20" t="n"/>
      <c r="V829" s="20" t="n"/>
      <c r="W829" s="20" t="n"/>
      <c r="X829">
        <f>IF($A829="","",$A829&amp;"|"&amp;$C829&amp;"|"&amp;$I829)</f>
        <v/>
      </c>
      <c r="Y829">
        <f>IF(AND($A829=RELATORIO_MEDICAO!$C$5,$C829=RELATORIO_MEDICAO!$F$5,$A829&lt;&gt;""),COUNTIFS($A$3:$A829,RELATORIO_MEDICAO!$C$5,$C$3:$C829,RELATORIO_MEDICAO!$F$5),"")</f>
        <v/>
      </c>
      <c r="Z829">
        <f>IF(OR($A829="",PESQUISA!$C$4=""),0,IF(OR(ISNUMBER(SEARCH(PESQUISA!$C$4,$G829)),ISNUMBER(SEARCH(PESQUISA!$C$4,$K829)),ISNUMBER(SEARCH(PESQUISA!$C$4,$L829))),1,0))</f>
        <v/>
      </c>
      <c r="AA829">
        <f>IF($Z829=1,SUM($Z$3:$Z829),"")</f>
        <v/>
      </c>
      <c r="AB829">
        <f>IF(OR($A829="",PESQUISA!$C$50=""),0,IF(ISNUMBER(SEARCH(PESQUISA!$C$50,$I829)),1,0))</f>
        <v/>
      </c>
      <c r="AC829">
        <f>IF($AB829=1,SUM($AB$3:$AB829),"")</f>
        <v/>
      </c>
    </row>
    <row r="830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>
        <f>IFERROR(INDEX(CONFIGURACOES!$G$37:$G$300,MATCH($I830,CONFIGURACOES!$B$37:$B$300,0)),"")</f>
        <v/>
      </c>
      <c r="K830" s="20">
        <f>IFERROR(INDEX(CONFIGURACOES!$H$37:$H$300,MATCH($I830,CONFIGURACOES!$B$37:$B$300,0)),"")</f>
        <v/>
      </c>
      <c r="L830" s="20" t="n"/>
      <c r="M830" s="20">
        <f>IFERROR(INDEX(CONFIGURACOES!$I$37:$I$300,MATCH($I830,CONFIGURACOES!$B$37:$B$300,0)),"")</f>
        <v/>
      </c>
      <c r="N830" s="21" t="n"/>
      <c r="O830" s="21" t="n"/>
      <c r="P830" s="21" t="n"/>
      <c r="Q830" s="21" t="n"/>
      <c r="R830" s="21">
        <f>IF($N830="","",$N830*IF($Q830="",1,$Q830)*IF($P830="",1,$P830)*IF($O830="",1,$O830))</f>
        <v/>
      </c>
      <c r="S830" s="22">
        <f>IFERROR(INDEX(CONFIGURACOES!$J$37:$J$300,MATCH($I830,CONFIGURACOES!$B$37:$B$300,0)),"")</f>
        <v/>
      </c>
      <c r="T830" s="22">
        <f>IF(OR($R830="",$S830=""),"",$R830*$S830)</f>
        <v/>
      </c>
      <c r="U830" s="20" t="n"/>
      <c r="V830" s="20" t="n"/>
      <c r="W830" s="20" t="n"/>
      <c r="X830">
        <f>IF($A830="","",$A830&amp;"|"&amp;$C830&amp;"|"&amp;$I830)</f>
        <v/>
      </c>
      <c r="Y830">
        <f>IF(AND($A830=RELATORIO_MEDICAO!$C$5,$C830=RELATORIO_MEDICAO!$F$5,$A830&lt;&gt;""),COUNTIFS($A$3:$A830,RELATORIO_MEDICAO!$C$5,$C$3:$C830,RELATORIO_MEDICAO!$F$5),"")</f>
        <v/>
      </c>
      <c r="Z830">
        <f>IF(OR($A830="",PESQUISA!$C$4=""),0,IF(OR(ISNUMBER(SEARCH(PESQUISA!$C$4,$G830)),ISNUMBER(SEARCH(PESQUISA!$C$4,$K830)),ISNUMBER(SEARCH(PESQUISA!$C$4,$L830))),1,0))</f>
        <v/>
      </c>
      <c r="AA830">
        <f>IF($Z830=1,SUM($Z$3:$Z830),"")</f>
        <v/>
      </c>
      <c r="AB830">
        <f>IF(OR($A830="",PESQUISA!$C$50=""),0,IF(ISNUMBER(SEARCH(PESQUISA!$C$50,$I830)),1,0))</f>
        <v/>
      </c>
      <c r="AC830">
        <f>IF($AB830=1,SUM($AB$3:$AB830),"")</f>
        <v/>
      </c>
    </row>
    <row r="831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>
        <f>IFERROR(INDEX(CONFIGURACOES!$G$37:$G$300,MATCH($I831,CONFIGURACOES!$B$37:$B$300,0)),"")</f>
        <v/>
      </c>
      <c r="K831" s="20">
        <f>IFERROR(INDEX(CONFIGURACOES!$H$37:$H$300,MATCH($I831,CONFIGURACOES!$B$37:$B$300,0)),"")</f>
        <v/>
      </c>
      <c r="L831" s="20" t="n"/>
      <c r="M831" s="20">
        <f>IFERROR(INDEX(CONFIGURACOES!$I$37:$I$300,MATCH($I831,CONFIGURACOES!$B$37:$B$300,0)),"")</f>
        <v/>
      </c>
      <c r="N831" s="21" t="n"/>
      <c r="O831" s="21" t="n"/>
      <c r="P831" s="21" t="n"/>
      <c r="Q831" s="21" t="n"/>
      <c r="R831" s="21">
        <f>IF($N831="","",$N831*IF($Q831="",1,$Q831)*IF($P831="",1,$P831)*IF($O831="",1,$O831))</f>
        <v/>
      </c>
      <c r="S831" s="22">
        <f>IFERROR(INDEX(CONFIGURACOES!$J$37:$J$300,MATCH($I831,CONFIGURACOES!$B$37:$B$300,0)),"")</f>
        <v/>
      </c>
      <c r="T831" s="22">
        <f>IF(OR($R831="",$S831=""),"",$R831*$S831)</f>
        <v/>
      </c>
      <c r="U831" s="20" t="n"/>
      <c r="V831" s="20" t="n"/>
      <c r="W831" s="20" t="n"/>
      <c r="X831">
        <f>IF($A831="","",$A831&amp;"|"&amp;$C831&amp;"|"&amp;$I831)</f>
        <v/>
      </c>
      <c r="Y831">
        <f>IF(AND($A831=RELATORIO_MEDICAO!$C$5,$C831=RELATORIO_MEDICAO!$F$5,$A831&lt;&gt;""),COUNTIFS($A$3:$A831,RELATORIO_MEDICAO!$C$5,$C$3:$C831,RELATORIO_MEDICAO!$F$5),"")</f>
        <v/>
      </c>
      <c r="Z831">
        <f>IF(OR($A831="",PESQUISA!$C$4=""),0,IF(OR(ISNUMBER(SEARCH(PESQUISA!$C$4,$G831)),ISNUMBER(SEARCH(PESQUISA!$C$4,$K831)),ISNUMBER(SEARCH(PESQUISA!$C$4,$L831))),1,0))</f>
        <v/>
      </c>
      <c r="AA831">
        <f>IF($Z831=1,SUM($Z$3:$Z831),"")</f>
        <v/>
      </c>
      <c r="AB831">
        <f>IF(OR($A831="",PESQUISA!$C$50=""),0,IF(ISNUMBER(SEARCH(PESQUISA!$C$50,$I831)),1,0))</f>
        <v/>
      </c>
      <c r="AC831">
        <f>IF($AB831=1,SUM($AB$3:$AB831),"")</f>
        <v/>
      </c>
    </row>
    <row r="832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>
        <f>IFERROR(INDEX(CONFIGURACOES!$G$37:$G$300,MATCH($I832,CONFIGURACOES!$B$37:$B$300,0)),"")</f>
        <v/>
      </c>
      <c r="K832" s="20">
        <f>IFERROR(INDEX(CONFIGURACOES!$H$37:$H$300,MATCH($I832,CONFIGURACOES!$B$37:$B$300,0)),"")</f>
        <v/>
      </c>
      <c r="L832" s="20" t="n"/>
      <c r="M832" s="20">
        <f>IFERROR(INDEX(CONFIGURACOES!$I$37:$I$300,MATCH($I832,CONFIGURACOES!$B$37:$B$300,0)),"")</f>
        <v/>
      </c>
      <c r="N832" s="21" t="n"/>
      <c r="O832" s="21" t="n"/>
      <c r="P832" s="21" t="n"/>
      <c r="Q832" s="21" t="n"/>
      <c r="R832" s="21">
        <f>IF($N832="","",$N832*IF($Q832="",1,$Q832)*IF($P832="",1,$P832)*IF($O832="",1,$O832))</f>
        <v/>
      </c>
      <c r="S832" s="22">
        <f>IFERROR(INDEX(CONFIGURACOES!$J$37:$J$300,MATCH($I832,CONFIGURACOES!$B$37:$B$300,0)),"")</f>
        <v/>
      </c>
      <c r="T832" s="22">
        <f>IF(OR($R832="",$S832=""),"",$R832*$S832)</f>
        <v/>
      </c>
      <c r="U832" s="20" t="n"/>
      <c r="V832" s="20" t="n"/>
      <c r="W832" s="20" t="n"/>
      <c r="X832">
        <f>IF($A832="","",$A832&amp;"|"&amp;$C832&amp;"|"&amp;$I832)</f>
        <v/>
      </c>
      <c r="Y832">
        <f>IF(AND($A832=RELATORIO_MEDICAO!$C$5,$C832=RELATORIO_MEDICAO!$F$5,$A832&lt;&gt;""),COUNTIFS($A$3:$A832,RELATORIO_MEDICAO!$C$5,$C$3:$C832,RELATORIO_MEDICAO!$F$5),"")</f>
        <v/>
      </c>
      <c r="Z832">
        <f>IF(OR($A832="",PESQUISA!$C$4=""),0,IF(OR(ISNUMBER(SEARCH(PESQUISA!$C$4,$G832)),ISNUMBER(SEARCH(PESQUISA!$C$4,$K832)),ISNUMBER(SEARCH(PESQUISA!$C$4,$L832))),1,0))</f>
        <v/>
      </c>
      <c r="AA832">
        <f>IF($Z832=1,SUM($Z$3:$Z832),"")</f>
        <v/>
      </c>
      <c r="AB832">
        <f>IF(OR($A832="",PESQUISA!$C$50=""),0,IF(ISNUMBER(SEARCH(PESQUISA!$C$50,$I832)),1,0))</f>
        <v/>
      </c>
      <c r="AC832">
        <f>IF($AB832=1,SUM($AB$3:$AB832),"")</f>
        <v/>
      </c>
    </row>
    <row r="833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>
        <f>IFERROR(INDEX(CONFIGURACOES!$G$37:$G$300,MATCH($I833,CONFIGURACOES!$B$37:$B$300,0)),"")</f>
        <v/>
      </c>
      <c r="K833" s="20">
        <f>IFERROR(INDEX(CONFIGURACOES!$H$37:$H$300,MATCH($I833,CONFIGURACOES!$B$37:$B$300,0)),"")</f>
        <v/>
      </c>
      <c r="L833" s="20" t="n"/>
      <c r="M833" s="20">
        <f>IFERROR(INDEX(CONFIGURACOES!$I$37:$I$300,MATCH($I833,CONFIGURACOES!$B$37:$B$300,0)),"")</f>
        <v/>
      </c>
      <c r="N833" s="21" t="n"/>
      <c r="O833" s="21" t="n"/>
      <c r="P833" s="21" t="n"/>
      <c r="Q833" s="21" t="n"/>
      <c r="R833" s="21">
        <f>IF($N833="","",$N833*IF($Q833="",1,$Q833)*IF($P833="",1,$P833)*IF($O833="",1,$O833))</f>
        <v/>
      </c>
      <c r="S833" s="22">
        <f>IFERROR(INDEX(CONFIGURACOES!$J$37:$J$300,MATCH($I833,CONFIGURACOES!$B$37:$B$300,0)),"")</f>
        <v/>
      </c>
      <c r="T833" s="22">
        <f>IF(OR($R833="",$S833=""),"",$R833*$S833)</f>
        <v/>
      </c>
      <c r="U833" s="20" t="n"/>
      <c r="V833" s="20" t="n"/>
      <c r="W833" s="20" t="n"/>
      <c r="X833">
        <f>IF($A833="","",$A833&amp;"|"&amp;$C833&amp;"|"&amp;$I833)</f>
        <v/>
      </c>
      <c r="Y833">
        <f>IF(AND($A833=RELATORIO_MEDICAO!$C$5,$C833=RELATORIO_MEDICAO!$F$5,$A833&lt;&gt;""),COUNTIFS($A$3:$A833,RELATORIO_MEDICAO!$C$5,$C$3:$C833,RELATORIO_MEDICAO!$F$5),"")</f>
        <v/>
      </c>
      <c r="Z833">
        <f>IF(OR($A833="",PESQUISA!$C$4=""),0,IF(OR(ISNUMBER(SEARCH(PESQUISA!$C$4,$G833)),ISNUMBER(SEARCH(PESQUISA!$C$4,$K833)),ISNUMBER(SEARCH(PESQUISA!$C$4,$L833))),1,0))</f>
        <v/>
      </c>
      <c r="AA833">
        <f>IF($Z833=1,SUM($Z$3:$Z833),"")</f>
        <v/>
      </c>
      <c r="AB833">
        <f>IF(OR($A833="",PESQUISA!$C$50=""),0,IF(ISNUMBER(SEARCH(PESQUISA!$C$50,$I833)),1,0))</f>
        <v/>
      </c>
      <c r="AC833">
        <f>IF($AB833=1,SUM($AB$3:$AB833),"")</f>
        <v/>
      </c>
    </row>
    <row r="834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>
        <f>IFERROR(INDEX(CONFIGURACOES!$G$37:$G$300,MATCH($I834,CONFIGURACOES!$B$37:$B$300,0)),"")</f>
        <v/>
      </c>
      <c r="K834" s="20">
        <f>IFERROR(INDEX(CONFIGURACOES!$H$37:$H$300,MATCH($I834,CONFIGURACOES!$B$37:$B$300,0)),"")</f>
        <v/>
      </c>
      <c r="L834" s="20" t="n"/>
      <c r="M834" s="20">
        <f>IFERROR(INDEX(CONFIGURACOES!$I$37:$I$300,MATCH($I834,CONFIGURACOES!$B$37:$B$300,0)),"")</f>
        <v/>
      </c>
      <c r="N834" s="21" t="n"/>
      <c r="O834" s="21" t="n"/>
      <c r="P834" s="21" t="n"/>
      <c r="Q834" s="21" t="n"/>
      <c r="R834" s="21">
        <f>IF($N834="","",$N834*IF($Q834="",1,$Q834)*IF($P834="",1,$P834)*IF($O834="",1,$O834))</f>
        <v/>
      </c>
      <c r="S834" s="22">
        <f>IFERROR(INDEX(CONFIGURACOES!$J$37:$J$300,MATCH($I834,CONFIGURACOES!$B$37:$B$300,0)),"")</f>
        <v/>
      </c>
      <c r="T834" s="22">
        <f>IF(OR($R834="",$S834=""),"",$R834*$S834)</f>
        <v/>
      </c>
      <c r="U834" s="20" t="n"/>
      <c r="V834" s="20" t="n"/>
      <c r="W834" s="20" t="n"/>
      <c r="X834">
        <f>IF($A834="","",$A834&amp;"|"&amp;$C834&amp;"|"&amp;$I834)</f>
        <v/>
      </c>
      <c r="Y834">
        <f>IF(AND($A834=RELATORIO_MEDICAO!$C$5,$C834=RELATORIO_MEDICAO!$F$5,$A834&lt;&gt;""),COUNTIFS($A$3:$A834,RELATORIO_MEDICAO!$C$5,$C$3:$C834,RELATORIO_MEDICAO!$F$5),"")</f>
        <v/>
      </c>
      <c r="Z834">
        <f>IF(OR($A834="",PESQUISA!$C$4=""),0,IF(OR(ISNUMBER(SEARCH(PESQUISA!$C$4,$G834)),ISNUMBER(SEARCH(PESQUISA!$C$4,$K834)),ISNUMBER(SEARCH(PESQUISA!$C$4,$L834))),1,0))</f>
        <v/>
      </c>
      <c r="AA834">
        <f>IF($Z834=1,SUM($Z$3:$Z834),"")</f>
        <v/>
      </c>
      <c r="AB834">
        <f>IF(OR($A834="",PESQUISA!$C$50=""),0,IF(ISNUMBER(SEARCH(PESQUISA!$C$50,$I834)),1,0))</f>
        <v/>
      </c>
      <c r="AC834">
        <f>IF($AB834=1,SUM($AB$3:$AB834),"")</f>
        <v/>
      </c>
    </row>
    <row r="835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>
        <f>IFERROR(INDEX(CONFIGURACOES!$G$37:$G$300,MATCH($I835,CONFIGURACOES!$B$37:$B$300,0)),"")</f>
        <v/>
      </c>
      <c r="K835" s="20">
        <f>IFERROR(INDEX(CONFIGURACOES!$H$37:$H$300,MATCH($I835,CONFIGURACOES!$B$37:$B$300,0)),"")</f>
        <v/>
      </c>
      <c r="L835" s="20" t="n"/>
      <c r="M835" s="20">
        <f>IFERROR(INDEX(CONFIGURACOES!$I$37:$I$300,MATCH($I835,CONFIGURACOES!$B$37:$B$300,0)),"")</f>
        <v/>
      </c>
      <c r="N835" s="21" t="n"/>
      <c r="O835" s="21" t="n"/>
      <c r="P835" s="21" t="n"/>
      <c r="Q835" s="21" t="n"/>
      <c r="R835" s="21">
        <f>IF($N835="","",$N835*IF($Q835="",1,$Q835)*IF($P835="",1,$P835)*IF($O835="",1,$O835))</f>
        <v/>
      </c>
      <c r="S835" s="22">
        <f>IFERROR(INDEX(CONFIGURACOES!$J$37:$J$300,MATCH($I835,CONFIGURACOES!$B$37:$B$300,0)),"")</f>
        <v/>
      </c>
      <c r="T835" s="22">
        <f>IF(OR($R835="",$S835=""),"",$R835*$S835)</f>
        <v/>
      </c>
      <c r="U835" s="20" t="n"/>
      <c r="V835" s="20" t="n"/>
      <c r="W835" s="20" t="n"/>
      <c r="X835">
        <f>IF($A835="","",$A835&amp;"|"&amp;$C835&amp;"|"&amp;$I835)</f>
        <v/>
      </c>
      <c r="Y835">
        <f>IF(AND($A835=RELATORIO_MEDICAO!$C$5,$C835=RELATORIO_MEDICAO!$F$5,$A835&lt;&gt;""),COUNTIFS($A$3:$A835,RELATORIO_MEDICAO!$C$5,$C$3:$C835,RELATORIO_MEDICAO!$F$5),"")</f>
        <v/>
      </c>
      <c r="Z835">
        <f>IF(OR($A835="",PESQUISA!$C$4=""),0,IF(OR(ISNUMBER(SEARCH(PESQUISA!$C$4,$G835)),ISNUMBER(SEARCH(PESQUISA!$C$4,$K835)),ISNUMBER(SEARCH(PESQUISA!$C$4,$L835))),1,0))</f>
        <v/>
      </c>
      <c r="AA835">
        <f>IF($Z835=1,SUM($Z$3:$Z835),"")</f>
        <v/>
      </c>
      <c r="AB835">
        <f>IF(OR($A835="",PESQUISA!$C$50=""),0,IF(ISNUMBER(SEARCH(PESQUISA!$C$50,$I835)),1,0))</f>
        <v/>
      </c>
      <c r="AC835">
        <f>IF($AB835=1,SUM($AB$3:$AB835),"")</f>
        <v/>
      </c>
    </row>
    <row r="836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>
        <f>IFERROR(INDEX(CONFIGURACOES!$G$37:$G$300,MATCH($I836,CONFIGURACOES!$B$37:$B$300,0)),"")</f>
        <v/>
      </c>
      <c r="K836" s="20">
        <f>IFERROR(INDEX(CONFIGURACOES!$H$37:$H$300,MATCH($I836,CONFIGURACOES!$B$37:$B$300,0)),"")</f>
        <v/>
      </c>
      <c r="L836" s="20" t="n"/>
      <c r="M836" s="20">
        <f>IFERROR(INDEX(CONFIGURACOES!$I$37:$I$300,MATCH($I836,CONFIGURACOES!$B$37:$B$300,0)),"")</f>
        <v/>
      </c>
      <c r="N836" s="21" t="n"/>
      <c r="O836" s="21" t="n"/>
      <c r="P836" s="21" t="n"/>
      <c r="Q836" s="21" t="n"/>
      <c r="R836" s="21">
        <f>IF($N836="","",$N836*IF($Q836="",1,$Q836)*IF($P836="",1,$P836)*IF($O836="",1,$O836))</f>
        <v/>
      </c>
      <c r="S836" s="22">
        <f>IFERROR(INDEX(CONFIGURACOES!$J$37:$J$300,MATCH($I836,CONFIGURACOES!$B$37:$B$300,0)),"")</f>
        <v/>
      </c>
      <c r="T836" s="22">
        <f>IF(OR($R836="",$S836=""),"",$R836*$S836)</f>
        <v/>
      </c>
      <c r="U836" s="20" t="n"/>
      <c r="V836" s="20" t="n"/>
      <c r="W836" s="20" t="n"/>
      <c r="X836">
        <f>IF($A836="","",$A836&amp;"|"&amp;$C836&amp;"|"&amp;$I836)</f>
        <v/>
      </c>
      <c r="Y836">
        <f>IF(AND($A836=RELATORIO_MEDICAO!$C$5,$C836=RELATORIO_MEDICAO!$F$5,$A836&lt;&gt;""),COUNTIFS($A$3:$A836,RELATORIO_MEDICAO!$C$5,$C$3:$C836,RELATORIO_MEDICAO!$F$5),"")</f>
        <v/>
      </c>
      <c r="Z836">
        <f>IF(OR($A836="",PESQUISA!$C$4=""),0,IF(OR(ISNUMBER(SEARCH(PESQUISA!$C$4,$G836)),ISNUMBER(SEARCH(PESQUISA!$C$4,$K836)),ISNUMBER(SEARCH(PESQUISA!$C$4,$L836))),1,0))</f>
        <v/>
      </c>
      <c r="AA836">
        <f>IF($Z836=1,SUM($Z$3:$Z836),"")</f>
        <v/>
      </c>
      <c r="AB836">
        <f>IF(OR($A836="",PESQUISA!$C$50=""),0,IF(ISNUMBER(SEARCH(PESQUISA!$C$50,$I836)),1,0))</f>
        <v/>
      </c>
      <c r="AC836">
        <f>IF($AB836=1,SUM($AB$3:$AB836),"")</f>
        <v/>
      </c>
    </row>
    <row r="837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>
        <f>IFERROR(INDEX(CONFIGURACOES!$G$37:$G$300,MATCH($I837,CONFIGURACOES!$B$37:$B$300,0)),"")</f>
        <v/>
      </c>
      <c r="K837" s="20">
        <f>IFERROR(INDEX(CONFIGURACOES!$H$37:$H$300,MATCH($I837,CONFIGURACOES!$B$37:$B$300,0)),"")</f>
        <v/>
      </c>
      <c r="L837" s="20" t="n"/>
      <c r="M837" s="20">
        <f>IFERROR(INDEX(CONFIGURACOES!$I$37:$I$300,MATCH($I837,CONFIGURACOES!$B$37:$B$300,0)),"")</f>
        <v/>
      </c>
      <c r="N837" s="21" t="n"/>
      <c r="O837" s="21" t="n"/>
      <c r="P837" s="21" t="n"/>
      <c r="Q837" s="21" t="n"/>
      <c r="R837" s="21">
        <f>IF($N837="","",$N837*IF($Q837="",1,$Q837)*IF($P837="",1,$P837)*IF($O837="",1,$O837))</f>
        <v/>
      </c>
      <c r="S837" s="22">
        <f>IFERROR(INDEX(CONFIGURACOES!$J$37:$J$300,MATCH($I837,CONFIGURACOES!$B$37:$B$300,0)),"")</f>
        <v/>
      </c>
      <c r="T837" s="22">
        <f>IF(OR($R837="",$S837=""),"",$R837*$S837)</f>
        <v/>
      </c>
      <c r="U837" s="20" t="n"/>
      <c r="V837" s="20" t="n"/>
      <c r="W837" s="20" t="n"/>
      <c r="X837">
        <f>IF($A837="","",$A837&amp;"|"&amp;$C837&amp;"|"&amp;$I837)</f>
        <v/>
      </c>
      <c r="Y837">
        <f>IF(AND($A837=RELATORIO_MEDICAO!$C$5,$C837=RELATORIO_MEDICAO!$F$5,$A837&lt;&gt;""),COUNTIFS($A$3:$A837,RELATORIO_MEDICAO!$C$5,$C$3:$C837,RELATORIO_MEDICAO!$F$5),"")</f>
        <v/>
      </c>
      <c r="Z837">
        <f>IF(OR($A837="",PESQUISA!$C$4=""),0,IF(OR(ISNUMBER(SEARCH(PESQUISA!$C$4,$G837)),ISNUMBER(SEARCH(PESQUISA!$C$4,$K837)),ISNUMBER(SEARCH(PESQUISA!$C$4,$L837))),1,0))</f>
        <v/>
      </c>
      <c r="AA837">
        <f>IF($Z837=1,SUM($Z$3:$Z837),"")</f>
        <v/>
      </c>
      <c r="AB837">
        <f>IF(OR($A837="",PESQUISA!$C$50=""),0,IF(ISNUMBER(SEARCH(PESQUISA!$C$50,$I837)),1,0))</f>
        <v/>
      </c>
      <c r="AC837">
        <f>IF($AB837=1,SUM($AB$3:$AB837),"")</f>
        <v/>
      </c>
    </row>
    <row r="838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>
        <f>IFERROR(INDEX(CONFIGURACOES!$G$37:$G$300,MATCH($I838,CONFIGURACOES!$B$37:$B$300,0)),"")</f>
        <v/>
      </c>
      <c r="K838" s="20">
        <f>IFERROR(INDEX(CONFIGURACOES!$H$37:$H$300,MATCH($I838,CONFIGURACOES!$B$37:$B$300,0)),"")</f>
        <v/>
      </c>
      <c r="L838" s="20" t="n"/>
      <c r="M838" s="20">
        <f>IFERROR(INDEX(CONFIGURACOES!$I$37:$I$300,MATCH($I838,CONFIGURACOES!$B$37:$B$300,0)),"")</f>
        <v/>
      </c>
      <c r="N838" s="21" t="n"/>
      <c r="O838" s="21" t="n"/>
      <c r="P838" s="21" t="n"/>
      <c r="Q838" s="21" t="n"/>
      <c r="R838" s="21">
        <f>IF($N838="","",$N838*IF($Q838="",1,$Q838)*IF($P838="",1,$P838)*IF($O838="",1,$O838))</f>
        <v/>
      </c>
      <c r="S838" s="22">
        <f>IFERROR(INDEX(CONFIGURACOES!$J$37:$J$300,MATCH($I838,CONFIGURACOES!$B$37:$B$300,0)),"")</f>
        <v/>
      </c>
      <c r="T838" s="22">
        <f>IF(OR($R838="",$S838=""),"",$R838*$S838)</f>
        <v/>
      </c>
      <c r="U838" s="20" t="n"/>
      <c r="V838" s="20" t="n"/>
      <c r="W838" s="20" t="n"/>
      <c r="X838">
        <f>IF($A838="","",$A838&amp;"|"&amp;$C838&amp;"|"&amp;$I838)</f>
        <v/>
      </c>
      <c r="Y838">
        <f>IF(AND($A838=RELATORIO_MEDICAO!$C$5,$C838=RELATORIO_MEDICAO!$F$5,$A838&lt;&gt;""),COUNTIFS($A$3:$A838,RELATORIO_MEDICAO!$C$5,$C$3:$C838,RELATORIO_MEDICAO!$F$5),"")</f>
        <v/>
      </c>
      <c r="Z838">
        <f>IF(OR($A838="",PESQUISA!$C$4=""),0,IF(OR(ISNUMBER(SEARCH(PESQUISA!$C$4,$G838)),ISNUMBER(SEARCH(PESQUISA!$C$4,$K838)),ISNUMBER(SEARCH(PESQUISA!$C$4,$L838))),1,0))</f>
        <v/>
      </c>
      <c r="AA838">
        <f>IF($Z838=1,SUM($Z$3:$Z838),"")</f>
        <v/>
      </c>
      <c r="AB838">
        <f>IF(OR($A838="",PESQUISA!$C$50=""),0,IF(ISNUMBER(SEARCH(PESQUISA!$C$50,$I838)),1,0))</f>
        <v/>
      </c>
      <c r="AC838">
        <f>IF($AB838=1,SUM($AB$3:$AB838),"")</f>
        <v/>
      </c>
    </row>
    <row r="839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>
        <f>IFERROR(INDEX(CONFIGURACOES!$G$37:$G$300,MATCH($I839,CONFIGURACOES!$B$37:$B$300,0)),"")</f>
        <v/>
      </c>
      <c r="K839" s="20">
        <f>IFERROR(INDEX(CONFIGURACOES!$H$37:$H$300,MATCH($I839,CONFIGURACOES!$B$37:$B$300,0)),"")</f>
        <v/>
      </c>
      <c r="L839" s="20" t="n"/>
      <c r="M839" s="20">
        <f>IFERROR(INDEX(CONFIGURACOES!$I$37:$I$300,MATCH($I839,CONFIGURACOES!$B$37:$B$300,0)),"")</f>
        <v/>
      </c>
      <c r="N839" s="21" t="n"/>
      <c r="O839" s="21" t="n"/>
      <c r="P839" s="21" t="n"/>
      <c r="Q839" s="21" t="n"/>
      <c r="R839" s="21">
        <f>IF($N839="","",$N839*IF($Q839="",1,$Q839)*IF($P839="",1,$P839)*IF($O839="",1,$O839))</f>
        <v/>
      </c>
      <c r="S839" s="22">
        <f>IFERROR(INDEX(CONFIGURACOES!$J$37:$J$300,MATCH($I839,CONFIGURACOES!$B$37:$B$300,0)),"")</f>
        <v/>
      </c>
      <c r="T839" s="22">
        <f>IF(OR($R839="",$S839=""),"",$R839*$S839)</f>
        <v/>
      </c>
      <c r="U839" s="20" t="n"/>
      <c r="V839" s="20" t="n"/>
      <c r="W839" s="20" t="n"/>
      <c r="X839">
        <f>IF($A839="","",$A839&amp;"|"&amp;$C839&amp;"|"&amp;$I839)</f>
        <v/>
      </c>
      <c r="Y839">
        <f>IF(AND($A839=RELATORIO_MEDICAO!$C$5,$C839=RELATORIO_MEDICAO!$F$5,$A839&lt;&gt;""),COUNTIFS($A$3:$A839,RELATORIO_MEDICAO!$C$5,$C$3:$C839,RELATORIO_MEDICAO!$F$5),"")</f>
        <v/>
      </c>
      <c r="Z839">
        <f>IF(OR($A839="",PESQUISA!$C$4=""),0,IF(OR(ISNUMBER(SEARCH(PESQUISA!$C$4,$G839)),ISNUMBER(SEARCH(PESQUISA!$C$4,$K839)),ISNUMBER(SEARCH(PESQUISA!$C$4,$L839))),1,0))</f>
        <v/>
      </c>
      <c r="AA839">
        <f>IF($Z839=1,SUM($Z$3:$Z839),"")</f>
        <v/>
      </c>
      <c r="AB839">
        <f>IF(OR($A839="",PESQUISA!$C$50=""),0,IF(ISNUMBER(SEARCH(PESQUISA!$C$50,$I839)),1,0))</f>
        <v/>
      </c>
      <c r="AC839">
        <f>IF($AB839=1,SUM($AB$3:$AB839),"")</f>
        <v/>
      </c>
    </row>
    <row r="840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>
        <f>IFERROR(INDEX(CONFIGURACOES!$G$37:$G$300,MATCH($I840,CONFIGURACOES!$B$37:$B$300,0)),"")</f>
        <v/>
      </c>
      <c r="K840" s="20">
        <f>IFERROR(INDEX(CONFIGURACOES!$H$37:$H$300,MATCH($I840,CONFIGURACOES!$B$37:$B$300,0)),"")</f>
        <v/>
      </c>
      <c r="L840" s="20" t="n"/>
      <c r="M840" s="20">
        <f>IFERROR(INDEX(CONFIGURACOES!$I$37:$I$300,MATCH($I840,CONFIGURACOES!$B$37:$B$300,0)),"")</f>
        <v/>
      </c>
      <c r="N840" s="21" t="n"/>
      <c r="O840" s="21" t="n"/>
      <c r="P840" s="21" t="n"/>
      <c r="Q840" s="21" t="n"/>
      <c r="R840" s="21">
        <f>IF($N840="","",$N840*IF($Q840="",1,$Q840)*IF($P840="",1,$P840)*IF($O840="",1,$O840))</f>
        <v/>
      </c>
      <c r="S840" s="22">
        <f>IFERROR(INDEX(CONFIGURACOES!$J$37:$J$300,MATCH($I840,CONFIGURACOES!$B$37:$B$300,0)),"")</f>
        <v/>
      </c>
      <c r="T840" s="22">
        <f>IF(OR($R840="",$S840=""),"",$R840*$S840)</f>
        <v/>
      </c>
      <c r="U840" s="20" t="n"/>
      <c r="V840" s="20" t="n"/>
      <c r="W840" s="20" t="n"/>
      <c r="X840">
        <f>IF($A840="","",$A840&amp;"|"&amp;$C840&amp;"|"&amp;$I840)</f>
        <v/>
      </c>
      <c r="Y840">
        <f>IF(AND($A840=RELATORIO_MEDICAO!$C$5,$C840=RELATORIO_MEDICAO!$F$5,$A840&lt;&gt;""),COUNTIFS($A$3:$A840,RELATORIO_MEDICAO!$C$5,$C$3:$C840,RELATORIO_MEDICAO!$F$5),"")</f>
        <v/>
      </c>
      <c r="Z840">
        <f>IF(OR($A840="",PESQUISA!$C$4=""),0,IF(OR(ISNUMBER(SEARCH(PESQUISA!$C$4,$G840)),ISNUMBER(SEARCH(PESQUISA!$C$4,$K840)),ISNUMBER(SEARCH(PESQUISA!$C$4,$L840))),1,0))</f>
        <v/>
      </c>
      <c r="AA840">
        <f>IF($Z840=1,SUM($Z$3:$Z840),"")</f>
        <v/>
      </c>
      <c r="AB840">
        <f>IF(OR($A840="",PESQUISA!$C$50=""),0,IF(ISNUMBER(SEARCH(PESQUISA!$C$50,$I840)),1,0))</f>
        <v/>
      </c>
      <c r="AC840">
        <f>IF($AB840=1,SUM($AB$3:$AB840),"")</f>
        <v/>
      </c>
    </row>
    <row r="841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>
        <f>IFERROR(INDEX(CONFIGURACOES!$G$37:$G$300,MATCH($I841,CONFIGURACOES!$B$37:$B$300,0)),"")</f>
        <v/>
      </c>
      <c r="K841" s="20">
        <f>IFERROR(INDEX(CONFIGURACOES!$H$37:$H$300,MATCH($I841,CONFIGURACOES!$B$37:$B$300,0)),"")</f>
        <v/>
      </c>
      <c r="L841" s="20" t="n"/>
      <c r="M841" s="20">
        <f>IFERROR(INDEX(CONFIGURACOES!$I$37:$I$300,MATCH($I841,CONFIGURACOES!$B$37:$B$300,0)),"")</f>
        <v/>
      </c>
      <c r="N841" s="21" t="n"/>
      <c r="O841" s="21" t="n"/>
      <c r="P841" s="21" t="n"/>
      <c r="Q841" s="21" t="n"/>
      <c r="R841" s="21">
        <f>IF($N841="","",$N841*IF($Q841="",1,$Q841)*IF($P841="",1,$P841)*IF($O841="",1,$O841))</f>
        <v/>
      </c>
      <c r="S841" s="22">
        <f>IFERROR(INDEX(CONFIGURACOES!$J$37:$J$300,MATCH($I841,CONFIGURACOES!$B$37:$B$300,0)),"")</f>
        <v/>
      </c>
      <c r="T841" s="22">
        <f>IF(OR($R841="",$S841=""),"",$R841*$S841)</f>
        <v/>
      </c>
      <c r="U841" s="20" t="n"/>
      <c r="V841" s="20" t="n"/>
      <c r="W841" s="20" t="n"/>
      <c r="X841">
        <f>IF($A841="","",$A841&amp;"|"&amp;$C841&amp;"|"&amp;$I841)</f>
        <v/>
      </c>
      <c r="Y841">
        <f>IF(AND($A841=RELATORIO_MEDICAO!$C$5,$C841=RELATORIO_MEDICAO!$F$5,$A841&lt;&gt;""),COUNTIFS($A$3:$A841,RELATORIO_MEDICAO!$C$5,$C$3:$C841,RELATORIO_MEDICAO!$F$5),"")</f>
        <v/>
      </c>
      <c r="Z841">
        <f>IF(OR($A841="",PESQUISA!$C$4=""),0,IF(OR(ISNUMBER(SEARCH(PESQUISA!$C$4,$G841)),ISNUMBER(SEARCH(PESQUISA!$C$4,$K841)),ISNUMBER(SEARCH(PESQUISA!$C$4,$L841))),1,0))</f>
        <v/>
      </c>
      <c r="AA841">
        <f>IF($Z841=1,SUM($Z$3:$Z841),"")</f>
        <v/>
      </c>
      <c r="AB841">
        <f>IF(OR($A841="",PESQUISA!$C$50=""),0,IF(ISNUMBER(SEARCH(PESQUISA!$C$50,$I841)),1,0))</f>
        <v/>
      </c>
      <c r="AC841">
        <f>IF($AB841=1,SUM($AB$3:$AB841),"")</f>
        <v/>
      </c>
    </row>
    <row r="842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>
        <f>IFERROR(INDEX(CONFIGURACOES!$G$37:$G$300,MATCH($I842,CONFIGURACOES!$B$37:$B$300,0)),"")</f>
        <v/>
      </c>
      <c r="K842" s="20">
        <f>IFERROR(INDEX(CONFIGURACOES!$H$37:$H$300,MATCH($I842,CONFIGURACOES!$B$37:$B$300,0)),"")</f>
        <v/>
      </c>
      <c r="L842" s="20" t="n"/>
      <c r="M842" s="20">
        <f>IFERROR(INDEX(CONFIGURACOES!$I$37:$I$300,MATCH($I842,CONFIGURACOES!$B$37:$B$300,0)),"")</f>
        <v/>
      </c>
      <c r="N842" s="21" t="n"/>
      <c r="O842" s="21" t="n"/>
      <c r="P842" s="21" t="n"/>
      <c r="Q842" s="21" t="n"/>
      <c r="R842" s="21">
        <f>IF($N842="","",$N842*IF($Q842="",1,$Q842)*IF($P842="",1,$P842)*IF($O842="",1,$O842))</f>
        <v/>
      </c>
      <c r="S842" s="22">
        <f>IFERROR(INDEX(CONFIGURACOES!$J$37:$J$300,MATCH($I842,CONFIGURACOES!$B$37:$B$300,0)),"")</f>
        <v/>
      </c>
      <c r="T842" s="22">
        <f>IF(OR($R842="",$S842=""),"",$R842*$S842)</f>
        <v/>
      </c>
      <c r="U842" s="20" t="n"/>
      <c r="V842" s="20" t="n"/>
      <c r="W842" s="20" t="n"/>
      <c r="X842">
        <f>IF($A842="","",$A842&amp;"|"&amp;$C842&amp;"|"&amp;$I842)</f>
        <v/>
      </c>
      <c r="Y842">
        <f>IF(AND($A842=RELATORIO_MEDICAO!$C$5,$C842=RELATORIO_MEDICAO!$F$5,$A842&lt;&gt;""),COUNTIFS($A$3:$A842,RELATORIO_MEDICAO!$C$5,$C$3:$C842,RELATORIO_MEDICAO!$F$5),"")</f>
        <v/>
      </c>
      <c r="Z842">
        <f>IF(OR($A842="",PESQUISA!$C$4=""),0,IF(OR(ISNUMBER(SEARCH(PESQUISA!$C$4,$G842)),ISNUMBER(SEARCH(PESQUISA!$C$4,$K842)),ISNUMBER(SEARCH(PESQUISA!$C$4,$L842))),1,0))</f>
        <v/>
      </c>
      <c r="AA842">
        <f>IF($Z842=1,SUM($Z$3:$Z842),"")</f>
        <v/>
      </c>
      <c r="AB842">
        <f>IF(OR($A842="",PESQUISA!$C$50=""),0,IF(ISNUMBER(SEARCH(PESQUISA!$C$50,$I842)),1,0))</f>
        <v/>
      </c>
      <c r="AC842">
        <f>IF($AB842=1,SUM($AB$3:$AB842),"")</f>
        <v/>
      </c>
    </row>
    <row r="843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>
        <f>IFERROR(INDEX(CONFIGURACOES!$G$37:$G$300,MATCH($I843,CONFIGURACOES!$B$37:$B$300,0)),"")</f>
        <v/>
      </c>
      <c r="K843" s="20">
        <f>IFERROR(INDEX(CONFIGURACOES!$H$37:$H$300,MATCH($I843,CONFIGURACOES!$B$37:$B$300,0)),"")</f>
        <v/>
      </c>
      <c r="L843" s="20" t="n"/>
      <c r="M843" s="20">
        <f>IFERROR(INDEX(CONFIGURACOES!$I$37:$I$300,MATCH($I843,CONFIGURACOES!$B$37:$B$300,0)),"")</f>
        <v/>
      </c>
      <c r="N843" s="21" t="n"/>
      <c r="O843" s="21" t="n"/>
      <c r="P843" s="21" t="n"/>
      <c r="Q843" s="21" t="n"/>
      <c r="R843" s="21">
        <f>IF($N843="","",$N843*IF($Q843="",1,$Q843)*IF($P843="",1,$P843)*IF($O843="",1,$O843))</f>
        <v/>
      </c>
      <c r="S843" s="22">
        <f>IFERROR(INDEX(CONFIGURACOES!$J$37:$J$300,MATCH($I843,CONFIGURACOES!$B$37:$B$300,0)),"")</f>
        <v/>
      </c>
      <c r="T843" s="22">
        <f>IF(OR($R843="",$S843=""),"",$R843*$S843)</f>
        <v/>
      </c>
      <c r="U843" s="20" t="n"/>
      <c r="V843" s="20" t="n"/>
      <c r="W843" s="20" t="n"/>
      <c r="X843">
        <f>IF($A843="","",$A843&amp;"|"&amp;$C843&amp;"|"&amp;$I843)</f>
        <v/>
      </c>
      <c r="Y843">
        <f>IF(AND($A843=RELATORIO_MEDICAO!$C$5,$C843=RELATORIO_MEDICAO!$F$5,$A843&lt;&gt;""),COUNTIFS($A$3:$A843,RELATORIO_MEDICAO!$C$5,$C$3:$C843,RELATORIO_MEDICAO!$F$5),"")</f>
        <v/>
      </c>
      <c r="Z843">
        <f>IF(OR($A843="",PESQUISA!$C$4=""),0,IF(OR(ISNUMBER(SEARCH(PESQUISA!$C$4,$G843)),ISNUMBER(SEARCH(PESQUISA!$C$4,$K843)),ISNUMBER(SEARCH(PESQUISA!$C$4,$L843))),1,0))</f>
        <v/>
      </c>
      <c r="AA843">
        <f>IF($Z843=1,SUM($Z$3:$Z843),"")</f>
        <v/>
      </c>
      <c r="AB843">
        <f>IF(OR($A843="",PESQUISA!$C$50=""),0,IF(ISNUMBER(SEARCH(PESQUISA!$C$50,$I843)),1,0))</f>
        <v/>
      </c>
      <c r="AC843">
        <f>IF($AB843=1,SUM($AB$3:$AB843),"")</f>
        <v/>
      </c>
    </row>
    <row r="844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>
        <f>IFERROR(INDEX(CONFIGURACOES!$G$37:$G$300,MATCH($I844,CONFIGURACOES!$B$37:$B$300,0)),"")</f>
        <v/>
      </c>
      <c r="K844" s="20">
        <f>IFERROR(INDEX(CONFIGURACOES!$H$37:$H$300,MATCH($I844,CONFIGURACOES!$B$37:$B$300,0)),"")</f>
        <v/>
      </c>
      <c r="L844" s="20" t="n"/>
      <c r="M844" s="20">
        <f>IFERROR(INDEX(CONFIGURACOES!$I$37:$I$300,MATCH($I844,CONFIGURACOES!$B$37:$B$300,0)),"")</f>
        <v/>
      </c>
      <c r="N844" s="21" t="n"/>
      <c r="O844" s="21" t="n"/>
      <c r="P844" s="21" t="n"/>
      <c r="Q844" s="21" t="n"/>
      <c r="R844" s="21">
        <f>IF($N844="","",$N844*IF($Q844="",1,$Q844)*IF($P844="",1,$P844)*IF($O844="",1,$O844))</f>
        <v/>
      </c>
      <c r="S844" s="22">
        <f>IFERROR(INDEX(CONFIGURACOES!$J$37:$J$300,MATCH($I844,CONFIGURACOES!$B$37:$B$300,0)),"")</f>
        <v/>
      </c>
      <c r="T844" s="22">
        <f>IF(OR($R844="",$S844=""),"",$R844*$S844)</f>
        <v/>
      </c>
      <c r="U844" s="20" t="n"/>
      <c r="V844" s="20" t="n"/>
      <c r="W844" s="20" t="n"/>
      <c r="X844">
        <f>IF($A844="","",$A844&amp;"|"&amp;$C844&amp;"|"&amp;$I844)</f>
        <v/>
      </c>
      <c r="Y844">
        <f>IF(AND($A844=RELATORIO_MEDICAO!$C$5,$C844=RELATORIO_MEDICAO!$F$5,$A844&lt;&gt;""),COUNTIFS($A$3:$A844,RELATORIO_MEDICAO!$C$5,$C$3:$C844,RELATORIO_MEDICAO!$F$5),"")</f>
        <v/>
      </c>
      <c r="Z844">
        <f>IF(OR($A844="",PESQUISA!$C$4=""),0,IF(OR(ISNUMBER(SEARCH(PESQUISA!$C$4,$G844)),ISNUMBER(SEARCH(PESQUISA!$C$4,$K844)),ISNUMBER(SEARCH(PESQUISA!$C$4,$L844))),1,0))</f>
        <v/>
      </c>
      <c r="AA844">
        <f>IF($Z844=1,SUM($Z$3:$Z844),"")</f>
        <v/>
      </c>
      <c r="AB844">
        <f>IF(OR($A844="",PESQUISA!$C$50=""),0,IF(ISNUMBER(SEARCH(PESQUISA!$C$50,$I844)),1,0))</f>
        <v/>
      </c>
      <c r="AC844">
        <f>IF($AB844=1,SUM($AB$3:$AB844),"")</f>
        <v/>
      </c>
    </row>
    <row r="845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>
        <f>IFERROR(INDEX(CONFIGURACOES!$G$37:$G$300,MATCH($I845,CONFIGURACOES!$B$37:$B$300,0)),"")</f>
        <v/>
      </c>
      <c r="K845" s="20">
        <f>IFERROR(INDEX(CONFIGURACOES!$H$37:$H$300,MATCH($I845,CONFIGURACOES!$B$37:$B$300,0)),"")</f>
        <v/>
      </c>
      <c r="L845" s="20" t="n"/>
      <c r="M845" s="20">
        <f>IFERROR(INDEX(CONFIGURACOES!$I$37:$I$300,MATCH($I845,CONFIGURACOES!$B$37:$B$300,0)),"")</f>
        <v/>
      </c>
      <c r="N845" s="21" t="n"/>
      <c r="O845" s="21" t="n"/>
      <c r="P845" s="21" t="n"/>
      <c r="Q845" s="21" t="n"/>
      <c r="R845" s="21">
        <f>IF($N845="","",$N845*IF($Q845="",1,$Q845)*IF($P845="",1,$P845)*IF($O845="",1,$O845))</f>
        <v/>
      </c>
      <c r="S845" s="22">
        <f>IFERROR(INDEX(CONFIGURACOES!$J$37:$J$300,MATCH($I845,CONFIGURACOES!$B$37:$B$300,0)),"")</f>
        <v/>
      </c>
      <c r="T845" s="22">
        <f>IF(OR($R845="",$S845=""),"",$R845*$S845)</f>
        <v/>
      </c>
      <c r="U845" s="20" t="n"/>
      <c r="V845" s="20" t="n"/>
      <c r="W845" s="20" t="n"/>
      <c r="X845">
        <f>IF($A845="","",$A845&amp;"|"&amp;$C845&amp;"|"&amp;$I845)</f>
        <v/>
      </c>
      <c r="Y845">
        <f>IF(AND($A845=RELATORIO_MEDICAO!$C$5,$C845=RELATORIO_MEDICAO!$F$5,$A845&lt;&gt;""),COUNTIFS($A$3:$A845,RELATORIO_MEDICAO!$C$5,$C$3:$C845,RELATORIO_MEDICAO!$F$5),"")</f>
        <v/>
      </c>
      <c r="Z845">
        <f>IF(OR($A845="",PESQUISA!$C$4=""),0,IF(OR(ISNUMBER(SEARCH(PESQUISA!$C$4,$G845)),ISNUMBER(SEARCH(PESQUISA!$C$4,$K845)),ISNUMBER(SEARCH(PESQUISA!$C$4,$L845))),1,0))</f>
        <v/>
      </c>
      <c r="AA845">
        <f>IF($Z845=1,SUM($Z$3:$Z845),"")</f>
        <v/>
      </c>
      <c r="AB845">
        <f>IF(OR($A845="",PESQUISA!$C$50=""),0,IF(ISNUMBER(SEARCH(PESQUISA!$C$50,$I845)),1,0))</f>
        <v/>
      </c>
      <c r="AC845">
        <f>IF($AB845=1,SUM($AB$3:$AB845),"")</f>
        <v/>
      </c>
    </row>
    <row r="846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>
        <f>IFERROR(INDEX(CONFIGURACOES!$G$37:$G$300,MATCH($I846,CONFIGURACOES!$B$37:$B$300,0)),"")</f>
        <v/>
      </c>
      <c r="K846" s="20">
        <f>IFERROR(INDEX(CONFIGURACOES!$H$37:$H$300,MATCH($I846,CONFIGURACOES!$B$37:$B$300,0)),"")</f>
        <v/>
      </c>
      <c r="L846" s="20" t="n"/>
      <c r="M846" s="20">
        <f>IFERROR(INDEX(CONFIGURACOES!$I$37:$I$300,MATCH($I846,CONFIGURACOES!$B$37:$B$300,0)),"")</f>
        <v/>
      </c>
      <c r="N846" s="21" t="n"/>
      <c r="O846" s="21" t="n"/>
      <c r="P846" s="21" t="n"/>
      <c r="Q846" s="21" t="n"/>
      <c r="R846" s="21">
        <f>IF($N846="","",$N846*IF($Q846="",1,$Q846)*IF($P846="",1,$P846)*IF($O846="",1,$O846))</f>
        <v/>
      </c>
      <c r="S846" s="22">
        <f>IFERROR(INDEX(CONFIGURACOES!$J$37:$J$300,MATCH($I846,CONFIGURACOES!$B$37:$B$300,0)),"")</f>
        <v/>
      </c>
      <c r="T846" s="22">
        <f>IF(OR($R846="",$S846=""),"",$R846*$S846)</f>
        <v/>
      </c>
      <c r="U846" s="20" t="n"/>
      <c r="V846" s="20" t="n"/>
      <c r="W846" s="20" t="n"/>
      <c r="X846">
        <f>IF($A846="","",$A846&amp;"|"&amp;$C846&amp;"|"&amp;$I846)</f>
        <v/>
      </c>
      <c r="Y846">
        <f>IF(AND($A846=RELATORIO_MEDICAO!$C$5,$C846=RELATORIO_MEDICAO!$F$5,$A846&lt;&gt;""),COUNTIFS($A$3:$A846,RELATORIO_MEDICAO!$C$5,$C$3:$C846,RELATORIO_MEDICAO!$F$5),"")</f>
        <v/>
      </c>
      <c r="Z846">
        <f>IF(OR($A846="",PESQUISA!$C$4=""),0,IF(OR(ISNUMBER(SEARCH(PESQUISA!$C$4,$G846)),ISNUMBER(SEARCH(PESQUISA!$C$4,$K846)),ISNUMBER(SEARCH(PESQUISA!$C$4,$L846))),1,0))</f>
        <v/>
      </c>
      <c r="AA846">
        <f>IF($Z846=1,SUM($Z$3:$Z846),"")</f>
        <v/>
      </c>
      <c r="AB846">
        <f>IF(OR($A846="",PESQUISA!$C$50=""),0,IF(ISNUMBER(SEARCH(PESQUISA!$C$50,$I846)),1,0))</f>
        <v/>
      </c>
      <c r="AC846">
        <f>IF($AB846=1,SUM($AB$3:$AB846),"")</f>
        <v/>
      </c>
    </row>
    <row r="847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>
        <f>IFERROR(INDEX(CONFIGURACOES!$G$37:$G$300,MATCH($I847,CONFIGURACOES!$B$37:$B$300,0)),"")</f>
        <v/>
      </c>
      <c r="K847" s="20">
        <f>IFERROR(INDEX(CONFIGURACOES!$H$37:$H$300,MATCH($I847,CONFIGURACOES!$B$37:$B$300,0)),"")</f>
        <v/>
      </c>
      <c r="L847" s="20" t="n"/>
      <c r="M847" s="20">
        <f>IFERROR(INDEX(CONFIGURACOES!$I$37:$I$300,MATCH($I847,CONFIGURACOES!$B$37:$B$300,0)),"")</f>
        <v/>
      </c>
      <c r="N847" s="21" t="n"/>
      <c r="O847" s="21" t="n"/>
      <c r="P847" s="21" t="n"/>
      <c r="Q847" s="21" t="n"/>
      <c r="R847" s="21">
        <f>IF($N847="","",$N847*IF($Q847="",1,$Q847)*IF($P847="",1,$P847)*IF($O847="",1,$O847))</f>
        <v/>
      </c>
      <c r="S847" s="22">
        <f>IFERROR(INDEX(CONFIGURACOES!$J$37:$J$300,MATCH($I847,CONFIGURACOES!$B$37:$B$300,0)),"")</f>
        <v/>
      </c>
      <c r="T847" s="22">
        <f>IF(OR($R847="",$S847=""),"",$R847*$S847)</f>
        <v/>
      </c>
      <c r="U847" s="20" t="n"/>
      <c r="V847" s="20" t="n"/>
      <c r="W847" s="20" t="n"/>
      <c r="X847">
        <f>IF($A847="","",$A847&amp;"|"&amp;$C847&amp;"|"&amp;$I847)</f>
        <v/>
      </c>
      <c r="Y847">
        <f>IF(AND($A847=RELATORIO_MEDICAO!$C$5,$C847=RELATORIO_MEDICAO!$F$5,$A847&lt;&gt;""),COUNTIFS($A$3:$A847,RELATORIO_MEDICAO!$C$5,$C$3:$C847,RELATORIO_MEDICAO!$F$5),"")</f>
        <v/>
      </c>
      <c r="Z847">
        <f>IF(OR($A847="",PESQUISA!$C$4=""),0,IF(OR(ISNUMBER(SEARCH(PESQUISA!$C$4,$G847)),ISNUMBER(SEARCH(PESQUISA!$C$4,$K847)),ISNUMBER(SEARCH(PESQUISA!$C$4,$L847))),1,0))</f>
        <v/>
      </c>
      <c r="AA847">
        <f>IF($Z847=1,SUM($Z$3:$Z847),"")</f>
        <v/>
      </c>
      <c r="AB847">
        <f>IF(OR($A847="",PESQUISA!$C$50=""),0,IF(ISNUMBER(SEARCH(PESQUISA!$C$50,$I847)),1,0))</f>
        <v/>
      </c>
      <c r="AC847">
        <f>IF($AB847=1,SUM($AB$3:$AB847),"")</f>
        <v/>
      </c>
    </row>
    <row r="848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>
        <f>IFERROR(INDEX(CONFIGURACOES!$G$37:$G$300,MATCH($I848,CONFIGURACOES!$B$37:$B$300,0)),"")</f>
        <v/>
      </c>
      <c r="K848" s="20">
        <f>IFERROR(INDEX(CONFIGURACOES!$H$37:$H$300,MATCH($I848,CONFIGURACOES!$B$37:$B$300,0)),"")</f>
        <v/>
      </c>
      <c r="L848" s="20" t="n"/>
      <c r="M848" s="20">
        <f>IFERROR(INDEX(CONFIGURACOES!$I$37:$I$300,MATCH($I848,CONFIGURACOES!$B$37:$B$300,0)),"")</f>
        <v/>
      </c>
      <c r="N848" s="21" t="n"/>
      <c r="O848" s="21" t="n"/>
      <c r="P848" s="21" t="n"/>
      <c r="Q848" s="21" t="n"/>
      <c r="R848" s="21">
        <f>IF($N848="","",$N848*IF($Q848="",1,$Q848)*IF($P848="",1,$P848)*IF($O848="",1,$O848))</f>
        <v/>
      </c>
      <c r="S848" s="22">
        <f>IFERROR(INDEX(CONFIGURACOES!$J$37:$J$300,MATCH($I848,CONFIGURACOES!$B$37:$B$300,0)),"")</f>
        <v/>
      </c>
      <c r="T848" s="22">
        <f>IF(OR($R848="",$S848=""),"",$R848*$S848)</f>
        <v/>
      </c>
      <c r="U848" s="20" t="n"/>
      <c r="V848" s="20" t="n"/>
      <c r="W848" s="20" t="n"/>
      <c r="X848">
        <f>IF($A848="","",$A848&amp;"|"&amp;$C848&amp;"|"&amp;$I848)</f>
        <v/>
      </c>
      <c r="Y848">
        <f>IF(AND($A848=RELATORIO_MEDICAO!$C$5,$C848=RELATORIO_MEDICAO!$F$5,$A848&lt;&gt;""),COUNTIFS($A$3:$A848,RELATORIO_MEDICAO!$C$5,$C$3:$C848,RELATORIO_MEDICAO!$F$5),"")</f>
        <v/>
      </c>
      <c r="Z848">
        <f>IF(OR($A848="",PESQUISA!$C$4=""),0,IF(OR(ISNUMBER(SEARCH(PESQUISA!$C$4,$G848)),ISNUMBER(SEARCH(PESQUISA!$C$4,$K848)),ISNUMBER(SEARCH(PESQUISA!$C$4,$L848))),1,0))</f>
        <v/>
      </c>
      <c r="AA848">
        <f>IF($Z848=1,SUM($Z$3:$Z848),"")</f>
        <v/>
      </c>
      <c r="AB848">
        <f>IF(OR($A848="",PESQUISA!$C$50=""),0,IF(ISNUMBER(SEARCH(PESQUISA!$C$50,$I848)),1,0))</f>
        <v/>
      </c>
      <c r="AC848">
        <f>IF($AB848=1,SUM($AB$3:$AB848),"")</f>
        <v/>
      </c>
    </row>
    <row r="849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>
        <f>IFERROR(INDEX(CONFIGURACOES!$G$37:$G$300,MATCH($I849,CONFIGURACOES!$B$37:$B$300,0)),"")</f>
        <v/>
      </c>
      <c r="K849" s="20">
        <f>IFERROR(INDEX(CONFIGURACOES!$H$37:$H$300,MATCH($I849,CONFIGURACOES!$B$37:$B$300,0)),"")</f>
        <v/>
      </c>
      <c r="L849" s="20" t="n"/>
      <c r="M849" s="20">
        <f>IFERROR(INDEX(CONFIGURACOES!$I$37:$I$300,MATCH($I849,CONFIGURACOES!$B$37:$B$300,0)),"")</f>
        <v/>
      </c>
      <c r="N849" s="21" t="n"/>
      <c r="O849" s="21" t="n"/>
      <c r="P849" s="21" t="n"/>
      <c r="Q849" s="21" t="n"/>
      <c r="R849" s="21">
        <f>IF($N849="","",$N849*IF($Q849="",1,$Q849)*IF($P849="",1,$P849)*IF($O849="",1,$O849))</f>
        <v/>
      </c>
      <c r="S849" s="22">
        <f>IFERROR(INDEX(CONFIGURACOES!$J$37:$J$300,MATCH($I849,CONFIGURACOES!$B$37:$B$300,0)),"")</f>
        <v/>
      </c>
      <c r="T849" s="22">
        <f>IF(OR($R849="",$S849=""),"",$R849*$S849)</f>
        <v/>
      </c>
      <c r="U849" s="20" t="n"/>
      <c r="V849" s="20" t="n"/>
      <c r="W849" s="20" t="n"/>
      <c r="X849">
        <f>IF($A849="","",$A849&amp;"|"&amp;$C849&amp;"|"&amp;$I849)</f>
        <v/>
      </c>
      <c r="Y849">
        <f>IF(AND($A849=RELATORIO_MEDICAO!$C$5,$C849=RELATORIO_MEDICAO!$F$5,$A849&lt;&gt;""),COUNTIFS($A$3:$A849,RELATORIO_MEDICAO!$C$5,$C$3:$C849,RELATORIO_MEDICAO!$F$5),"")</f>
        <v/>
      </c>
      <c r="Z849">
        <f>IF(OR($A849="",PESQUISA!$C$4=""),0,IF(OR(ISNUMBER(SEARCH(PESQUISA!$C$4,$G849)),ISNUMBER(SEARCH(PESQUISA!$C$4,$K849)),ISNUMBER(SEARCH(PESQUISA!$C$4,$L849))),1,0))</f>
        <v/>
      </c>
      <c r="AA849">
        <f>IF($Z849=1,SUM($Z$3:$Z849),"")</f>
        <v/>
      </c>
      <c r="AB849">
        <f>IF(OR($A849="",PESQUISA!$C$50=""),0,IF(ISNUMBER(SEARCH(PESQUISA!$C$50,$I849)),1,0))</f>
        <v/>
      </c>
      <c r="AC849">
        <f>IF($AB849=1,SUM($AB$3:$AB849),"")</f>
        <v/>
      </c>
    </row>
    <row r="850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>
        <f>IFERROR(INDEX(CONFIGURACOES!$G$37:$G$300,MATCH($I850,CONFIGURACOES!$B$37:$B$300,0)),"")</f>
        <v/>
      </c>
      <c r="K850" s="20">
        <f>IFERROR(INDEX(CONFIGURACOES!$H$37:$H$300,MATCH($I850,CONFIGURACOES!$B$37:$B$300,0)),"")</f>
        <v/>
      </c>
      <c r="L850" s="20" t="n"/>
      <c r="M850" s="20">
        <f>IFERROR(INDEX(CONFIGURACOES!$I$37:$I$300,MATCH($I850,CONFIGURACOES!$B$37:$B$300,0)),"")</f>
        <v/>
      </c>
      <c r="N850" s="21" t="n"/>
      <c r="O850" s="21" t="n"/>
      <c r="P850" s="21" t="n"/>
      <c r="Q850" s="21" t="n"/>
      <c r="R850" s="21">
        <f>IF($N850="","",$N850*IF($Q850="",1,$Q850)*IF($P850="",1,$P850)*IF($O850="",1,$O850))</f>
        <v/>
      </c>
      <c r="S850" s="22">
        <f>IFERROR(INDEX(CONFIGURACOES!$J$37:$J$300,MATCH($I850,CONFIGURACOES!$B$37:$B$300,0)),"")</f>
        <v/>
      </c>
      <c r="T850" s="22">
        <f>IF(OR($R850="",$S850=""),"",$R850*$S850)</f>
        <v/>
      </c>
      <c r="U850" s="20" t="n"/>
      <c r="V850" s="20" t="n"/>
      <c r="W850" s="20" t="n"/>
      <c r="X850">
        <f>IF($A850="","",$A850&amp;"|"&amp;$C850&amp;"|"&amp;$I850)</f>
        <v/>
      </c>
      <c r="Y850">
        <f>IF(AND($A850=RELATORIO_MEDICAO!$C$5,$C850=RELATORIO_MEDICAO!$F$5,$A850&lt;&gt;""),COUNTIFS($A$3:$A850,RELATORIO_MEDICAO!$C$5,$C$3:$C850,RELATORIO_MEDICAO!$F$5),"")</f>
        <v/>
      </c>
      <c r="Z850">
        <f>IF(OR($A850="",PESQUISA!$C$4=""),0,IF(OR(ISNUMBER(SEARCH(PESQUISA!$C$4,$G850)),ISNUMBER(SEARCH(PESQUISA!$C$4,$K850)),ISNUMBER(SEARCH(PESQUISA!$C$4,$L850))),1,0))</f>
        <v/>
      </c>
      <c r="AA850">
        <f>IF($Z850=1,SUM($Z$3:$Z850),"")</f>
        <v/>
      </c>
      <c r="AB850">
        <f>IF(OR($A850="",PESQUISA!$C$50=""),0,IF(ISNUMBER(SEARCH(PESQUISA!$C$50,$I850)),1,0))</f>
        <v/>
      </c>
      <c r="AC850">
        <f>IF($AB850=1,SUM($AB$3:$AB850),"")</f>
        <v/>
      </c>
    </row>
    <row r="851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>
        <f>IFERROR(INDEX(CONFIGURACOES!$G$37:$G$300,MATCH($I851,CONFIGURACOES!$B$37:$B$300,0)),"")</f>
        <v/>
      </c>
      <c r="K851" s="20">
        <f>IFERROR(INDEX(CONFIGURACOES!$H$37:$H$300,MATCH($I851,CONFIGURACOES!$B$37:$B$300,0)),"")</f>
        <v/>
      </c>
      <c r="L851" s="20" t="n"/>
      <c r="M851" s="20">
        <f>IFERROR(INDEX(CONFIGURACOES!$I$37:$I$300,MATCH($I851,CONFIGURACOES!$B$37:$B$300,0)),"")</f>
        <v/>
      </c>
      <c r="N851" s="21" t="n"/>
      <c r="O851" s="21" t="n"/>
      <c r="P851" s="21" t="n"/>
      <c r="Q851" s="21" t="n"/>
      <c r="R851" s="21">
        <f>IF($N851="","",$N851*IF($Q851="",1,$Q851)*IF($P851="",1,$P851)*IF($O851="",1,$O851))</f>
        <v/>
      </c>
      <c r="S851" s="22">
        <f>IFERROR(INDEX(CONFIGURACOES!$J$37:$J$300,MATCH($I851,CONFIGURACOES!$B$37:$B$300,0)),"")</f>
        <v/>
      </c>
      <c r="T851" s="22">
        <f>IF(OR($R851="",$S851=""),"",$R851*$S851)</f>
        <v/>
      </c>
      <c r="U851" s="20" t="n"/>
      <c r="V851" s="20" t="n"/>
      <c r="W851" s="20" t="n"/>
      <c r="X851">
        <f>IF($A851="","",$A851&amp;"|"&amp;$C851&amp;"|"&amp;$I851)</f>
        <v/>
      </c>
      <c r="Y851">
        <f>IF(AND($A851=RELATORIO_MEDICAO!$C$5,$C851=RELATORIO_MEDICAO!$F$5,$A851&lt;&gt;""),COUNTIFS($A$3:$A851,RELATORIO_MEDICAO!$C$5,$C$3:$C851,RELATORIO_MEDICAO!$F$5),"")</f>
        <v/>
      </c>
      <c r="Z851">
        <f>IF(OR($A851="",PESQUISA!$C$4=""),0,IF(OR(ISNUMBER(SEARCH(PESQUISA!$C$4,$G851)),ISNUMBER(SEARCH(PESQUISA!$C$4,$K851)),ISNUMBER(SEARCH(PESQUISA!$C$4,$L851))),1,0))</f>
        <v/>
      </c>
      <c r="AA851">
        <f>IF($Z851=1,SUM($Z$3:$Z851),"")</f>
        <v/>
      </c>
      <c r="AB851">
        <f>IF(OR($A851="",PESQUISA!$C$50=""),0,IF(ISNUMBER(SEARCH(PESQUISA!$C$50,$I851)),1,0))</f>
        <v/>
      </c>
      <c r="AC851">
        <f>IF($AB851=1,SUM($AB$3:$AB851),"")</f>
        <v/>
      </c>
    </row>
    <row r="852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>
        <f>IFERROR(INDEX(CONFIGURACOES!$G$37:$G$300,MATCH($I852,CONFIGURACOES!$B$37:$B$300,0)),"")</f>
        <v/>
      </c>
      <c r="K852" s="20">
        <f>IFERROR(INDEX(CONFIGURACOES!$H$37:$H$300,MATCH($I852,CONFIGURACOES!$B$37:$B$300,0)),"")</f>
        <v/>
      </c>
      <c r="L852" s="20" t="n"/>
      <c r="M852" s="20">
        <f>IFERROR(INDEX(CONFIGURACOES!$I$37:$I$300,MATCH($I852,CONFIGURACOES!$B$37:$B$300,0)),"")</f>
        <v/>
      </c>
      <c r="N852" s="21" t="n"/>
      <c r="O852" s="21" t="n"/>
      <c r="P852" s="21" t="n"/>
      <c r="Q852" s="21" t="n"/>
      <c r="R852" s="21">
        <f>IF($N852="","",$N852*IF($Q852="",1,$Q852)*IF($P852="",1,$P852)*IF($O852="",1,$O852))</f>
        <v/>
      </c>
      <c r="S852" s="22">
        <f>IFERROR(INDEX(CONFIGURACOES!$J$37:$J$300,MATCH($I852,CONFIGURACOES!$B$37:$B$300,0)),"")</f>
        <v/>
      </c>
      <c r="T852" s="22">
        <f>IF(OR($R852="",$S852=""),"",$R852*$S852)</f>
        <v/>
      </c>
      <c r="U852" s="20" t="n"/>
      <c r="V852" s="20" t="n"/>
      <c r="W852" s="20" t="n"/>
      <c r="X852">
        <f>IF($A852="","",$A852&amp;"|"&amp;$C852&amp;"|"&amp;$I852)</f>
        <v/>
      </c>
      <c r="Y852">
        <f>IF(AND($A852=RELATORIO_MEDICAO!$C$5,$C852=RELATORIO_MEDICAO!$F$5,$A852&lt;&gt;""),COUNTIFS($A$3:$A852,RELATORIO_MEDICAO!$C$5,$C$3:$C852,RELATORIO_MEDICAO!$F$5),"")</f>
        <v/>
      </c>
      <c r="Z852">
        <f>IF(OR($A852="",PESQUISA!$C$4=""),0,IF(OR(ISNUMBER(SEARCH(PESQUISA!$C$4,$G852)),ISNUMBER(SEARCH(PESQUISA!$C$4,$K852)),ISNUMBER(SEARCH(PESQUISA!$C$4,$L852))),1,0))</f>
        <v/>
      </c>
      <c r="AA852">
        <f>IF($Z852=1,SUM($Z$3:$Z852),"")</f>
        <v/>
      </c>
      <c r="AB852">
        <f>IF(OR($A852="",PESQUISA!$C$50=""),0,IF(ISNUMBER(SEARCH(PESQUISA!$C$50,$I852)),1,0))</f>
        <v/>
      </c>
      <c r="AC852">
        <f>IF($AB852=1,SUM($AB$3:$AB852),"")</f>
        <v/>
      </c>
    </row>
    <row r="853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>
        <f>IFERROR(INDEX(CONFIGURACOES!$G$37:$G$300,MATCH($I853,CONFIGURACOES!$B$37:$B$300,0)),"")</f>
        <v/>
      </c>
      <c r="K853" s="20">
        <f>IFERROR(INDEX(CONFIGURACOES!$H$37:$H$300,MATCH($I853,CONFIGURACOES!$B$37:$B$300,0)),"")</f>
        <v/>
      </c>
      <c r="L853" s="20" t="n"/>
      <c r="M853" s="20">
        <f>IFERROR(INDEX(CONFIGURACOES!$I$37:$I$300,MATCH($I853,CONFIGURACOES!$B$37:$B$300,0)),"")</f>
        <v/>
      </c>
      <c r="N853" s="21" t="n"/>
      <c r="O853" s="21" t="n"/>
      <c r="P853" s="21" t="n"/>
      <c r="Q853" s="21" t="n"/>
      <c r="R853" s="21">
        <f>IF($N853="","",$N853*IF($Q853="",1,$Q853)*IF($P853="",1,$P853)*IF($O853="",1,$O853))</f>
        <v/>
      </c>
      <c r="S853" s="22">
        <f>IFERROR(INDEX(CONFIGURACOES!$J$37:$J$300,MATCH($I853,CONFIGURACOES!$B$37:$B$300,0)),"")</f>
        <v/>
      </c>
      <c r="T853" s="22">
        <f>IF(OR($R853="",$S853=""),"",$R853*$S853)</f>
        <v/>
      </c>
      <c r="U853" s="20" t="n"/>
      <c r="V853" s="20" t="n"/>
      <c r="W853" s="20" t="n"/>
      <c r="X853">
        <f>IF($A853="","",$A853&amp;"|"&amp;$C853&amp;"|"&amp;$I853)</f>
        <v/>
      </c>
      <c r="Y853">
        <f>IF(AND($A853=RELATORIO_MEDICAO!$C$5,$C853=RELATORIO_MEDICAO!$F$5,$A853&lt;&gt;""),COUNTIFS($A$3:$A853,RELATORIO_MEDICAO!$C$5,$C$3:$C853,RELATORIO_MEDICAO!$F$5),"")</f>
        <v/>
      </c>
      <c r="Z853">
        <f>IF(OR($A853="",PESQUISA!$C$4=""),0,IF(OR(ISNUMBER(SEARCH(PESQUISA!$C$4,$G853)),ISNUMBER(SEARCH(PESQUISA!$C$4,$K853)),ISNUMBER(SEARCH(PESQUISA!$C$4,$L853))),1,0))</f>
        <v/>
      </c>
      <c r="AA853">
        <f>IF($Z853=1,SUM($Z$3:$Z853),"")</f>
        <v/>
      </c>
      <c r="AB853">
        <f>IF(OR($A853="",PESQUISA!$C$50=""),0,IF(ISNUMBER(SEARCH(PESQUISA!$C$50,$I853)),1,0))</f>
        <v/>
      </c>
      <c r="AC853">
        <f>IF($AB853=1,SUM($AB$3:$AB853),"")</f>
        <v/>
      </c>
    </row>
    <row r="854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>
        <f>IFERROR(INDEX(CONFIGURACOES!$G$37:$G$300,MATCH($I854,CONFIGURACOES!$B$37:$B$300,0)),"")</f>
        <v/>
      </c>
      <c r="K854" s="20">
        <f>IFERROR(INDEX(CONFIGURACOES!$H$37:$H$300,MATCH($I854,CONFIGURACOES!$B$37:$B$300,0)),"")</f>
        <v/>
      </c>
      <c r="L854" s="20" t="n"/>
      <c r="M854" s="20">
        <f>IFERROR(INDEX(CONFIGURACOES!$I$37:$I$300,MATCH($I854,CONFIGURACOES!$B$37:$B$300,0)),"")</f>
        <v/>
      </c>
      <c r="N854" s="21" t="n"/>
      <c r="O854" s="21" t="n"/>
      <c r="P854" s="21" t="n"/>
      <c r="Q854" s="21" t="n"/>
      <c r="R854" s="21">
        <f>IF($N854="","",$N854*IF($Q854="",1,$Q854)*IF($P854="",1,$P854)*IF($O854="",1,$O854))</f>
        <v/>
      </c>
      <c r="S854" s="22">
        <f>IFERROR(INDEX(CONFIGURACOES!$J$37:$J$300,MATCH($I854,CONFIGURACOES!$B$37:$B$300,0)),"")</f>
        <v/>
      </c>
      <c r="T854" s="22">
        <f>IF(OR($R854="",$S854=""),"",$R854*$S854)</f>
        <v/>
      </c>
      <c r="U854" s="20" t="n"/>
      <c r="V854" s="20" t="n"/>
      <c r="W854" s="20" t="n"/>
      <c r="X854">
        <f>IF($A854="","",$A854&amp;"|"&amp;$C854&amp;"|"&amp;$I854)</f>
        <v/>
      </c>
      <c r="Y854">
        <f>IF(AND($A854=RELATORIO_MEDICAO!$C$5,$C854=RELATORIO_MEDICAO!$F$5,$A854&lt;&gt;""),COUNTIFS($A$3:$A854,RELATORIO_MEDICAO!$C$5,$C$3:$C854,RELATORIO_MEDICAO!$F$5),"")</f>
        <v/>
      </c>
      <c r="Z854">
        <f>IF(OR($A854="",PESQUISA!$C$4=""),0,IF(OR(ISNUMBER(SEARCH(PESQUISA!$C$4,$G854)),ISNUMBER(SEARCH(PESQUISA!$C$4,$K854)),ISNUMBER(SEARCH(PESQUISA!$C$4,$L854))),1,0))</f>
        <v/>
      </c>
      <c r="AA854">
        <f>IF($Z854=1,SUM($Z$3:$Z854),"")</f>
        <v/>
      </c>
      <c r="AB854">
        <f>IF(OR($A854="",PESQUISA!$C$50=""),0,IF(ISNUMBER(SEARCH(PESQUISA!$C$50,$I854)),1,0))</f>
        <v/>
      </c>
      <c r="AC854">
        <f>IF($AB854=1,SUM($AB$3:$AB854),"")</f>
        <v/>
      </c>
    </row>
    <row r="855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>
        <f>IFERROR(INDEX(CONFIGURACOES!$G$37:$G$300,MATCH($I855,CONFIGURACOES!$B$37:$B$300,0)),"")</f>
        <v/>
      </c>
      <c r="K855" s="20">
        <f>IFERROR(INDEX(CONFIGURACOES!$H$37:$H$300,MATCH($I855,CONFIGURACOES!$B$37:$B$300,0)),"")</f>
        <v/>
      </c>
      <c r="L855" s="20" t="n"/>
      <c r="M855" s="20">
        <f>IFERROR(INDEX(CONFIGURACOES!$I$37:$I$300,MATCH($I855,CONFIGURACOES!$B$37:$B$300,0)),"")</f>
        <v/>
      </c>
      <c r="N855" s="21" t="n"/>
      <c r="O855" s="21" t="n"/>
      <c r="P855" s="21" t="n"/>
      <c r="Q855" s="21" t="n"/>
      <c r="R855" s="21">
        <f>IF($N855="","",$N855*IF($Q855="",1,$Q855)*IF($P855="",1,$P855)*IF($O855="",1,$O855))</f>
        <v/>
      </c>
      <c r="S855" s="22">
        <f>IFERROR(INDEX(CONFIGURACOES!$J$37:$J$300,MATCH($I855,CONFIGURACOES!$B$37:$B$300,0)),"")</f>
        <v/>
      </c>
      <c r="T855" s="22">
        <f>IF(OR($R855="",$S855=""),"",$R855*$S855)</f>
        <v/>
      </c>
      <c r="U855" s="20" t="n"/>
      <c r="V855" s="20" t="n"/>
      <c r="W855" s="20" t="n"/>
      <c r="X855">
        <f>IF($A855="","",$A855&amp;"|"&amp;$C855&amp;"|"&amp;$I855)</f>
        <v/>
      </c>
      <c r="Y855">
        <f>IF(AND($A855=RELATORIO_MEDICAO!$C$5,$C855=RELATORIO_MEDICAO!$F$5,$A855&lt;&gt;""),COUNTIFS($A$3:$A855,RELATORIO_MEDICAO!$C$5,$C$3:$C855,RELATORIO_MEDICAO!$F$5),"")</f>
        <v/>
      </c>
      <c r="Z855">
        <f>IF(OR($A855="",PESQUISA!$C$4=""),0,IF(OR(ISNUMBER(SEARCH(PESQUISA!$C$4,$G855)),ISNUMBER(SEARCH(PESQUISA!$C$4,$K855)),ISNUMBER(SEARCH(PESQUISA!$C$4,$L855))),1,0))</f>
        <v/>
      </c>
      <c r="AA855">
        <f>IF($Z855=1,SUM($Z$3:$Z855),"")</f>
        <v/>
      </c>
      <c r="AB855">
        <f>IF(OR($A855="",PESQUISA!$C$50=""),0,IF(ISNUMBER(SEARCH(PESQUISA!$C$50,$I855)),1,0))</f>
        <v/>
      </c>
      <c r="AC855">
        <f>IF($AB855=1,SUM($AB$3:$AB855),"")</f>
        <v/>
      </c>
    </row>
    <row r="856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>
        <f>IFERROR(INDEX(CONFIGURACOES!$G$37:$G$300,MATCH($I856,CONFIGURACOES!$B$37:$B$300,0)),"")</f>
        <v/>
      </c>
      <c r="K856" s="20">
        <f>IFERROR(INDEX(CONFIGURACOES!$H$37:$H$300,MATCH($I856,CONFIGURACOES!$B$37:$B$300,0)),"")</f>
        <v/>
      </c>
      <c r="L856" s="20" t="n"/>
      <c r="M856" s="20">
        <f>IFERROR(INDEX(CONFIGURACOES!$I$37:$I$300,MATCH($I856,CONFIGURACOES!$B$37:$B$300,0)),"")</f>
        <v/>
      </c>
      <c r="N856" s="21" t="n"/>
      <c r="O856" s="21" t="n"/>
      <c r="P856" s="21" t="n"/>
      <c r="Q856" s="21" t="n"/>
      <c r="R856" s="21">
        <f>IF($N856="","",$N856*IF($Q856="",1,$Q856)*IF($P856="",1,$P856)*IF($O856="",1,$O856))</f>
        <v/>
      </c>
      <c r="S856" s="22">
        <f>IFERROR(INDEX(CONFIGURACOES!$J$37:$J$300,MATCH($I856,CONFIGURACOES!$B$37:$B$300,0)),"")</f>
        <v/>
      </c>
      <c r="T856" s="22">
        <f>IF(OR($R856="",$S856=""),"",$R856*$S856)</f>
        <v/>
      </c>
      <c r="U856" s="20" t="n"/>
      <c r="V856" s="20" t="n"/>
      <c r="W856" s="20" t="n"/>
      <c r="X856">
        <f>IF($A856="","",$A856&amp;"|"&amp;$C856&amp;"|"&amp;$I856)</f>
        <v/>
      </c>
      <c r="Y856">
        <f>IF(AND($A856=RELATORIO_MEDICAO!$C$5,$C856=RELATORIO_MEDICAO!$F$5,$A856&lt;&gt;""),COUNTIFS($A$3:$A856,RELATORIO_MEDICAO!$C$5,$C$3:$C856,RELATORIO_MEDICAO!$F$5),"")</f>
        <v/>
      </c>
      <c r="Z856">
        <f>IF(OR($A856="",PESQUISA!$C$4=""),0,IF(OR(ISNUMBER(SEARCH(PESQUISA!$C$4,$G856)),ISNUMBER(SEARCH(PESQUISA!$C$4,$K856)),ISNUMBER(SEARCH(PESQUISA!$C$4,$L856))),1,0))</f>
        <v/>
      </c>
      <c r="AA856">
        <f>IF($Z856=1,SUM($Z$3:$Z856),"")</f>
        <v/>
      </c>
      <c r="AB856">
        <f>IF(OR($A856="",PESQUISA!$C$50=""),0,IF(ISNUMBER(SEARCH(PESQUISA!$C$50,$I856)),1,0))</f>
        <v/>
      </c>
      <c r="AC856">
        <f>IF($AB856=1,SUM($AB$3:$AB856),"")</f>
        <v/>
      </c>
    </row>
    <row r="857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>
        <f>IFERROR(INDEX(CONFIGURACOES!$G$37:$G$300,MATCH($I857,CONFIGURACOES!$B$37:$B$300,0)),"")</f>
        <v/>
      </c>
      <c r="K857" s="20">
        <f>IFERROR(INDEX(CONFIGURACOES!$H$37:$H$300,MATCH($I857,CONFIGURACOES!$B$37:$B$300,0)),"")</f>
        <v/>
      </c>
      <c r="L857" s="20" t="n"/>
      <c r="M857" s="20">
        <f>IFERROR(INDEX(CONFIGURACOES!$I$37:$I$300,MATCH($I857,CONFIGURACOES!$B$37:$B$300,0)),"")</f>
        <v/>
      </c>
      <c r="N857" s="21" t="n"/>
      <c r="O857" s="21" t="n"/>
      <c r="P857" s="21" t="n"/>
      <c r="Q857" s="21" t="n"/>
      <c r="R857" s="21">
        <f>IF($N857="","",$N857*IF($Q857="",1,$Q857)*IF($P857="",1,$P857)*IF($O857="",1,$O857))</f>
        <v/>
      </c>
      <c r="S857" s="22">
        <f>IFERROR(INDEX(CONFIGURACOES!$J$37:$J$300,MATCH($I857,CONFIGURACOES!$B$37:$B$300,0)),"")</f>
        <v/>
      </c>
      <c r="T857" s="22">
        <f>IF(OR($R857="",$S857=""),"",$R857*$S857)</f>
        <v/>
      </c>
      <c r="U857" s="20" t="n"/>
      <c r="V857" s="20" t="n"/>
      <c r="W857" s="20" t="n"/>
      <c r="X857">
        <f>IF($A857="","",$A857&amp;"|"&amp;$C857&amp;"|"&amp;$I857)</f>
        <v/>
      </c>
      <c r="Y857">
        <f>IF(AND($A857=RELATORIO_MEDICAO!$C$5,$C857=RELATORIO_MEDICAO!$F$5,$A857&lt;&gt;""),COUNTIFS($A$3:$A857,RELATORIO_MEDICAO!$C$5,$C$3:$C857,RELATORIO_MEDICAO!$F$5),"")</f>
        <v/>
      </c>
      <c r="Z857">
        <f>IF(OR($A857="",PESQUISA!$C$4=""),0,IF(OR(ISNUMBER(SEARCH(PESQUISA!$C$4,$G857)),ISNUMBER(SEARCH(PESQUISA!$C$4,$K857)),ISNUMBER(SEARCH(PESQUISA!$C$4,$L857))),1,0))</f>
        <v/>
      </c>
      <c r="AA857">
        <f>IF($Z857=1,SUM($Z$3:$Z857),"")</f>
        <v/>
      </c>
      <c r="AB857">
        <f>IF(OR($A857="",PESQUISA!$C$50=""),0,IF(ISNUMBER(SEARCH(PESQUISA!$C$50,$I857)),1,0))</f>
        <v/>
      </c>
      <c r="AC857">
        <f>IF($AB857=1,SUM($AB$3:$AB857),"")</f>
        <v/>
      </c>
    </row>
    <row r="858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>
        <f>IFERROR(INDEX(CONFIGURACOES!$G$37:$G$300,MATCH($I858,CONFIGURACOES!$B$37:$B$300,0)),"")</f>
        <v/>
      </c>
      <c r="K858" s="20">
        <f>IFERROR(INDEX(CONFIGURACOES!$H$37:$H$300,MATCH($I858,CONFIGURACOES!$B$37:$B$300,0)),"")</f>
        <v/>
      </c>
      <c r="L858" s="20" t="n"/>
      <c r="M858" s="20">
        <f>IFERROR(INDEX(CONFIGURACOES!$I$37:$I$300,MATCH($I858,CONFIGURACOES!$B$37:$B$300,0)),"")</f>
        <v/>
      </c>
      <c r="N858" s="21" t="n"/>
      <c r="O858" s="21" t="n"/>
      <c r="P858" s="21" t="n"/>
      <c r="Q858" s="21" t="n"/>
      <c r="R858" s="21">
        <f>IF($N858="","",$N858*IF($Q858="",1,$Q858)*IF($P858="",1,$P858)*IF($O858="",1,$O858))</f>
        <v/>
      </c>
      <c r="S858" s="22">
        <f>IFERROR(INDEX(CONFIGURACOES!$J$37:$J$300,MATCH($I858,CONFIGURACOES!$B$37:$B$300,0)),"")</f>
        <v/>
      </c>
      <c r="T858" s="22">
        <f>IF(OR($R858="",$S858=""),"",$R858*$S858)</f>
        <v/>
      </c>
      <c r="U858" s="20" t="n"/>
      <c r="V858" s="20" t="n"/>
      <c r="W858" s="20" t="n"/>
      <c r="X858">
        <f>IF($A858="","",$A858&amp;"|"&amp;$C858&amp;"|"&amp;$I858)</f>
        <v/>
      </c>
      <c r="Y858">
        <f>IF(AND($A858=RELATORIO_MEDICAO!$C$5,$C858=RELATORIO_MEDICAO!$F$5,$A858&lt;&gt;""),COUNTIFS($A$3:$A858,RELATORIO_MEDICAO!$C$5,$C$3:$C858,RELATORIO_MEDICAO!$F$5),"")</f>
        <v/>
      </c>
      <c r="Z858">
        <f>IF(OR($A858="",PESQUISA!$C$4=""),0,IF(OR(ISNUMBER(SEARCH(PESQUISA!$C$4,$G858)),ISNUMBER(SEARCH(PESQUISA!$C$4,$K858)),ISNUMBER(SEARCH(PESQUISA!$C$4,$L858))),1,0))</f>
        <v/>
      </c>
      <c r="AA858">
        <f>IF($Z858=1,SUM($Z$3:$Z858),"")</f>
        <v/>
      </c>
      <c r="AB858">
        <f>IF(OR($A858="",PESQUISA!$C$50=""),0,IF(ISNUMBER(SEARCH(PESQUISA!$C$50,$I858)),1,0))</f>
        <v/>
      </c>
      <c r="AC858">
        <f>IF($AB858=1,SUM($AB$3:$AB858),"")</f>
        <v/>
      </c>
    </row>
    <row r="859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>
        <f>IFERROR(INDEX(CONFIGURACOES!$G$37:$G$300,MATCH($I859,CONFIGURACOES!$B$37:$B$300,0)),"")</f>
        <v/>
      </c>
      <c r="K859" s="20">
        <f>IFERROR(INDEX(CONFIGURACOES!$H$37:$H$300,MATCH($I859,CONFIGURACOES!$B$37:$B$300,0)),"")</f>
        <v/>
      </c>
      <c r="L859" s="20" t="n"/>
      <c r="M859" s="20">
        <f>IFERROR(INDEX(CONFIGURACOES!$I$37:$I$300,MATCH($I859,CONFIGURACOES!$B$37:$B$300,0)),"")</f>
        <v/>
      </c>
      <c r="N859" s="21" t="n"/>
      <c r="O859" s="21" t="n"/>
      <c r="P859" s="21" t="n"/>
      <c r="Q859" s="21" t="n"/>
      <c r="R859" s="21">
        <f>IF($N859="","",$N859*IF($Q859="",1,$Q859)*IF($P859="",1,$P859)*IF($O859="",1,$O859))</f>
        <v/>
      </c>
      <c r="S859" s="22">
        <f>IFERROR(INDEX(CONFIGURACOES!$J$37:$J$300,MATCH($I859,CONFIGURACOES!$B$37:$B$300,0)),"")</f>
        <v/>
      </c>
      <c r="T859" s="22">
        <f>IF(OR($R859="",$S859=""),"",$R859*$S859)</f>
        <v/>
      </c>
      <c r="U859" s="20" t="n"/>
      <c r="V859" s="20" t="n"/>
      <c r="W859" s="20" t="n"/>
      <c r="X859">
        <f>IF($A859="","",$A859&amp;"|"&amp;$C859&amp;"|"&amp;$I859)</f>
        <v/>
      </c>
      <c r="Y859">
        <f>IF(AND($A859=RELATORIO_MEDICAO!$C$5,$C859=RELATORIO_MEDICAO!$F$5,$A859&lt;&gt;""),COUNTIFS($A$3:$A859,RELATORIO_MEDICAO!$C$5,$C$3:$C859,RELATORIO_MEDICAO!$F$5),"")</f>
        <v/>
      </c>
      <c r="Z859">
        <f>IF(OR($A859="",PESQUISA!$C$4=""),0,IF(OR(ISNUMBER(SEARCH(PESQUISA!$C$4,$G859)),ISNUMBER(SEARCH(PESQUISA!$C$4,$K859)),ISNUMBER(SEARCH(PESQUISA!$C$4,$L859))),1,0))</f>
        <v/>
      </c>
      <c r="AA859">
        <f>IF($Z859=1,SUM($Z$3:$Z859),"")</f>
        <v/>
      </c>
      <c r="AB859">
        <f>IF(OR($A859="",PESQUISA!$C$50=""),0,IF(ISNUMBER(SEARCH(PESQUISA!$C$50,$I859)),1,0))</f>
        <v/>
      </c>
      <c r="AC859">
        <f>IF($AB859=1,SUM($AB$3:$AB859),"")</f>
        <v/>
      </c>
    </row>
    <row r="860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>
        <f>IFERROR(INDEX(CONFIGURACOES!$G$37:$G$300,MATCH($I860,CONFIGURACOES!$B$37:$B$300,0)),"")</f>
        <v/>
      </c>
      <c r="K860" s="20">
        <f>IFERROR(INDEX(CONFIGURACOES!$H$37:$H$300,MATCH($I860,CONFIGURACOES!$B$37:$B$300,0)),"")</f>
        <v/>
      </c>
      <c r="L860" s="20" t="n"/>
      <c r="M860" s="20">
        <f>IFERROR(INDEX(CONFIGURACOES!$I$37:$I$300,MATCH($I860,CONFIGURACOES!$B$37:$B$300,0)),"")</f>
        <v/>
      </c>
      <c r="N860" s="21" t="n"/>
      <c r="O860" s="21" t="n"/>
      <c r="P860" s="21" t="n"/>
      <c r="Q860" s="21" t="n"/>
      <c r="R860" s="21">
        <f>IF($N860="","",$N860*IF($Q860="",1,$Q860)*IF($P860="",1,$P860)*IF($O860="",1,$O860))</f>
        <v/>
      </c>
      <c r="S860" s="22">
        <f>IFERROR(INDEX(CONFIGURACOES!$J$37:$J$300,MATCH($I860,CONFIGURACOES!$B$37:$B$300,0)),"")</f>
        <v/>
      </c>
      <c r="T860" s="22">
        <f>IF(OR($R860="",$S860=""),"",$R860*$S860)</f>
        <v/>
      </c>
      <c r="U860" s="20" t="n"/>
      <c r="V860" s="20" t="n"/>
      <c r="W860" s="20" t="n"/>
      <c r="X860">
        <f>IF($A860="","",$A860&amp;"|"&amp;$C860&amp;"|"&amp;$I860)</f>
        <v/>
      </c>
      <c r="Y860">
        <f>IF(AND($A860=RELATORIO_MEDICAO!$C$5,$C860=RELATORIO_MEDICAO!$F$5,$A860&lt;&gt;""),COUNTIFS($A$3:$A860,RELATORIO_MEDICAO!$C$5,$C$3:$C860,RELATORIO_MEDICAO!$F$5),"")</f>
        <v/>
      </c>
      <c r="Z860">
        <f>IF(OR($A860="",PESQUISA!$C$4=""),0,IF(OR(ISNUMBER(SEARCH(PESQUISA!$C$4,$G860)),ISNUMBER(SEARCH(PESQUISA!$C$4,$K860)),ISNUMBER(SEARCH(PESQUISA!$C$4,$L860))),1,0))</f>
        <v/>
      </c>
      <c r="AA860">
        <f>IF($Z860=1,SUM($Z$3:$Z860),"")</f>
        <v/>
      </c>
      <c r="AB860">
        <f>IF(OR($A860="",PESQUISA!$C$50=""),0,IF(ISNUMBER(SEARCH(PESQUISA!$C$50,$I860)),1,0))</f>
        <v/>
      </c>
      <c r="AC860">
        <f>IF($AB860=1,SUM($AB$3:$AB860),"")</f>
        <v/>
      </c>
    </row>
    <row r="861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>
        <f>IFERROR(INDEX(CONFIGURACOES!$G$37:$G$300,MATCH($I861,CONFIGURACOES!$B$37:$B$300,0)),"")</f>
        <v/>
      </c>
      <c r="K861" s="20">
        <f>IFERROR(INDEX(CONFIGURACOES!$H$37:$H$300,MATCH($I861,CONFIGURACOES!$B$37:$B$300,0)),"")</f>
        <v/>
      </c>
      <c r="L861" s="20" t="n"/>
      <c r="M861" s="20">
        <f>IFERROR(INDEX(CONFIGURACOES!$I$37:$I$300,MATCH($I861,CONFIGURACOES!$B$37:$B$300,0)),"")</f>
        <v/>
      </c>
      <c r="N861" s="21" t="n"/>
      <c r="O861" s="21" t="n"/>
      <c r="P861" s="21" t="n"/>
      <c r="Q861" s="21" t="n"/>
      <c r="R861" s="21">
        <f>IF($N861="","",$N861*IF($Q861="",1,$Q861)*IF($P861="",1,$P861)*IF($O861="",1,$O861))</f>
        <v/>
      </c>
      <c r="S861" s="22">
        <f>IFERROR(INDEX(CONFIGURACOES!$J$37:$J$300,MATCH($I861,CONFIGURACOES!$B$37:$B$300,0)),"")</f>
        <v/>
      </c>
      <c r="T861" s="22">
        <f>IF(OR($R861="",$S861=""),"",$R861*$S861)</f>
        <v/>
      </c>
      <c r="U861" s="20" t="n"/>
      <c r="V861" s="20" t="n"/>
      <c r="W861" s="20" t="n"/>
      <c r="X861">
        <f>IF($A861="","",$A861&amp;"|"&amp;$C861&amp;"|"&amp;$I861)</f>
        <v/>
      </c>
      <c r="Y861">
        <f>IF(AND($A861=RELATORIO_MEDICAO!$C$5,$C861=RELATORIO_MEDICAO!$F$5,$A861&lt;&gt;""),COUNTIFS($A$3:$A861,RELATORIO_MEDICAO!$C$5,$C$3:$C861,RELATORIO_MEDICAO!$F$5),"")</f>
        <v/>
      </c>
      <c r="Z861">
        <f>IF(OR($A861="",PESQUISA!$C$4=""),0,IF(OR(ISNUMBER(SEARCH(PESQUISA!$C$4,$G861)),ISNUMBER(SEARCH(PESQUISA!$C$4,$K861)),ISNUMBER(SEARCH(PESQUISA!$C$4,$L861))),1,0))</f>
        <v/>
      </c>
      <c r="AA861">
        <f>IF($Z861=1,SUM($Z$3:$Z861),"")</f>
        <v/>
      </c>
      <c r="AB861">
        <f>IF(OR($A861="",PESQUISA!$C$50=""),0,IF(ISNUMBER(SEARCH(PESQUISA!$C$50,$I861)),1,0))</f>
        <v/>
      </c>
      <c r="AC861">
        <f>IF($AB861=1,SUM($AB$3:$AB861),"")</f>
        <v/>
      </c>
    </row>
    <row r="862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>
        <f>IFERROR(INDEX(CONFIGURACOES!$G$37:$G$300,MATCH($I862,CONFIGURACOES!$B$37:$B$300,0)),"")</f>
        <v/>
      </c>
      <c r="K862" s="20">
        <f>IFERROR(INDEX(CONFIGURACOES!$H$37:$H$300,MATCH($I862,CONFIGURACOES!$B$37:$B$300,0)),"")</f>
        <v/>
      </c>
      <c r="L862" s="20" t="n"/>
      <c r="M862" s="20">
        <f>IFERROR(INDEX(CONFIGURACOES!$I$37:$I$300,MATCH($I862,CONFIGURACOES!$B$37:$B$300,0)),"")</f>
        <v/>
      </c>
      <c r="N862" s="21" t="n"/>
      <c r="O862" s="21" t="n"/>
      <c r="P862" s="21" t="n"/>
      <c r="Q862" s="21" t="n"/>
      <c r="R862" s="21">
        <f>IF($N862="","",$N862*IF($Q862="",1,$Q862)*IF($P862="",1,$P862)*IF($O862="",1,$O862))</f>
        <v/>
      </c>
      <c r="S862" s="22">
        <f>IFERROR(INDEX(CONFIGURACOES!$J$37:$J$300,MATCH($I862,CONFIGURACOES!$B$37:$B$300,0)),"")</f>
        <v/>
      </c>
      <c r="T862" s="22">
        <f>IF(OR($R862="",$S862=""),"",$R862*$S862)</f>
        <v/>
      </c>
      <c r="U862" s="20" t="n"/>
      <c r="V862" s="20" t="n"/>
      <c r="W862" s="20" t="n"/>
      <c r="X862">
        <f>IF($A862="","",$A862&amp;"|"&amp;$C862&amp;"|"&amp;$I862)</f>
        <v/>
      </c>
      <c r="Y862">
        <f>IF(AND($A862=RELATORIO_MEDICAO!$C$5,$C862=RELATORIO_MEDICAO!$F$5,$A862&lt;&gt;""),COUNTIFS($A$3:$A862,RELATORIO_MEDICAO!$C$5,$C$3:$C862,RELATORIO_MEDICAO!$F$5),"")</f>
        <v/>
      </c>
      <c r="Z862">
        <f>IF(OR($A862="",PESQUISA!$C$4=""),0,IF(OR(ISNUMBER(SEARCH(PESQUISA!$C$4,$G862)),ISNUMBER(SEARCH(PESQUISA!$C$4,$K862)),ISNUMBER(SEARCH(PESQUISA!$C$4,$L862))),1,0))</f>
        <v/>
      </c>
      <c r="AA862">
        <f>IF($Z862=1,SUM($Z$3:$Z862),"")</f>
        <v/>
      </c>
      <c r="AB862">
        <f>IF(OR($A862="",PESQUISA!$C$50=""),0,IF(ISNUMBER(SEARCH(PESQUISA!$C$50,$I862)),1,0))</f>
        <v/>
      </c>
      <c r="AC862">
        <f>IF($AB862=1,SUM($AB$3:$AB862),"")</f>
        <v/>
      </c>
    </row>
    <row r="863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>
        <f>IFERROR(INDEX(CONFIGURACOES!$G$37:$G$300,MATCH($I863,CONFIGURACOES!$B$37:$B$300,0)),"")</f>
        <v/>
      </c>
      <c r="K863" s="20">
        <f>IFERROR(INDEX(CONFIGURACOES!$H$37:$H$300,MATCH($I863,CONFIGURACOES!$B$37:$B$300,0)),"")</f>
        <v/>
      </c>
      <c r="L863" s="20" t="n"/>
      <c r="M863" s="20">
        <f>IFERROR(INDEX(CONFIGURACOES!$I$37:$I$300,MATCH($I863,CONFIGURACOES!$B$37:$B$300,0)),"")</f>
        <v/>
      </c>
      <c r="N863" s="21" t="n"/>
      <c r="O863" s="21" t="n"/>
      <c r="P863" s="21" t="n"/>
      <c r="Q863" s="21" t="n"/>
      <c r="R863" s="21">
        <f>IF($N863="","",$N863*IF($Q863="",1,$Q863)*IF($P863="",1,$P863)*IF($O863="",1,$O863))</f>
        <v/>
      </c>
      <c r="S863" s="22">
        <f>IFERROR(INDEX(CONFIGURACOES!$J$37:$J$300,MATCH($I863,CONFIGURACOES!$B$37:$B$300,0)),"")</f>
        <v/>
      </c>
      <c r="T863" s="22">
        <f>IF(OR($R863="",$S863=""),"",$R863*$S863)</f>
        <v/>
      </c>
      <c r="U863" s="20" t="n"/>
      <c r="V863" s="20" t="n"/>
      <c r="W863" s="20" t="n"/>
      <c r="X863">
        <f>IF($A863="","",$A863&amp;"|"&amp;$C863&amp;"|"&amp;$I863)</f>
        <v/>
      </c>
      <c r="Y863">
        <f>IF(AND($A863=RELATORIO_MEDICAO!$C$5,$C863=RELATORIO_MEDICAO!$F$5,$A863&lt;&gt;""),COUNTIFS($A$3:$A863,RELATORIO_MEDICAO!$C$5,$C$3:$C863,RELATORIO_MEDICAO!$F$5),"")</f>
        <v/>
      </c>
      <c r="Z863">
        <f>IF(OR($A863="",PESQUISA!$C$4=""),0,IF(OR(ISNUMBER(SEARCH(PESQUISA!$C$4,$G863)),ISNUMBER(SEARCH(PESQUISA!$C$4,$K863)),ISNUMBER(SEARCH(PESQUISA!$C$4,$L863))),1,0))</f>
        <v/>
      </c>
      <c r="AA863">
        <f>IF($Z863=1,SUM($Z$3:$Z863),"")</f>
        <v/>
      </c>
      <c r="AB863">
        <f>IF(OR($A863="",PESQUISA!$C$50=""),0,IF(ISNUMBER(SEARCH(PESQUISA!$C$50,$I863)),1,0))</f>
        <v/>
      </c>
      <c r="AC863">
        <f>IF($AB863=1,SUM($AB$3:$AB863),"")</f>
        <v/>
      </c>
    </row>
    <row r="864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>
        <f>IFERROR(INDEX(CONFIGURACOES!$G$37:$G$300,MATCH($I864,CONFIGURACOES!$B$37:$B$300,0)),"")</f>
        <v/>
      </c>
      <c r="K864" s="20">
        <f>IFERROR(INDEX(CONFIGURACOES!$H$37:$H$300,MATCH($I864,CONFIGURACOES!$B$37:$B$300,0)),"")</f>
        <v/>
      </c>
      <c r="L864" s="20" t="n"/>
      <c r="M864" s="20">
        <f>IFERROR(INDEX(CONFIGURACOES!$I$37:$I$300,MATCH($I864,CONFIGURACOES!$B$37:$B$300,0)),"")</f>
        <v/>
      </c>
      <c r="N864" s="21" t="n"/>
      <c r="O864" s="21" t="n"/>
      <c r="P864" s="21" t="n"/>
      <c r="Q864" s="21" t="n"/>
      <c r="R864" s="21">
        <f>IF($N864="","",$N864*IF($Q864="",1,$Q864)*IF($P864="",1,$P864)*IF($O864="",1,$O864))</f>
        <v/>
      </c>
      <c r="S864" s="22">
        <f>IFERROR(INDEX(CONFIGURACOES!$J$37:$J$300,MATCH($I864,CONFIGURACOES!$B$37:$B$300,0)),"")</f>
        <v/>
      </c>
      <c r="T864" s="22">
        <f>IF(OR($R864="",$S864=""),"",$R864*$S864)</f>
        <v/>
      </c>
      <c r="U864" s="20" t="n"/>
      <c r="V864" s="20" t="n"/>
      <c r="W864" s="20" t="n"/>
      <c r="X864">
        <f>IF($A864="","",$A864&amp;"|"&amp;$C864&amp;"|"&amp;$I864)</f>
        <v/>
      </c>
      <c r="Y864">
        <f>IF(AND($A864=RELATORIO_MEDICAO!$C$5,$C864=RELATORIO_MEDICAO!$F$5,$A864&lt;&gt;""),COUNTIFS($A$3:$A864,RELATORIO_MEDICAO!$C$5,$C$3:$C864,RELATORIO_MEDICAO!$F$5),"")</f>
        <v/>
      </c>
      <c r="Z864">
        <f>IF(OR($A864="",PESQUISA!$C$4=""),0,IF(OR(ISNUMBER(SEARCH(PESQUISA!$C$4,$G864)),ISNUMBER(SEARCH(PESQUISA!$C$4,$K864)),ISNUMBER(SEARCH(PESQUISA!$C$4,$L864))),1,0))</f>
        <v/>
      </c>
      <c r="AA864">
        <f>IF($Z864=1,SUM($Z$3:$Z864),"")</f>
        <v/>
      </c>
      <c r="AB864">
        <f>IF(OR($A864="",PESQUISA!$C$50=""),0,IF(ISNUMBER(SEARCH(PESQUISA!$C$50,$I864)),1,0))</f>
        <v/>
      </c>
      <c r="AC864">
        <f>IF($AB864=1,SUM($AB$3:$AB864),"")</f>
        <v/>
      </c>
    </row>
    <row r="865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>
        <f>IFERROR(INDEX(CONFIGURACOES!$G$37:$G$300,MATCH($I865,CONFIGURACOES!$B$37:$B$300,0)),"")</f>
        <v/>
      </c>
      <c r="K865" s="20">
        <f>IFERROR(INDEX(CONFIGURACOES!$H$37:$H$300,MATCH($I865,CONFIGURACOES!$B$37:$B$300,0)),"")</f>
        <v/>
      </c>
      <c r="L865" s="20" t="n"/>
      <c r="M865" s="20">
        <f>IFERROR(INDEX(CONFIGURACOES!$I$37:$I$300,MATCH($I865,CONFIGURACOES!$B$37:$B$300,0)),"")</f>
        <v/>
      </c>
      <c r="N865" s="21" t="n"/>
      <c r="O865" s="21" t="n"/>
      <c r="P865" s="21" t="n"/>
      <c r="Q865" s="21" t="n"/>
      <c r="R865" s="21">
        <f>IF($N865="","",$N865*IF($Q865="",1,$Q865)*IF($P865="",1,$P865)*IF($O865="",1,$O865))</f>
        <v/>
      </c>
      <c r="S865" s="22">
        <f>IFERROR(INDEX(CONFIGURACOES!$J$37:$J$300,MATCH($I865,CONFIGURACOES!$B$37:$B$300,0)),"")</f>
        <v/>
      </c>
      <c r="T865" s="22">
        <f>IF(OR($R865="",$S865=""),"",$R865*$S865)</f>
        <v/>
      </c>
      <c r="U865" s="20" t="n"/>
      <c r="V865" s="20" t="n"/>
      <c r="W865" s="20" t="n"/>
      <c r="X865">
        <f>IF($A865="","",$A865&amp;"|"&amp;$C865&amp;"|"&amp;$I865)</f>
        <v/>
      </c>
      <c r="Y865">
        <f>IF(AND($A865=RELATORIO_MEDICAO!$C$5,$C865=RELATORIO_MEDICAO!$F$5,$A865&lt;&gt;""),COUNTIFS($A$3:$A865,RELATORIO_MEDICAO!$C$5,$C$3:$C865,RELATORIO_MEDICAO!$F$5),"")</f>
        <v/>
      </c>
      <c r="Z865">
        <f>IF(OR($A865="",PESQUISA!$C$4=""),0,IF(OR(ISNUMBER(SEARCH(PESQUISA!$C$4,$G865)),ISNUMBER(SEARCH(PESQUISA!$C$4,$K865)),ISNUMBER(SEARCH(PESQUISA!$C$4,$L865))),1,0))</f>
        <v/>
      </c>
      <c r="AA865">
        <f>IF($Z865=1,SUM($Z$3:$Z865),"")</f>
        <v/>
      </c>
      <c r="AB865">
        <f>IF(OR($A865="",PESQUISA!$C$50=""),0,IF(ISNUMBER(SEARCH(PESQUISA!$C$50,$I865)),1,0))</f>
        <v/>
      </c>
      <c r="AC865">
        <f>IF($AB865=1,SUM($AB$3:$AB865),"")</f>
        <v/>
      </c>
    </row>
    <row r="866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>
        <f>IFERROR(INDEX(CONFIGURACOES!$G$37:$G$300,MATCH($I866,CONFIGURACOES!$B$37:$B$300,0)),"")</f>
        <v/>
      </c>
      <c r="K866" s="20">
        <f>IFERROR(INDEX(CONFIGURACOES!$H$37:$H$300,MATCH($I866,CONFIGURACOES!$B$37:$B$300,0)),"")</f>
        <v/>
      </c>
      <c r="L866" s="20" t="n"/>
      <c r="M866" s="20">
        <f>IFERROR(INDEX(CONFIGURACOES!$I$37:$I$300,MATCH($I866,CONFIGURACOES!$B$37:$B$300,0)),"")</f>
        <v/>
      </c>
      <c r="N866" s="21" t="n"/>
      <c r="O866" s="21" t="n"/>
      <c r="P866" s="21" t="n"/>
      <c r="Q866" s="21" t="n"/>
      <c r="R866" s="21">
        <f>IF($N866="","",$N866*IF($Q866="",1,$Q866)*IF($P866="",1,$P866)*IF($O866="",1,$O866))</f>
        <v/>
      </c>
      <c r="S866" s="22">
        <f>IFERROR(INDEX(CONFIGURACOES!$J$37:$J$300,MATCH($I866,CONFIGURACOES!$B$37:$B$300,0)),"")</f>
        <v/>
      </c>
      <c r="T866" s="22">
        <f>IF(OR($R866="",$S866=""),"",$R866*$S866)</f>
        <v/>
      </c>
      <c r="U866" s="20" t="n"/>
      <c r="V866" s="20" t="n"/>
      <c r="W866" s="20" t="n"/>
      <c r="X866">
        <f>IF($A866="","",$A866&amp;"|"&amp;$C866&amp;"|"&amp;$I866)</f>
        <v/>
      </c>
      <c r="Y866">
        <f>IF(AND($A866=RELATORIO_MEDICAO!$C$5,$C866=RELATORIO_MEDICAO!$F$5,$A866&lt;&gt;""),COUNTIFS($A$3:$A866,RELATORIO_MEDICAO!$C$5,$C$3:$C866,RELATORIO_MEDICAO!$F$5),"")</f>
        <v/>
      </c>
      <c r="Z866">
        <f>IF(OR($A866="",PESQUISA!$C$4=""),0,IF(OR(ISNUMBER(SEARCH(PESQUISA!$C$4,$G866)),ISNUMBER(SEARCH(PESQUISA!$C$4,$K866)),ISNUMBER(SEARCH(PESQUISA!$C$4,$L866))),1,0))</f>
        <v/>
      </c>
      <c r="AA866">
        <f>IF($Z866=1,SUM($Z$3:$Z866),"")</f>
        <v/>
      </c>
      <c r="AB866">
        <f>IF(OR($A866="",PESQUISA!$C$50=""),0,IF(ISNUMBER(SEARCH(PESQUISA!$C$50,$I866)),1,0))</f>
        <v/>
      </c>
      <c r="AC866">
        <f>IF($AB866=1,SUM($AB$3:$AB866),"")</f>
        <v/>
      </c>
    </row>
    <row r="867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>
        <f>IFERROR(INDEX(CONFIGURACOES!$G$37:$G$300,MATCH($I867,CONFIGURACOES!$B$37:$B$300,0)),"")</f>
        <v/>
      </c>
      <c r="K867" s="20">
        <f>IFERROR(INDEX(CONFIGURACOES!$H$37:$H$300,MATCH($I867,CONFIGURACOES!$B$37:$B$300,0)),"")</f>
        <v/>
      </c>
      <c r="L867" s="20" t="n"/>
      <c r="M867" s="20">
        <f>IFERROR(INDEX(CONFIGURACOES!$I$37:$I$300,MATCH($I867,CONFIGURACOES!$B$37:$B$300,0)),"")</f>
        <v/>
      </c>
      <c r="N867" s="21" t="n"/>
      <c r="O867" s="21" t="n"/>
      <c r="P867" s="21" t="n"/>
      <c r="Q867" s="21" t="n"/>
      <c r="R867" s="21">
        <f>IF($N867="","",$N867*IF($Q867="",1,$Q867)*IF($P867="",1,$P867)*IF($O867="",1,$O867))</f>
        <v/>
      </c>
      <c r="S867" s="22">
        <f>IFERROR(INDEX(CONFIGURACOES!$J$37:$J$300,MATCH($I867,CONFIGURACOES!$B$37:$B$300,0)),"")</f>
        <v/>
      </c>
      <c r="T867" s="22">
        <f>IF(OR($R867="",$S867=""),"",$R867*$S867)</f>
        <v/>
      </c>
      <c r="U867" s="20" t="n"/>
      <c r="V867" s="20" t="n"/>
      <c r="W867" s="20" t="n"/>
      <c r="X867">
        <f>IF($A867="","",$A867&amp;"|"&amp;$C867&amp;"|"&amp;$I867)</f>
        <v/>
      </c>
      <c r="Y867">
        <f>IF(AND($A867=RELATORIO_MEDICAO!$C$5,$C867=RELATORIO_MEDICAO!$F$5,$A867&lt;&gt;""),COUNTIFS($A$3:$A867,RELATORIO_MEDICAO!$C$5,$C$3:$C867,RELATORIO_MEDICAO!$F$5),"")</f>
        <v/>
      </c>
      <c r="Z867">
        <f>IF(OR($A867="",PESQUISA!$C$4=""),0,IF(OR(ISNUMBER(SEARCH(PESQUISA!$C$4,$G867)),ISNUMBER(SEARCH(PESQUISA!$C$4,$K867)),ISNUMBER(SEARCH(PESQUISA!$C$4,$L867))),1,0))</f>
        <v/>
      </c>
      <c r="AA867">
        <f>IF($Z867=1,SUM($Z$3:$Z867),"")</f>
        <v/>
      </c>
      <c r="AB867">
        <f>IF(OR($A867="",PESQUISA!$C$50=""),0,IF(ISNUMBER(SEARCH(PESQUISA!$C$50,$I867)),1,0))</f>
        <v/>
      </c>
      <c r="AC867">
        <f>IF($AB867=1,SUM($AB$3:$AB867),"")</f>
        <v/>
      </c>
    </row>
    <row r="868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>
        <f>IFERROR(INDEX(CONFIGURACOES!$G$37:$G$300,MATCH($I868,CONFIGURACOES!$B$37:$B$300,0)),"")</f>
        <v/>
      </c>
      <c r="K868" s="20">
        <f>IFERROR(INDEX(CONFIGURACOES!$H$37:$H$300,MATCH($I868,CONFIGURACOES!$B$37:$B$300,0)),"")</f>
        <v/>
      </c>
      <c r="L868" s="20" t="n"/>
      <c r="M868" s="20">
        <f>IFERROR(INDEX(CONFIGURACOES!$I$37:$I$300,MATCH($I868,CONFIGURACOES!$B$37:$B$300,0)),"")</f>
        <v/>
      </c>
      <c r="N868" s="21" t="n"/>
      <c r="O868" s="21" t="n"/>
      <c r="P868" s="21" t="n"/>
      <c r="Q868" s="21" t="n"/>
      <c r="R868" s="21">
        <f>IF($N868="","",$N868*IF($Q868="",1,$Q868)*IF($P868="",1,$P868)*IF($O868="",1,$O868))</f>
        <v/>
      </c>
      <c r="S868" s="22">
        <f>IFERROR(INDEX(CONFIGURACOES!$J$37:$J$300,MATCH($I868,CONFIGURACOES!$B$37:$B$300,0)),"")</f>
        <v/>
      </c>
      <c r="T868" s="22">
        <f>IF(OR($R868="",$S868=""),"",$R868*$S868)</f>
        <v/>
      </c>
      <c r="U868" s="20" t="n"/>
      <c r="V868" s="20" t="n"/>
      <c r="W868" s="20" t="n"/>
      <c r="X868">
        <f>IF($A868="","",$A868&amp;"|"&amp;$C868&amp;"|"&amp;$I868)</f>
        <v/>
      </c>
      <c r="Y868">
        <f>IF(AND($A868=RELATORIO_MEDICAO!$C$5,$C868=RELATORIO_MEDICAO!$F$5,$A868&lt;&gt;""),COUNTIFS($A$3:$A868,RELATORIO_MEDICAO!$C$5,$C$3:$C868,RELATORIO_MEDICAO!$F$5),"")</f>
        <v/>
      </c>
      <c r="Z868">
        <f>IF(OR($A868="",PESQUISA!$C$4=""),0,IF(OR(ISNUMBER(SEARCH(PESQUISA!$C$4,$G868)),ISNUMBER(SEARCH(PESQUISA!$C$4,$K868)),ISNUMBER(SEARCH(PESQUISA!$C$4,$L868))),1,0))</f>
        <v/>
      </c>
      <c r="AA868">
        <f>IF($Z868=1,SUM($Z$3:$Z868),"")</f>
        <v/>
      </c>
      <c r="AB868">
        <f>IF(OR($A868="",PESQUISA!$C$50=""),0,IF(ISNUMBER(SEARCH(PESQUISA!$C$50,$I868)),1,0))</f>
        <v/>
      </c>
      <c r="AC868">
        <f>IF($AB868=1,SUM($AB$3:$AB868),"")</f>
        <v/>
      </c>
    </row>
    <row r="869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>
        <f>IFERROR(INDEX(CONFIGURACOES!$G$37:$G$300,MATCH($I869,CONFIGURACOES!$B$37:$B$300,0)),"")</f>
        <v/>
      </c>
      <c r="K869" s="20">
        <f>IFERROR(INDEX(CONFIGURACOES!$H$37:$H$300,MATCH($I869,CONFIGURACOES!$B$37:$B$300,0)),"")</f>
        <v/>
      </c>
      <c r="L869" s="20" t="n"/>
      <c r="M869" s="20">
        <f>IFERROR(INDEX(CONFIGURACOES!$I$37:$I$300,MATCH($I869,CONFIGURACOES!$B$37:$B$300,0)),"")</f>
        <v/>
      </c>
      <c r="N869" s="21" t="n"/>
      <c r="O869" s="21" t="n"/>
      <c r="P869" s="21" t="n"/>
      <c r="Q869" s="21" t="n"/>
      <c r="R869" s="21">
        <f>IF($N869="","",$N869*IF($Q869="",1,$Q869)*IF($P869="",1,$P869)*IF($O869="",1,$O869))</f>
        <v/>
      </c>
      <c r="S869" s="22">
        <f>IFERROR(INDEX(CONFIGURACOES!$J$37:$J$300,MATCH($I869,CONFIGURACOES!$B$37:$B$300,0)),"")</f>
        <v/>
      </c>
      <c r="T869" s="22">
        <f>IF(OR($R869="",$S869=""),"",$R869*$S869)</f>
        <v/>
      </c>
      <c r="U869" s="20" t="n"/>
      <c r="V869" s="20" t="n"/>
      <c r="W869" s="20" t="n"/>
      <c r="X869">
        <f>IF($A869="","",$A869&amp;"|"&amp;$C869&amp;"|"&amp;$I869)</f>
        <v/>
      </c>
      <c r="Y869">
        <f>IF(AND($A869=RELATORIO_MEDICAO!$C$5,$C869=RELATORIO_MEDICAO!$F$5,$A869&lt;&gt;""),COUNTIFS($A$3:$A869,RELATORIO_MEDICAO!$C$5,$C$3:$C869,RELATORIO_MEDICAO!$F$5),"")</f>
        <v/>
      </c>
      <c r="Z869">
        <f>IF(OR($A869="",PESQUISA!$C$4=""),0,IF(OR(ISNUMBER(SEARCH(PESQUISA!$C$4,$G869)),ISNUMBER(SEARCH(PESQUISA!$C$4,$K869)),ISNUMBER(SEARCH(PESQUISA!$C$4,$L869))),1,0))</f>
        <v/>
      </c>
      <c r="AA869">
        <f>IF($Z869=1,SUM($Z$3:$Z869),"")</f>
        <v/>
      </c>
      <c r="AB869">
        <f>IF(OR($A869="",PESQUISA!$C$50=""),0,IF(ISNUMBER(SEARCH(PESQUISA!$C$50,$I869)),1,0))</f>
        <v/>
      </c>
      <c r="AC869">
        <f>IF($AB869=1,SUM($AB$3:$AB869),"")</f>
        <v/>
      </c>
    </row>
    <row r="870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>
        <f>IFERROR(INDEX(CONFIGURACOES!$G$37:$G$300,MATCH($I870,CONFIGURACOES!$B$37:$B$300,0)),"")</f>
        <v/>
      </c>
      <c r="K870" s="20">
        <f>IFERROR(INDEX(CONFIGURACOES!$H$37:$H$300,MATCH($I870,CONFIGURACOES!$B$37:$B$300,0)),"")</f>
        <v/>
      </c>
      <c r="L870" s="20" t="n"/>
      <c r="M870" s="20">
        <f>IFERROR(INDEX(CONFIGURACOES!$I$37:$I$300,MATCH($I870,CONFIGURACOES!$B$37:$B$300,0)),"")</f>
        <v/>
      </c>
      <c r="N870" s="21" t="n"/>
      <c r="O870" s="21" t="n"/>
      <c r="P870" s="21" t="n"/>
      <c r="Q870" s="21" t="n"/>
      <c r="R870" s="21">
        <f>IF($N870="","",$N870*IF($Q870="",1,$Q870)*IF($P870="",1,$P870)*IF($O870="",1,$O870))</f>
        <v/>
      </c>
      <c r="S870" s="22">
        <f>IFERROR(INDEX(CONFIGURACOES!$J$37:$J$300,MATCH($I870,CONFIGURACOES!$B$37:$B$300,0)),"")</f>
        <v/>
      </c>
      <c r="T870" s="22">
        <f>IF(OR($R870="",$S870=""),"",$R870*$S870)</f>
        <v/>
      </c>
      <c r="U870" s="20" t="n"/>
      <c r="V870" s="20" t="n"/>
      <c r="W870" s="20" t="n"/>
      <c r="X870">
        <f>IF($A870="","",$A870&amp;"|"&amp;$C870&amp;"|"&amp;$I870)</f>
        <v/>
      </c>
      <c r="Y870">
        <f>IF(AND($A870=RELATORIO_MEDICAO!$C$5,$C870=RELATORIO_MEDICAO!$F$5,$A870&lt;&gt;""),COUNTIFS($A$3:$A870,RELATORIO_MEDICAO!$C$5,$C$3:$C870,RELATORIO_MEDICAO!$F$5),"")</f>
        <v/>
      </c>
      <c r="Z870">
        <f>IF(OR($A870="",PESQUISA!$C$4=""),0,IF(OR(ISNUMBER(SEARCH(PESQUISA!$C$4,$G870)),ISNUMBER(SEARCH(PESQUISA!$C$4,$K870)),ISNUMBER(SEARCH(PESQUISA!$C$4,$L870))),1,0))</f>
        <v/>
      </c>
      <c r="AA870">
        <f>IF($Z870=1,SUM($Z$3:$Z870),"")</f>
        <v/>
      </c>
      <c r="AB870">
        <f>IF(OR($A870="",PESQUISA!$C$50=""),0,IF(ISNUMBER(SEARCH(PESQUISA!$C$50,$I870)),1,0))</f>
        <v/>
      </c>
      <c r="AC870">
        <f>IF($AB870=1,SUM($AB$3:$AB870),"")</f>
        <v/>
      </c>
    </row>
    <row r="871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>
        <f>IFERROR(INDEX(CONFIGURACOES!$G$37:$G$300,MATCH($I871,CONFIGURACOES!$B$37:$B$300,0)),"")</f>
        <v/>
      </c>
      <c r="K871" s="20">
        <f>IFERROR(INDEX(CONFIGURACOES!$H$37:$H$300,MATCH($I871,CONFIGURACOES!$B$37:$B$300,0)),"")</f>
        <v/>
      </c>
      <c r="L871" s="20" t="n"/>
      <c r="M871" s="20">
        <f>IFERROR(INDEX(CONFIGURACOES!$I$37:$I$300,MATCH($I871,CONFIGURACOES!$B$37:$B$300,0)),"")</f>
        <v/>
      </c>
      <c r="N871" s="21" t="n"/>
      <c r="O871" s="21" t="n"/>
      <c r="P871" s="21" t="n"/>
      <c r="Q871" s="21" t="n"/>
      <c r="R871" s="21">
        <f>IF($N871="","",$N871*IF($Q871="",1,$Q871)*IF($P871="",1,$P871)*IF($O871="",1,$O871))</f>
        <v/>
      </c>
      <c r="S871" s="22">
        <f>IFERROR(INDEX(CONFIGURACOES!$J$37:$J$300,MATCH($I871,CONFIGURACOES!$B$37:$B$300,0)),"")</f>
        <v/>
      </c>
      <c r="T871" s="22">
        <f>IF(OR($R871="",$S871=""),"",$R871*$S871)</f>
        <v/>
      </c>
      <c r="U871" s="20" t="n"/>
      <c r="V871" s="20" t="n"/>
      <c r="W871" s="20" t="n"/>
      <c r="X871">
        <f>IF($A871="","",$A871&amp;"|"&amp;$C871&amp;"|"&amp;$I871)</f>
        <v/>
      </c>
      <c r="Y871">
        <f>IF(AND($A871=RELATORIO_MEDICAO!$C$5,$C871=RELATORIO_MEDICAO!$F$5,$A871&lt;&gt;""),COUNTIFS($A$3:$A871,RELATORIO_MEDICAO!$C$5,$C$3:$C871,RELATORIO_MEDICAO!$F$5),"")</f>
        <v/>
      </c>
      <c r="Z871">
        <f>IF(OR($A871="",PESQUISA!$C$4=""),0,IF(OR(ISNUMBER(SEARCH(PESQUISA!$C$4,$G871)),ISNUMBER(SEARCH(PESQUISA!$C$4,$K871)),ISNUMBER(SEARCH(PESQUISA!$C$4,$L871))),1,0))</f>
        <v/>
      </c>
      <c r="AA871">
        <f>IF($Z871=1,SUM($Z$3:$Z871),"")</f>
        <v/>
      </c>
      <c r="AB871">
        <f>IF(OR($A871="",PESQUISA!$C$50=""),0,IF(ISNUMBER(SEARCH(PESQUISA!$C$50,$I871)),1,0))</f>
        <v/>
      </c>
      <c r="AC871">
        <f>IF($AB871=1,SUM($AB$3:$AB871),"")</f>
        <v/>
      </c>
    </row>
    <row r="872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>
        <f>IFERROR(INDEX(CONFIGURACOES!$G$37:$G$300,MATCH($I872,CONFIGURACOES!$B$37:$B$300,0)),"")</f>
        <v/>
      </c>
      <c r="K872" s="20">
        <f>IFERROR(INDEX(CONFIGURACOES!$H$37:$H$300,MATCH($I872,CONFIGURACOES!$B$37:$B$300,0)),"")</f>
        <v/>
      </c>
      <c r="L872" s="20" t="n"/>
      <c r="M872" s="20">
        <f>IFERROR(INDEX(CONFIGURACOES!$I$37:$I$300,MATCH($I872,CONFIGURACOES!$B$37:$B$300,0)),"")</f>
        <v/>
      </c>
      <c r="N872" s="21" t="n"/>
      <c r="O872" s="21" t="n"/>
      <c r="P872" s="21" t="n"/>
      <c r="Q872" s="21" t="n"/>
      <c r="R872" s="21">
        <f>IF($N872="","",$N872*IF($Q872="",1,$Q872)*IF($P872="",1,$P872)*IF($O872="",1,$O872))</f>
        <v/>
      </c>
      <c r="S872" s="22">
        <f>IFERROR(INDEX(CONFIGURACOES!$J$37:$J$300,MATCH($I872,CONFIGURACOES!$B$37:$B$300,0)),"")</f>
        <v/>
      </c>
      <c r="T872" s="22">
        <f>IF(OR($R872="",$S872=""),"",$R872*$S872)</f>
        <v/>
      </c>
      <c r="U872" s="20" t="n"/>
      <c r="V872" s="20" t="n"/>
      <c r="W872" s="20" t="n"/>
      <c r="X872">
        <f>IF($A872="","",$A872&amp;"|"&amp;$C872&amp;"|"&amp;$I872)</f>
        <v/>
      </c>
      <c r="Y872">
        <f>IF(AND($A872=RELATORIO_MEDICAO!$C$5,$C872=RELATORIO_MEDICAO!$F$5,$A872&lt;&gt;""),COUNTIFS($A$3:$A872,RELATORIO_MEDICAO!$C$5,$C$3:$C872,RELATORIO_MEDICAO!$F$5),"")</f>
        <v/>
      </c>
      <c r="Z872">
        <f>IF(OR($A872="",PESQUISA!$C$4=""),0,IF(OR(ISNUMBER(SEARCH(PESQUISA!$C$4,$G872)),ISNUMBER(SEARCH(PESQUISA!$C$4,$K872)),ISNUMBER(SEARCH(PESQUISA!$C$4,$L872))),1,0))</f>
        <v/>
      </c>
      <c r="AA872">
        <f>IF($Z872=1,SUM($Z$3:$Z872),"")</f>
        <v/>
      </c>
      <c r="AB872">
        <f>IF(OR($A872="",PESQUISA!$C$50=""),0,IF(ISNUMBER(SEARCH(PESQUISA!$C$50,$I872)),1,0))</f>
        <v/>
      </c>
      <c r="AC872">
        <f>IF($AB872=1,SUM($AB$3:$AB872),"")</f>
        <v/>
      </c>
    </row>
    <row r="873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>
        <f>IFERROR(INDEX(CONFIGURACOES!$G$37:$G$300,MATCH($I873,CONFIGURACOES!$B$37:$B$300,0)),"")</f>
        <v/>
      </c>
      <c r="K873" s="20">
        <f>IFERROR(INDEX(CONFIGURACOES!$H$37:$H$300,MATCH($I873,CONFIGURACOES!$B$37:$B$300,0)),"")</f>
        <v/>
      </c>
      <c r="L873" s="20" t="n"/>
      <c r="M873" s="20">
        <f>IFERROR(INDEX(CONFIGURACOES!$I$37:$I$300,MATCH($I873,CONFIGURACOES!$B$37:$B$300,0)),"")</f>
        <v/>
      </c>
      <c r="N873" s="21" t="n"/>
      <c r="O873" s="21" t="n"/>
      <c r="P873" s="21" t="n"/>
      <c r="Q873" s="21" t="n"/>
      <c r="R873" s="21">
        <f>IF($N873="","",$N873*IF($Q873="",1,$Q873)*IF($P873="",1,$P873)*IF($O873="",1,$O873))</f>
        <v/>
      </c>
      <c r="S873" s="22">
        <f>IFERROR(INDEX(CONFIGURACOES!$J$37:$J$300,MATCH($I873,CONFIGURACOES!$B$37:$B$300,0)),"")</f>
        <v/>
      </c>
      <c r="T873" s="22">
        <f>IF(OR($R873="",$S873=""),"",$R873*$S873)</f>
        <v/>
      </c>
      <c r="U873" s="20" t="n"/>
      <c r="V873" s="20" t="n"/>
      <c r="W873" s="20" t="n"/>
      <c r="X873">
        <f>IF($A873="","",$A873&amp;"|"&amp;$C873&amp;"|"&amp;$I873)</f>
        <v/>
      </c>
      <c r="Y873">
        <f>IF(AND($A873=RELATORIO_MEDICAO!$C$5,$C873=RELATORIO_MEDICAO!$F$5,$A873&lt;&gt;""),COUNTIFS($A$3:$A873,RELATORIO_MEDICAO!$C$5,$C$3:$C873,RELATORIO_MEDICAO!$F$5),"")</f>
        <v/>
      </c>
      <c r="Z873">
        <f>IF(OR($A873="",PESQUISA!$C$4=""),0,IF(OR(ISNUMBER(SEARCH(PESQUISA!$C$4,$G873)),ISNUMBER(SEARCH(PESQUISA!$C$4,$K873)),ISNUMBER(SEARCH(PESQUISA!$C$4,$L873))),1,0))</f>
        <v/>
      </c>
      <c r="AA873">
        <f>IF($Z873=1,SUM($Z$3:$Z873),"")</f>
        <v/>
      </c>
      <c r="AB873">
        <f>IF(OR($A873="",PESQUISA!$C$50=""),0,IF(ISNUMBER(SEARCH(PESQUISA!$C$50,$I873)),1,0))</f>
        <v/>
      </c>
      <c r="AC873">
        <f>IF($AB873=1,SUM($AB$3:$AB873),"")</f>
        <v/>
      </c>
    </row>
    <row r="874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>
        <f>IFERROR(INDEX(CONFIGURACOES!$G$37:$G$300,MATCH($I874,CONFIGURACOES!$B$37:$B$300,0)),"")</f>
        <v/>
      </c>
      <c r="K874" s="20">
        <f>IFERROR(INDEX(CONFIGURACOES!$H$37:$H$300,MATCH($I874,CONFIGURACOES!$B$37:$B$300,0)),"")</f>
        <v/>
      </c>
      <c r="L874" s="20" t="n"/>
      <c r="M874" s="20">
        <f>IFERROR(INDEX(CONFIGURACOES!$I$37:$I$300,MATCH($I874,CONFIGURACOES!$B$37:$B$300,0)),"")</f>
        <v/>
      </c>
      <c r="N874" s="21" t="n"/>
      <c r="O874" s="21" t="n"/>
      <c r="P874" s="21" t="n"/>
      <c r="Q874" s="21" t="n"/>
      <c r="R874" s="21">
        <f>IF($N874="","",$N874*IF($Q874="",1,$Q874)*IF($P874="",1,$P874)*IF($O874="",1,$O874))</f>
        <v/>
      </c>
      <c r="S874" s="22">
        <f>IFERROR(INDEX(CONFIGURACOES!$J$37:$J$300,MATCH($I874,CONFIGURACOES!$B$37:$B$300,0)),"")</f>
        <v/>
      </c>
      <c r="T874" s="22">
        <f>IF(OR($R874="",$S874=""),"",$R874*$S874)</f>
        <v/>
      </c>
      <c r="U874" s="20" t="n"/>
      <c r="V874" s="20" t="n"/>
      <c r="W874" s="20" t="n"/>
      <c r="X874">
        <f>IF($A874="","",$A874&amp;"|"&amp;$C874&amp;"|"&amp;$I874)</f>
        <v/>
      </c>
      <c r="Y874">
        <f>IF(AND($A874=RELATORIO_MEDICAO!$C$5,$C874=RELATORIO_MEDICAO!$F$5,$A874&lt;&gt;""),COUNTIFS($A$3:$A874,RELATORIO_MEDICAO!$C$5,$C$3:$C874,RELATORIO_MEDICAO!$F$5),"")</f>
        <v/>
      </c>
      <c r="Z874">
        <f>IF(OR($A874="",PESQUISA!$C$4=""),0,IF(OR(ISNUMBER(SEARCH(PESQUISA!$C$4,$G874)),ISNUMBER(SEARCH(PESQUISA!$C$4,$K874)),ISNUMBER(SEARCH(PESQUISA!$C$4,$L874))),1,0))</f>
        <v/>
      </c>
      <c r="AA874">
        <f>IF($Z874=1,SUM($Z$3:$Z874),"")</f>
        <v/>
      </c>
      <c r="AB874">
        <f>IF(OR($A874="",PESQUISA!$C$50=""),0,IF(ISNUMBER(SEARCH(PESQUISA!$C$50,$I874)),1,0))</f>
        <v/>
      </c>
      <c r="AC874">
        <f>IF($AB874=1,SUM($AB$3:$AB874),"")</f>
        <v/>
      </c>
    </row>
    <row r="875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>
        <f>IFERROR(INDEX(CONFIGURACOES!$G$37:$G$300,MATCH($I875,CONFIGURACOES!$B$37:$B$300,0)),"")</f>
        <v/>
      </c>
      <c r="K875" s="20">
        <f>IFERROR(INDEX(CONFIGURACOES!$H$37:$H$300,MATCH($I875,CONFIGURACOES!$B$37:$B$300,0)),"")</f>
        <v/>
      </c>
      <c r="L875" s="20" t="n"/>
      <c r="M875" s="20">
        <f>IFERROR(INDEX(CONFIGURACOES!$I$37:$I$300,MATCH($I875,CONFIGURACOES!$B$37:$B$300,0)),"")</f>
        <v/>
      </c>
      <c r="N875" s="21" t="n"/>
      <c r="O875" s="21" t="n"/>
      <c r="P875" s="21" t="n"/>
      <c r="Q875" s="21" t="n"/>
      <c r="R875" s="21">
        <f>IF($N875="","",$N875*IF($Q875="",1,$Q875)*IF($P875="",1,$P875)*IF($O875="",1,$O875))</f>
        <v/>
      </c>
      <c r="S875" s="22">
        <f>IFERROR(INDEX(CONFIGURACOES!$J$37:$J$300,MATCH($I875,CONFIGURACOES!$B$37:$B$300,0)),"")</f>
        <v/>
      </c>
      <c r="T875" s="22">
        <f>IF(OR($R875="",$S875=""),"",$R875*$S875)</f>
        <v/>
      </c>
      <c r="U875" s="20" t="n"/>
      <c r="V875" s="20" t="n"/>
      <c r="W875" s="20" t="n"/>
      <c r="X875">
        <f>IF($A875="","",$A875&amp;"|"&amp;$C875&amp;"|"&amp;$I875)</f>
        <v/>
      </c>
      <c r="Y875">
        <f>IF(AND($A875=RELATORIO_MEDICAO!$C$5,$C875=RELATORIO_MEDICAO!$F$5,$A875&lt;&gt;""),COUNTIFS($A$3:$A875,RELATORIO_MEDICAO!$C$5,$C$3:$C875,RELATORIO_MEDICAO!$F$5),"")</f>
        <v/>
      </c>
      <c r="Z875">
        <f>IF(OR($A875="",PESQUISA!$C$4=""),0,IF(OR(ISNUMBER(SEARCH(PESQUISA!$C$4,$G875)),ISNUMBER(SEARCH(PESQUISA!$C$4,$K875)),ISNUMBER(SEARCH(PESQUISA!$C$4,$L875))),1,0))</f>
        <v/>
      </c>
      <c r="AA875">
        <f>IF($Z875=1,SUM($Z$3:$Z875),"")</f>
        <v/>
      </c>
      <c r="AB875">
        <f>IF(OR($A875="",PESQUISA!$C$50=""),0,IF(ISNUMBER(SEARCH(PESQUISA!$C$50,$I875)),1,0))</f>
        <v/>
      </c>
      <c r="AC875">
        <f>IF($AB875=1,SUM($AB$3:$AB875),"")</f>
        <v/>
      </c>
    </row>
    <row r="876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>
        <f>IFERROR(INDEX(CONFIGURACOES!$G$37:$G$300,MATCH($I876,CONFIGURACOES!$B$37:$B$300,0)),"")</f>
        <v/>
      </c>
      <c r="K876" s="20">
        <f>IFERROR(INDEX(CONFIGURACOES!$H$37:$H$300,MATCH($I876,CONFIGURACOES!$B$37:$B$300,0)),"")</f>
        <v/>
      </c>
      <c r="L876" s="20" t="n"/>
      <c r="M876" s="20">
        <f>IFERROR(INDEX(CONFIGURACOES!$I$37:$I$300,MATCH($I876,CONFIGURACOES!$B$37:$B$300,0)),"")</f>
        <v/>
      </c>
      <c r="N876" s="21" t="n"/>
      <c r="O876" s="21" t="n"/>
      <c r="P876" s="21" t="n"/>
      <c r="Q876" s="21" t="n"/>
      <c r="R876" s="21">
        <f>IF($N876="","",$N876*IF($Q876="",1,$Q876)*IF($P876="",1,$P876)*IF($O876="",1,$O876))</f>
        <v/>
      </c>
      <c r="S876" s="22">
        <f>IFERROR(INDEX(CONFIGURACOES!$J$37:$J$300,MATCH($I876,CONFIGURACOES!$B$37:$B$300,0)),"")</f>
        <v/>
      </c>
      <c r="T876" s="22">
        <f>IF(OR($R876="",$S876=""),"",$R876*$S876)</f>
        <v/>
      </c>
      <c r="U876" s="20" t="n"/>
      <c r="V876" s="20" t="n"/>
      <c r="W876" s="20" t="n"/>
      <c r="X876">
        <f>IF($A876="","",$A876&amp;"|"&amp;$C876&amp;"|"&amp;$I876)</f>
        <v/>
      </c>
      <c r="Y876">
        <f>IF(AND($A876=RELATORIO_MEDICAO!$C$5,$C876=RELATORIO_MEDICAO!$F$5,$A876&lt;&gt;""),COUNTIFS($A$3:$A876,RELATORIO_MEDICAO!$C$5,$C$3:$C876,RELATORIO_MEDICAO!$F$5),"")</f>
        <v/>
      </c>
      <c r="Z876">
        <f>IF(OR($A876="",PESQUISA!$C$4=""),0,IF(OR(ISNUMBER(SEARCH(PESQUISA!$C$4,$G876)),ISNUMBER(SEARCH(PESQUISA!$C$4,$K876)),ISNUMBER(SEARCH(PESQUISA!$C$4,$L876))),1,0))</f>
        <v/>
      </c>
      <c r="AA876">
        <f>IF($Z876=1,SUM($Z$3:$Z876),"")</f>
        <v/>
      </c>
      <c r="AB876">
        <f>IF(OR($A876="",PESQUISA!$C$50=""),0,IF(ISNUMBER(SEARCH(PESQUISA!$C$50,$I876)),1,0))</f>
        <v/>
      </c>
      <c r="AC876">
        <f>IF($AB876=1,SUM($AB$3:$AB876),"")</f>
        <v/>
      </c>
    </row>
    <row r="877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>
        <f>IFERROR(INDEX(CONFIGURACOES!$G$37:$G$300,MATCH($I877,CONFIGURACOES!$B$37:$B$300,0)),"")</f>
        <v/>
      </c>
      <c r="K877" s="20">
        <f>IFERROR(INDEX(CONFIGURACOES!$H$37:$H$300,MATCH($I877,CONFIGURACOES!$B$37:$B$300,0)),"")</f>
        <v/>
      </c>
      <c r="L877" s="20" t="n"/>
      <c r="M877" s="20">
        <f>IFERROR(INDEX(CONFIGURACOES!$I$37:$I$300,MATCH($I877,CONFIGURACOES!$B$37:$B$300,0)),"")</f>
        <v/>
      </c>
      <c r="N877" s="21" t="n"/>
      <c r="O877" s="21" t="n"/>
      <c r="P877" s="21" t="n"/>
      <c r="Q877" s="21" t="n"/>
      <c r="R877" s="21">
        <f>IF($N877="","",$N877*IF($Q877="",1,$Q877)*IF($P877="",1,$P877)*IF($O877="",1,$O877))</f>
        <v/>
      </c>
      <c r="S877" s="22">
        <f>IFERROR(INDEX(CONFIGURACOES!$J$37:$J$300,MATCH($I877,CONFIGURACOES!$B$37:$B$300,0)),"")</f>
        <v/>
      </c>
      <c r="T877" s="22">
        <f>IF(OR($R877="",$S877=""),"",$R877*$S877)</f>
        <v/>
      </c>
      <c r="U877" s="20" t="n"/>
      <c r="V877" s="20" t="n"/>
      <c r="W877" s="20" t="n"/>
      <c r="X877">
        <f>IF($A877="","",$A877&amp;"|"&amp;$C877&amp;"|"&amp;$I877)</f>
        <v/>
      </c>
      <c r="Y877">
        <f>IF(AND($A877=RELATORIO_MEDICAO!$C$5,$C877=RELATORIO_MEDICAO!$F$5,$A877&lt;&gt;""),COUNTIFS($A$3:$A877,RELATORIO_MEDICAO!$C$5,$C$3:$C877,RELATORIO_MEDICAO!$F$5),"")</f>
        <v/>
      </c>
      <c r="Z877">
        <f>IF(OR($A877="",PESQUISA!$C$4=""),0,IF(OR(ISNUMBER(SEARCH(PESQUISA!$C$4,$G877)),ISNUMBER(SEARCH(PESQUISA!$C$4,$K877)),ISNUMBER(SEARCH(PESQUISA!$C$4,$L877))),1,0))</f>
        <v/>
      </c>
      <c r="AA877">
        <f>IF($Z877=1,SUM($Z$3:$Z877),"")</f>
        <v/>
      </c>
      <c r="AB877">
        <f>IF(OR($A877="",PESQUISA!$C$50=""),0,IF(ISNUMBER(SEARCH(PESQUISA!$C$50,$I877)),1,0))</f>
        <v/>
      </c>
      <c r="AC877">
        <f>IF($AB877=1,SUM($AB$3:$AB877),"")</f>
        <v/>
      </c>
    </row>
    <row r="878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>
        <f>IFERROR(INDEX(CONFIGURACOES!$G$37:$G$300,MATCH($I878,CONFIGURACOES!$B$37:$B$300,0)),"")</f>
        <v/>
      </c>
      <c r="K878" s="20">
        <f>IFERROR(INDEX(CONFIGURACOES!$H$37:$H$300,MATCH($I878,CONFIGURACOES!$B$37:$B$300,0)),"")</f>
        <v/>
      </c>
      <c r="L878" s="20" t="n"/>
      <c r="M878" s="20">
        <f>IFERROR(INDEX(CONFIGURACOES!$I$37:$I$300,MATCH($I878,CONFIGURACOES!$B$37:$B$300,0)),"")</f>
        <v/>
      </c>
      <c r="N878" s="21" t="n"/>
      <c r="O878" s="21" t="n"/>
      <c r="P878" s="21" t="n"/>
      <c r="Q878" s="21" t="n"/>
      <c r="R878" s="21">
        <f>IF($N878="","",$N878*IF($Q878="",1,$Q878)*IF($P878="",1,$P878)*IF($O878="",1,$O878))</f>
        <v/>
      </c>
      <c r="S878" s="22">
        <f>IFERROR(INDEX(CONFIGURACOES!$J$37:$J$300,MATCH($I878,CONFIGURACOES!$B$37:$B$300,0)),"")</f>
        <v/>
      </c>
      <c r="T878" s="22">
        <f>IF(OR($R878="",$S878=""),"",$R878*$S878)</f>
        <v/>
      </c>
      <c r="U878" s="20" t="n"/>
      <c r="V878" s="20" t="n"/>
      <c r="W878" s="20" t="n"/>
      <c r="X878">
        <f>IF($A878="","",$A878&amp;"|"&amp;$C878&amp;"|"&amp;$I878)</f>
        <v/>
      </c>
      <c r="Y878">
        <f>IF(AND($A878=RELATORIO_MEDICAO!$C$5,$C878=RELATORIO_MEDICAO!$F$5,$A878&lt;&gt;""),COUNTIFS($A$3:$A878,RELATORIO_MEDICAO!$C$5,$C$3:$C878,RELATORIO_MEDICAO!$F$5),"")</f>
        <v/>
      </c>
      <c r="Z878">
        <f>IF(OR($A878="",PESQUISA!$C$4=""),0,IF(OR(ISNUMBER(SEARCH(PESQUISA!$C$4,$G878)),ISNUMBER(SEARCH(PESQUISA!$C$4,$K878)),ISNUMBER(SEARCH(PESQUISA!$C$4,$L878))),1,0))</f>
        <v/>
      </c>
      <c r="AA878">
        <f>IF($Z878=1,SUM($Z$3:$Z878),"")</f>
        <v/>
      </c>
      <c r="AB878">
        <f>IF(OR($A878="",PESQUISA!$C$50=""),0,IF(ISNUMBER(SEARCH(PESQUISA!$C$50,$I878)),1,0))</f>
        <v/>
      </c>
      <c r="AC878">
        <f>IF($AB878=1,SUM($AB$3:$AB878),"")</f>
        <v/>
      </c>
    </row>
    <row r="879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>
        <f>IFERROR(INDEX(CONFIGURACOES!$G$37:$G$300,MATCH($I879,CONFIGURACOES!$B$37:$B$300,0)),"")</f>
        <v/>
      </c>
      <c r="K879" s="20">
        <f>IFERROR(INDEX(CONFIGURACOES!$H$37:$H$300,MATCH($I879,CONFIGURACOES!$B$37:$B$300,0)),"")</f>
        <v/>
      </c>
      <c r="L879" s="20" t="n"/>
      <c r="M879" s="20">
        <f>IFERROR(INDEX(CONFIGURACOES!$I$37:$I$300,MATCH($I879,CONFIGURACOES!$B$37:$B$300,0)),"")</f>
        <v/>
      </c>
      <c r="N879" s="21" t="n"/>
      <c r="O879" s="21" t="n"/>
      <c r="P879" s="21" t="n"/>
      <c r="Q879" s="21" t="n"/>
      <c r="R879" s="21">
        <f>IF($N879="","",$N879*IF($Q879="",1,$Q879)*IF($P879="",1,$P879)*IF($O879="",1,$O879))</f>
        <v/>
      </c>
      <c r="S879" s="22">
        <f>IFERROR(INDEX(CONFIGURACOES!$J$37:$J$300,MATCH($I879,CONFIGURACOES!$B$37:$B$300,0)),"")</f>
        <v/>
      </c>
      <c r="T879" s="22">
        <f>IF(OR($R879="",$S879=""),"",$R879*$S879)</f>
        <v/>
      </c>
      <c r="U879" s="20" t="n"/>
      <c r="V879" s="20" t="n"/>
      <c r="W879" s="20" t="n"/>
      <c r="X879">
        <f>IF($A879="","",$A879&amp;"|"&amp;$C879&amp;"|"&amp;$I879)</f>
        <v/>
      </c>
      <c r="Y879">
        <f>IF(AND($A879=RELATORIO_MEDICAO!$C$5,$C879=RELATORIO_MEDICAO!$F$5,$A879&lt;&gt;""),COUNTIFS($A$3:$A879,RELATORIO_MEDICAO!$C$5,$C$3:$C879,RELATORIO_MEDICAO!$F$5),"")</f>
        <v/>
      </c>
      <c r="Z879">
        <f>IF(OR($A879="",PESQUISA!$C$4=""),0,IF(OR(ISNUMBER(SEARCH(PESQUISA!$C$4,$G879)),ISNUMBER(SEARCH(PESQUISA!$C$4,$K879)),ISNUMBER(SEARCH(PESQUISA!$C$4,$L879))),1,0))</f>
        <v/>
      </c>
      <c r="AA879">
        <f>IF($Z879=1,SUM($Z$3:$Z879),"")</f>
        <v/>
      </c>
      <c r="AB879">
        <f>IF(OR($A879="",PESQUISA!$C$50=""),0,IF(ISNUMBER(SEARCH(PESQUISA!$C$50,$I879)),1,0))</f>
        <v/>
      </c>
      <c r="AC879">
        <f>IF($AB879=1,SUM($AB$3:$AB879),"")</f>
        <v/>
      </c>
    </row>
    <row r="880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>
        <f>IFERROR(INDEX(CONFIGURACOES!$G$37:$G$300,MATCH($I880,CONFIGURACOES!$B$37:$B$300,0)),"")</f>
        <v/>
      </c>
      <c r="K880" s="20">
        <f>IFERROR(INDEX(CONFIGURACOES!$H$37:$H$300,MATCH($I880,CONFIGURACOES!$B$37:$B$300,0)),"")</f>
        <v/>
      </c>
      <c r="L880" s="20" t="n"/>
      <c r="M880" s="20">
        <f>IFERROR(INDEX(CONFIGURACOES!$I$37:$I$300,MATCH($I880,CONFIGURACOES!$B$37:$B$300,0)),"")</f>
        <v/>
      </c>
      <c r="N880" s="21" t="n"/>
      <c r="O880" s="21" t="n"/>
      <c r="P880" s="21" t="n"/>
      <c r="Q880" s="21" t="n"/>
      <c r="R880" s="21">
        <f>IF($N880="","",$N880*IF($Q880="",1,$Q880)*IF($P880="",1,$P880)*IF($O880="",1,$O880))</f>
        <v/>
      </c>
      <c r="S880" s="22">
        <f>IFERROR(INDEX(CONFIGURACOES!$J$37:$J$300,MATCH($I880,CONFIGURACOES!$B$37:$B$300,0)),"")</f>
        <v/>
      </c>
      <c r="T880" s="22">
        <f>IF(OR($R880="",$S880=""),"",$R880*$S880)</f>
        <v/>
      </c>
      <c r="U880" s="20" t="n"/>
      <c r="V880" s="20" t="n"/>
      <c r="W880" s="20" t="n"/>
      <c r="X880">
        <f>IF($A880="","",$A880&amp;"|"&amp;$C880&amp;"|"&amp;$I880)</f>
        <v/>
      </c>
      <c r="Y880">
        <f>IF(AND($A880=RELATORIO_MEDICAO!$C$5,$C880=RELATORIO_MEDICAO!$F$5,$A880&lt;&gt;""),COUNTIFS($A$3:$A880,RELATORIO_MEDICAO!$C$5,$C$3:$C880,RELATORIO_MEDICAO!$F$5),"")</f>
        <v/>
      </c>
      <c r="Z880">
        <f>IF(OR($A880="",PESQUISA!$C$4=""),0,IF(OR(ISNUMBER(SEARCH(PESQUISA!$C$4,$G880)),ISNUMBER(SEARCH(PESQUISA!$C$4,$K880)),ISNUMBER(SEARCH(PESQUISA!$C$4,$L880))),1,0))</f>
        <v/>
      </c>
      <c r="AA880">
        <f>IF($Z880=1,SUM($Z$3:$Z880),"")</f>
        <v/>
      </c>
      <c r="AB880">
        <f>IF(OR($A880="",PESQUISA!$C$50=""),0,IF(ISNUMBER(SEARCH(PESQUISA!$C$50,$I880)),1,0))</f>
        <v/>
      </c>
      <c r="AC880">
        <f>IF($AB880=1,SUM($AB$3:$AB880),"")</f>
        <v/>
      </c>
    </row>
    <row r="881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>
        <f>IFERROR(INDEX(CONFIGURACOES!$G$37:$G$300,MATCH($I881,CONFIGURACOES!$B$37:$B$300,0)),"")</f>
        <v/>
      </c>
      <c r="K881" s="20">
        <f>IFERROR(INDEX(CONFIGURACOES!$H$37:$H$300,MATCH($I881,CONFIGURACOES!$B$37:$B$300,0)),"")</f>
        <v/>
      </c>
      <c r="L881" s="20" t="n"/>
      <c r="M881" s="20">
        <f>IFERROR(INDEX(CONFIGURACOES!$I$37:$I$300,MATCH($I881,CONFIGURACOES!$B$37:$B$300,0)),"")</f>
        <v/>
      </c>
      <c r="N881" s="21" t="n"/>
      <c r="O881" s="21" t="n"/>
      <c r="P881" s="21" t="n"/>
      <c r="Q881" s="21" t="n"/>
      <c r="R881" s="21">
        <f>IF($N881="","",$N881*IF($Q881="",1,$Q881)*IF($P881="",1,$P881)*IF($O881="",1,$O881))</f>
        <v/>
      </c>
      <c r="S881" s="22">
        <f>IFERROR(INDEX(CONFIGURACOES!$J$37:$J$300,MATCH($I881,CONFIGURACOES!$B$37:$B$300,0)),"")</f>
        <v/>
      </c>
      <c r="T881" s="22">
        <f>IF(OR($R881="",$S881=""),"",$R881*$S881)</f>
        <v/>
      </c>
      <c r="U881" s="20" t="n"/>
      <c r="V881" s="20" t="n"/>
      <c r="W881" s="20" t="n"/>
      <c r="X881">
        <f>IF($A881="","",$A881&amp;"|"&amp;$C881&amp;"|"&amp;$I881)</f>
        <v/>
      </c>
      <c r="Y881">
        <f>IF(AND($A881=RELATORIO_MEDICAO!$C$5,$C881=RELATORIO_MEDICAO!$F$5,$A881&lt;&gt;""),COUNTIFS($A$3:$A881,RELATORIO_MEDICAO!$C$5,$C$3:$C881,RELATORIO_MEDICAO!$F$5),"")</f>
        <v/>
      </c>
      <c r="Z881">
        <f>IF(OR($A881="",PESQUISA!$C$4=""),0,IF(OR(ISNUMBER(SEARCH(PESQUISA!$C$4,$G881)),ISNUMBER(SEARCH(PESQUISA!$C$4,$K881)),ISNUMBER(SEARCH(PESQUISA!$C$4,$L881))),1,0))</f>
        <v/>
      </c>
      <c r="AA881">
        <f>IF($Z881=1,SUM($Z$3:$Z881),"")</f>
        <v/>
      </c>
      <c r="AB881">
        <f>IF(OR($A881="",PESQUISA!$C$50=""),0,IF(ISNUMBER(SEARCH(PESQUISA!$C$50,$I881)),1,0))</f>
        <v/>
      </c>
      <c r="AC881">
        <f>IF($AB881=1,SUM($AB$3:$AB881),"")</f>
        <v/>
      </c>
    </row>
    <row r="882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>
        <f>IFERROR(INDEX(CONFIGURACOES!$G$37:$G$300,MATCH($I882,CONFIGURACOES!$B$37:$B$300,0)),"")</f>
        <v/>
      </c>
      <c r="K882" s="20">
        <f>IFERROR(INDEX(CONFIGURACOES!$H$37:$H$300,MATCH($I882,CONFIGURACOES!$B$37:$B$300,0)),"")</f>
        <v/>
      </c>
      <c r="L882" s="20" t="n"/>
      <c r="M882" s="20">
        <f>IFERROR(INDEX(CONFIGURACOES!$I$37:$I$300,MATCH($I882,CONFIGURACOES!$B$37:$B$300,0)),"")</f>
        <v/>
      </c>
      <c r="N882" s="21" t="n"/>
      <c r="O882" s="21" t="n"/>
      <c r="P882" s="21" t="n"/>
      <c r="Q882" s="21" t="n"/>
      <c r="R882" s="21">
        <f>IF($N882="","",$N882*IF($Q882="",1,$Q882)*IF($P882="",1,$P882)*IF($O882="",1,$O882))</f>
        <v/>
      </c>
      <c r="S882" s="22">
        <f>IFERROR(INDEX(CONFIGURACOES!$J$37:$J$300,MATCH($I882,CONFIGURACOES!$B$37:$B$300,0)),"")</f>
        <v/>
      </c>
      <c r="T882" s="22">
        <f>IF(OR($R882="",$S882=""),"",$R882*$S882)</f>
        <v/>
      </c>
      <c r="U882" s="20" t="n"/>
      <c r="V882" s="20" t="n"/>
      <c r="W882" s="20" t="n"/>
      <c r="X882">
        <f>IF($A882="","",$A882&amp;"|"&amp;$C882&amp;"|"&amp;$I882)</f>
        <v/>
      </c>
      <c r="Y882">
        <f>IF(AND($A882=RELATORIO_MEDICAO!$C$5,$C882=RELATORIO_MEDICAO!$F$5,$A882&lt;&gt;""),COUNTIFS($A$3:$A882,RELATORIO_MEDICAO!$C$5,$C$3:$C882,RELATORIO_MEDICAO!$F$5),"")</f>
        <v/>
      </c>
      <c r="Z882">
        <f>IF(OR($A882="",PESQUISA!$C$4=""),0,IF(OR(ISNUMBER(SEARCH(PESQUISA!$C$4,$G882)),ISNUMBER(SEARCH(PESQUISA!$C$4,$K882)),ISNUMBER(SEARCH(PESQUISA!$C$4,$L882))),1,0))</f>
        <v/>
      </c>
      <c r="AA882">
        <f>IF($Z882=1,SUM($Z$3:$Z882),"")</f>
        <v/>
      </c>
      <c r="AB882">
        <f>IF(OR($A882="",PESQUISA!$C$50=""),0,IF(ISNUMBER(SEARCH(PESQUISA!$C$50,$I882)),1,0))</f>
        <v/>
      </c>
      <c r="AC882">
        <f>IF($AB882=1,SUM($AB$3:$AB882),"")</f>
        <v/>
      </c>
    </row>
    <row r="883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>
        <f>IFERROR(INDEX(CONFIGURACOES!$G$37:$G$300,MATCH($I883,CONFIGURACOES!$B$37:$B$300,0)),"")</f>
        <v/>
      </c>
      <c r="K883" s="20">
        <f>IFERROR(INDEX(CONFIGURACOES!$H$37:$H$300,MATCH($I883,CONFIGURACOES!$B$37:$B$300,0)),"")</f>
        <v/>
      </c>
      <c r="L883" s="20" t="n"/>
      <c r="M883" s="20">
        <f>IFERROR(INDEX(CONFIGURACOES!$I$37:$I$300,MATCH($I883,CONFIGURACOES!$B$37:$B$300,0)),"")</f>
        <v/>
      </c>
      <c r="N883" s="21" t="n"/>
      <c r="O883" s="21" t="n"/>
      <c r="P883" s="21" t="n"/>
      <c r="Q883" s="21" t="n"/>
      <c r="R883" s="21">
        <f>IF($N883="","",$N883*IF($Q883="",1,$Q883)*IF($P883="",1,$P883)*IF($O883="",1,$O883))</f>
        <v/>
      </c>
      <c r="S883" s="22">
        <f>IFERROR(INDEX(CONFIGURACOES!$J$37:$J$300,MATCH($I883,CONFIGURACOES!$B$37:$B$300,0)),"")</f>
        <v/>
      </c>
      <c r="T883" s="22">
        <f>IF(OR($R883="",$S883=""),"",$R883*$S883)</f>
        <v/>
      </c>
      <c r="U883" s="20" t="n"/>
      <c r="V883" s="20" t="n"/>
      <c r="W883" s="20" t="n"/>
      <c r="X883">
        <f>IF($A883="","",$A883&amp;"|"&amp;$C883&amp;"|"&amp;$I883)</f>
        <v/>
      </c>
      <c r="Y883">
        <f>IF(AND($A883=RELATORIO_MEDICAO!$C$5,$C883=RELATORIO_MEDICAO!$F$5,$A883&lt;&gt;""),COUNTIFS($A$3:$A883,RELATORIO_MEDICAO!$C$5,$C$3:$C883,RELATORIO_MEDICAO!$F$5),"")</f>
        <v/>
      </c>
      <c r="Z883">
        <f>IF(OR($A883="",PESQUISA!$C$4=""),0,IF(OR(ISNUMBER(SEARCH(PESQUISA!$C$4,$G883)),ISNUMBER(SEARCH(PESQUISA!$C$4,$K883)),ISNUMBER(SEARCH(PESQUISA!$C$4,$L883))),1,0))</f>
        <v/>
      </c>
      <c r="AA883">
        <f>IF($Z883=1,SUM($Z$3:$Z883),"")</f>
        <v/>
      </c>
      <c r="AB883">
        <f>IF(OR($A883="",PESQUISA!$C$50=""),0,IF(ISNUMBER(SEARCH(PESQUISA!$C$50,$I883)),1,0))</f>
        <v/>
      </c>
      <c r="AC883">
        <f>IF($AB883=1,SUM($AB$3:$AB883),"")</f>
        <v/>
      </c>
    </row>
    <row r="884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>
        <f>IFERROR(INDEX(CONFIGURACOES!$G$37:$G$300,MATCH($I884,CONFIGURACOES!$B$37:$B$300,0)),"")</f>
        <v/>
      </c>
      <c r="K884" s="20">
        <f>IFERROR(INDEX(CONFIGURACOES!$H$37:$H$300,MATCH($I884,CONFIGURACOES!$B$37:$B$300,0)),"")</f>
        <v/>
      </c>
      <c r="L884" s="20" t="n"/>
      <c r="M884" s="20">
        <f>IFERROR(INDEX(CONFIGURACOES!$I$37:$I$300,MATCH($I884,CONFIGURACOES!$B$37:$B$300,0)),"")</f>
        <v/>
      </c>
      <c r="N884" s="21" t="n"/>
      <c r="O884" s="21" t="n"/>
      <c r="P884" s="21" t="n"/>
      <c r="Q884" s="21" t="n"/>
      <c r="R884" s="21">
        <f>IF($N884="","",$N884*IF($Q884="",1,$Q884)*IF($P884="",1,$P884)*IF($O884="",1,$O884))</f>
        <v/>
      </c>
      <c r="S884" s="22">
        <f>IFERROR(INDEX(CONFIGURACOES!$J$37:$J$300,MATCH($I884,CONFIGURACOES!$B$37:$B$300,0)),"")</f>
        <v/>
      </c>
      <c r="T884" s="22">
        <f>IF(OR($R884="",$S884=""),"",$R884*$S884)</f>
        <v/>
      </c>
      <c r="U884" s="20" t="n"/>
      <c r="V884" s="20" t="n"/>
      <c r="W884" s="20" t="n"/>
      <c r="X884">
        <f>IF($A884="","",$A884&amp;"|"&amp;$C884&amp;"|"&amp;$I884)</f>
        <v/>
      </c>
      <c r="Y884">
        <f>IF(AND($A884=RELATORIO_MEDICAO!$C$5,$C884=RELATORIO_MEDICAO!$F$5,$A884&lt;&gt;""),COUNTIFS($A$3:$A884,RELATORIO_MEDICAO!$C$5,$C$3:$C884,RELATORIO_MEDICAO!$F$5),"")</f>
        <v/>
      </c>
      <c r="Z884">
        <f>IF(OR($A884="",PESQUISA!$C$4=""),0,IF(OR(ISNUMBER(SEARCH(PESQUISA!$C$4,$G884)),ISNUMBER(SEARCH(PESQUISA!$C$4,$K884)),ISNUMBER(SEARCH(PESQUISA!$C$4,$L884))),1,0))</f>
        <v/>
      </c>
      <c r="AA884">
        <f>IF($Z884=1,SUM($Z$3:$Z884),"")</f>
        <v/>
      </c>
      <c r="AB884">
        <f>IF(OR($A884="",PESQUISA!$C$50=""),0,IF(ISNUMBER(SEARCH(PESQUISA!$C$50,$I884)),1,0))</f>
        <v/>
      </c>
      <c r="AC884">
        <f>IF($AB884=1,SUM($AB$3:$AB884),"")</f>
        <v/>
      </c>
    </row>
    <row r="885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>
        <f>IFERROR(INDEX(CONFIGURACOES!$G$37:$G$300,MATCH($I885,CONFIGURACOES!$B$37:$B$300,0)),"")</f>
        <v/>
      </c>
      <c r="K885" s="20">
        <f>IFERROR(INDEX(CONFIGURACOES!$H$37:$H$300,MATCH($I885,CONFIGURACOES!$B$37:$B$300,0)),"")</f>
        <v/>
      </c>
      <c r="L885" s="20" t="n"/>
      <c r="M885" s="20">
        <f>IFERROR(INDEX(CONFIGURACOES!$I$37:$I$300,MATCH($I885,CONFIGURACOES!$B$37:$B$300,0)),"")</f>
        <v/>
      </c>
      <c r="N885" s="21" t="n"/>
      <c r="O885" s="21" t="n"/>
      <c r="P885" s="21" t="n"/>
      <c r="Q885" s="21" t="n"/>
      <c r="R885" s="21">
        <f>IF($N885="","",$N885*IF($Q885="",1,$Q885)*IF($P885="",1,$P885)*IF($O885="",1,$O885))</f>
        <v/>
      </c>
      <c r="S885" s="22">
        <f>IFERROR(INDEX(CONFIGURACOES!$J$37:$J$300,MATCH($I885,CONFIGURACOES!$B$37:$B$300,0)),"")</f>
        <v/>
      </c>
      <c r="T885" s="22">
        <f>IF(OR($R885="",$S885=""),"",$R885*$S885)</f>
        <v/>
      </c>
      <c r="U885" s="20" t="n"/>
      <c r="V885" s="20" t="n"/>
      <c r="W885" s="20" t="n"/>
      <c r="X885">
        <f>IF($A885="","",$A885&amp;"|"&amp;$C885&amp;"|"&amp;$I885)</f>
        <v/>
      </c>
      <c r="Y885">
        <f>IF(AND($A885=RELATORIO_MEDICAO!$C$5,$C885=RELATORIO_MEDICAO!$F$5,$A885&lt;&gt;""),COUNTIFS($A$3:$A885,RELATORIO_MEDICAO!$C$5,$C$3:$C885,RELATORIO_MEDICAO!$F$5),"")</f>
        <v/>
      </c>
      <c r="Z885">
        <f>IF(OR($A885="",PESQUISA!$C$4=""),0,IF(OR(ISNUMBER(SEARCH(PESQUISA!$C$4,$G885)),ISNUMBER(SEARCH(PESQUISA!$C$4,$K885)),ISNUMBER(SEARCH(PESQUISA!$C$4,$L885))),1,0))</f>
        <v/>
      </c>
      <c r="AA885">
        <f>IF($Z885=1,SUM($Z$3:$Z885),"")</f>
        <v/>
      </c>
      <c r="AB885">
        <f>IF(OR($A885="",PESQUISA!$C$50=""),0,IF(ISNUMBER(SEARCH(PESQUISA!$C$50,$I885)),1,0))</f>
        <v/>
      </c>
      <c r="AC885">
        <f>IF($AB885=1,SUM($AB$3:$AB885),"")</f>
        <v/>
      </c>
    </row>
    <row r="886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>
        <f>IFERROR(INDEX(CONFIGURACOES!$G$37:$G$300,MATCH($I886,CONFIGURACOES!$B$37:$B$300,0)),"")</f>
        <v/>
      </c>
      <c r="K886" s="20">
        <f>IFERROR(INDEX(CONFIGURACOES!$H$37:$H$300,MATCH($I886,CONFIGURACOES!$B$37:$B$300,0)),"")</f>
        <v/>
      </c>
      <c r="L886" s="20" t="n"/>
      <c r="M886" s="20">
        <f>IFERROR(INDEX(CONFIGURACOES!$I$37:$I$300,MATCH($I886,CONFIGURACOES!$B$37:$B$300,0)),"")</f>
        <v/>
      </c>
      <c r="N886" s="21" t="n"/>
      <c r="O886" s="21" t="n"/>
      <c r="P886" s="21" t="n"/>
      <c r="Q886" s="21" t="n"/>
      <c r="R886" s="21">
        <f>IF($N886="","",$N886*IF($Q886="",1,$Q886)*IF($P886="",1,$P886)*IF($O886="",1,$O886))</f>
        <v/>
      </c>
      <c r="S886" s="22">
        <f>IFERROR(INDEX(CONFIGURACOES!$J$37:$J$300,MATCH($I886,CONFIGURACOES!$B$37:$B$300,0)),"")</f>
        <v/>
      </c>
      <c r="T886" s="22">
        <f>IF(OR($R886="",$S886=""),"",$R886*$S886)</f>
        <v/>
      </c>
      <c r="U886" s="20" t="n"/>
      <c r="V886" s="20" t="n"/>
      <c r="W886" s="20" t="n"/>
      <c r="X886">
        <f>IF($A886="","",$A886&amp;"|"&amp;$C886&amp;"|"&amp;$I886)</f>
        <v/>
      </c>
      <c r="Y886">
        <f>IF(AND($A886=RELATORIO_MEDICAO!$C$5,$C886=RELATORIO_MEDICAO!$F$5,$A886&lt;&gt;""),COUNTIFS($A$3:$A886,RELATORIO_MEDICAO!$C$5,$C$3:$C886,RELATORIO_MEDICAO!$F$5),"")</f>
        <v/>
      </c>
      <c r="Z886">
        <f>IF(OR($A886="",PESQUISA!$C$4=""),0,IF(OR(ISNUMBER(SEARCH(PESQUISA!$C$4,$G886)),ISNUMBER(SEARCH(PESQUISA!$C$4,$K886)),ISNUMBER(SEARCH(PESQUISA!$C$4,$L886))),1,0))</f>
        <v/>
      </c>
      <c r="AA886">
        <f>IF($Z886=1,SUM($Z$3:$Z886),"")</f>
        <v/>
      </c>
      <c r="AB886">
        <f>IF(OR($A886="",PESQUISA!$C$50=""),0,IF(ISNUMBER(SEARCH(PESQUISA!$C$50,$I886)),1,0))</f>
        <v/>
      </c>
      <c r="AC886">
        <f>IF($AB886=1,SUM($AB$3:$AB886),"")</f>
        <v/>
      </c>
    </row>
    <row r="887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>
        <f>IFERROR(INDEX(CONFIGURACOES!$G$37:$G$300,MATCH($I887,CONFIGURACOES!$B$37:$B$300,0)),"")</f>
        <v/>
      </c>
      <c r="K887" s="20">
        <f>IFERROR(INDEX(CONFIGURACOES!$H$37:$H$300,MATCH($I887,CONFIGURACOES!$B$37:$B$300,0)),"")</f>
        <v/>
      </c>
      <c r="L887" s="20" t="n"/>
      <c r="M887" s="20">
        <f>IFERROR(INDEX(CONFIGURACOES!$I$37:$I$300,MATCH($I887,CONFIGURACOES!$B$37:$B$300,0)),"")</f>
        <v/>
      </c>
      <c r="N887" s="21" t="n"/>
      <c r="O887" s="21" t="n"/>
      <c r="P887" s="21" t="n"/>
      <c r="Q887" s="21" t="n"/>
      <c r="R887" s="21">
        <f>IF($N887="","",$N887*IF($Q887="",1,$Q887)*IF($P887="",1,$P887)*IF($O887="",1,$O887))</f>
        <v/>
      </c>
      <c r="S887" s="22">
        <f>IFERROR(INDEX(CONFIGURACOES!$J$37:$J$300,MATCH($I887,CONFIGURACOES!$B$37:$B$300,0)),"")</f>
        <v/>
      </c>
      <c r="T887" s="22">
        <f>IF(OR($R887="",$S887=""),"",$R887*$S887)</f>
        <v/>
      </c>
      <c r="U887" s="20" t="n"/>
      <c r="V887" s="20" t="n"/>
      <c r="W887" s="20" t="n"/>
      <c r="X887">
        <f>IF($A887="","",$A887&amp;"|"&amp;$C887&amp;"|"&amp;$I887)</f>
        <v/>
      </c>
      <c r="Y887">
        <f>IF(AND($A887=RELATORIO_MEDICAO!$C$5,$C887=RELATORIO_MEDICAO!$F$5,$A887&lt;&gt;""),COUNTIFS($A$3:$A887,RELATORIO_MEDICAO!$C$5,$C$3:$C887,RELATORIO_MEDICAO!$F$5),"")</f>
        <v/>
      </c>
      <c r="Z887">
        <f>IF(OR($A887="",PESQUISA!$C$4=""),0,IF(OR(ISNUMBER(SEARCH(PESQUISA!$C$4,$G887)),ISNUMBER(SEARCH(PESQUISA!$C$4,$K887)),ISNUMBER(SEARCH(PESQUISA!$C$4,$L887))),1,0))</f>
        <v/>
      </c>
      <c r="AA887">
        <f>IF($Z887=1,SUM($Z$3:$Z887),"")</f>
        <v/>
      </c>
      <c r="AB887">
        <f>IF(OR($A887="",PESQUISA!$C$50=""),0,IF(ISNUMBER(SEARCH(PESQUISA!$C$50,$I887)),1,0))</f>
        <v/>
      </c>
      <c r="AC887">
        <f>IF($AB887=1,SUM($AB$3:$AB887),"")</f>
        <v/>
      </c>
    </row>
    <row r="888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>
        <f>IFERROR(INDEX(CONFIGURACOES!$G$37:$G$300,MATCH($I888,CONFIGURACOES!$B$37:$B$300,0)),"")</f>
        <v/>
      </c>
      <c r="K888" s="20">
        <f>IFERROR(INDEX(CONFIGURACOES!$H$37:$H$300,MATCH($I888,CONFIGURACOES!$B$37:$B$300,0)),"")</f>
        <v/>
      </c>
      <c r="L888" s="20" t="n"/>
      <c r="M888" s="20">
        <f>IFERROR(INDEX(CONFIGURACOES!$I$37:$I$300,MATCH($I888,CONFIGURACOES!$B$37:$B$300,0)),"")</f>
        <v/>
      </c>
      <c r="N888" s="21" t="n"/>
      <c r="O888" s="21" t="n"/>
      <c r="P888" s="21" t="n"/>
      <c r="Q888" s="21" t="n"/>
      <c r="R888" s="21">
        <f>IF($N888="","",$N888*IF($Q888="",1,$Q888)*IF($P888="",1,$P888)*IF($O888="",1,$O888))</f>
        <v/>
      </c>
      <c r="S888" s="22">
        <f>IFERROR(INDEX(CONFIGURACOES!$J$37:$J$300,MATCH($I888,CONFIGURACOES!$B$37:$B$300,0)),"")</f>
        <v/>
      </c>
      <c r="T888" s="22">
        <f>IF(OR($R888="",$S888=""),"",$R888*$S888)</f>
        <v/>
      </c>
      <c r="U888" s="20" t="n"/>
      <c r="V888" s="20" t="n"/>
      <c r="W888" s="20" t="n"/>
      <c r="X888">
        <f>IF($A888="","",$A888&amp;"|"&amp;$C888&amp;"|"&amp;$I888)</f>
        <v/>
      </c>
      <c r="Y888">
        <f>IF(AND($A888=RELATORIO_MEDICAO!$C$5,$C888=RELATORIO_MEDICAO!$F$5,$A888&lt;&gt;""),COUNTIFS($A$3:$A888,RELATORIO_MEDICAO!$C$5,$C$3:$C888,RELATORIO_MEDICAO!$F$5),"")</f>
        <v/>
      </c>
      <c r="Z888">
        <f>IF(OR($A888="",PESQUISA!$C$4=""),0,IF(OR(ISNUMBER(SEARCH(PESQUISA!$C$4,$G888)),ISNUMBER(SEARCH(PESQUISA!$C$4,$K888)),ISNUMBER(SEARCH(PESQUISA!$C$4,$L888))),1,0))</f>
        <v/>
      </c>
      <c r="AA888">
        <f>IF($Z888=1,SUM($Z$3:$Z888),"")</f>
        <v/>
      </c>
      <c r="AB888">
        <f>IF(OR($A888="",PESQUISA!$C$50=""),0,IF(ISNUMBER(SEARCH(PESQUISA!$C$50,$I888)),1,0))</f>
        <v/>
      </c>
      <c r="AC888">
        <f>IF($AB888=1,SUM($AB$3:$AB888),"")</f>
        <v/>
      </c>
    </row>
    <row r="889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>
        <f>IFERROR(INDEX(CONFIGURACOES!$G$37:$G$300,MATCH($I889,CONFIGURACOES!$B$37:$B$300,0)),"")</f>
        <v/>
      </c>
      <c r="K889" s="20">
        <f>IFERROR(INDEX(CONFIGURACOES!$H$37:$H$300,MATCH($I889,CONFIGURACOES!$B$37:$B$300,0)),"")</f>
        <v/>
      </c>
      <c r="L889" s="20" t="n"/>
      <c r="M889" s="20">
        <f>IFERROR(INDEX(CONFIGURACOES!$I$37:$I$300,MATCH($I889,CONFIGURACOES!$B$37:$B$300,0)),"")</f>
        <v/>
      </c>
      <c r="N889" s="21" t="n"/>
      <c r="O889" s="21" t="n"/>
      <c r="P889" s="21" t="n"/>
      <c r="Q889" s="21" t="n"/>
      <c r="R889" s="21">
        <f>IF($N889="","",$N889*IF($Q889="",1,$Q889)*IF($P889="",1,$P889)*IF($O889="",1,$O889))</f>
        <v/>
      </c>
      <c r="S889" s="22">
        <f>IFERROR(INDEX(CONFIGURACOES!$J$37:$J$300,MATCH($I889,CONFIGURACOES!$B$37:$B$300,0)),"")</f>
        <v/>
      </c>
      <c r="T889" s="22">
        <f>IF(OR($R889="",$S889=""),"",$R889*$S889)</f>
        <v/>
      </c>
      <c r="U889" s="20" t="n"/>
      <c r="V889" s="20" t="n"/>
      <c r="W889" s="20" t="n"/>
      <c r="X889">
        <f>IF($A889="","",$A889&amp;"|"&amp;$C889&amp;"|"&amp;$I889)</f>
        <v/>
      </c>
      <c r="Y889">
        <f>IF(AND($A889=RELATORIO_MEDICAO!$C$5,$C889=RELATORIO_MEDICAO!$F$5,$A889&lt;&gt;""),COUNTIFS($A$3:$A889,RELATORIO_MEDICAO!$C$5,$C$3:$C889,RELATORIO_MEDICAO!$F$5),"")</f>
        <v/>
      </c>
      <c r="Z889">
        <f>IF(OR($A889="",PESQUISA!$C$4=""),0,IF(OR(ISNUMBER(SEARCH(PESQUISA!$C$4,$G889)),ISNUMBER(SEARCH(PESQUISA!$C$4,$K889)),ISNUMBER(SEARCH(PESQUISA!$C$4,$L889))),1,0))</f>
        <v/>
      </c>
      <c r="AA889">
        <f>IF($Z889=1,SUM($Z$3:$Z889),"")</f>
        <v/>
      </c>
      <c r="AB889">
        <f>IF(OR($A889="",PESQUISA!$C$50=""),0,IF(ISNUMBER(SEARCH(PESQUISA!$C$50,$I889)),1,0))</f>
        <v/>
      </c>
      <c r="AC889">
        <f>IF($AB889=1,SUM($AB$3:$AB889),"")</f>
        <v/>
      </c>
    </row>
    <row r="890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>
        <f>IFERROR(INDEX(CONFIGURACOES!$G$37:$G$300,MATCH($I890,CONFIGURACOES!$B$37:$B$300,0)),"")</f>
        <v/>
      </c>
      <c r="K890" s="20">
        <f>IFERROR(INDEX(CONFIGURACOES!$H$37:$H$300,MATCH($I890,CONFIGURACOES!$B$37:$B$300,0)),"")</f>
        <v/>
      </c>
      <c r="L890" s="20" t="n"/>
      <c r="M890" s="20">
        <f>IFERROR(INDEX(CONFIGURACOES!$I$37:$I$300,MATCH($I890,CONFIGURACOES!$B$37:$B$300,0)),"")</f>
        <v/>
      </c>
      <c r="N890" s="21" t="n"/>
      <c r="O890" s="21" t="n"/>
      <c r="P890" s="21" t="n"/>
      <c r="Q890" s="21" t="n"/>
      <c r="R890" s="21">
        <f>IF($N890="","",$N890*IF($Q890="",1,$Q890)*IF($P890="",1,$P890)*IF($O890="",1,$O890))</f>
        <v/>
      </c>
      <c r="S890" s="22">
        <f>IFERROR(INDEX(CONFIGURACOES!$J$37:$J$300,MATCH($I890,CONFIGURACOES!$B$37:$B$300,0)),"")</f>
        <v/>
      </c>
      <c r="T890" s="22">
        <f>IF(OR($R890="",$S890=""),"",$R890*$S890)</f>
        <v/>
      </c>
      <c r="U890" s="20" t="n"/>
      <c r="V890" s="20" t="n"/>
      <c r="W890" s="20" t="n"/>
      <c r="X890">
        <f>IF($A890="","",$A890&amp;"|"&amp;$C890&amp;"|"&amp;$I890)</f>
        <v/>
      </c>
      <c r="Y890">
        <f>IF(AND($A890=RELATORIO_MEDICAO!$C$5,$C890=RELATORIO_MEDICAO!$F$5,$A890&lt;&gt;""),COUNTIFS($A$3:$A890,RELATORIO_MEDICAO!$C$5,$C$3:$C890,RELATORIO_MEDICAO!$F$5),"")</f>
        <v/>
      </c>
      <c r="Z890">
        <f>IF(OR($A890="",PESQUISA!$C$4=""),0,IF(OR(ISNUMBER(SEARCH(PESQUISA!$C$4,$G890)),ISNUMBER(SEARCH(PESQUISA!$C$4,$K890)),ISNUMBER(SEARCH(PESQUISA!$C$4,$L890))),1,0))</f>
        <v/>
      </c>
      <c r="AA890">
        <f>IF($Z890=1,SUM($Z$3:$Z890),"")</f>
        <v/>
      </c>
      <c r="AB890">
        <f>IF(OR($A890="",PESQUISA!$C$50=""),0,IF(ISNUMBER(SEARCH(PESQUISA!$C$50,$I890)),1,0))</f>
        <v/>
      </c>
      <c r="AC890">
        <f>IF($AB890=1,SUM($AB$3:$AB890),"")</f>
        <v/>
      </c>
    </row>
    <row r="891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>
        <f>IFERROR(INDEX(CONFIGURACOES!$G$37:$G$300,MATCH($I891,CONFIGURACOES!$B$37:$B$300,0)),"")</f>
        <v/>
      </c>
      <c r="K891" s="20">
        <f>IFERROR(INDEX(CONFIGURACOES!$H$37:$H$300,MATCH($I891,CONFIGURACOES!$B$37:$B$300,0)),"")</f>
        <v/>
      </c>
      <c r="L891" s="20" t="n"/>
      <c r="M891" s="20">
        <f>IFERROR(INDEX(CONFIGURACOES!$I$37:$I$300,MATCH($I891,CONFIGURACOES!$B$37:$B$300,0)),"")</f>
        <v/>
      </c>
      <c r="N891" s="21" t="n"/>
      <c r="O891" s="21" t="n"/>
      <c r="P891" s="21" t="n"/>
      <c r="Q891" s="21" t="n"/>
      <c r="R891" s="21">
        <f>IF($N891="","",$N891*IF($Q891="",1,$Q891)*IF($P891="",1,$P891)*IF($O891="",1,$O891))</f>
        <v/>
      </c>
      <c r="S891" s="22">
        <f>IFERROR(INDEX(CONFIGURACOES!$J$37:$J$300,MATCH($I891,CONFIGURACOES!$B$37:$B$300,0)),"")</f>
        <v/>
      </c>
      <c r="T891" s="22">
        <f>IF(OR($R891="",$S891=""),"",$R891*$S891)</f>
        <v/>
      </c>
      <c r="U891" s="20" t="n"/>
      <c r="V891" s="20" t="n"/>
      <c r="W891" s="20" t="n"/>
      <c r="X891">
        <f>IF($A891="","",$A891&amp;"|"&amp;$C891&amp;"|"&amp;$I891)</f>
        <v/>
      </c>
      <c r="Y891">
        <f>IF(AND($A891=RELATORIO_MEDICAO!$C$5,$C891=RELATORIO_MEDICAO!$F$5,$A891&lt;&gt;""),COUNTIFS($A$3:$A891,RELATORIO_MEDICAO!$C$5,$C$3:$C891,RELATORIO_MEDICAO!$F$5),"")</f>
        <v/>
      </c>
      <c r="Z891">
        <f>IF(OR($A891="",PESQUISA!$C$4=""),0,IF(OR(ISNUMBER(SEARCH(PESQUISA!$C$4,$G891)),ISNUMBER(SEARCH(PESQUISA!$C$4,$K891)),ISNUMBER(SEARCH(PESQUISA!$C$4,$L891))),1,0))</f>
        <v/>
      </c>
      <c r="AA891">
        <f>IF($Z891=1,SUM($Z$3:$Z891),"")</f>
        <v/>
      </c>
      <c r="AB891">
        <f>IF(OR($A891="",PESQUISA!$C$50=""),0,IF(ISNUMBER(SEARCH(PESQUISA!$C$50,$I891)),1,0))</f>
        <v/>
      </c>
      <c r="AC891">
        <f>IF($AB891=1,SUM($AB$3:$AB891),"")</f>
        <v/>
      </c>
    </row>
    <row r="892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>
        <f>IFERROR(INDEX(CONFIGURACOES!$G$37:$G$300,MATCH($I892,CONFIGURACOES!$B$37:$B$300,0)),"")</f>
        <v/>
      </c>
      <c r="K892" s="20">
        <f>IFERROR(INDEX(CONFIGURACOES!$H$37:$H$300,MATCH($I892,CONFIGURACOES!$B$37:$B$300,0)),"")</f>
        <v/>
      </c>
      <c r="L892" s="20" t="n"/>
      <c r="M892" s="20">
        <f>IFERROR(INDEX(CONFIGURACOES!$I$37:$I$300,MATCH($I892,CONFIGURACOES!$B$37:$B$300,0)),"")</f>
        <v/>
      </c>
      <c r="N892" s="21" t="n"/>
      <c r="O892" s="21" t="n"/>
      <c r="P892" s="21" t="n"/>
      <c r="Q892" s="21" t="n"/>
      <c r="R892" s="21">
        <f>IF($N892="","",$N892*IF($Q892="",1,$Q892)*IF($P892="",1,$P892)*IF($O892="",1,$O892))</f>
        <v/>
      </c>
      <c r="S892" s="22">
        <f>IFERROR(INDEX(CONFIGURACOES!$J$37:$J$300,MATCH($I892,CONFIGURACOES!$B$37:$B$300,0)),"")</f>
        <v/>
      </c>
      <c r="T892" s="22">
        <f>IF(OR($R892="",$S892=""),"",$R892*$S892)</f>
        <v/>
      </c>
      <c r="U892" s="20" t="n"/>
      <c r="V892" s="20" t="n"/>
      <c r="W892" s="20" t="n"/>
      <c r="X892">
        <f>IF($A892="","",$A892&amp;"|"&amp;$C892&amp;"|"&amp;$I892)</f>
        <v/>
      </c>
      <c r="Y892">
        <f>IF(AND($A892=RELATORIO_MEDICAO!$C$5,$C892=RELATORIO_MEDICAO!$F$5,$A892&lt;&gt;""),COUNTIFS($A$3:$A892,RELATORIO_MEDICAO!$C$5,$C$3:$C892,RELATORIO_MEDICAO!$F$5),"")</f>
        <v/>
      </c>
      <c r="Z892">
        <f>IF(OR($A892="",PESQUISA!$C$4=""),0,IF(OR(ISNUMBER(SEARCH(PESQUISA!$C$4,$G892)),ISNUMBER(SEARCH(PESQUISA!$C$4,$K892)),ISNUMBER(SEARCH(PESQUISA!$C$4,$L892))),1,0))</f>
        <v/>
      </c>
      <c r="AA892">
        <f>IF($Z892=1,SUM($Z$3:$Z892),"")</f>
        <v/>
      </c>
      <c r="AB892">
        <f>IF(OR($A892="",PESQUISA!$C$50=""),0,IF(ISNUMBER(SEARCH(PESQUISA!$C$50,$I892)),1,0))</f>
        <v/>
      </c>
      <c r="AC892">
        <f>IF($AB892=1,SUM($AB$3:$AB892),"")</f>
        <v/>
      </c>
    </row>
    <row r="893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>
        <f>IFERROR(INDEX(CONFIGURACOES!$G$37:$G$300,MATCH($I893,CONFIGURACOES!$B$37:$B$300,0)),"")</f>
        <v/>
      </c>
      <c r="K893" s="20">
        <f>IFERROR(INDEX(CONFIGURACOES!$H$37:$H$300,MATCH($I893,CONFIGURACOES!$B$37:$B$300,0)),"")</f>
        <v/>
      </c>
      <c r="L893" s="20" t="n"/>
      <c r="M893" s="20">
        <f>IFERROR(INDEX(CONFIGURACOES!$I$37:$I$300,MATCH($I893,CONFIGURACOES!$B$37:$B$300,0)),"")</f>
        <v/>
      </c>
      <c r="N893" s="21" t="n"/>
      <c r="O893" s="21" t="n"/>
      <c r="P893" s="21" t="n"/>
      <c r="Q893" s="21" t="n"/>
      <c r="R893" s="21">
        <f>IF($N893="","",$N893*IF($Q893="",1,$Q893)*IF($P893="",1,$P893)*IF($O893="",1,$O893))</f>
        <v/>
      </c>
      <c r="S893" s="22">
        <f>IFERROR(INDEX(CONFIGURACOES!$J$37:$J$300,MATCH($I893,CONFIGURACOES!$B$37:$B$300,0)),"")</f>
        <v/>
      </c>
      <c r="T893" s="22">
        <f>IF(OR($R893="",$S893=""),"",$R893*$S893)</f>
        <v/>
      </c>
      <c r="U893" s="20" t="n"/>
      <c r="V893" s="20" t="n"/>
      <c r="W893" s="20" t="n"/>
      <c r="X893">
        <f>IF($A893="","",$A893&amp;"|"&amp;$C893&amp;"|"&amp;$I893)</f>
        <v/>
      </c>
      <c r="Y893">
        <f>IF(AND($A893=RELATORIO_MEDICAO!$C$5,$C893=RELATORIO_MEDICAO!$F$5,$A893&lt;&gt;""),COUNTIFS($A$3:$A893,RELATORIO_MEDICAO!$C$5,$C$3:$C893,RELATORIO_MEDICAO!$F$5),"")</f>
        <v/>
      </c>
      <c r="Z893">
        <f>IF(OR($A893="",PESQUISA!$C$4=""),0,IF(OR(ISNUMBER(SEARCH(PESQUISA!$C$4,$G893)),ISNUMBER(SEARCH(PESQUISA!$C$4,$K893)),ISNUMBER(SEARCH(PESQUISA!$C$4,$L893))),1,0))</f>
        <v/>
      </c>
      <c r="AA893">
        <f>IF($Z893=1,SUM($Z$3:$Z893),"")</f>
        <v/>
      </c>
      <c r="AB893">
        <f>IF(OR($A893="",PESQUISA!$C$50=""),0,IF(ISNUMBER(SEARCH(PESQUISA!$C$50,$I893)),1,0))</f>
        <v/>
      </c>
      <c r="AC893">
        <f>IF($AB893=1,SUM($AB$3:$AB893),"")</f>
        <v/>
      </c>
    </row>
    <row r="894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>
        <f>IFERROR(INDEX(CONFIGURACOES!$G$37:$G$300,MATCH($I894,CONFIGURACOES!$B$37:$B$300,0)),"")</f>
        <v/>
      </c>
      <c r="K894" s="20">
        <f>IFERROR(INDEX(CONFIGURACOES!$H$37:$H$300,MATCH($I894,CONFIGURACOES!$B$37:$B$300,0)),"")</f>
        <v/>
      </c>
      <c r="L894" s="20" t="n"/>
      <c r="M894" s="20">
        <f>IFERROR(INDEX(CONFIGURACOES!$I$37:$I$300,MATCH($I894,CONFIGURACOES!$B$37:$B$300,0)),"")</f>
        <v/>
      </c>
      <c r="N894" s="21" t="n"/>
      <c r="O894" s="21" t="n"/>
      <c r="P894" s="21" t="n"/>
      <c r="Q894" s="21" t="n"/>
      <c r="R894" s="21">
        <f>IF($N894="","",$N894*IF($Q894="",1,$Q894)*IF($P894="",1,$P894)*IF($O894="",1,$O894))</f>
        <v/>
      </c>
      <c r="S894" s="22">
        <f>IFERROR(INDEX(CONFIGURACOES!$J$37:$J$300,MATCH($I894,CONFIGURACOES!$B$37:$B$300,0)),"")</f>
        <v/>
      </c>
      <c r="T894" s="22">
        <f>IF(OR($R894="",$S894=""),"",$R894*$S894)</f>
        <v/>
      </c>
      <c r="U894" s="20" t="n"/>
      <c r="V894" s="20" t="n"/>
      <c r="W894" s="20" t="n"/>
      <c r="X894">
        <f>IF($A894="","",$A894&amp;"|"&amp;$C894&amp;"|"&amp;$I894)</f>
        <v/>
      </c>
      <c r="Y894">
        <f>IF(AND($A894=RELATORIO_MEDICAO!$C$5,$C894=RELATORIO_MEDICAO!$F$5,$A894&lt;&gt;""),COUNTIFS($A$3:$A894,RELATORIO_MEDICAO!$C$5,$C$3:$C894,RELATORIO_MEDICAO!$F$5),"")</f>
        <v/>
      </c>
      <c r="Z894">
        <f>IF(OR($A894="",PESQUISA!$C$4=""),0,IF(OR(ISNUMBER(SEARCH(PESQUISA!$C$4,$G894)),ISNUMBER(SEARCH(PESQUISA!$C$4,$K894)),ISNUMBER(SEARCH(PESQUISA!$C$4,$L894))),1,0))</f>
        <v/>
      </c>
      <c r="AA894">
        <f>IF($Z894=1,SUM($Z$3:$Z894),"")</f>
        <v/>
      </c>
      <c r="AB894">
        <f>IF(OR($A894="",PESQUISA!$C$50=""),0,IF(ISNUMBER(SEARCH(PESQUISA!$C$50,$I894)),1,0))</f>
        <v/>
      </c>
      <c r="AC894">
        <f>IF($AB894=1,SUM($AB$3:$AB894),"")</f>
        <v/>
      </c>
    </row>
    <row r="895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>
        <f>IFERROR(INDEX(CONFIGURACOES!$G$37:$G$300,MATCH($I895,CONFIGURACOES!$B$37:$B$300,0)),"")</f>
        <v/>
      </c>
      <c r="K895" s="20">
        <f>IFERROR(INDEX(CONFIGURACOES!$H$37:$H$300,MATCH($I895,CONFIGURACOES!$B$37:$B$300,0)),"")</f>
        <v/>
      </c>
      <c r="L895" s="20" t="n"/>
      <c r="M895" s="20">
        <f>IFERROR(INDEX(CONFIGURACOES!$I$37:$I$300,MATCH($I895,CONFIGURACOES!$B$37:$B$300,0)),"")</f>
        <v/>
      </c>
      <c r="N895" s="21" t="n"/>
      <c r="O895" s="21" t="n"/>
      <c r="P895" s="21" t="n"/>
      <c r="Q895" s="21" t="n"/>
      <c r="R895" s="21">
        <f>IF($N895="","",$N895*IF($Q895="",1,$Q895)*IF($P895="",1,$P895)*IF($O895="",1,$O895))</f>
        <v/>
      </c>
      <c r="S895" s="22">
        <f>IFERROR(INDEX(CONFIGURACOES!$J$37:$J$300,MATCH($I895,CONFIGURACOES!$B$37:$B$300,0)),"")</f>
        <v/>
      </c>
      <c r="T895" s="22">
        <f>IF(OR($R895="",$S895=""),"",$R895*$S895)</f>
        <v/>
      </c>
      <c r="U895" s="20" t="n"/>
      <c r="V895" s="20" t="n"/>
      <c r="W895" s="20" t="n"/>
      <c r="X895">
        <f>IF($A895="","",$A895&amp;"|"&amp;$C895&amp;"|"&amp;$I895)</f>
        <v/>
      </c>
      <c r="Y895">
        <f>IF(AND($A895=RELATORIO_MEDICAO!$C$5,$C895=RELATORIO_MEDICAO!$F$5,$A895&lt;&gt;""),COUNTIFS($A$3:$A895,RELATORIO_MEDICAO!$C$5,$C$3:$C895,RELATORIO_MEDICAO!$F$5),"")</f>
        <v/>
      </c>
      <c r="Z895">
        <f>IF(OR($A895="",PESQUISA!$C$4=""),0,IF(OR(ISNUMBER(SEARCH(PESQUISA!$C$4,$G895)),ISNUMBER(SEARCH(PESQUISA!$C$4,$K895)),ISNUMBER(SEARCH(PESQUISA!$C$4,$L895))),1,0))</f>
        <v/>
      </c>
      <c r="AA895">
        <f>IF($Z895=1,SUM($Z$3:$Z895),"")</f>
        <v/>
      </c>
      <c r="AB895">
        <f>IF(OR($A895="",PESQUISA!$C$50=""),0,IF(ISNUMBER(SEARCH(PESQUISA!$C$50,$I895)),1,0))</f>
        <v/>
      </c>
      <c r="AC895">
        <f>IF($AB895=1,SUM($AB$3:$AB895),"")</f>
        <v/>
      </c>
    </row>
    <row r="896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>
        <f>IFERROR(INDEX(CONFIGURACOES!$G$37:$G$300,MATCH($I896,CONFIGURACOES!$B$37:$B$300,0)),"")</f>
        <v/>
      </c>
      <c r="K896" s="20">
        <f>IFERROR(INDEX(CONFIGURACOES!$H$37:$H$300,MATCH($I896,CONFIGURACOES!$B$37:$B$300,0)),"")</f>
        <v/>
      </c>
      <c r="L896" s="20" t="n"/>
      <c r="M896" s="20">
        <f>IFERROR(INDEX(CONFIGURACOES!$I$37:$I$300,MATCH($I896,CONFIGURACOES!$B$37:$B$300,0)),"")</f>
        <v/>
      </c>
      <c r="N896" s="21" t="n"/>
      <c r="O896" s="21" t="n"/>
      <c r="P896" s="21" t="n"/>
      <c r="Q896" s="21" t="n"/>
      <c r="R896" s="21">
        <f>IF($N896="","",$N896*IF($Q896="",1,$Q896)*IF($P896="",1,$P896)*IF($O896="",1,$O896))</f>
        <v/>
      </c>
      <c r="S896" s="22">
        <f>IFERROR(INDEX(CONFIGURACOES!$J$37:$J$300,MATCH($I896,CONFIGURACOES!$B$37:$B$300,0)),"")</f>
        <v/>
      </c>
      <c r="T896" s="22">
        <f>IF(OR($R896="",$S896=""),"",$R896*$S896)</f>
        <v/>
      </c>
      <c r="U896" s="20" t="n"/>
      <c r="V896" s="20" t="n"/>
      <c r="W896" s="20" t="n"/>
      <c r="X896">
        <f>IF($A896="","",$A896&amp;"|"&amp;$C896&amp;"|"&amp;$I896)</f>
        <v/>
      </c>
      <c r="Y896">
        <f>IF(AND($A896=RELATORIO_MEDICAO!$C$5,$C896=RELATORIO_MEDICAO!$F$5,$A896&lt;&gt;""),COUNTIFS($A$3:$A896,RELATORIO_MEDICAO!$C$5,$C$3:$C896,RELATORIO_MEDICAO!$F$5),"")</f>
        <v/>
      </c>
      <c r="Z896">
        <f>IF(OR($A896="",PESQUISA!$C$4=""),0,IF(OR(ISNUMBER(SEARCH(PESQUISA!$C$4,$G896)),ISNUMBER(SEARCH(PESQUISA!$C$4,$K896)),ISNUMBER(SEARCH(PESQUISA!$C$4,$L896))),1,0))</f>
        <v/>
      </c>
      <c r="AA896">
        <f>IF($Z896=1,SUM($Z$3:$Z896),"")</f>
        <v/>
      </c>
      <c r="AB896">
        <f>IF(OR($A896="",PESQUISA!$C$50=""),0,IF(ISNUMBER(SEARCH(PESQUISA!$C$50,$I896)),1,0))</f>
        <v/>
      </c>
      <c r="AC896">
        <f>IF($AB896=1,SUM($AB$3:$AB896),"")</f>
        <v/>
      </c>
    </row>
    <row r="897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>
        <f>IFERROR(INDEX(CONFIGURACOES!$G$37:$G$300,MATCH($I897,CONFIGURACOES!$B$37:$B$300,0)),"")</f>
        <v/>
      </c>
      <c r="K897" s="20">
        <f>IFERROR(INDEX(CONFIGURACOES!$H$37:$H$300,MATCH($I897,CONFIGURACOES!$B$37:$B$300,0)),"")</f>
        <v/>
      </c>
      <c r="L897" s="20" t="n"/>
      <c r="M897" s="20">
        <f>IFERROR(INDEX(CONFIGURACOES!$I$37:$I$300,MATCH($I897,CONFIGURACOES!$B$37:$B$300,0)),"")</f>
        <v/>
      </c>
      <c r="N897" s="21" t="n"/>
      <c r="O897" s="21" t="n"/>
      <c r="P897" s="21" t="n"/>
      <c r="Q897" s="21" t="n"/>
      <c r="R897" s="21">
        <f>IF($N897="","",$N897*IF($Q897="",1,$Q897)*IF($P897="",1,$P897)*IF($O897="",1,$O897))</f>
        <v/>
      </c>
      <c r="S897" s="22">
        <f>IFERROR(INDEX(CONFIGURACOES!$J$37:$J$300,MATCH($I897,CONFIGURACOES!$B$37:$B$300,0)),"")</f>
        <v/>
      </c>
      <c r="T897" s="22">
        <f>IF(OR($R897="",$S897=""),"",$R897*$S897)</f>
        <v/>
      </c>
      <c r="U897" s="20" t="n"/>
      <c r="V897" s="20" t="n"/>
      <c r="W897" s="20" t="n"/>
      <c r="X897">
        <f>IF($A897="","",$A897&amp;"|"&amp;$C897&amp;"|"&amp;$I897)</f>
        <v/>
      </c>
      <c r="Y897">
        <f>IF(AND($A897=RELATORIO_MEDICAO!$C$5,$C897=RELATORIO_MEDICAO!$F$5,$A897&lt;&gt;""),COUNTIFS($A$3:$A897,RELATORIO_MEDICAO!$C$5,$C$3:$C897,RELATORIO_MEDICAO!$F$5),"")</f>
        <v/>
      </c>
      <c r="Z897">
        <f>IF(OR($A897="",PESQUISA!$C$4=""),0,IF(OR(ISNUMBER(SEARCH(PESQUISA!$C$4,$G897)),ISNUMBER(SEARCH(PESQUISA!$C$4,$K897)),ISNUMBER(SEARCH(PESQUISA!$C$4,$L897))),1,0))</f>
        <v/>
      </c>
      <c r="AA897">
        <f>IF($Z897=1,SUM($Z$3:$Z897),"")</f>
        <v/>
      </c>
      <c r="AB897">
        <f>IF(OR($A897="",PESQUISA!$C$50=""),0,IF(ISNUMBER(SEARCH(PESQUISA!$C$50,$I897)),1,0))</f>
        <v/>
      </c>
      <c r="AC897">
        <f>IF($AB897=1,SUM($AB$3:$AB897),"")</f>
        <v/>
      </c>
    </row>
    <row r="898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>
        <f>IFERROR(INDEX(CONFIGURACOES!$G$37:$G$300,MATCH($I898,CONFIGURACOES!$B$37:$B$300,0)),"")</f>
        <v/>
      </c>
      <c r="K898" s="20">
        <f>IFERROR(INDEX(CONFIGURACOES!$H$37:$H$300,MATCH($I898,CONFIGURACOES!$B$37:$B$300,0)),"")</f>
        <v/>
      </c>
      <c r="L898" s="20" t="n"/>
      <c r="M898" s="20">
        <f>IFERROR(INDEX(CONFIGURACOES!$I$37:$I$300,MATCH($I898,CONFIGURACOES!$B$37:$B$300,0)),"")</f>
        <v/>
      </c>
      <c r="N898" s="21" t="n"/>
      <c r="O898" s="21" t="n"/>
      <c r="P898" s="21" t="n"/>
      <c r="Q898" s="21" t="n"/>
      <c r="R898" s="21">
        <f>IF($N898="","",$N898*IF($Q898="",1,$Q898)*IF($P898="",1,$P898)*IF($O898="",1,$O898))</f>
        <v/>
      </c>
      <c r="S898" s="22">
        <f>IFERROR(INDEX(CONFIGURACOES!$J$37:$J$300,MATCH($I898,CONFIGURACOES!$B$37:$B$300,0)),"")</f>
        <v/>
      </c>
      <c r="T898" s="22">
        <f>IF(OR($R898="",$S898=""),"",$R898*$S898)</f>
        <v/>
      </c>
      <c r="U898" s="20" t="n"/>
      <c r="V898" s="20" t="n"/>
      <c r="W898" s="20" t="n"/>
      <c r="X898">
        <f>IF($A898="","",$A898&amp;"|"&amp;$C898&amp;"|"&amp;$I898)</f>
        <v/>
      </c>
      <c r="Y898">
        <f>IF(AND($A898=RELATORIO_MEDICAO!$C$5,$C898=RELATORIO_MEDICAO!$F$5,$A898&lt;&gt;""),COUNTIFS($A$3:$A898,RELATORIO_MEDICAO!$C$5,$C$3:$C898,RELATORIO_MEDICAO!$F$5),"")</f>
        <v/>
      </c>
      <c r="Z898">
        <f>IF(OR($A898="",PESQUISA!$C$4=""),0,IF(OR(ISNUMBER(SEARCH(PESQUISA!$C$4,$G898)),ISNUMBER(SEARCH(PESQUISA!$C$4,$K898)),ISNUMBER(SEARCH(PESQUISA!$C$4,$L898))),1,0))</f>
        <v/>
      </c>
      <c r="AA898">
        <f>IF($Z898=1,SUM($Z$3:$Z898),"")</f>
        <v/>
      </c>
      <c r="AB898">
        <f>IF(OR($A898="",PESQUISA!$C$50=""),0,IF(ISNUMBER(SEARCH(PESQUISA!$C$50,$I898)),1,0))</f>
        <v/>
      </c>
      <c r="AC898">
        <f>IF($AB898=1,SUM($AB$3:$AB898),"")</f>
        <v/>
      </c>
    </row>
    <row r="899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>
        <f>IFERROR(INDEX(CONFIGURACOES!$G$37:$G$300,MATCH($I899,CONFIGURACOES!$B$37:$B$300,0)),"")</f>
        <v/>
      </c>
      <c r="K899" s="20">
        <f>IFERROR(INDEX(CONFIGURACOES!$H$37:$H$300,MATCH($I899,CONFIGURACOES!$B$37:$B$300,0)),"")</f>
        <v/>
      </c>
      <c r="L899" s="20" t="n"/>
      <c r="M899" s="20">
        <f>IFERROR(INDEX(CONFIGURACOES!$I$37:$I$300,MATCH($I899,CONFIGURACOES!$B$37:$B$300,0)),"")</f>
        <v/>
      </c>
      <c r="N899" s="21" t="n"/>
      <c r="O899" s="21" t="n"/>
      <c r="P899" s="21" t="n"/>
      <c r="Q899" s="21" t="n"/>
      <c r="R899" s="21">
        <f>IF($N899="","",$N899*IF($Q899="",1,$Q899)*IF($P899="",1,$P899)*IF($O899="",1,$O899))</f>
        <v/>
      </c>
      <c r="S899" s="22">
        <f>IFERROR(INDEX(CONFIGURACOES!$J$37:$J$300,MATCH($I899,CONFIGURACOES!$B$37:$B$300,0)),"")</f>
        <v/>
      </c>
      <c r="T899" s="22">
        <f>IF(OR($R899="",$S899=""),"",$R899*$S899)</f>
        <v/>
      </c>
      <c r="U899" s="20" t="n"/>
      <c r="V899" s="20" t="n"/>
      <c r="W899" s="20" t="n"/>
      <c r="X899">
        <f>IF($A899="","",$A899&amp;"|"&amp;$C899&amp;"|"&amp;$I899)</f>
        <v/>
      </c>
      <c r="Y899">
        <f>IF(AND($A899=RELATORIO_MEDICAO!$C$5,$C899=RELATORIO_MEDICAO!$F$5,$A899&lt;&gt;""),COUNTIFS($A$3:$A899,RELATORIO_MEDICAO!$C$5,$C$3:$C899,RELATORIO_MEDICAO!$F$5),"")</f>
        <v/>
      </c>
      <c r="Z899">
        <f>IF(OR($A899="",PESQUISA!$C$4=""),0,IF(OR(ISNUMBER(SEARCH(PESQUISA!$C$4,$G899)),ISNUMBER(SEARCH(PESQUISA!$C$4,$K899)),ISNUMBER(SEARCH(PESQUISA!$C$4,$L899))),1,0))</f>
        <v/>
      </c>
      <c r="AA899">
        <f>IF($Z899=1,SUM($Z$3:$Z899),"")</f>
        <v/>
      </c>
      <c r="AB899">
        <f>IF(OR($A899="",PESQUISA!$C$50=""),0,IF(ISNUMBER(SEARCH(PESQUISA!$C$50,$I899)),1,0))</f>
        <v/>
      </c>
      <c r="AC899">
        <f>IF($AB899=1,SUM($AB$3:$AB899),"")</f>
        <v/>
      </c>
    </row>
    <row r="900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>
        <f>IFERROR(INDEX(CONFIGURACOES!$G$37:$G$300,MATCH($I900,CONFIGURACOES!$B$37:$B$300,0)),"")</f>
        <v/>
      </c>
      <c r="K900" s="20">
        <f>IFERROR(INDEX(CONFIGURACOES!$H$37:$H$300,MATCH($I900,CONFIGURACOES!$B$37:$B$300,0)),"")</f>
        <v/>
      </c>
      <c r="L900" s="20" t="n"/>
      <c r="M900" s="20">
        <f>IFERROR(INDEX(CONFIGURACOES!$I$37:$I$300,MATCH($I900,CONFIGURACOES!$B$37:$B$300,0)),"")</f>
        <v/>
      </c>
      <c r="N900" s="21" t="n"/>
      <c r="O900" s="21" t="n"/>
      <c r="P900" s="21" t="n"/>
      <c r="Q900" s="21" t="n"/>
      <c r="R900" s="21">
        <f>IF($N900="","",$N900*IF($Q900="",1,$Q900)*IF($P900="",1,$P900)*IF($O900="",1,$O900))</f>
        <v/>
      </c>
      <c r="S900" s="22">
        <f>IFERROR(INDEX(CONFIGURACOES!$J$37:$J$300,MATCH($I900,CONFIGURACOES!$B$37:$B$300,0)),"")</f>
        <v/>
      </c>
      <c r="T900" s="22">
        <f>IF(OR($R900="",$S900=""),"",$R900*$S900)</f>
        <v/>
      </c>
      <c r="U900" s="20" t="n"/>
      <c r="V900" s="20" t="n"/>
      <c r="W900" s="20" t="n"/>
      <c r="X900">
        <f>IF($A900="","",$A900&amp;"|"&amp;$C900&amp;"|"&amp;$I900)</f>
        <v/>
      </c>
      <c r="Y900">
        <f>IF(AND($A900=RELATORIO_MEDICAO!$C$5,$C900=RELATORIO_MEDICAO!$F$5,$A900&lt;&gt;""),COUNTIFS($A$3:$A900,RELATORIO_MEDICAO!$C$5,$C$3:$C900,RELATORIO_MEDICAO!$F$5),"")</f>
        <v/>
      </c>
      <c r="Z900">
        <f>IF(OR($A900="",PESQUISA!$C$4=""),0,IF(OR(ISNUMBER(SEARCH(PESQUISA!$C$4,$G900)),ISNUMBER(SEARCH(PESQUISA!$C$4,$K900)),ISNUMBER(SEARCH(PESQUISA!$C$4,$L900))),1,0))</f>
        <v/>
      </c>
      <c r="AA900">
        <f>IF($Z900=1,SUM($Z$3:$Z900),"")</f>
        <v/>
      </c>
      <c r="AB900">
        <f>IF(OR($A900="",PESQUISA!$C$50=""),0,IF(ISNUMBER(SEARCH(PESQUISA!$C$50,$I900)),1,0))</f>
        <v/>
      </c>
      <c r="AC900">
        <f>IF($AB900=1,SUM($AB$3:$AB900),"")</f>
        <v/>
      </c>
    </row>
    <row r="901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>
        <f>IFERROR(INDEX(CONFIGURACOES!$G$37:$G$300,MATCH($I901,CONFIGURACOES!$B$37:$B$300,0)),"")</f>
        <v/>
      </c>
      <c r="K901" s="20">
        <f>IFERROR(INDEX(CONFIGURACOES!$H$37:$H$300,MATCH($I901,CONFIGURACOES!$B$37:$B$300,0)),"")</f>
        <v/>
      </c>
      <c r="L901" s="20" t="n"/>
      <c r="M901" s="20">
        <f>IFERROR(INDEX(CONFIGURACOES!$I$37:$I$300,MATCH($I901,CONFIGURACOES!$B$37:$B$300,0)),"")</f>
        <v/>
      </c>
      <c r="N901" s="21" t="n"/>
      <c r="O901" s="21" t="n"/>
      <c r="P901" s="21" t="n"/>
      <c r="Q901" s="21" t="n"/>
      <c r="R901" s="21">
        <f>IF($N901="","",$N901*IF($Q901="",1,$Q901)*IF($P901="",1,$P901)*IF($O901="",1,$O901))</f>
        <v/>
      </c>
      <c r="S901" s="22">
        <f>IFERROR(INDEX(CONFIGURACOES!$J$37:$J$300,MATCH($I901,CONFIGURACOES!$B$37:$B$300,0)),"")</f>
        <v/>
      </c>
      <c r="T901" s="22">
        <f>IF(OR($R901="",$S901=""),"",$R901*$S901)</f>
        <v/>
      </c>
      <c r="U901" s="20" t="n"/>
      <c r="V901" s="20" t="n"/>
      <c r="W901" s="20" t="n"/>
      <c r="X901">
        <f>IF($A901="","",$A901&amp;"|"&amp;$C901&amp;"|"&amp;$I901)</f>
        <v/>
      </c>
      <c r="Y901">
        <f>IF(AND($A901=RELATORIO_MEDICAO!$C$5,$C901=RELATORIO_MEDICAO!$F$5,$A901&lt;&gt;""),COUNTIFS($A$3:$A901,RELATORIO_MEDICAO!$C$5,$C$3:$C901,RELATORIO_MEDICAO!$F$5),"")</f>
        <v/>
      </c>
      <c r="Z901">
        <f>IF(OR($A901="",PESQUISA!$C$4=""),0,IF(OR(ISNUMBER(SEARCH(PESQUISA!$C$4,$G901)),ISNUMBER(SEARCH(PESQUISA!$C$4,$K901)),ISNUMBER(SEARCH(PESQUISA!$C$4,$L901))),1,0))</f>
        <v/>
      </c>
      <c r="AA901">
        <f>IF($Z901=1,SUM($Z$3:$Z901),"")</f>
        <v/>
      </c>
      <c r="AB901">
        <f>IF(OR($A901="",PESQUISA!$C$50=""),0,IF(ISNUMBER(SEARCH(PESQUISA!$C$50,$I901)),1,0))</f>
        <v/>
      </c>
      <c r="AC901">
        <f>IF($AB901=1,SUM($AB$3:$AB901),"")</f>
        <v/>
      </c>
    </row>
    <row r="902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>
        <f>IFERROR(INDEX(CONFIGURACOES!$G$37:$G$300,MATCH($I902,CONFIGURACOES!$B$37:$B$300,0)),"")</f>
        <v/>
      </c>
      <c r="K902" s="20">
        <f>IFERROR(INDEX(CONFIGURACOES!$H$37:$H$300,MATCH($I902,CONFIGURACOES!$B$37:$B$300,0)),"")</f>
        <v/>
      </c>
      <c r="L902" s="20" t="n"/>
      <c r="M902" s="20">
        <f>IFERROR(INDEX(CONFIGURACOES!$I$37:$I$300,MATCH($I902,CONFIGURACOES!$B$37:$B$300,0)),"")</f>
        <v/>
      </c>
      <c r="N902" s="21" t="n"/>
      <c r="O902" s="21" t="n"/>
      <c r="P902" s="21" t="n"/>
      <c r="Q902" s="21" t="n"/>
      <c r="R902" s="21">
        <f>IF($N902="","",$N902*IF($Q902="",1,$Q902)*IF($P902="",1,$P902)*IF($O902="",1,$O902))</f>
        <v/>
      </c>
      <c r="S902" s="22">
        <f>IFERROR(INDEX(CONFIGURACOES!$J$37:$J$300,MATCH($I902,CONFIGURACOES!$B$37:$B$300,0)),"")</f>
        <v/>
      </c>
      <c r="T902" s="22">
        <f>IF(OR($R902="",$S902=""),"",$R902*$S902)</f>
        <v/>
      </c>
      <c r="U902" s="20" t="n"/>
      <c r="V902" s="20" t="n"/>
      <c r="W902" s="20" t="n"/>
      <c r="X902">
        <f>IF($A902="","",$A902&amp;"|"&amp;$C902&amp;"|"&amp;$I902)</f>
        <v/>
      </c>
      <c r="Y902">
        <f>IF(AND($A902=RELATORIO_MEDICAO!$C$5,$C902=RELATORIO_MEDICAO!$F$5,$A902&lt;&gt;""),COUNTIFS($A$3:$A902,RELATORIO_MEDICAO!$C$5,$C$3:$C902,RELATORIO_MEDICAO!$F$5),"")</f>
        <v/>
      </c>
      <c r="Z902">
        <f>IF(OR($A902="",PESQUISA!$C$4=""),0,IF(OR(ISNUMBER(SEARCH(PESQUISA!$C$4,$G902)),ISNUMBER(SEARCH(PESQUISA!$C$4,$K902)),ISNUMBER(SEARCH(PESQUISA!$C$4,$L902))),1,0))</f>
        <v/>
      </c>
      <c r="AA902">
        <f>IF($Z902=1,SUM($Z$3:$Z902),"")</f>
        <v/>
      </c>
      <c r="AB902">
        <f>IF(OR($A902="",PESQUISA!$C$50=""),0,IF(ISNUMBER(SEARCH(PESQUISA!$C$50,$I902)),1,0))</f>
        <v/>
      </c>
      <c r="AC902">
        <f>IF($AB902=1,SUM($AB$3:$AB902),"")</f>
        <v/>
      </c>
    </row>
    <row r="903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>
        <f>IFERROR(INDEX(CONFIGURACOES!$G$37:$G$300,MATCH($I903,CONFIGURACOES!$B$37:$B$300,0)),"")</f>
        <v/>
      </c>
      <c r="K903" s="20">
        <f>IFERROR(INDEX(CONFIGURACOES!$H$37:$H$300,MATCH($I903,CONFIGURACOES!$B$37:$B$300,0)),"")</f>
        <v/>
      </c>
      <c r="L903" s="20" t="n"/>
      <c r="M903" s="20">
        <f>IFERROR(INDEX(CONFIGURACOES!$I$37:$I$300,MATCH($I903,CONFIGURACOES!$B$37:$B$300,0)),"")</f>
        <v/>
      </c>
      <c r="N903" s="21" t="n"/>
      <c r="O903" s="21" t="n"/>
      <c r="P903" s="21" t="n"/>
      <c r="Q903" s="21" t="n"/>
      <c r="R903" s="21">
        <f>IF($N903="","",$N903*IF($Q903="",1,$Q903)*IF($P903="",1,$P903)*IF($O903="",1,$O903))</f>
        <v/>
      </c>
      <c r="S903" s="22">
        <f>IFERROR(INDEX(CONFIGURACOES!$J$37:$J$300,MATCH($I903,CONFIGURACOES!$B$37:$B$300,0)),"")</f>
        <v/>
      </c>
      <c r="T903" s="22">
        <f>IF(OR($R903="",$S903=""),"",$R903*$S903)</f>
        <v/>
      </c>
      <c r="U903" s="20" t="n"/>
      <c r="V903" s="20" t="n"/>
      <c r="W903" s="20" t="n"/>
      <c r="X903">
        <f>IF($A903="","",$A903&amp;"|"&amp;$C903&amp;"|"&amp;$I903)</f>
        <v/>
      </c>
      <c r="Y903">
        <f>IF(AND($A903=RELATORIO_MEDICAO!$C$5,$C903=RELATORIO_MEDICAO!$F$5,$A903&lt;&gt;""),COUNTIFS($A$3:$A903,RELATORIO_MEDICAO!$C$5,$C$3:$C903,RELATORIO_MEDICAO!$F$5),"")</f>
        <v/>
      </c>
      <c r="Z903">
        <f>IF(OR($A903="",PESQUISA!$C$4=""),0,IF(OR(ISNUMBER(SEARCH(PESQUISA!$C$4,$G903)),ISNUMBER(SEARCH(PESQUISA!$C$4,$K903)),ISNUMBER(SEARCH(PESQUISA!$C$4,$L903))),1,0))</f>
        <v/>
      </c>
      <c r="AA903">
        <f>IF($Z903=1,SUM($Z$3:$Z903),"")</f>
        <v/>
      </c>
      <c r="AB903">
        <f>IF(OR($A903="",PESQUISA!$C$50=""),0,IF(ISNUMBER(SEARCH(PESQUISA!$C$50,$I903)),1,0))</f>
        <v/>
      </c>
      <c r="AC903">
        <f>IF($AB903=1,SUM($AB$3:$AB903),"")</f>
        <v/>
      </c>
    </row>
    <row r="904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>
        <f>IFERROR(INDEX(CONFIGURACOES!$G$37:$G$300,MATCH($I904,CONFIGURACOES!$B$37:$B$300,0)),"")</f>
        <v/>
      </c>
      <c r="K904" s="20">
        <f>IFERROR(INDEX(CONFIGURACOES!$H$37:$H$300,MATCH($I904,CONFIGURACOES!$B$37:$B$300,0)),"")</f>
        <v/>
      </c>
      <c r="L904" s="20" t="n"/>
      <c r="M904" s="20">
        <f>IFERROR(INDEX(CONFIGURACOES!$I$37:$I$300,MATCH($I904,CONFIGURACOES!$B$37:$B$300,0)),"")</f>
        <v/>
      </c>
      <c r="N904" s="21" t="n"/>
      <c r="O904" s="21" t="n"/>
      <c r="P904" s="21" t="n"/>
      <c r="Q904" s="21" t="n"/>
      <c r="R904" s="21">
        <f>IF($N904="","",$N904*IF($Q904="",1,$Q904)*IF($P904="",1,$P904)*IF($O904="",1,$O904))</f>
        <v/>
      </c>
      <c r="S904" s="22">
        <f>IFERROR(INDEX(CONFIGURACOES!$J$37:$J$300,MATCH($I904,CONFIGURACOES!$B$37:$B$300,0)),"")</f>
        <v/>
      </c>
      <c r="T904" s="22">
        <f>IF(OR($R904="",$S904=""),"",$R904*$S904)</f>
        <v/>
      </c>
      <c r="U904" s="20" t="n"/>
      <c r="V904" s="20" t="n"/>
      <c r="W904" s="20" t="n"/>
      <c r="X904">
        <f>IF($A904="","",$A904&amp;"|"&amp;$C904&amp;"|"&amp;$I904)</f>
        <v/>
      </c>
      <c r="Y904">
        <f>IF(AND($A904=RELATORIO_MEDICAO!$C$5,$C904=RELATORIO_MEDICAO!$F$5,$A904&lt;&gt;""),COUNTIFS($A$3:$A904,RELATORIO_MEDICAO!$C$5,$C$3:$C904,RELATORIO_MEDICAO!$F$5),"")</f>
        <v/>
      </c>
      <c r="Z904">
        <f>IF(OR($A904="",PESQUISA!$C$4=""),0,IF(OR(ISNUMBER(SEARCH(PESQUISA!$C$4,$G904)),ISNUMBER(SEARCH(PESQUISA!$C$4,$K904)),ISNUMBER(SEARCH(PESQUISA!$C$4,$L904))),1,0))</f>
        <v/>
      </c>
      <c r="AA904">
        <f>IF($Z904=1,SUM($Z$3:$Z904),"")</f>
        <v/>
      </c>
      <c r="AB904">
        <f>IF(OR($A904="",PESQUISA!$C$50=""),0,IF(ISNUMBER(SEARCH(PESQUISA!$C$50,$I904)),1,0))</f>
        <v/>
      </c>
      <c r="AC904">
        <f>IF($AB904=1,SUM($AB$3:$AB904),"")</f>
        <v/>
      </c>
    </row>
    <row r="905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>
        <f>IFERROR(INDEX(CONFIGURACOES!$G$37:$G$300,MATCH($I905,CONFIGURACOES!$B$37:$B$300,0)),"")</f>
        <v/>
      </c>
      <c r="K905" s="20">
        <f>IFERROR(INDEX(CONFIGURACOES!$H$37:$H$300,MATCH($I905,CONFIGURACOES!$B$37:$B$300,0)),"")</f>
        <v/>
      </c>
      <c r="L905" s="20" t="n"/>
      <c r="M905" s="20">
        <f>IFERROR(INDEX(CONFIGURACOES!$I$37:$I$300,MATCH($I905,CONFIGURACOES!$B$37:$B$300,0)),"")</f>
        <v/>
      </c>
      <c r="N905" s="21" t="n"/>
      <c r="O905" s="21" t="n"/>
      <c r="P905" s="21" t="n"/>
      <c r="Q905" s="21" t="n"/>
      <c r="R905" s="21">
        <f>IF($N905="","",$N905*IF($Q905="",1,$Q905)*IF($P905="",1,$P905)*IF($O905="",1,$O905))</f>
        <v/>
      </c>
      <c r="S905" s="22">
        <f>IFERROR(INDEX(CONFIGURACOES!$J$37:$J$300,MATCH($I905,CONFIGURACOES!$B$37:$B$300,0)),"")</f>
        <v/>
      </c>
      <c r="T905" s="22">
        <f>IF(OR($R905="",$S905=""),"",$R905*$S905)</f>
        <v/>
      </c>
      <c r="U905" s="20" t="n"/>
      <c r="V905" s="20" t="n"/>
      <c r="W905" s="20" t="n"/>
      <c r="X905">
        <f>IF($A905="","",$A905&amp;"|"&amp;$C905&amp;"|"&amp;$I905)</f>
        <v/>
      </c>
      <c r="Y905">
        <f>IF(AND($A905=RELATORIO_MEDICAO!$C$5,$C905=RELATORIO_MEDICAO!$F$5,$A905&lt;&gt;""),COUNTIFS($A$3:$A905,RELATORIO_MEDICAO!$C$5,$C$3:$C905,RELATORIO_MEDICAO!$F$5),"")</f>
        <v/>
      </c>
      <c r="Z905">
        <f>IF(OR($A905="",PESQUISA!$C$4=""),0,IF(OR(ISNUMBER(SEARCH(PESQUISA!$C$4,$G905)),ISNUMBER(SEARCH(PESQUISA!$C$4,$K905)),ISNUMBER(SEARCH(PESQUISA!$C$4,$L905))),1,0))</f>
        <v/>
      </c>
      <c r="AA905">
        <f>IF($Z905=1,SUM($Z$3:$Z905),"")</f>
        <v/>
      </c>
      <c r="AB905">
        <f>IF(OR($A905="",PESQUISA!$C$50=""),0,IF(ISNUMBER(SEARCH(PESQUISA!$C$50,$I905)),1,0))</f>
        <v/>
      </c>
      <c r="AC905">
        <f>IF($AB905=1,SUM($AB$3:$AB905),"")</f>
        <v/>
      </c>
    </row>
    <row r="906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>
        <f>IFERROR(INDEX(CONFIGURACOES!$G$37:$G$300,MATCH($I906,CONFIGURACOES!$B$37:$B$300,0)),"")</f>
        <v/>
      </c>
      <c r="K906" s="20">
        <f>IFERROR(INDEX(CONFIGURACOES!$H$37:$H$300,MATCH($I906,CONFIGURACOES!$B$37:$B$300,0)),"")</f>
        <v/>
      </c>
      <c r="L906" s="20" t="n"/>
      <c r="M906" s="20">
        <f>IFERROR(INDEX(CONFIGURACOES!$I$37:$I$300,MATCH($I906,CONFIGURACOES!$B$37:$B$300,0)),"")</f>
        <v/>
      </c>
      <c r="N906" s="21" t="n"/>
      <c r="O906" s="21" t="n"/>
      <c r="P906" s="21" t="n"/>
      <c r="Q906" s="21" t="n"/>
      <c r="R906" s="21">
        <f>IF($N906="","",$N906*IF($Q906="",1,$Q906)*IF($P906="",1,$P906)*IF($O906="",1,$O906))</f>
        <v/>
      </c>
      <c r="S906" s="22">
        <f>IFERROR(INDEX(CONFIGURACOES!$J$37:$J$300,MATCH($I906,CONFIGURACOES!$B$37:$B$300,0)),"")</f>
        <v/>
      </c>
      <c r="T906" s="22">
        <f>IF(OR($R906="",$S906=""),"",$R906*$S906)</f>
        <v/>
      </c>
      <c r="U906" s="20" t="n"/>
      <c r="V906" s="20" t="n"/>
      <c r="W906" s="20" t="n"/>
      <c r="X906">
        <f>IF($A906="","",$A906&amp;"|"&amp;$C906&amp;"|"&amp;$I906)</f>
        <v/>
      </c>
      <c r="Y906">
        <f>IF(AND($A906=RELATORIO_MEDICAO!$C$5,$C906=RELATORIO_MEDICAO!$F$5,$A906&lt;&gt;""),COUNTIFS($A$3:$A906,RELATORIO_MEDICAO!$C$5,$C$3:$C906,RELATORIO_MEDICAO!$F$5),"")</f>
        <v/>
      </c>
      <c r="Z906">
        <f>IF(OR($A906="",PESQUISA!$C$4=""),0,IF(OR(ISNUMBER(SEARCH(PESQUISA!$C$4,$G906)),ISNUMBER(SEARCH(PESQUISA!$C$4,$K906)),ISNUMBER(SEARCH(PESQUISA!$C$4,$L906))),1,0))</f>
        <v/>
      </c>
      <c r="AA906">
        <f>IF($Z906=1,SUM($Z$3:$Z906),"")</f>
        <v/>
      </c>
      <c r="AB906">
        <f>IF(OR($A906="",PESQUISA!$C$50=""),0,IF(ISNUMBER(SEARCH(PESQUISA!$C$50,$I906)),1,0))</f>
        <v/>
      </c>
      <c r="AC906">
        <f>IF($AB906=1,SUM($AB$3:$AB906),"")</f>
        <v/>
      </c>
    </row>
    <row r="907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>
        <f>IFERROR(INDEX(CONFIGURACOES!$G$37:$G$300,MATCH($I907,CONFIGURACOES!$B$37:$B$300,0)),"")</f>
        <v/>
      </c>
      <c r="K907" s="20">
        <f>IFERROR(INDEX(CONFIGURACOES!$H$37:$H$300,MATCH($I907,CONFIGURACOES!$B$37:$B$300,0)),"")</f>
        <v/>
      </c>
      <c r="L907" s="20" t="n"/>
      <c r="M907" s="20">
        <f>IFERROR(INDEX(CONFIGURACOES!$I$37:$I$300,MATCH($I907,CONFIGURACOES!$B$37:$B$300,0)),"")</f>
        <v/>
      </c>
      <c r="N907" s="21" t="n"/>
      <c r="O907" s="21" t="n"/>
      <c r="P907" s="21" t="n"/>
      <c r="Q907" s="21" t="n"/>
      <c r="R907" s="21">
        <f>IF($N907="","",$N907*IF($Q907="",1,$Q907)*IF($P907="",1,$P907)*IF($O907="",1,$O907))</f>
        <v/>
      </c>
      <c r="S907" s="22">
        <f>IFERROR(INDEX(CONFIGURACOES!$J$37:$J$300,MATCH($I907,CONFIGURACOES!$B$37:$B$300,0)),"")</f>
        <v/>
      </c>
      <c r="T907" s="22">
        <f>IF(OR($R907="",$S907=""),"",$R907*$S907)</f>
        <v/>
      </c>
      <c r="U907" s="20" t="n"/>
      <c r="V907" s="20" t="n"/>
      <c r="W907" s="20" t="n"/>
      <c r="X907">
        <f>IF($A907="","",$A907&amp;"|"&amp;$C907&amp;"|"&amp;$I907)</f>
        <v/>
      </c>
      <c r="Y907">
        <f>IF(AND($A907=RELATORIO_MEDICAO!$C$5,$C907=RELATORIO_MEDICAO!$F$5,$A907&lt;&gt;""),COUNTIFS($A$3:$A907,RELATORIO_MEDICAO!$C$5,$C$3:$C907,RELATORIO_MEDICAO!$F$5),"")</f>
        <v/>
      </c>
      <c r="Z907">
        <f>IF(OR($A907="",PESQUISA!$C$4=""),0,IF(OR(ISNUMBER(SEARCH(PESQUISA!$C$4,$G907)),ISNUMBER(SEARCH(PESQUISA!$C$4,$K907)),ISNUMBER(SEARCH(PESQUISA!$C$4,$L907))),1,0))</f>
        <v/>
      </c>
      <c r="AA907">
        <f>IF($Z907=1,SUM($Z$3:$Z907),"")</f>
        <v/>
      </c>
      <c r="AB907">
        <f>IF(OR($A907="",PESQUISA!$C$50=""),0,IF(ISNUMBER(SEARCH(PESQUISA!$C$50,$I907)),1,0))</f>
        <v/>
      </c>
      <c r="AC907">
        <f>IF($AB907=1,SUM($AB$3:$AB907),"")</f>
        <v/>
      </c>
    </row>
    <row r="908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>
        <f>IFERROR(INDEX(CONFIGURACOES!$G$37:$G$300,MATCH($I908,CONFIGURACOES!$B$37:$B$300,0)),"")</f>
        <v/>
      </c>
      <c r="K908" s="20">
        <f>IFERROR(INDEX(CONFIGURACOES!$H$37:$H$300,MATCH($I908,CONFIGURACOES!$B$37:$B$300,0)),"")</f>
        <v/>
      </c>
      <c r="L908" s="20" t="n"/>
      <c r="M908" s="20">
        <f>IFERROR(INDEX(CONFIGURACOES!$I$37:$I$300,MATCH($I908,CONFIGURACOES!$B$37:$B$300,0)),"")</f>
        <v/>
      </c>
      <c r="N908" s="21" t="n"/>
      <c r="O908" s="21" t="n"/>
      <c r="P908" s="21" t="n"/>
      <c r="Q908" s="21" t="n"/>
      <c r="R908" s="21">
        <f>IF($N908="","",$N908*IF($Q908="",1,$Q908)*IF($P908="",1,$P908)*IF($O908="",1,$O908))</f>
        <v/>
      </c>
      <c r="S908" s="22">
        <f>IFERROR(INDEX(CONFIGURACOES!$J$37:$J$300,MATCH($I908,CONFIGURACOES!$B$37:$B$300,0)),"")</f>
        <v/>
      </c>
      <c r="T908" s="22">
        <f>IF(OR($R908="",$S908=""),"",$R908*$S908)</f>
        <v/>
      </c>
      <c r="U908" s="20" t="n"/>
      <c r="V908" s="20" t="n"/>
      <c r="W908" s="20" t="n"/>
      <c r="X908">
        <f>IF($A908="","",$A908&amp;"|"&amp;$C908&amp;"|"&amp;$I908)</f>
        <v/>
      </c>
      <c r="Y908">
        <f>IF(AND($A908=RELATORIO_MEDICAO!$C$5,$C908=RELATORIO_MEDICAO!$F$5,$A908&lt;&gt;""),COUNTIFS($A$3:$A908,RELATORIO_MEDICAO!$C$5,$C$3:$C908,RELATORIO_MEDICAO!$F$5),"")</f>
        <v/>
      </c>
      <c r="Z908">
        <f>IF(OR($A908="",PESQUISA!$C$4=""),0,IF(OR(ISNUMBER(SEARCH(PESQUISA!$C$4,$G908)),ISNUMBER(SEARCH(PESQUISA!$C$4,$K908)),ISNUMBER(SEARCH(PESQUISA!$C$4,$L908))),1,0))</f>
        <v/>
      </c>
      <c r="AA908">
        <f>IF($Z908=1,SUM($Z$3:$Z908),"")</f>
        <v/>
      </c>
      <c r="AB908">
        <f>IF(OR($A908="",PESQUISA!$C$50=""),0,IF(ISNUMBER(SEARCH(PESQUISA!$C$50,$I908)),1,0))</f>
        <v/>
      </c>
      <c r="AC908">
        <f>IF($AB908=1,SUM($AB$3:$AB908),"")</f>
        <v/>
      </c>
    </row>
    <row r="909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>
        <f>IFERROR(INDEX(CONFIGURACOES!$G$37:$G$300,MATCH($I909,CONFIGURACOES!$B$37:$B$300,0)),"")</f>
        <v/>
      </c>
      <c r="K909" s="20">
        <f>IFERROR(INDEX(CONFIGURACOES!$H$37:$H$300,MATCH($I909,CONFIGURACOES!$B$37:$B$300,0)),"")</f>
        <v/>
      </c>
      <c r="L909" s="20" t="n"/>
      <c r="M909" s="20">
        <f>IFERROR(INDEX(CONFIGURACOES!$I$37:$I$300,MATCH($I909,CONFIGURACOES!$B$37:$B$300,0)),"")</f>
        <v/>
      </c>
      <c r="N909" s="21" t="n"/>
      <c r="O909" s="21" t="n"/>
      <c r="P909" s="21" t="n"/>
      <c r="Q909" s="21" t="n"/>
      <c r="R909" s="21">
        <f>IF($N909="","",$N909*IF($Q909="",1,$Q909)*IF($P909="",1,$P909)*IF($O909="",1,$O909))</f>
        <v/>
      </c>
      <c r="S909" s="22">
        <f>IFERROR(INDEX(CONFIGURACOES!$J$37:$J$300,MATCH($I909,CONFIGURACOES!$B$37:$B$300,0)),"")</f>
        <v/>
      </c>
      <c r="T909" s="22">
        <f>IF(OR($R909="",$S909=""),"",$R909*$S909)</f>
        <v/>
      </c>
      <c r="U909" s="20" t="n"/>
      <c r="V909" s="20" t="n"/>
      <c r="W909" s="20" t="n"/>
      <c r="X909">
        <f>IF($A909="","",$A909&amp;"|"&amp;$C909&amp;"|"&amp;$I909)</f>
        <v/>
      </c>
      <c r="Y909">
        <f>IF(AND($A909=RELATORIO_MEDICAO!$C$5,$C909=RELATORIO_MEDICAO!$F$5,$A909&lt;&gt;""),COUNTIFS($A$3:$A909,RELATORIO_MEDICAO!$C$5,$C$3:$C909,RELATORIO_MEDICAO!$F$5),"")</f>
        <v/>
      </c>
      <c r="Z909">
        <f>IF(OR($A909="",PESQUISA!$C$4=""),0,IF(OR(ISNUMBER(SEARCH(PESQUISA!$C$4,$G909)),ISNUMBER(SEARCH(PESQUISA!$C$4,$K909)),ISNUMBER(SEARCH(PESQUISA!$C$4,$L909))),1,0))</f>
        <v/>
      </c>
      <c r="AA909">
        <f>IF($Z909=1,SUM($Z$3:$Z909),"")</f>
        <v/>
      </c>
      <c r="AB909">
        <f>IF(OR($A909="",PESQUISA!$C$50=""),0,IF(ISNUMBER(SEARCH(PESQUISA!$C$50,$I909)),1,0))</f>
        <v/>
      </c>
      <c r="AC909">
        <f>IF($AB909=1,SUM($AB$3:$AB909),"")</f>
        <v/>
      </c>
    </row>
    <row r="910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>
        <f>IFERROR(INDEX(CONFIGURACOES!$G$37:$G$300,MATCH($I910,CONFIGURACOES!$B$37:$B$300,0)),"")</f>
        <v/>
      </c>
      <c r="K910" s="20">
        <f>IFERROR(INDEX(CONFIGURACOES!$H$37:$H$300,MATCH($I910,CONFIGURACOES!$B$37:$B$300,0)),"")</f>
        <v/>
      </c>
      <c r="L910" s="20" t="n"/>
      <c r="M910" s="20">
        <f>IFERROR(INDEX(CONFIGURACOES!$I$37:$I$300,MATCH($I910,CONFIGURACOES!$B$37:$B$300,0)),"")</f>
        <v/>
      </c>
      <c r="N910" s="21" t="n"/>
      <c r="O910" s="21" t="n"/>
      <c r="P910" s="21" t="n"/>
      <c r="Q910" s="21" t="n"/>
      <c r="R910" s="21">
        <f>IF($N910="","",$N910*IF($Q910="",1,$Q910)*IF($P910="",1,$P910)*IF($O910="",1,$O910))</f>
        <v/>
      </c>
      <c r="S910" s="22">
        <f>IFERROR(INDEX(CONFIGURACOES!$J$37:$J$300,MATCH($I910,CONFIGURACOES!$B$37:$B$300,0)),"")</f>
        <v/>
      </c>
      <c r="T910" s="22">
        <f>IF(OR($R910="",$S910=""),"",$R910*$S910)</f>
        <v/>
      </c>
      <c r="U910" s="20" t="n"/>
      <c r="V910" s="20" t="n"/>
      <c r="W910" s="20" t="n"/>
      <c r="X910">
        <f>IF($A910="","",$A910&amp;"|"&amp;$C910&amp;"|"&amp;$I910)</f>
        <v/>
      </c>
      <c r="Y910">
        <f>IF(AND($A910=RELATORIO_MEDICAO!$C$5,$C910=RELATORIO_MEDICAO!$F$5,$A910&lt;&gt;""),COUNTIFS($A$3:$A910,RELATORIO_MEDICAO!$C$5,$C$3:$C910,RELATORIO_MEDICAO!$F$5),"")</f>
        <v/>
      </c>
      <c r="Z910">
        <f>IF(OR($A910="",PESQUISA!$C$4=""),0,IF(OR(ISNUMBER(SEARCH(PESQUISA!$C$4,$G910)),ISNUMBER(SEARCH(PESQUISA!$C$4,$K910)),ISNUMBER(SEARCH(PESQUISA!$C$4,$L910))),1,0))</f>
        <v/>
      </c>
      <c r="AA910">
        <f>IF($Z910=1,SUM($Z$3:$Z910),"")</f>
        <v/>
      </c>
      <c r="AB910">
        <f>IF(OR($A910="",PESQUISA!$C$50=""),0,IF(ISNUMBER(SEARCH(PESQUISA!$C$50,$I910)),1,0))</f>
        <v/>
      </c>
      <c r="AC910">
        <f>IF($AB910=1,SUM($AB$3:$AB910),"")</f>
        <v/>
      </c>
    </row>
    <row r="911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>
        <f>IFERROR(INDEX(CONFIGURACOES!$G$37:$G$300,MATCH($I911,CONFIGURACOES!$B$37:$B$300,0)),"")</f>
        <v/>
      </c>
      <c r="K911" s="20">
        <f>IFERROR(INDEX(CONFIGURACOES!$H$37:$H$300,MATCH($I911,CONFIGURACOES!$B$37:$B$300,0)),"")</f>
        <v/>
      </c>
      <c r="L911" s="20" t="n"/>
      <c r="M911" s="20">
        <f>IFERROR(INDEX(CONFIGURACOES!$I$37:$I$300,MATCH($I911,CONFIGURACOES!$B$37:$B$300,0)),"")</f>
        <v/>
      </c>
      <c r="N911" s="21" t="n"/>
      <c r="O911" s="21" t="n"/>
      <c r="P911" s="21" t="n"/>
      <c r="Q911" s="21" t="n"/>
      <c r="R911" s="21">
        <f>IF($N911="","",$N911*IF($Q911="",1,$Q911)*IF($P911="",1,$P911)*IF($O911="",1,$O911))</f>
        <v/>
      </c>
      <c r="S911" s="22">
        <f>IFERROR(INDEX(CONFIGURACOES!$J$37:$J$300,MATCH($I911,CONFIGURACOES!$B$37:$B$300,0)),"")</f>
        <v/>
      </c>
      <c r="T911" s="22">
        <f>IF(OR($R911="",$S911=""),"",$R911*$S911)</f>
        <v/>
      </c>
      <c r="U911" s="20" t="n"/>
      <c r="V911" s="20" t="n"/>
      <c r="W911" s="20" t="n"/>
      <c r="X911">
        <f>IF($A911="","",$A911&amp;"|"&amp;$C911&amp;"|"&amp;$I911)</f>
        <v/>
      </c>
      <c r="Y911">
        <f>IF(AND($A911=RELATORIO_MEDICAO!$C$5,$C911=RELATORIO_MEDICAO!$F$5,$A911&lt;&gt;""),COUNTIFS($A$3:$A911,RELATORIO_MEDICAO!$C$5,$C$3:$C911,RELATORIO_MEDICAO!$F$5),"")</f>
        <v/>
      </c>
      <c r="Z911">
        <f>IF(OR($A911="",PESQUISA!$C$4=""),0,IF(OR(ISNUMBER(SEARCH(PESQUISA!$C$4,$G911)),ISNUMBER(SEARCH(PESQUISA!$C$4,$K911)),ISNUMBER(SEARCH(PESQUISA!$C$4,$L911))),1,0))</f>
        <v/>
      </c>
      <c r="AA911">
        <f>IF($Z911=1,SUM($Z$3:$Z911),"")</f>
        <v/>
      </c>
      <c r="AB911">
        <f>IF(OR($A911="",PESQUISA!$C$50=""),0,IF(ISNUMBER(SEARCH(PESQUISA!$C$50,$I911)),1,0))</f>
        <v/>
      </c>
      <c r="AC911">
        <f>IF($AB911=1,SUM($AB$3:$AB911),"")</f>
        <v/>
      </c>
    </row>
    <row r="912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>
        <f>IFERROR(INDEX(CONFIGURACOES!$G$37:$G$300,MATCH($I912,CONFIGURACOES!$B$37:$B$300,0)),"")</f>
        <v/>
      </c>
      <c r="K912" s="20">
        <f>IFERROR(INDEX(CONFIGURACOES!$H$37:$H$300,MATCH($I912,CONFIGURACOES!$B$37:$B$300,0)),"")</f>
        <v/>
      </c>
      <c r="L912" s="20" t="n"/>
      <c r="M912" s="20">
        <f>IFERROR(INDEX(CONFIGURACOES!$I$37:$I$300,MATCH($I912,CONFIGURACOES!$B$37:$B$300,0)),"")</f>
        <v/>
      </c>
      <c r="N912" s="21" t="n"/>
      <c r="O912" s="21" t="n"/>
      <c r="P912" s="21" t="n"/>
      <c r="Q912" s="21" t="n"/>
      <c r="R912" s="21">
        <f>IF($N912="","",$N912*IF($Q912="",1,$Q912)*IF($P912="",1,$P912)*IF($O912="",1,$O912))</f>
        <v/>
      </c>
      <c r="S912" s="22">
        <f>IFERROR(INDEX(CONFIGURACOES!$J$37:$J$300,MATCH($I912,CONFIGURACOES!$B$37:$B$300,0)),"")</f>
        <v/>
      </c>
      <c r="T912" s="22">
        <f>IF(OR($R912="",$S912=""),"",$R912*$S912)</f>
        <v/>
      </c>
      <c r="U912" s="20" t="n"/>
      <c r="V912" s="20" t="n"/>
      <c r="W912" s="20" t="n"/>
      <c r="X912">
        <f>IF($A912="","",$A912&amp;"|"&amp;$C912&amp;"|"&amp;$I912)</f>
        <v/>
      </c>
      <c r="Y912">
        <f>IF(AND($A912=RELATORIO_MEDICAO!$C$5,$C912=RELATORIO_MEDICAO!$F$5,$A912&lt;&gt;""),COUNTIFS($A$3:$A912,RELATORIO_MEDICAO!$C$5,$C$3:$C912,RELATORIO_MEDICAO!$F$5),"")</f>
        <v/>
      </c>
      <c r="Z912">
        <f>IF(OR($A912="",PESQUISA!$C$4=""),0,IF(OR(ISNUMBER(SEARCH(PESQUISA!$C$4,$G912)),ISNUMBER(SEARCH(PESQUISA!$C$4,$K912)),ISNUMBER(SEARCH(PESQUISA!$C$4,$L912))),1,0))</f>
        <v/>
      </c>
      <c r="AA912">
        <f>IF($Z912=1,SUM($Z$3:$Z912),"")</f>
        <v/>
      </c>
      <c r="AB912">
        <f>IF(OR($A912="",PESQUISA!$C$50=""),0,IF(ISNUMBER(SEARCH(PESQUISA!$C$50,$I912)),1,0))</f>
        <v/>
      </c>
      <c r="AC912">
        <f>IF($AB912=1,SUM($AB$3:$AB912),"")</f>
        <v/>
      </c>
    </row>
    <row r="913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>
        <f>IFERROR(INDEX(CONFIGURACOES!$G$37:$G$300,MATCH($I913,CONFIGURACOES!$B$37:$B$300,0)),"")</f>
        <v/>
      </c>
      <c r="K913" s="20">
        <f>IFERROR(INDEX(CONFIGURACOES!$H$37:$H$300,MATCH($I913,CONFIGURACOES!$B$37:$B$300,0)),"")</f>
        <v/>
      </c>
      <c r="L913" s="20" t="n"/>
      <c r="M913" s="20">
        <f>IFERROR(INDEX(CONFIGURACOES!$I$37:$I$300,MATCH($I913,CONFIGURACOES!$B$37:$B$300,0)),"")</f>
        <v/>
      </c>
      <c r="N913" s="21" t="n"/>
      <c r="O913" s="21" t="n"/>
      <c r="P913" s="21" t="n"/>
      <c r="Q913" s="21" t="n"/>
      <c r="R913" s="21">
        <f>IF($N913="","",$N913*IF($Q913="",1,$Q913)*IF($P913="",1,$P913)*IF($O913="",1,$O913))</f>
        <v/>
      </c>
      <c r="S913" s="22">
        <f>IFERROR(INDEX(CONFIGURACOES!$J$37:$J$300,MATCH($I913,CONFIGURACOES!$B$37:$B$300,0)),"")</f>
        <v/>
      </c>
      <c r="T913" s="22">
        <f>IF(OR($R913="",$S913=""),"",$R913*$S913)</f>
        <v/>
      </c>
      <c r="U913" s="20" t="n"/>
      <c r="V913" s="20" t="n"/>
      <c r="W913" s="20" t="n"/>
      <c r="X913">
        <f>IF($A913="","",$A913&amp;"|"&amp;$C913&amp;"|"&amp;$I913)</f>
        <v/>
      </c>
      <c r="Y913">
        <f>IF(AND($A913=RELATORIO_MEDICAO!$C$5,$C913=RELATORIO_MEDICAO!$F$5,$A913&lt;&gt;""),COUNTIFS($A$3:$A913,RELATORIO_MEDICAO!$C$5,$C$3:$C913,RELATORIO_MEDICAO!$F$5),"")</f>
        <v/>
      </c>
      <c r="Z913">
        <f>IF(OR($A913="",PESQUISA!$C$4=""),0,IF(OR(ISNUMBER(SEARCH(PESQUISA!$C$4,$G913)),ISNUMBER(SEARCH(PESQUISA!$C$4,$K913)),ISNUMBER(SEARCH(PESQUISA!$C$4,$L913))),1,0))</f>
        <v/>
      </c>
      <c r="AA913">
        <f>IF($Z913=1,SUM($Z$3:$Z913),"")</f>
        <v/>
      </c>
      <c r="AB913">
        <f>IF(OR($A913="",PESQUISA!$C$50=""),0,IF(ISNUMBER(SEARCH(PESQUISA!$C$50,$I913)),1,0))</f>
        <v/>
      </c>
      <c r="AC913">
        <f>IF($AB913=1,SUM($AB$3:$AB913),"")</f>
        <v/>
      </c>
    </row>
    <row r="914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>
        <f>IFERROR(INDEX(CONFIGURACOES!$G$37:$G$300,MATCH($I914,CONFIGURACOES!$B$37:$B$300,0)),"")</f>
        <v/>
      </c>
      <c r="K914" s="20">
        <f>IFERROR(INDEX(CONFIGURACOES!$H$37:$H$300,MATCH($I914,CONFIGURACOES!$B$37:$B$300,0)),"")</f>
        <v/>
      </c>
      <c r="L914" s="20" t="n"/>
      <c r="M914" s="20">
        <f>IFERROR(INDEX(CONFIGURACOES!$I$37:$I$300,MATCH($I914,CONFIGURACOES!$B$37:$B$300,0)),"")</f>
        <v/>
      </c>
      <c r="N914" s="21" t="n"/>
      <c r="O914" s="21" t="n"/>
      <c r="P914" s="21" t="n"/>
      <c r="Q914" s="21" t="n"/>
      <c r="R914" s="21">
        <f>IF($N914="","",$N914*IF($Q914="",1,$Q914)*IF($P914="",1,$P914)*IF($O914="",1,$O914))</f>
        <v/>
      </c>
      <c r="S914" s="22">
        <f>IFERROR(INDEX(CONFIGURACOES!$J$37:$J$300,MATCH($I914,CONFIGURACOES!$B$37:$B$300,0)),"")</f>
        <v/>
      </c>
      <c r="T914" s="22">
        <f>IF(OR($R914="",$S914=""),"",$R914*$S914)</f>
        <v/>
      </c>
      <c r="U914" s="20" t="n"/>
      <c r="V914" s="20" t="n"/>
      <c r="W914" s="20" t="n"/>
      <c r="X914">
        <f>IF($A914="","",$A914&amp;"|"&amp;$C914&amp;"|"&amp;$I914)</f>
        <v/>
      </c>
      <c r="Y914">
        <f>IF(AND($A914=RELATORIO_MEDICAO!$C$5,$C914=RELATORIO_MEDICAO!$F$5,$A914&lt;&gt;""),COUNTIFS($A$3:$A914,RELATORIO_MEDICAO!$C$5,$C$3:$C914,RELATORIO_MEDICAO!$F$5),"")</f>
        <v/>
      </c>
      <c r="Z914">
        <f>IF(OR($A914="",PESQUISA!$C$4=""),0,IF(OR(ISNUMBER(SEARCH(PESQUISA!$C$4,$G914)),ISNUMBER(SEARCH(PESQUISA!$C$4,$K914)),ISNUMBER(SEARCH(PESQUISA!$C$4,$L914))),1,0))</f>
        <v/>
      </c>
      <c r="AA914">
        <f>IF($Z914=1,SUM($Z$3:$Z914),"")</f>
        <v/>
      </c>
      <c r="AB914">
        <f>IF(OR($A914="",PESQUISA!$C$50=""),0,IF(ISNUMBER(SEARCH(PESQUISA!$C$50,$I914)),1,0))</f>
        <v/>
      </c>
      <c r="AC914">
        <f>IF($AB914=1,SUM($AB$3:$AB914),"")</f>
        <v/>
      </c>
    </row>
    <row r="915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>
        <f>IFERROR(INDEX(CONFIGURACOES!$G$37:$G$300,MATCH($I915,CONFIGURACOES!$B$37:$B$300,0)),"")</f>
        <v/>
      </c>
      <c r="K915" s="20">
        <f>IFERROR(INDEX(CONFIGURACOES!$H$37:$H$300,MATCH($I915,CONFIGURACOES!$B$37:$B$300,0)),"")</f>
        <v/>
      </c>
      <c r="L915" s="20" t="n"/>
      <c r="M915" s="20">
        <f>IFERROR(INDEX(CONFIGURACOES!$I$37:$I$300,MATCH($I915,CONFIGURACOES!$B$37:$B$300,0)),"")</f>
        <v/>
      </c>
      <c r="N915" s="21" t="n"/>
      <c r="O915" s="21" t="n"/>
      <c r="P915" s="21" t="n"/>
      <c r="Q915" s="21" t="n"/>
      <c r="R915" s="21">
        <f>IF($N915="","",$N915*IF($Q915="",1,$Q915)*IF($P915="",1,$P915)*IF($O915="",1,$O915))</f>
        <v/>
      </c>
      <c r="S915" s="22">
        <f>IFERROR(INDEX(CONFIGURACOES!$J$37:$J$300,MATCH($I915,CONFIGURACOES!$B$37:$B$300,0)),"")</f>
        <v/>
      </c>
      <c r="T915" s="22">
        <f>IF(OR($R915="",$S915=""),"",$R915*$S915)</f>
        <v/>
      </c>
      <c r="U915" s="20" t="n"/>
      <c r="V915" s="20" t="n"/>
      <c r="W915" s="20" t="n"/>
      <c r="X915">
        <f>IF($A915="","",$A915&amp;"|"&amp;$C915&amp;"|"&amp;$I915)</f>
        <v/>
      </c>
      <c r="Y915">
        <f>IF(AND($A915=RELATORIO_MEDICAO!$C$5,$C915=RELATORIO_MEDICAO!$F$5,$A915&lt;&gt;""),COUNTIFS($A$3:$A915,RELATORIO_MEDICAO!$C$5,$C$3:$C915,RELATORIO_MEDICAO!$F$5),"")</f>
        <v/>
      </c>
      <c r="Z915">
        <f>IF(OR($A915="",PESQUISA!$C$4=""),0,IF(OR(ISNUMBER(SEARCH(PESQUISA!$C$4,$G915)),ISNUMBER(SEARCH(PESQUISA!$C$4,$K915)),ISNUMBER(SEARCH(PESQUISA!$C$4,$L915))),1,0))</f>
        <v/>
      </c>
      <c r="AA915">
        <f>IF($Z915=1,SUM($Z$3:$Z915),"")</f>
        <v/>
      </c>
      <c r="AB915">
        <f>IF(OR($A915="",PESQUISA!$C$50=""),0,IF(ISNUMBER(SEARCH(PESQUISA!$C$50,$I915)),1,0))</f>
        <v/>
      </c>
      <c r="AC915">
        <f>IF($AB915=1,SUM($AB$3:$AB915),"")</f>
        <v/>
      </c>
    </row>
    <row r="916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>
        <f>IFERROR(INDEX(CONFIGURACOES!$G$37:$G$300,MATCH($I916,CONFIGURACOES!$B$37:$B$300,0)),"")</f>
        <v/>
      </c>
      <c r="K916" s="20">
        <f>IFERROR(INDEX(CONFIGURACOES!$H$37:$H$300,MATCH($I916,CONFIGURACOES!$B$37:$B$300,0)),"")</f>
        <v/>
      </c>
      <c r="L916" s="20" t="n"/>
      <c r="M916" s="20">
        <f>IFERROR(INDEX(CONFIGURACOES!$I$37:$I$300,MATCH($I916,CONFIGURACOES!$B$37:$B$300,0)),"")</f>
        <v/>
      </c>
      <c r="N916" s="21" t="n"/>
      <c r="O916" s="21" t="n"/>
      <c r="P916" s="21" t="n"/>
      <c r="Q916" s="21" t="n"/>
      <c r="R916" s="21">
        <f>IF($N916="","",$N916*IF($Q916="",1,$Q916)*IF($P916="",1,$P916)*IF($O916="",1,$O916))</f>
        <v/>
      </c>
      <c r="S916" s="22">
        <f>IFERROR(INDEX(CONFIGURACOES!$J$37:$J$300,MATCH($I916,CONFIGURACOES!$B$37:$B$300,0)),"")</f>
        <v/>
      </c>
      <c r="T916" s="22">
        <f>IF(OR($R916="",$S916=""),"",$R916*$S916)</f>
        <v/>
      </c>
      <c r="U916" s="20" t="n"/>
      <c r="V916" s="20" t="n"/>
      <c r="W916" s="20" t="n"/>
      <c r="X916">
        <f>IF($A916="","",$A916&amp;"|"&amp;$C916&amp;"|"&amp;$I916)</f>
        <v/>
      </c>
      <c r="Y916">
        <f>IF(AND($A916=RELATORIO_MEDICAO!$C$5,$C916=RELATORIO_MEDICAO!$F$5,$A916&lt;&gt;""),COUNTIFS($A$3:$A916,RELATORIO_MEDICAO!$C$5,$C$3:$C916,RELATORIO_MEDICAO!$F$5),"")</f>
        <v/>
      </c>
      <c r="Z916">
        <f>IF(OR($A916="",PESQUISA!$C$4=""),0,IF(OR(ISNUMBER(SEARCH(PESQUISA!$C$4,$G916)),ISNUMBER(SEARCH(PESQUISA!$C$4,$K916)),ISNUMBER(SEARCH(PESQUISA!$C$4,$L916))),1,0))</f>
        <v/>
      </c>
      <c r="AA916">
        <f>IF($Z916=1,SUM($Z$3:$Z916),"")</f>
        <v/>
      </c>
      <c r="AB916">
        <f>IF(OR($A916="",PESQUISA!$C$50=""),0,IF(ISNUMBER(SEARCH(PESQUISA!$C$50,$I916)),1,0))</f>
        <v/>
      </c>
      <c r="AC916">
        <f>IF($AB916=1,SUM($AB$3:$AB916),"")</f>
        <v/>
      </c>
    </row>
    <row r="917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>
        <f>IFERROR(INDEX(CONFIGURACOES!$G$37:$G$300,MATCH($I917,CONFIGURACOES!$B$37:$B$300,0)),"")</f>
        <v/>
      </c>
      <c r="K917" s="20">
        <f>IFERROR(INDEX(CONFIGURACOES!$H$37:$H$300,MATCH($I917,CONFIGURACOES!$B$37:$B$300,0)),"")</f>
        <v/>
      </c>
      <c r="L917" s="20" t="n"/>
      <c r="M917" s="20">
        <f>IFERROR(INDEX(CONFIGURACOES!$I$37:$I$300,MATCH($I917,CONFIGURACOES!$B$37:$B$300,0)),"")</f>
        <v/>
      </c>
      <c r="N917" s="21" t="n"/>
      <c r="O917" s="21" t="n"/>
      <c r="P917" s="21" t="n"/>
      <c r="Q917" s="21" t="n"/>
      <c r="R917" s="21">
        <f>IF($N917="","",$N917*IF($Q917="",1,$Q917)*IF($P917="",1,$P917)*IF($O917="",1,$O917))</f>
        <v/>
      </c>
      <c r="S917" s="22">
        <f>IFERROR(INDEX(CONFIGURACOES!$J$37:$J$300,MATCH($I917,CONFIGURACOES!$B$37:$B$300,0)),"")</f>
        <v/>
      </c>
      <c r="T917" s="22">
        <f>IF(OR($R917="",$S917=""),"",$R917*$S917)</f>
        <v/>
      </c>
      <c r="U917" s="20" t="n"/>
      <c r="V917" s="20" t="n"/>
      <c r="W917" s="20" t="n"/>
      <c r="X917">
        <f>IF($A917="","",$A917&amp;"|"&amp;$C917&amp;"|"&amp;$I917)</f>
        <v/>
      </c>
      <c r="Y917">
        <f>IF(AND($A917=RELATORIO_MEDICAO!$C$5,$C917=RELATORIO_MEDICAO!$F$5,$A917&lt;&gt;""),COUNTIFS($A$3:$A917,RELATORIO_MEDICAO!$C$5,$C$3:$C917,RELATORIO_MEDICAO!$F$5),"")</f>
        <v/>
      </c>
      <c r="Z917">
        <f>IF(OR($A917="",PESQUISA!$C$4=""),0,IF(OR(ISNUMBER(SEARCH(PESQUISA!$C$4,$G917)),ISNUMBER(SEARCH(PESQUISA!$C$4,$K917)),ISNUMBER(SEARCH(PESQUISA!$C$4,$L917))),1,0))</f>
        <v/>
      </c>
      <c r="AA917">
        <f>IF($Z917=1,SUM($Z$3:$Z917),"")</f>
        <v/>
      </c>
      <c r="AB917">
        <f>IF(OR($A917="",PESQUISA!$C$50=""),0,IF(ISNUMBER(SEARCH(PESQUISA!$C$50,$I917)),1,0))</f>
        <v/>
      </c>
      <c r="AC917">
        <f>IF($AB917=1,SUM($AB$3:$AB917),"")</f>
        <v/>
      </c>
    </row>
    <row r="918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>
        <f>IFERROR(INDEX(CONFIGURACOES!$G$37:$G$300,MATCH($I918,CONFIGURACOES!$B$37:$B$300,0)),"")</f>
        <v/>
      </c>
      <c r="K918" s="20">
        <f>IFERROR(INDEX(CONFIGURACOES!$H$37:$H$300,MATCH($I918,CONFIGURACOES!$B$37:$B$300,0)),"")</f>
        <v/>
      </c>
      <c r="L918" s="20" t="n"/>
      <c r="M918" s="20">
        <f>IFERROR(INDEX(CONFIGURACOES!$I$37:$I$300,MATCH($I918,CONFIGURACOES!$B$37:$B$300,0)),"")</f>
        <v/>
      </c>
      <c r="N918" s="21" t="n"/>
      <c r="O918" s="21" t="n"/>
      <c r="P918" s="21" t="n"/>
      <c r="Q918" s="21" t="n"/>
      <c r="R918" s="21">
        <f>IF($N918="","",$N918*IF($Q918="",1,$Q918)*IF($P918="",1,$P918)*IF($O918="",1,$O918))</f>
        <v/>
      </c>
      <c r="S918" s="22">
        <f>IFERROR(INDEX(CONFIGURACOES!$J$37:$J$300,MATCH($I918,CONFIGURACOES!$B$37:$B$300,0)),"")</f>
        <v/>
      </c>
      <c r="T918" s="22">
        <f>IF(OR($R918="",$S918=""),"",$R918*$S918)</f>
        <v/>
      </c>
      <c r="U918" s="20" t="n"/>
      <c r="V918" s="20" t="n"/>
      <c r="W918" s="20" t="n"/>
      <c r="X918">
        <f>IF($A918="","",$A918&amp;"|"&amp;$C918&amp;"|"&amp;$I918)</f>
        <v/>
      </c>
      <c r="Y918">
        <f>IF(AND($A918=RELATORIO_MEDICAO!$C$5,$C918=RELATORIO_MEDICAO!$F$5,$A918&lt;&gt;""),COUNTIFS($A$3:$A918,RELATORIO_MEDICAO!$C$5,$C$3:$C918,RELATORIO_MEDICAO!$F$5),"")</f>
        <v/>
      </c>
      <c r="Z918">
        <f>IF(OR($A918="",PESQUISA!$C$4=""),0,IF(OR(ISNUMBER(SEARCH(PESQUISA!$C$4,$G918)),ISNUMBER(SEARCH(PESQUISA!$C$4,$K918)),ISNUMBER(SEARCH(PESQUISA!$C$4,$L918))),1,0))</f>
        <v/>
      </c>
      <c r="AA918">
        <f>IF($Z918=1,SUM($Z$3:$Z918),"")</f>
        <v/>
      </c>
      <c r="AB918">
        <f>IF(OR($A918="",PESQUISA!$C$50=""),0,IF(ISNUMBER(SEARCH(PESQUISA!$C$50,$I918)),1,0))</f>
        <v/>
      </c>
      <c r="AC918">
        <f>IF($AB918=1,SUM($AB$3:$AB918),"")</f>
        <v/>
      </c>
    </row>
    <row r="919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>
        <f>IFERROR(INDEX(CONFIGURACOES!$G$37:$G$300,MATCH($I919,CONFIGURACOES!$B$37:$B$300,0)),"")</f>
        <v/>
      </c>
      <c r="K919" s="20">
        <f>IFERROR(INDEX(CONFIGURACOES!$H$37:$H$300,MATCH($I919,CONFIGURACOES!$B$37:$B$300,0)),"")</f>
        <v/>
      </c>
      <c r="L919" s="20" t="n"/>
      <c r="M919" s="20">
        <f>IFERROR(INDEX(CONFIGURACOES!$I$37:$I$300,MATCH($I919,CONFIGURACOES!$B$37:$B$300,0)),"")</f>
        <v/>
      </c>
      <c r="N919" s="21" t="n"/>
      <c r="O919" s="21" t="n"/>
      <c r="P919" s="21" t="n"/>
      <c r="Q919" s="21" t="n"/>
      <c r="R919" s="21">
        <f>IF($N919="","",$N919*IF($Q919="",1,$Q919)*IF($P919="",1,$P919)*IF($O919="",1,$O919))</f>
        <v/>
      </c>
      <c r="S919" s="22">
        <f>IFERROR(INDEX(CONFIGURACOES!$J$37:$J$300,MATCH($I919,CONFIGURACOES!$B$37:$B$300,0)),"")</f>
        <v/>
      </c>
      <c r="T919" s="22">
        <f>IF(OR($R919="",$S919=""),"",$R919*$S919)</f>
        <v/>
      </c>
      <c r="U919" s="20" t="n"/>
      <c r="V919" s="20" t="n"/>
      <c r="W919" s="20" t="n"/>
      <c r="X919">
        <f>IF($A919="","",$A919&amp;"|"&amp;$C919&amp;"|"&amp;$I919)</f>
        <v/>
      </c>
      <c r="Y919">
        <f>IF(AND($A919=RELATORIO_MEDICAO!$C$5,$C919=RELATORIO_MEDICAO!$F$5,$A919&lt;&gt;""),COUNTIFS($A$3:$A919,RELATORIO_MEDICAO!$C$5,$C$3:$C919,RELATORIO_MEDICAO!$F$5),"")</f>
        <v/>
      </c>
      <c r="Z919">
        <f>IF(OR($A919="",PESQUISA!$C$4=""),0,IF(OR(ISNUMBER(SEARCH(PESQUISA!$C$4,$G919)),ISNUMBER(SEARCH(PESQUISA!$C$4,$K919)),ISNUMBER(SEARCH(PESQUISA!$C$4,$L919))),1,0))</f>
        <v/>
      </c>
      <c r="AA919">
        <f>IF($Z919=1,SUM($Z$3:$Z919),"")</f>
        <v/>
      </c>
      <c r="AB919">
        <f>IF(OR($A919="",PESQUISA!$C$50=""),0,IF(ISNUMBER(SEARCH(PESQUISA!$C$50,$I919)),1,0))</f>
        <v/>
      </c>
      <c r="AC919">
        <f>IF($AB919=1,SUM($AB$3:$AB919),"")</f>
        <v/>
      </c>
    </row>
    <row r="920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>
        <f>IFERROR(INDEX(CONFIGURACOES!$G$37:$G$300,MATCH($I920,CONFIGURACOES!$B$37:$B$300,0)),"")</f>
        <v/>
      </c>
      <c r="K920" s="20">
        <f>IFERROR(INDEX(CONFIGURACOES!$H$37:$H$300,MATCH($I920,CONFIGURACOES!$B$37:$B$300,0)),"")</f>
        <v/>
      </c>
      <c r="L920" s="20" t="n"/>
      <c r="M920" s="20">
        <f>IFERROR(INDEX(CONFIGURACOES!$I$37:$I$300,MATCH($I920,CONFIGURACOES!$B$37:$B$300,0)),"")</f>
        <v/>
      </c>
      <c r="N920" s="21" t="n"/>
      <c r="O920" s="21" t="n"/>
      <c r="P920" s="21" t="n"/>
      <c r="Q920" s="21" t="n"/>
      <c r="R920" s="21">
        <f>IF($N920="","",$N920*IF($Q920="",1,$Q920)*IF($P920="",1,$P920)*IF($O920="",1,$O920))</f>
        <v/>
      </c>
      <c r="S920" s="22">
        <f>IFERROR(INDEX(CONFIGURACOES!$J$37:$J$300,MATCH($I920,CONFIGURACOES!$B$37:$B$300,0)),"")</f>
        <v/>
      </c>
      <c r="T920" s="22">
        <f>IF(OR($R920="",$S920=""),"",$R920*$S920)</f>
        <v/>
      </c>
      <c r="U920" s="20" t="n"/>
      <c r="V920" s="20" t="n"/>
      <c r="W920" s="20" t="n"/>
      <c r="X920">
        <f>IF($A920="","",$A920&amp;"|"&amp;$C920&amp;"|"&amp;$I920)</f>
        <v/>
      </c>
      <c r="Y920">
        <f>IF(AND($A920=RELATORIO_MEDICAO!$C$5,$C920=RELATORIO_MEDICAO!$F$5,$A920&lt;&gt;""),COUNTIFS($A$3:$A920,RELATORIO_MEDICAO!$C$5,$C$3:$C920,RELATORIO_MEDICAO!$F$5),"")</f>
        <v/>
      </c>
      <c r="Z920">
        <f>IF(OR($A920="",PESQUISA!$C$4=""),0,IF(OR(ISNUMBER(SEARCH(PESQUISA!$C$4,$G920)),ISNUMBER(SEARCH(PESQUISA!$C$4,$K920)),ISNUMBER(SEARCH(PESQUISA!$C$4,$L920))),1,0))</f>
        <v/>
      </c>
      <c r="AA920">
        <f>IF($Z920=1,SUM($Z$3:$Z920),"")</f>
        <v/>
      </c>
      <c r="AB920">
        <f>IF(OR($A920="",PESQUISA!$C$50=""),0,IF(ISNUMBER(SEARCH(PESQUISA!$C$50,$I920)),1,0))</f>
        <v/>
      </c>
      <c r="AC920">
        <f>IF($AB920=1,SUM($AB$3:$AB920),"")</f>
        <v/>
      </c>
    </row>
    <row r="921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>
        <f>IFERROR(INDEX(CONFIGURACOES!$G$37:$G$300,MATCH($I921,CONFIGURACOES!$B$37:$B$300,0)),"")</f>
        <v/>
      </c>
      <c r="K921" s="20">
        <f>IFERROR(INDEX(CONFIGURACOES!$H$37:$H$300,MATCH($I921,CONFIGURACOES!$B$37:$B$300,0)),"")</f>
        <v/>
      </c>
      <c r="L921" s="20" t="n"/>
      <c r="M921" s="20">
        <f>IFERROR(INDEX(CONFIGURACOES!$I$37:$I$300,MATCH($I921,CONFIGURACOES!$B$37:$B$300,0)),"")</f>
        <v/>
      </c>
      <c r="N921" s="21" t="n"/>
      <c r="O921" s="21" t="n"/>
      <c r="P921" s="21" t="n"/>
      <c r="Q921" s="21" t="n"/>
      <c r="R921" s="21">
        <f>IF($N921="","",$N921*IF($Q921="",1,$Q921)*IF($P921="",1,$P921)*IF($O921="",1,$O921))</f>
        <v/>
      </c>
      <c r="S921" s="22">
        <f>IFERROR(INDEX(CONFIGURACOES!$J$37:$J$300,MATCH($I921,CONFIGURACOES!$B$37:$B$300,0)),"")</f>
        <v/>
      </c>
      <c r="T921" s="22">
        <f>IF(OR($R921="",$S921=""),"",$R921*$S921)</f>
        <v/>
      </c>
      <c r="U921" s="20" t="n"/>
      <c r="V921" s="20" t="n"/>
      <c r="W921" s="20" t="n"/>
      <c r="X921">
        <f>IF($A921="","",$A921&amp;"|"&amp;$C921&amp;"|"&amp;$I921)</f>
        <v/>
      </c>
      <c r="Y921">
        <f>IF(AND($A921=RELATORIO_MEDICAO!$C$5,$C921=RELATORIO_MEDICAO!$F$5,$A921&lt;&gt;""),COUNTIFS($A$3:$A921,RELATORIO_MEDICAO!$C$5,$C$3:$C921,RELATORIO_MEDICAO!$F$5),"")</f>
        <v/>
      </c>
      <c r="Z921">
        <f>IF(OR($A921="",PESQUISA!$C$4=""),0,IF(OR(ISNUMBER(SEARCH(PESQUISA!$C$4,$G921)),ISNUMBER(SEARCH(PESQUISA!$C$4,$K921)),ISNUMBER(SEARCH(PESQUISA!$C$4,$L921))),1,0))</f>
        <v/>
      </c>
      <c r="AA921">
        <f>IF($Z921=1,SUM($Z$3:$Z921),"")</f>
        <v/>
      </c>
      <c r="AB921">
        <f>IF(OR($A921="",PESQUISA!$C$50=""),0,IF(ISNUMBER(SEARCH(PESQUISA!$C$50,$I921)),1,0))</f>
        <v/>
      </c>
      <c r="AC921">
        <f>IF($AB921=1,SUM($AB$3:$AB921),"")</f>
        <v/>
      </c>
    </row>
    <row r="922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>
        <f>IFERROR(INDEX(CONFIGURACOES!$G$37:$G$300,MATCH($I922,CONFIGURACOES!$B$37:$B$300,0)),"")</f>
        <v/>
      </c>
      <c r="K922" s="20">
        <f>IFERROR(INDEX(CONFIGURACOES!$H$37:$H$300,MATCH($I922,CONFIGURACOES!$B$37:$B$300,0)),"")</f>
        <v/>
      </c>
      <c r="L922" s="20" t="n"/>
      <c r="M922" s="20">
        <f>IFERROR(INDEX(CONFIGURACOES!$I$37:$I$300,MATCH($I922,CONFIGURACOES!$B$37:$B$300,0)),"")</f>
        <v/>
      </c>
      <c r="N922" s="21" t="n"/>
      <c r="O922" s="21" t="n"/>
      <c r="P922" s="21" t="n"/>
      <c r="Q922" s="21" t="n"/>
      <c r="R922" s="21">
        <f>IF($N922="","",$N922*IF($Q922="",1,$Q922)*IF($P922="",1,$P922)*IF($O922="",1,$O922))</f>
        <v/>
      </c>
      <c r="S922" s="22">
        <f>IFERROR(INDEX(CONFIGURACOES!$J$37:$J$300,MATCH($I922,CONFIGURACOES!$B$37:$B$300,0)),"")</f>
        <v/>
      </c>
      <c r="T922" s="22">
        <f>IF(OR($R922="",$S922=""),"",$R922*$S922)</f>
        <v/>
      </c>
      <c r="U922" s="20" t="n"/>
      <c r="V922" s="20" t="n"/>
      <c r="W922" s="20" t="n"/>
      <c r="X922">
        <f>IF($A922="","",$A922&amp;"|"&amp;$C922&amp;"|"&amp;$I922)</f>
        <v/>
      </c>
      <c r="Y922">
        <f>IF(AND($A922=RELATORIO_MEDICAO!$C$5,$C922=RELATORIO_MEDICAO!$F$5,$A922&lt;&gt;""),COUNTIFS($A$3:$A922,RELATORIO_MEDICAO!$C$5,$C$3:$C922,RELATORIO_MEDICAO!$F$5),"")</f>
        <v/>
      </c>
      <c r="Z922">
        <f>IF(OR($A922="",PESQUISA!$C$4=""),0,IF(OR(ISNUMBER(SEARCH(PESQUISA!$C$4,$G922)),ISNUMBER(SEARCH(PESQUISA!$C$4,$K922)),ISNUMBER(SEARCH(PESQUISA!$C$4,$L922))),1,0))</f>
        <v/>
      </c>
      <c r="AA922">
        <f>IF($Z922=1,SUM($Z$3:$Z922),"")</f>
        <v/>
      </c>
      <c r="AB922">
        <f>IF(OR($A922="",PESQUISA!$C$50=""),0,IF(ISNUMBER(SEARCH(PESQUISA!$C$50,$I922)),1,0))</f>
        <v/>
      </c>
      <c r="AC922">
        <f>IF($AB922=1,SUM($AB$3:$AB922),"")</f>
        <v/>
      </c>
    </row>
    <row r="923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>
        <f>IFERROR(INDEX(CONFIGURACOES!$G$37:$G$300,MATCH($I923,CONFIGURACOES!$B$37:$B$300,0)),"")</f>
        <v/>
      </c>
      <c r="K923" s="20">
        <f>IFERROR(INDEX(CONFIGURACOES!$H$37:$H$300,MATCH($I923,CONFIGURACOES!$B$37:$B$300,0)),"")</f>
        <v/>
      </c>
      <c r="L923" s="20" t="n"/>
      <c r="M923" s="20">
        <f>IFERROR(INDEX(CONFIGURACOES!$I$37:$I$300,MATCH($I923,CONFIGURACOES!$B$37:$B$300,0)),"")</f>
        <v/>
      </c>
      <c r="N923" s="21" t="n"/>
      <c r="O923" s="21" t="n"/>
      <c r="P923" s="21" t="n"/>
      <c r="Q923" s="21" t="n"/>
      <c r="R923" s="21">
        <f>IF($N923="","",$N923*IF($Q923="",1,$Q923)*IF($P923="",1,$P923)*IF($O923="",1,$O923))</f>
        <v/>
      </c>
      <c r="S923" s="22">
        <f>IFERROR(INDEX(CONFIGURACOES!$J$37:$J$300,MATCH($I923,CONFIGURACOES!$B$37:$B$300,0)),"")</f>
        <v/>
      </c>
      <c r="T923" s="22">
        <f>IF(OR($R923="",$S923=""),"",$R923*$S923)</f>
        <v/>
      </c>
      <c r="U923" s="20" t="n"/>
      <c r="V923" s="20" t="n"/>
      <c r="W923" s="20" t="n"/>
      <c r="X923">
        <f>IF($A923="","",$A923&amp;"|"&amp;$C923&amp;"|"&amp;$I923)</f>
        <v/>
      </c>
      <c r="Y923">
        <f>IF(AND($A923=RELATORIO_MEDICAO!$C$5,$C923=RELATORIO_MEDICAO!$F$5,$A923&lt;&gt;""),COUNTIFS($A$3:$A923,RELATORIO_MEDICAO!$C$5,$C$3:$C923,RELATORIO_MEDICAO!$F$5),"")</f>
        <v/>
      </c>
      <c r="Z923">
        <f>IF(OR($A923="",PESQUISA!$C$4=""),0,IF(OR(ISNUMBER(SEARCH(PESQUISA!$C$4,$G923)),ISNUMBER(SEARCH(PESQUISA!$C$4,$K923)),ISNUMBER(SEARCH(PESQUISA!$C$4,$L923))),1,0))</f>
        <v/>
      </c>
      <c r="AA923">
        <f>IF($Z923=1,SUM($Z$3:$Z923),"")</f>
        <v/>
      </c>
      <c r="AB923">
        <f>IF(OR($A923="",PESQUISA!$C$50=""),0,IF(ISNUMBER(SEARCH(PESQUISA!$C$50,$I923)),1,0))</f>
        <v/>
      </c>
      <c r="AC923">
        <f>IF($AB923=1,SUM($AB$3:$AB923),"")</f>
        <v/>
      </c>
    </row>
    <row r="924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>
        <f>IFERROR(INDEX(CONFIGURACOES!$G$37:$G$300,MATCH($I924,CONFIGURACOES!$B$37:$B$300,0)),"")</f>
        <v/>
      </c>
      <c r="K924" s="20">
        <f>IFERROR(INDEX(CONFIGURACOES!$H$37:$H$300,MATCH($I924,CONFIGURACOES!$B$37:$B$300,0)),"")</f>
        <v/>
      </c>
      <c r="L924" s="20" t="n"/>
      <c r="M924" s="20">
        <f>IFERROR(INDEX(CONFIGURACOES!$I$37:$I$300,MATCH($I924,CONFIGURACOES!$B$37:$B$300,0)),"")</f>
        <v/>
      </c>
      <c r="N924" s="21" t="n"/>
      <c r="O924" s="21" t="n"/>
      <c r="P924" s="21" t="n"/>
      <c r="Q924" s="21" t="n"/>
      <c r="R924" s="21">
        <f>IF($N924="","",$N924*IF($Q924="",1,$Q924)*IF($P924="",1,$P924)*IF($O924="",1,$O924))</f>
        <v/>
      </c>
      <c r="S924" s="22">
        <f>IFERROR(INDEX(CONFIGURACOES!$J$37:$J$300,MATCH($I924,CONFIGURACOES!$B$37:$B$300,0)),"")</f>
        <v/>
      </c>
      <c r="T924" s="22">
        <f>IF(OR($R924="",$S924=""),"",$R924*$S924)</f>
        <v/>
      </c>
      <c r="U924" s="20" t="n"/>
      <c r="V924" s="20" t="n"/>
      <c r="W924" s="20" t="n"/>
      <c r="X924">
        <f>IF($A924="","",$A924&amp;"|"&amp;$C924&amp;"|"&amp;$I924)</f>
        <v/>
      </c>
      <c r="Y924">
        <f>IF(AND($A924=RELATORIO_MEDICAO!$C$5,$C924=RELATORIO_MEDICAO!$F$5,$A924&lt;&gt;""),COUNTIFS($A$3:$A924,RELATORIO_MEDICAO!$C$5,$C$3:$C924,RELATORIO_MEDICAO!$F$5),"")</f>
        <v/>
      </c>
      <c r="Z924">
        <f>IF(OR($A924="",PESQUISA!$C$4=""),0,IF(OR(ISNUMBER(SEARCH(PESQUISA!$C$4,$G924)),ISNUMBER(SEARCH(PESQUISA!$C$4,$K924)),ISNUMBER(SEARCH(PESQUISA!$C$4,$L924))),1,0))</f>
        <v/>
      </c>
      <c r="AA924">
        <f>IF($Z924=1,SUM($Z$3:$Z924),"")</f>
        <v/>
      </c>
      <c r="AB924">
        <f>IF(OR($A924="",PESQUISA!$C$50=""),0,IF(ISNUMBER(SEARCH(PESQUISA!$C$50,$I924)),1,0))</f>
        <v/>
      </c>
      <c r="AC924">
        <f>IF($AB924=1,SUM($AB$3:$AB924),"")</f>
        <v/>
      </c>
    </row>
    <row r="925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>
        <f>IFERROR(INDEX(CONFIGURACOES!$G$37:$G$300,MATCH($I925,CONFIGURACOES!$B$37:$B$300,0)),"")</f>
        <v/>
      </c>
      <c r="K925" s="20">
        <f>IFERROR(INDEX(CONFIGURACOES!$H$37:$H$300,MATCH($I925,CONFIGURACOES!$B$37:$B$300,0)),"")</f>
        <v/>
      </c>
      <c r="L925" s="20" t="n"/>
      <c r="M925" s="20">
        <f>IFERROR(INDEX(CONFIGURACOES!$I$37:$I$300,MATCH($I925,CONFIGURACOES!$B$37:$B$300,0)),"")</f>
        <v/>
      </c>
      <c r="N925" s="21" t="n"/>
      <c r="O925" s="21" t="n"/>
      <c r="P925" s="21" t="n"/>
      <c r="Q925" s="21" t="n"/>
      <c r="R925" s="21">
        <f>IF($N925="","",$N925*IF($Q925="",1,$Q925)*IF($P925="",1,$P925)*IF($O925="",1,$O925))</f>
        <v/>
      </c>
      <c r="S925" s="22">
        <f>IFERROR(INDEX(CONFIGURACOES!$J$37:$J$300,MATCH($I925,CONFIGURACOES!$B$37:$B$300,0)),"")</f>
        <v/>
      </c>
      <c r="T925" s="22">
        <f>IF(OR($R925="",$S925=""),"",$R925*$S925)</f>
        <v/>
      </c>
      <c r="U925" s="20" t="n"/>
      <c r="V925" s="20" t="n"/>
      <c r="W925" s="20" t="n"/>
      <c r="X925">
        <f>IF($A925="","",$A925&amp;"|"&amp;$C925&amp;"|"&amp;$I925)</f>
        <v/>
      </c>
      <c r="Y925">
        <f>IF(AND($A925=RELATORIO_MEDICAO!$C$5,$C925=RELATORIO_MEDICAO!$F$5,$A925&lt;&gt;""),COUNTIFS($A$3:$A925,RELATORIO_MEDICAO!$C$5,$C$3:$C925,RELATORIO_MEDICAO!$F$5),"")</f>
        <v/>
      </c>
      <c r="Z925">
        <f>IF(OR($A925="",PESQUISA!$C$4=""),0,IF(OR(ISNUMBER(SEARCH(PESQUISA!$C$4,$G925)),ISNUMBER(SEARCH(PESQUISA!$C$4,$K925)),ISNUMBER(SEARCH(PESQUISA!$C$4,$L925))),1,0))</f>
        <v/>
      </c>
      <c r="AA925">
        <f>IF($Z925=1,SUM($Z$3:$Z925),"")</f>
        <v/>
      </c>
      <c r="AB925">
        <f>IF(OR($A925="",PESQUISA!$C$50=""),0,IF(ISNUMBER(SEARCH(PESQUISA!$C$50,$I925)),1,0))</f>
        <v/>
      </c>
      <c r="AC925">
        <f>IF($AB925=1,SUM($AB$3:$AB925),"")</f>
        <v/>
      </c>
    </row>
    <row r="926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>
        <f>IFERROR(INDEX(CONFIGURACOES!$G$37:$G$300,MATCH($I926,CONFIGURACOES!$B$37:$B$300,0)),"")</f>
        <v/>
      </c>
      <c r="K926" s="20">
        <f>IFERROR(INDEX(CONFIGURACOES!$H$37:$H$300,MATCH($I926,CONFIGURACOES!$B$37:$B$300,0)),"")</f>
        <v/>
      </c>
      <c r="L926" s="20" t="n"/>
      <c r="M926" s="20">
        <f>IFERROR(INDEX(CONFIGURACOES!$I$37:$I$300,MATCH($I926,CONFIGURACOES!$B$37:$B$300,0)),"")</f>
        <v/>
      </c>
      <c r="N926" s="21" t="n"/>
      <c r="O926" s="21" t="n"/>
      <c r="P926" s="21" t="n"/>
      <c r="Q926" s="21" t="n"/>
      <c r="R926" s="21">
        <f>IF($N926="","",$N926*IF($Q926="",1,$Q926)*IF($P926="",1,$P926)*IF($O926="",1,$O926))</f>
        <v/>
      </c>
      <c r="S926" s="22">
        <f>IFERROR(INDEX(CONFIGURACOES!$J$37:$J$300,MATCH($I926,CONFIGURACOES!$B$37:$B$300,0)),"")</f>
        <v/>
      </c>
      <c r="T926" s="22">
        <f>IF(OR($R926="",$S926=""),"",$R926*$S926)</f>
        <v/>
      </c>
      <c r="U926" s="20" t="n"/>
      <c r="V926" s="20" t="n"/>
      <c r="W926" s="20" t="n"/>
      <c r="X926">
        <f>IF($A926="","",$A926&amp;"|"&amp;$C926&amp;"|"&amp;$I926)</f>
        <v/>
      </c>
      <c r="Y926">
        <f>IF(AND($A926=RELATORIO_MEDICAO!$C$5,$C926=RELATORIO_MEDICAO!$F$5,$A926&lt;&gt;""),COUNTIFS($A$3:$A926,RELATORIO_MEDICAO!$C$5,$C$3:$C926,RELATORIO_MEDICAO!$F$5),"")</f>
        <v/>
      </c>
      <c r="Z926">
        <f>IF(OR($A926="",PESQUISA!$C$4=""),0,IF(OR(ISNUMBER(SEARCH(PESQUISA!$C$4,$G926)),ISNUMBER(SEARCH(PESQUISA!$C$4,$K926)),ISNUMBER(SEARCH(PESQUISA!$C$4,$L926))),1,0))</f>
        <v/>
      </c>
      <c r="AA926">
        <f>IF($Z926=1,SUM($Z$3:$Z926),"")</f>
        <v/>
      </c>
      <c r="AB926">
        <f>IF(OR($A926="",PESQUISA!$C$50=""),0,IF(ISNUMBER(SEARCH(PESQUISA!$C$50,$I926)),1,0))</f>
        <v/>
      </c>
      <c r="AC926">
        <f>IF($AB926=1,SUM($AB$3:$AB926),"")</f>
        <v/>
      </c>
    </row>
    <row r="927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>
        <f>IFERROR(INDEX(CONFIGURACOES!$G$37:$G$300,MATCH($I927,CONFIGURACOES!$B$37:$B$300,0)),"")</f>
        <v/>
      </c>
      <c r="K927" s="20">
        <f>IFERROR(INDEX(CONFIGURACOES!$H$37:$H$300,MATCH($I927,CONFIGURACOES!$B$37:$B$300,0)),"")</f>
        <v/>
      </c>
      <c r="L927" s="20" t="n"/>
      <c r="M927" s="20">
        <f>IFERROR(INDEX(CONFIGURACOES!$I$37:$I$300,MATCH($I927,CONFIGURACOES!$B$37:$B$300,0)),"")</f>
        <v/>
      </c>
      <c r="N927" s="21" t="n"/>
      <c r="O927" s="21" t="n"/>
      <c r="P927" s="21" t="n"/>
      <c r="Q927" s="21" t="n"/>
      <c r="R927" s="21">
        <f>IF($N927="","",$N927*IF($Q927="",1,$Q927)*IF($P927="",1,$P927)*IF($O927="",1,$O927))</f>
        <v/>
      </c>
      <c r="S927" s="22">
        <f>IFERROR(INDEX(CONFIGURACOES!$J$37:$J$300,MATCH($I927,CONFIGURACOES!$B$37:$B$300,0)),"")</f>
        <v/>
      </c>
      <c r="T927" s="22">
        <f>IF(OR($R927="",$S927=""),"",$R927*$S927)</f>
        <v/>
      </c>
      <c r="U927" s="20" t="n"/>
      <c r="V927" s="20" t="n"/>
      <c r="W927" s="20" t="n"/>
      <c r="X927">
        <f>IF($A927="","",$A927&amp;"|"&amp;$C927&amp;"|"&amp;$I927)</f>
        <v/>
      </c>
      <c r="Y927">
        <f>IF(AND($A927=RELATORIO_MEDICAO!$C$5,$C927=RELATORIO_MEDICAO!$F$5,$A927&lt;&gt;""),COUNTIFS($A$3:$A927,RELATORIO_MEDICAO!$C$5,$C$3:$C927,RELATORIO_MEDICAO!$F$5),"")</f>
        <v/>
      </c>
      <c r="Z927">
        <f>IF(OR($A927="",PESQUISA!$C$4=""),0,IF(OR(ISNUMBER(SEARCH(PESQUISA!$C$4,$G927)),ISNUMBER(SEARCH(PESQUISA!$C$4,$K927)),ISNUMBER(SEARCH(PESQUISA!$C$4,$L927))),1,0))</f>
        <v/>
      </c>
      <c r="AA927">
        <f>IF($Z927=1,SUM($Z$3:$Z927),"")</f>
        <v/>
      </c>
      <c r="AB927">
        <f>IF(OR($A927="",PESQUISA!$C$50=""),0,IF(ISNUMBER(SEARCH(PESQUISA!$C$50,$I927)),1,0))</f>
        <v/>
      </c>
      <c r="AC927">
        <f>IF($AB927=1,SUM($AB$3:$AB927),"")</f>
        <v/>
      </c>
    </row>
    <row r="928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>
        <f>IFERROR(INDEX(CONFIGURACOES!$G$37:$G$300,MATCH($I928,CONFIGURACOES!$B$37:$B$300,0)),"")</f>
        <v/>
      </c>
      <c r="K928" s="20">
        <f>IFERROR(INDEX(CONFIGURACOES!$H$37:$H$300,MATCH($I928,CONFIGURACOES!$B$37:$B$300,0)),"")</f>
        <v/>
      </c>
      <c r="L928" s="20" t="n"/>
      <c r="M928" s="20">
        <f>IFERROR(INDEX(CONFIGURACOES!$I$37:$I$300,MATCH($I928,CONFIGURACOES!$B$37:$B$300,0)),"")</f>
        <v/>
      </c>
      <c r="N928" s="21" t="n"/>
      <c r="O928" s="21" t="n"/>
      <c r="P928" s="21" t="n"/>
      <c r="Q928" s="21" t="n"/>
      <c r="R928" s="21">
        <f>IF($N928="","",$N928*IF($Q928="",1,$Q928)*IF($P928="",1,$P928)*IF($O928="",1,$O928))</f>
        <v/>
      </c>
      <c r="S928" s="22">
        <f>IFERROR(INDEX(CONFIGURACOES!$J$37:$J$300,MATCH($I928,CONFIGURACOES!$B$37:$B$300,0)),"")</f>
        <v/>
      </c>
      <c r="T928" s="22">
        <f>IF(OR($R928="",$S928=""),"",$R928*$S928)</f>
        <v/>
      </c>
      <c r="U928" s="20" t="n"/>
      <c r="V928" s="20" t="n"/>
      <c r="W928" s="20" t="n"/>
      <c r="X928">
        <f>IF($A928="","",$A928&amp;"|"&amp;$C928&amp;"|"&amp;$I928)</f>
        <v/>
      </c>
      <c r="Y928">
        <f>IF(AND($A928=RELATORIO_MEDICAO!$C$5,$C928=RELATORIO_MEDICAO!$F$5,$A928&lt;&gt;""),COUNTIFS($A$3:$A928,RELATORIO_MEDICAO!$C$5,$C$3:$C928,RELATORIO_MEDICAO!$F$5),"")</f>
        <v/>
      </c>
      <c r="Z928">
        <f>IF(OR($A928="",PESQUISA!$C$4=""),0,IF(OR(ISNUMBER(SEARCH(PESQUISA!$C$4,$G928)),ISNUMBER(SEARCH(PESQUISA!$C$4,$K928)),ISNUMBER(SEARCH(PESQUISA!$C$4,$L928))),1,0))</f>
        <v/>
      </c>
      <c r="AA928">
        <f>IF($Z928=1,SUM($Z$3:$Z928),"")</f>
        <v/>
      </c>
      <c r="AB928">
        <f>IF(OR($A928="",PESQUISA!$C$50=""),0,IF(ISNUMBER(SEARCH(PESQUISA!$C$50,$I928)),1,0))</f>
        <v/>
      </c>
      <c r="AC928">
        <f>IF($AB928=1,SUM($AB$3:$AB928),"")</f>
        <v/>
      </c>
    </row>
    <row r="929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>
        <f>IFERROR(INDEX(CONFIGURACOES!$G$37:$G$300,MATCH($I929,CONFIGURACOES!$B$37:$B$300,0)),"")</f>
        <v/>
      </c>
      <c r="K929" s="20">
        <f>IFERROR(INDEX(CONFIGURACOES!$H$37:$H$300,MATCH($I929,CONFIGURACOES!$B$37:$B$300,0)),"")</f>
        <v/>
      </c>
      <c r="L929" s="20" t="n"/>
      <c r="M929" s="20">
        <f>IFERROR(INDEX(CONFIGURACOES!$I$37:$I$300,MATCH($I929,CONFIGURACOES!$B$37:$B$300,0)),"")</f>
        <v/>
      </c>
      <c r="N929" s="21" t="n"/>
      <c r="O929" s="21" t="n"/>
      <c r="P929" s="21" t="n"/>
      <c r="Q929" s="21" t="n"/>
      <c r="R929" s="21">
        <f>IF($N929="","",$N929*IF($Q929="",1,$Q929)*IF($P929="",1,$P929)*IF($O929="",1,$O929))</f>
        <v/>
      </c>
      <c r="S929" s="22">
        <f>IFERROR(INDEX(CONFIGURACOES!$J$37:$J$300,MATCH($I929,CONFIGURACOES!$B$37:$B$300,0)),"")</f>
        <v/>
      </c>
      <c r="T929" s="22">
        <f>IF(OR($R929="",$S929=""),"",$R929*$S929)</f>
        <v/>
      </c>
      <c r="U929" s="20" t="n"/>
      <c r="V929" s="20" t="n"/>
      <c r="W929" s="20" t="n"/>
      <c r="X929">
        <f>IF($A929="","",$A929&amp;"|"&amp;$C929&amp;"|"&amp;$I929)</f>
        <v/>
      </c>
      <c r="Y929">
        <f>IF(AND($A929=RELATORIO_MEDICAO!$C$5,$C929=RELATORIO_MEDICAO!$F$5,$A929&lt;&gt;""),COUNTIFS($A$3:$A929,RELATORIO_MEDICAO!$C$5,$C$3:$C929,RELATORIO_MEDICAO!$F$5),"")</f>
        <v/>
      </c>
      <c r="Z929">
        <f>IF(OR($A929="",PESQUISA!$C$4=""),0,IF(OR(ISNUMBER(SEARCH(PESQUISA!$C$4,$G929)),ISNUMBER(SEARCH(PESQUISA!$C$4,$K929)),ISNUMBER(SEARCH(PESQUISA!$C$4,$L929))),1,0))</f>
        <v/>
      </c>
      <c r="AA929">
        <f>IF($Z929=1,SUM($Z$3:$Z929),"")</f>
        <v/>
      </c>
      <c r="AB929">
        <f>IF(OR($A929="",PESQUISA!$C$50=""),0,IF(ISNUMBER(SEARCH(PESQUISA!$C$50,$I929)),1,0))</f>
        <v/>
      </c>
      <c r="AC929">
        <f>IF($AB929=1,SUM($AB$3:$AB929),"")</f>
        <v/>
      </c>
    </row>
    <row r="930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>
        <f>IFERROR(INDEX(CONFIGURACOES!$G$37:$G$300,MATCH($I930,CONFIGURACOES!$B$37:$B$300,0)),"")</f>
        <v/>
      </c>
      <c r="K930" s="20">
        <f>IFERROR(INDEX(CONFIGURACOES!$H$37:$H$300,MATCH($I930,CONFIGURACOES!$B$37:$B$300,0)),"")</f>
        <v/>
      </c>
      <c r="L930" s="20" t="n"/>
      <c r="M930" s="20">
        <f>IFERROR(INDEX(CONFIGURACOES!$I$37:$I$300,MATCH($I930,CONFIGURACOES!$B$37:$B$300,0)),"")</f>
        <v/>
      </c>
      <c r="N930" s="21" t="n"/>
      <c r="O930" s="21" t="n"/>
      <c r="P930" s="21" t="n"/>
      <c r="Q930" s="21" t="n"/>
      <c r="R930" s="21">
        <f>IF($N930="","",$N930*IF($Q930="",1,$Q930)*IF($P930="",1,$P930)*IF($O930="",1,$O930))</f>
        <v/>
      </c>
      <c r="S930" s="22">
        <f>IFERROR(INDEX(CONFIGURACOES!$J$37:$J$300,MATCH($I930,CONFIGURACOES!$B$37:$B$300,0)),"")</f>
        <v/>
      </c>
      <c r="T930" s="22">
        <f>IF(OR($R930="",$S930=""),"",$R930*$S930)</f>
        <v/>
      </c>
      <c r="U930" s="20" t="n"/>
      <c r="V930" s="20" t="n"/>
      <c r="W930" s="20" t="n"/>
      <c r="X930">
        <f>IF($A930="","",$A930&amp;"|"&amp;$C930&amp;"|"&amp;$I930)</f>
        <v/>
      </c>
      <c r="Y930">
        <f>IF(AND($A930=RELATORIO_MEDICAO!$C$5,$C930=RELATORIO_MEDICAO!$F$5,$A930&lt;&gt;""),COUNTIFS($A$3:$A930,RELATORIO_MEDICAO!$C$5,$C$3:$C930,RELATORIO_MEDICAO!$F$5),"")</f>
        <v/>
      </c>
      <c r="Z930">
        <f>IF(OR($A930="",PESQUISA!$C$4=""),0,IF(OR(ISNUMBER(SEARCH(PESQUISA!$C$4,$G930)),ISNUMBER(SEARCH(PESQUISA!$C$4,$K930)),ISNUMBER(SEARCH(PESQUISA!$C$4,$L930))),1,0))</f>
        <v/>
      </c>
      <c r="AA930">
        <f>IF($Z930=1,SUM($Z$3:$Z930),"")</f>
        <v/>
      </c>
      <c r="AB930">
        <f>IF(OR($A930="",PESQUISA!$C$50=""),0,IF(ISNUMBER(SEARCH(PESQUISA!$C$50,$I930)),1,0))</f>
        <v/>
      </c>
      <c r="AC930">
        <f>IF($AB930=1,SUM($AB$3:$AB930),"")</f>
        <v/>
      </c>
    </row>
    <row r="931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>
        <f>IFERROR(INDEX(CONFIGURACOES!$G$37:$G$300,MATCH($I931,CONFIGURACOES!$B$37:$B$300,0)),"")</f>
        <v/>
      </c>
      <c r="K931" s="20">
        <f>IFERROR(INDEX(CONFIGURACOES!$H$37:$H$300,MATCH($I931,CONFIGURACOES!$B$37:$B$300,0)),"")</f>
        <v/>
      </c>
      <c r="L931" s="20" t="n"/>
      <c r="M931" s="20">
        <f>IFERROR(INDEX(CONFIGURACOES!$I$37:$I$300,MATCH($I931,CONFIGURACOES!$B$37:$B$300,0)),"")</f>
        <v/>
      </c>
      <c r="N931" s="21" t="n"/>
      <c r="O931" s="21" t="n"/>
      <c r="P931" s="21" t="n"/>
      <c r="Q931" s="21" t="n"/>
      <c r="R931" s="21">
        <f>IF($N931="","",$N931*IF($Q931="",1,$Q931)*IF($P931="",1,$P931)*IF($O931="",1,$O931))</f>
        <v/>
      </c>
      <c r="S931" s="22">
        <f>IFERROR(INDEX(CONFIGURACOES!$J$37:$J$300,MATCH($I931,CONFIGURACOES!$B$37:$B$300,0)),"")</f>
        <v/>
      </c>
      <c r="T931" s="22">
        <f>IF(OR($R931="",$S931=""),"",$R931*$S931)</f>
        <v/>
      </c>
      <c r="U931" s="20" t="n"/>
      <c r="V931" s="20" t="n"/>
      <c r="W931" s="20" t="n"/>
      <c r="X931">
        <f>IF($A931="","",$A931&amp;"|"&amp;$C931&amp;"|"&amp;$I931)</f>
        <v/>
      </c>
      <c r="Y931">
        <f>IF(AND($A931=RELATORIO_MEDICAO!$C$5,$C931=RELATORIO_MEDICAO!$F$5,$A931&lt;&gt;""),COUNTIFS($A$3:$A931,RELATORIO_MEDICAO!$C$5,$C$3:$C931,RELATORIO_MEDICAO!$F$5),"")</f>
        <v/>
      </c>
      <c r="Z931">
        <f>IF(OR($A931="",PESQUISA!$C$4=""),0,IF(OR(ISNUMBER(SEARCH(PESQUISA!$C$4,$G931)),ISNUMBER(SEARCH(PESQUISA!$C$4,$K931)),ISNUMBER(SEARCH(PESQUISA!$C$4,$L931))),1,0))</f>
        <v/>
      </c>
      <c r="AA931">
        <f>IF($Z931=1,SUM($Z$3:$Z931),"")</f>
        <v/>
      </c>
      <c r="AB931">
        <f>IF(OR($A931="",PESQUISA!$C$50=""),0,IF(ISNUMBER(SEARCH(PESQUISA!$C$50,$I931)),1,0))</f>
        <v/>
      </c>
      <c r="AC931">
        <f>IF($AB931=1,SUM($AB$3:$AB931),"")</f>
        <v/>
      </c>
    </row>
    <row r="932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>
        <f>IFERROR(INDEX(CONFIGURACOES!$G$37:$G$300,MATCH($I932,CONFIGURACOES!$B$37:$B$300,0)),"")</f>
        <v/>
      </c>
      <c r="K932" s="20">
        <f>IFERROR(INDEX(CONFIGURACOES!$H$37:$H$300,MATCH($I932,CONFIGURACOES!$B$37:$B$300,0)),"")</f>
        <v/>
      </c>
      <c r="L932" s="20" t="n"/>
      <c r="M932" s="20">
        <f>IFERROR(INDEX(CONFIGURACOES!$I$37:$I$300,MATCH($I932,CONFIGURACOES!$B$37:$B$300,0)),"")</f>
        <v/>
      </c>
      <c r="N932" s="21" t="n"/>
      <c r="O932" s="21" t="n"/>
      <c r="P932" s="21" t="n"/>
      <c r="Q932" s="21" t="n"/>
      <c r="R932" s="21">
        <f>IF($N932="","",$N932*IF($Q932="",1,$Q932)*IF($P932="",1,$P932)*IF($O932="",1,$O932))</f>
        <v/>
      </c>
      <c r="S932" s="22">
        <f>IFERROR(INDEX(CONFIGURACOES!$J$37:$J$300,MATCH($I932,CONFIGURACOES!$B$37:$B$300,0)),"")</f>
        <v/>
      </c>
      <c r="T932" s="22">
        <f>IF(OR($R932="",$S932=""),"",$R932*$S932)</f>
        <v/>
      </c>
      <c r="U932" s="20" t="n"/>
      <c r="V932" s="20" t="n"/>
      <c r="W932" s="20" t="n"/>
      <c r="X932">
        <f>IF($A932="","",$A932&amp;"|"&amp;$C932&amp;"|"&amp;$I932)</f>
        <v/>
      </c>
      <c r="Y932">
        <f>IF(AND($A932=RELATORIO_MEDICAO!$C$5,$C932=RELATORIO_MEDICAO!$F$5,$A932&lt;&gt;""),COUNTIFS($A$3:$A932,RELATORIO_MEDICAO!$C$5,$C$3:$C932,RELATORIO_MEDICAO!$F$5),"")</f>
        <v/>
      </c>
      <c r="Z932">
        <f>IF(OR($A932="",PESQUISA!$C$4=""),0,IF(OR(ISNUMBER(SEARCH(PESQUISA!$C$4,$G932)),ISNUMBER(SEARCH(PESQUISA!$C$4,$K932)),ISNUMBER(SEARCH(PESQUISA!$C$4,$L932))),1,0))</f>
        <v/>
      </c>
      <c r="AA932">
        <f>IF($Z932=1,SUM($Z$3:$Z932),"")</f>
        <v/>
      </c>
      <c r="AB932">
        <f>IF(OR($A932="",PESQUISA!$C$50=""),0,IF(ISNUMBER(SEARCH(PESQUISA!$C$50,$I932)),1,0))</f>
        <v/>
      </c>
      <c r="AC932">
        <f>IF($AB932=1,SUM($AB$3:$AB932),"")</f>
        <v/>
      </c>
    </row>
    <row r="933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>
        <f>IFERROR(INDEX(CONFIGURACOES!$G$37:$G$300,MATCH($I933,CONFIGURACOES!$B$37:$B$300,0)),"")</f>
        <v/>
      </c>
      <c r="K933" s="20">
        <f>IFERROR(INDEX(CONFIGURACOES!$H$37:$H$300,MATCH($I933,CONFIGURACOES!$B$37:$B$300,0)),"")</f>
        <v/>
      </c>
      <c r="L933" s="20" t="n"/>
      <c r="M933" s="20">
        <f>IFERROR(INDEX(CONFIGURACOES!$I$37:$I$300,MATCH($I933,CONFIGURACOES!$B$37:$B$300,0)),"")</f>
        <v/>
      </c>
      <c r="N933" s="21" t="n"/>
      <c r="O933" s="21" t="n"/>
      <c r="P933" s="21" t="n"/>
      <c r="Q933" s="21" t="n"/>
      <c r="R933" s="21">
        <f>IF($N933="","",$N933*IF($Q933="",1,$Q933)*IF($P933="",1,$P933)*IF($O933="",1,$O933))</f>
        <v/>
      </c>
      <c r="S933" s="22">
        <f>IFERROR(INDEX(CONFIGURACOES!$J$37:$J$300,MATCH($I933,CONFIGURACOES!$B$37:$B$300,0)),"")</f>
        <v/>
      </c>
      <c r="T933" s="22">
        <f>IF(OR($R933="",$S933=""),"",$R933*$S933)</f>
        <v/>
      </c>
      <c r="U933" s="20" t="n"/>
      <c r="V933" s="20" t="n"/>
      <c r="W933" s="20" t="n"/>
      <c r="X933">
        <f>IF($A933="","",$A933&amp;"|"&amp;$C933&amp;"|"&amp;$I933)</f>
        <v/>
      </c>
      <c r="Y933">
        <f>IF(AND($A933=RELATORIO_MEDICAO!$C$5,$C933=RELATORIO_MEDICAO!$F$5,$A933&lt;&gt;""),COUNTIFS($A$3:$A933,RELATORIO_MEDICAO!$C$5,$C$3:$C933,RELATORIO_MEDICAO!$F$5),"")</f>
        <v/>
      </c>
      <c r="Z933">
        <f>IF(OR($A933="",PESQUISA!$C$4=""),0,IF(OR(ISNUMBER(SEARCH(PESQUISA!$C$4,$G933)),ISNUMBER(SEARCH(PESQUISA!$C$4,$K933)),ISNUMBER(SEARCH(PESQUISA!$C$4,$L933))),1,0))</f>
        <v/>
      </c>
      <c r="AA933">
        <f>IF($Z933=1,SUM($Z$3:$Z933),"")</f>
        <v/>
      </c>
      <c r="AB933">
        <f>IF(OR($A933="",PESQUISA!$C$50=""),0,IF(ISNUMBER(SEARCH(PESQUISA!$C$50,$I933)),1,0))</f>
        <v/>
      </c>
      <c r="AC933">
        <f>IF($AB933=1,SUM($AB$3:$AB933),"")</f>
        <v/>
      </c>
    </row>
    <row r="934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>
        <f>IFERROR(INDEX(CONFIGURACOES!$G$37:$G$300,MATCH($I934,CONFIGURACOES!$B$37:$B$300,0)),"")</f>
        <v/>
      </c>
      <c r="K934" s="20">
        <f>IFERROR(INDEX(CONFIGURACOES!$H$37:$H$300,MATCH($I934,CONFIGURACOES!$B$37:$B$300,0)),"")</f>
        <v/>
      </c>
      <c r="L934" s="20" t="n"/>
      <c r="M934" s="20">
        <f>IFERROR(INDEX(CONFIGURACOES!$I$37:$I$300,MATCH($I934,CONFIGURACOES!$B$37:$B$300,0)),"")</f>
        <v/>
      </c>
      <c r="N934" s="21" t="n"/>
      <c r="O934" s="21" t="n"/>
      <c r="P934" s="21" t="n"/>
      <c r="Q934" s="21" t="n"/>
      <c r="R934" s="21">
        <f>IF($N934="","",$N934*IF($Q934="",1,$Q934)*IF($P934="",1,$P934)*IF($O934="",1,$O934))</f>
        <v/>
      </c>
      <c r="S934" s="22">
        <f>IFERROR(INDEX(CONFIGURACOES!$J$37:$J$300,MATCH($I934,CONFIGURACOES!$B$37:$B$300,0)),"")</f>
        <v/>
      </c>
      <c r="T934" s="22">
        <f>IF(OR($R934="",$S934=""),"",$R934*$S934)</f>
        <v/>
      </c>
      <c r="U934" s="20" t="n"/>
      <c r="V934" s="20" t="n"/>
      <c r="W934" s="20" t="n"/>
      <c r="X934">
        <f>IF($A934="","",$A934&amp;"|"&amp;$C934&amp;"|"&amp;$I934)</f>
        <v/>
      </c>
      <c r="Y934">
        <f>IF(AND($A934=RELATORIO_MEDICAO!$C$5,$C934=RELATORIO_MEDICAO!$F$5,$A934&lt;&gt;""),COUNTIFS($A$3:$A934,RELATORIO_MEDICAO!$C$5,$C$3:$C934,RELATORIO_MEDICAO!$F$5),"")</f>
        <v/>
      </c>
      <c r="Z934">
        <f>IF(OR($A934="",PESQUISA!$C$4=""),0,IF(OR(ISNUMBER(SEARCH(PESQUISA!$C$4,$G934)),ISNUMBER(SEARCH(PESQUISA!$C$4,$K934)),ISNUMBER(SEARCH(PESQUISA!$C$4,$L934))),1,0))</f>
        <v/>
      </c>
      <c r="AA934">
        <f>IF($Z934=1,SUM($Z$3:$Z934),"")</f>
        <v/>
      </c>
      <c r="AB934">
        <f>IF(OR($A934="",PESQUISA!$C$50=""),0,IF(ISNUMBER(SEARCH(PESQUISA!$C$50,$I934)),1,0))</f>
        <v/>
      </c>
      <c r="AC934">
        <f>IF($AB934=1,SUM($AB$3:$AB934),"")</f>
        <v/>
      </c>
    </row>
    <row r="935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>
        <f>IFERROR(INDEX(CONFIGURACOES!$G$37:$G$300,MATCH($I935,CONFIGURACOES!$B$37:$B$300,0)),"")</f>
        <v/>
      </c>
      <c r="K935" s="20">
        <f>IFERROR(INDEX(CONFIGURACOES!$H$37:$H$300,MATCH($I935,CONFIGURACOES!$B$37:$B$300,0)),"")</f>
        <v/>
      </c>
      <c r="L935" s="20" t="n"/>
      <c r="M935" s="20">
        <f>IFERROR(INDEX(CONFIGURACOES!$I$37:$I$300,MATCH($I935,CONFIGURACOES!$B$37:$B$300,0)),"")</f>
        <v/>
      </c>
      <c r="N935" s="21" t="n"/>
      <c r="O935" s="21" t="n"/>
      <c r="P935" s="21" t="n"/>
      <c r="Q935" s="21" t="n"/>
      <c r="R935" s="21">
        <f>IF($N935="","",$N935*IF($Q935="",1,$Q935)*IF($P935="",1,$P935)*IF($O935="",1,$O935))</f>
        <v/>
      </c>
      <c r="S935" s="22">
        <f>IFERROR(INDEX(CONFIGURACOES!$J$37:$J$300,MATCH($I935,CONFIGURACOES!$B$37:$B$300,0)),"")</f>
        <v/>
      </c>
      <c r="T935" s="22">
        <f>IF(OR($R935="",$S935=""),"",$R935*$S935)</f>
        <v/>
      </c>
      <c r="U935" s="20" t="n"/>
      <c r="V935" s="20" t="n"/>
      <c r="W935" s="20" t="n"/>
      <c r="X935">
        <f>IF($A935="","",$A935&amp;"|"&amp;$C935&amp;"|"&amp;$I935)</f>
        <v/>
      </c>
      <c r="Y935">
        <f>IF(AND($A935=RELATORIO_MEDICAO!$C$5,$C935=RELATORIO_MEDICAO!$F$5,$A935&lt;&gt;""),COUNTIFS($A$3:$A935,RELATORIO_MEDICAO!$C$5,$C$3:$C935,RELATORIO_MEDICAO!$F$5),"")</f>
        <v/>
      </c>
      <c r="Z935">
        <f>IF(OR($A935="",PESQUISA!$C$4=""),0,IF(OR(ISNUMBER(SEARCH(PESQUISA!$C$4,$G935)),ISNUMBER(SEARCH(PESQUISA!$C$4,$K935)),ISNUMBER(SEARCH(PESQUISA!$C$4,$L935))),1,0))</f>
        <v/>
      </c>
      <c r="AA935">
        <f>IF($Z935=1,SUM($Z$3:$Z935),"")</f>
        <v/>
      </c>
      <c r="AB935">
        <f>IF(OR($A935="",PESQUISA!$C$50=""),0,IF(ISNUMBER(SEARCH(PESQUISA!$C$50,$I935)),1,0))</f>
        <v/>
      </c>
      <c r="AC935">
        <f>IF($AB935=1,SUM($AB$3:$AB935),"")</f>
        <v/>
      </c>
    </row>
    <row r="936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>
        <f>IFERROR(INDEX(CONFIGURACOES!$G$37:$G$300,MATCH($I936,CONFIGURACOES!$B$37:$B$300,0)),"")</f>
        <v/>
      </c>
      <c r="K936" s="20">
        <f>IFERROR(INDEX(CONFIGURACOES!$H$37:$H$300,MATCH($I936,CONFIGURACOES!$B$37:$B$300,0)),"")</f>
        <v/>
      </c>
      <c r="L936" s="20" t="n"/>
      <c r="M936" s="20">
        <f>IFERROR(INDEX(CONFIGURACOES!$I$37:$I$300,MATCH($I936,CONFIGURACOES!$B$37:$B$300,0)),"")</f>
        <v/>
      </c>
      <c r="N936" s="21" t="n"/>
      <c r="O936" s="21" t="n"/>
      <c r="P936" s="21" t="n"/>
      <c r="Q936" s="21" t="n"/>
      <c r="R936" s="21">
        <f>IF($N936="","",$N936*IF($Q936="",1,$Q936)*IF($P936="",1,$P936)*IF($O936="",1,$O936))</f>
        <v/>
      </c>
      <c r="S936" s="22">
        <f>IFERROR(INDEX(CONFIGURACOES!$J$37:$J$300,MATCH($I936,CONFIGURACOES!$B$37:$B$300,0)),"")</f>
        <v/>
      </c>
      <c r="T936" s="22">
        <f>IF(OR($R936="",$S936=""),"",$R936*$S936)</f>
        <v/>
      </c>
      <c r="U936" s="20" t="n"/>
      <c r="V936" s="20" t="n"/>
      <c r="W936" s="20" t="n"/>
      <c r="X936">
        <f>IF($A936="","",$A936&amp;"|"&amp;$C936&amp;"|"&amp;$I936)</f>
        <v/>
      </c>
      <c r="Y936">
        <f>IF(AND($A936=RELATORIO_MEDICAO!$C$5,$C936=RELATORIO_MEDICAO!$F$5,$A936&lt;&gt;""),COUNTIFS($A$3:$A936,RELATORIO_MEDICAO!$C$5,$C$3:$C936,RELATORIO_MEDICAO!$F$5),"")</f>
        <v/>
      </c>
      <c r="Z936">
        <f>IF(OR($A936="",PESQUISA!$C$4=""),0,IF(OR(ISNUMBER(SEARCH(PESQUISA!$C$4,$G936)),ISNUMBER(SEARCH(PESQUISA!$C$4,$K936)),ISNUMBER(SEARCH(PESQUISA!$C$4,$L936))),1,0))</f>
        <v/>
      </c>
      <c r="AA936">
        <f>IF($Z936=1,SUM($Z$3:$Z936),"")</f>
        <v/>
      </c>
      <c r="AB936">
        <f>IF(OR($A936="",PESQUISA!$C$50=""),0,IF(ISNUMBER(SEARCH(PESQUISA!$C$50,$I936)),1,0))</f>
        <v/>
      </c>
      <c r="AC936">
        <f>IF($AB936=1,SUM($AB$3:$AB936),"")</f>
        <v/>
      </c>
    </row>
    <row r="937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>
        <f>IFERROR(INDEX(CONFIGURACOES!$G$37:$G$300,MATCH($I937,CONFIGURACOES!$B$37:$B$300,0)),"")</f>
        <v/>
      </c>
      <c r="K937" s="20">
        <f>IFERROR(INDEX(CONFIGURACOES!$H$37:$H$300,MATCH($I937,CONFIGURACOES!$B$37:$B$300,0)),"")</f>
        <v/>
      </c>
      <c r="L937" s="20" t="n"/>
      <c r="M937" s="20">
        <f>IFERROR(INDEX(CONFIGURACOES!$I$37:$I$300,MATCH($I937,CONFIGURACOES!$B$37:$B$300,0)),"")</f>
        <v/>
      </c>
      <c r="N937" s="21" t="n"/>
      <c r="O937" s="21" t="n"/>
      <c r="P937" s="21" t="n"/>
      <c r="Q937" s="21" t="n"/>
      <c r="R937" s="21">
        <f>IF($N937="","",$N937*IF($Q937="",1,$Q937)*IF($P937="",1,$P937)*IF($O937="",1,$O937))</f>
        <v/>
      </c>
      <c r="S937" s="22">
        <f>IFERROR(INDEX(CONFIGURACOES!$J$37:$J$300,MATCH($I937,CONFIGURACOES!$B$37:$B$300,0)),"")</f>
        <v/>
      </c>
      <c r="T937" s="22">
        <f>IF(OR($R937="",$S937=""),"",$R937*$S937)</f>
        <v/>
      </c>
      <c r="U937" s="20" t="n"/>
      <c r="V937" s="20" t="n"/>
      <c r="W937" s="20" t="n"/>
      <c r="X937">
        <f>IF($A937="","",$A937&amp;"|"&amp;$C937&amp;"|"&amp;$I937)</f>
        <v/>
      </c>
      <c r="Y937">
        <f>IF(AND($A937=RELATORIO_MEDICAO!$C$5,$C937=RELATORIO_MEDICAO!$F$5,$A937&lt;&gt;""),COUNTIFS($A$3:$A937,RELATORIO_MEDICAO!$C$5,$C$3:$C937,RELATORIO_MEDICAO!$F$5),"")</f>
        <v/>
      </c>
      <c r="Z937">
        <f>IF(OR($A937="",PESQUISA!$C$4=""),0,IF(OR(ISNUMBER(SEARCH(PESQUISA!$C$4,$G937)),ISNUMBER(SEARCH(PESQUISA!$C$4,$K937)),ISNUMBER(SEARCH(PESQUISA!$C$4,$L937))),1,0))</f>
        <v/>
      </c>
      <c r="AA937">
        <f>IF($Z937=1,SUM($Z$3:$Z937),"")</f>
        <v/>
      </c>
      <c r="AB937">
        <f>IF(OR($A937="",PESQUISA!$C$50=""),0,IF(ISNUMBER(SEARCH(PESQUISA!$C$50,$I937)),1,0))</f>
        <v/>
      </c>
      <c r="AC937">
        <f>IF($AB937=1,SUM($AB$3:$AB937),"")</f>
        <v/>
      </c>
    </row>
    <row r="938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>
        <f>IFERROR(INDEX(CONFIGURACOES!$G$37:$G$300,MATCH($I938,CONFIGURACOES!$B$37:$B$300,0)),"")</f>
        <v/>
      </c>
      <c r="K938" s="20">
        <f>IFERROR(INDEX(CONFIGURACOES!$H$37:$H$300,MATCH($I938,CONFIGURACOES!$B$37:$B$300,0)),"")</f>
        <v/>
      </c>
      <c r="L938" s="20" t="n"/>
      <c r="M938" s="20">
        <f>IFERROR(INDEX(CONFIGURACOES!$I$37:$I$300,MATCH($I938,CONFIGURACOES!$B$37:$B$300,0)),"")</f>
        <v/>
      </c>
      <c r="N938" s="21" t="n"/>
      <c r="O938" s="21" t="n"/>
      <c r="P938" s="21" t="n"/>
      <c r="Q938" s="21" t="n"/>
      <c r="R938" s="21">
        <f>IF($N938="","",$N938*IF($Q938="",1,$Q938)*IF($P938="",1,$P938)*IF($O938="",1,$O938))</f>
        <v/>
      </c>
      <c r="S938" s="22">
        <f>IFERROR(INDEX(CONFIGURACOES!$J$37:$J$300,MATCH($I938,CONFIGURACOES!$B$37:$B$300,0)),"")</f>
        <v/>
      </c>
      <c r="T938" s="22">
        <f>IF(OR($R938="",$S938=""),"",$R938*$S938)</f>
        <v/>
      </c>
      <c r="U938" s="20" t="n"/>
      <c r="V938" s="20" t="n"/>
      <c r="W938" s="20" t="n"/>
      <c r="X938">
        <f>IF($A938="","",$A938&amp;"|"&amp;$C938&amp;"|"&amp;$I938)</f>
        <v/>
      </c>
      <c r="Y938">
        <f>IF(AND($A938=RELATORIO_MEDICAO!$C$5,$C938=RELATORIO_MEDICAO!$F$5,$A938&lt;&gt;""),COUNTIFS($A$3:$A938,RELATORIO_MEDICAO!$C$5,$C$3:$C938,RELATORIO_MEDICAO!$F$5),"")</f>
        <v/>
      </c>
      <c r="Z938">
        <f>IF(OR($A938="",PESQUISA!$C$4=""),0,IF(OR(ISNUMBER(SEARCH(PESQUISA!$C$4,$G938)),ISNUMBER(SEARCH(PESQUISA!$C$4,$K938)),ISNUMBER(SEARCH(PESQUISA!$C$4,$L938))),1,0))</f>
        <v/>
      </c>
      <c r="AA938">
        <f>IF($Z938=1,SUM($Z$3:$Z938),"")</f>
        <v/>
      </c>
      <c r="AB938">
        <f>IF(OR($A938="",PESQUISA!$C$50=""),0,IF(ISNUMBER(SEARCH(PESQUISA!$C$50,$I938)),1,0))</f>
        <v/>
      </c>
      <c r="AC938">
        <f>IF($AB938=1,SUM($AB$3:$AB938),"")</f>
        <v/>
      </c>
    </row>
    <row r="939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>
        <f>IFERROR(INDEX(CONFIGURACOES!$G$37:$G$300,MATCH($I939,CONFIGURACOES!$B$37:$B$300,0)),"")</f>
        <v/>
      </c>
      <c r="K939" s="20">
        <f>IFERROR(INDEX(CONFIGURACOES!$H$37:$H$300,MATCH($I939,CONFIGURACOES!$B$37:$B$300,0)),"")</f>
        <v/>
      </c>
      <c r="L939" s="20" t="n"/>
      <c r="M939" s="20">
        <f>IFERROR(INDEX(CONFIGURACOES!$I$37:$I$300,MATCH($I939,CONFIGURACOES!$B$37:$B$300,0)),"")</f>
        <v/>
      </c>
      <c r="N939" s="21" t="n"/>
      <c r="O939" s="21" t="n"/>
      <c r="P939" s="21" t="n"/>
      <c r="Q939" s="21" t="n"/>
      <c r="R939" s="21">
        <f>IF($N939="","",$N939*IF($Q939="",1,$Q939)*IF($P939="",1,$P939)*IF($O939="",1,$O939))</f>
        <v/>
      </c>
      <c r="S939" s="22">
        <f>IFERROR(INDEX(CONFIGURACOES!$J$37:$J$300,MATCH($I939,CONFIGURACOES!$B$37:$B$300,0)),"")</f>
        <v/>
      </c>
      <c r="T939" s="22">
        <f>IF(OR($R939="",$S939=""),"",$R939*$S939)</f>
        <v/>
      </c>
      <c r="U939" s="20" t="n"/>
      <c r="V939" s="20" t="n"/>
      <c r="W939" s="20" t="n"/>
      <c r="X939">
        <f>IF($A939="","",$A939&amp;"|"&amp;$C939&amp;"|"&amp;$I939)</f>
        <v/>
      </c>
      <c r="Y939">
        <f>IF(AND($A939=RELATORIO_MEDICAO!$C$5,$C939=RELATORIO_MEDICAO!$F$5,$A939&lt;&gt;""),COUNTIFS($A$3:$A939,RELATORIO_MEDICAO!$C$5,$C$3:$C939,RELATORIO_MEDICAO!$F$5),"")</f>
        <v/>
      </c>
      <c r="Z939">
        <f>IF(OR($A939="",PESQUISA!$C$4=""),0,IF(OR(ISNUMBER(SEARCH(PESQUISA!$C$4,$G939)),ISNUMBER(SEARCH(PESQUISA!$C$4,$K939)),ISNUMBER(SEARCH(PESQUISA!$C$4,$L939))),1,0))</f>
        <v/>
      </c>
      <c r="AA939">
        <f>IF($Z939=1,SUM($Z$3:$Z939),"")</f>
        <v/>
      </c>
      <c r="AB939">
        <f>IF(OR($A939="",PESQUISA!$C$50=""),0,IF(ISNUMBER(SEARCH(PESQUISA!$C$50,$I939)),1,0))</f>
        <v/>
      </c>
      <c r="AC939">
        <f>IF($AB939=1,SUM($AB$3:$AB939),"")</f>
        <v/>
      </c>
    </row>
    <row r="940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>
        <f>IFERROR(INDEX(CONFIGURACOES!$G$37:$G$300,MATCH($I940,CONFIGURACOES!$B$37:$B$300,0)),"")</f>
        <v/>
      </c>
      <c r="K940" s="20">
        <f>IFERROR(INDEX(CONFIGURACOES!$H$37:$H$300,MATCH($I940,CONFIGURACOES!$B$37:$B$300,0)),"")</f>
        <v/>
      </c>
      <c r="L940" s="20" t="n"/>
      <c r="M940" s="20">
        <f>IFERROR(INDEX(CONFIGURACOES!$I$37:$I$300,MATCH($I940,CONFIGURACOES!$B$37:$B$300,0)),"")</f>
        <v/>
      </c>
      <c r="N940" s="21" t="n"/>
      <c r="O940" s="21" t="n"/>
      <c r="P940" s="21" t="n"/>
      <c r="Q940" s="21" t="n"/>
      <c r="R940" s="21">
        <f>IF($N940="","",$N940*IF($Q940="",1,$Q940)*IF($P940="",1,$P940)*IF($O940="",1,$O940))</f>
        <v/>
      </c>
      <c r="S940" s="22">
        <f>IFERROR(INDEX(CONFIGURACOES!$J$37:$J$300,MATCH($I940,CONFIGURACOES!$B$37:$B$300,0)),"")</f>
        <v/>
      </c>
      <c r="T940" s="22">
        <f>IF(OR($R940="",$S940=""),"",$R940*$S940)</f>
        <v/>
      </c>
      <c r="U940" s="20" t="n"/>
      <c r="V940" s="20" t="n"/>
      <c r="W940" s="20" t="n"/>
      <c r="X940">
        <f>IF($A940="","",$A940&amp;"|"&amp;$C940&amp;"|"&amp;$I940)</f>
        <v/>
      </c>
      <c r="Y940">
        <f>IF(AND($A940=RELATORIO_MEDICAO!$C$5,$C940=RELATORIO_MEDICAO!$F$5,$A940&lt;&gt;""),COUNTIFS($A$3:$A940,RELATORIO_MEDICAO!$C$5,$C$3:$C940,RELATORIO_MEDICAO!$F$5),"")</f>
        <v/>
      </c>
      <c r="Z940">
        <f>IF(OR($A940="",PESQUISA!$C$4=""),0,IF(OR(ISNUMBER(SEARCH(PESQUISA!$C$4,$G940)),ISNUMBER(SEARCH(PESQUISA!$C$4,$K940)),ISNUMBER(SEARCH(PESQUISA!$C$4,$L940))),1,0))</f>
        <v/>
      </c>
      <c r="AA940">
        <f>IF($Z940=1,SUM($Z$3:$Z940),"")</f>
        <v/>
      </c>
      <c r="AB940">
        <f>IF(OR($A940="",PESQUISA!$C$50=""),0,IF(ISNUMBER(SEARCH(PESQUISA!$C$50,$I940)),1,0))</f>
        <v/>
      </c>
      <c r="AC940">
        <f>IF($AB940=1,SUM($AB$3:$AB940),"")</f>
        <v/>
      </c>
    </row>
    <row r="941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>
        <f>IFERROR(INDEX(CONFIGURACOES!$G$37:$G$300,MATCH($I941,CONFIGURACOES!$B$37:$B$300,0)),"")</f>
        <v/>
      </c>
      <c r="K941" s="20">
        <f>IFERROR(INDEX(CONFIGURACOES!$H$37:$H$300,MATCH($I941,CONFIGURACOES!$B$37:$B$300,0)),"")</f>
        <v/>
      </c>
      <c r="L941" s="20" t="n"/>
      <c r="M941" s="20">
        <f>IFERROR(INDEX(CONFIGURACOES!$I$37:$I$300,MATCH($I941,CONFIGURACOES!$B$37:$B$300,0)),"")</f>
        <v/>
      </c>
      <c r="N941" s="21" t="n"/>
      <c r="O941" s="21" t="n"/>
      <c r="P941" s="21" t="n"/>
      <c r="Q941" s="21" t="n"/>
      <c r="R941" s="21">
        <f>IF($N941="","",$N941*IF($Q941="",1,$Q941)*IF($P941="",1,$P941)*IF($O941="",1,$O941))</f>
        <v/>
      </c>
      <c r="S941" s="22">
        <f>IFERROR(INDEX(CONFIGURACOES!$J$37:$J$300,MATCH($I941,CONFIGURACOES!$B$37:$B$300,0)),"")</f>
        <v/>
      </c>
      <c r="T941" s="22">
        <f>IF(OR($R941="",$S941=""),"",$R941*$S941)</f>
        <v/>
      </c>
      <c r="U941" s="20" t="n"/>
      <c r="V941" s="20" t="n"/>
      <c r="W941" s="20" t="n"/>
      <c r="X941">
        <f>IF($A941="","",$A941&amp;"|"&amp;$C941&amp;"|"&amp;$I941)</f>
        <v/>
      </c>
      <c r="Y941">
        <f>IF(AND($A941=RELATORIO_MEDICAO!$C$5,$C941=RELATORIO_MEDICAO!$F$5,$A941&lt;&gt;""),COUNTIFS($A$3:$A941,RELATORIO_MEDICAO!$C$5,$C$3:$C941,RELATORIO_MEDICAO!$F$5),"")</f>
        <v/>
      </c>
      <c r="Z941">
        <f>IF(OR($A941="",PESQUISA!$C$4=""),0,IF(OR(ISNUMBER(SEARCH(PESQUISA!$C$4,$G941)),ISNUMBER(SEARCH(PESQUISA!$C$4,$K941)),ISNUMBER(SEARCH(PESQUISA!$C$4,$L941))),1,0))</f>
        <v/>
      </c>
      <c r="AA941">
        <f>IF($Z941=1,SUM($Z$3:$Z941),"")</f>
        <v/>
      </c>
      <c r="AB941">
        <f>IF(OR($A941="",PESQUISA!$C$50=""),0,IF(ISNUMBER(SEARCH(PESQUISA!$C$50,$I941)),1,0))</f>
        <v/>
      </c>
      <c r="AC941">
        <f>IF($AB941=1,SUM($AB$3:$AB941),"")</f>
        <v/>
      </c>
    </row>
    <row r="942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>
        <f>IFERROR(INDEX(CONFIGURACOES!$G$37:$G$300,MATCH($I942,CONFIGURACOES!$B$37:$B$300,0)),"")</f>
        <v/>
      </c>
      <c r="K942" s="20">
        <f>IFERROR(INDEX(CONFIGURACOES!$H$37:$H$300,MATCH($I942,CONFIGURACOES!$B$37:$B$300,0)),"")</f>
        <v/>
      </c>
      <c r="L942" s="20" t="n"/>
      <c r="M942" s="20">
        <f>IFERROR(INDEX(CONFIGURACOES!$I$37:$I$300,MATCH($I942,CONFIGURACOES!$B$37:$B$300,0)),"")</f>
        <v/>
      </c>
      <c r="N942" s="21" t="n"/>
      <c r="O942" s="21" t="n"/>
      <c r="P942" s="21" t="n"/>
      <c r="Q942" s="21" t="n"/>
      <c r="R942" s="21">
        <f>IF($N942="","",$N942*IF($Q942="",1,$Q942)*IF($P942="",1,$P942)*IF($O942="",1,$O942))</f>
        <v/>
      </c>
      <c r="S942" s="22">
        <f>IFERROR(INDEX(CONFIGURACOES!$J$37:$J$300,MATCH($I942,CONFIGURACOES!$B$37:$B$300,0)),"")</f>
        <v/>
      </c>
      <c r="T942" s="22">
        <f>IF(OR($R942="",$S942=""),"",$R942*$S942)</f>
        <v/>
      </c>
      <c r="U942" s="20" t="n"/>
      <c r="V942" s="20" t="n"/>
      <c r="W942" s="20" t="n"/>
      <c r="X942">
        <f>IF($A942="","",$A942&amp;"|"&amp;$C942&amp;"|"&amp;$I942)</f>
        <v/>
      </c>
      <c r="Y942">
        <f>IF(AND($A942=RELATORIO_MEDICAO!$C$5,$C942=RELATORIO_MEDICAO!$F$5,$A942&lt;&gt;""),COUNTIFS($A$3:$A942,RELATORIO_MEDICAO!$C$5,$C$3:$C942,RELATORIO_MEDICAO!$F$5),"")</f>
        <v/>
      </c>
      <c r="Z942">
        <f>IF(OR($A942="",PESQUISA!$C$4=""),0,IF(OR(ISNUMBER(SEARCH(PESQUISA!$C$4,$G942)),ISNUMBER(SEARCH(PESQUISA!$C$4,$K942)),ISNUMBER(SEARCH(PESQUISA!$C$4,$L942))),1,0))</f>
        <v/>
      </c>
      <c r="AA942">
        <f>IF($Z942=1,SUM($Z$3:$Z942),"")</f>
        <v/>
      </c>
      <c r="AB942">
        <f>IF(OR($A942="",PESQUISA!$C$50=""),0,IF(ISNUMBER(SEARCH(PESQUISA!$C$50,$I942)),1,0))</f>
        <v/>
      </c>
      <c r="AC942">
        <f>IF($AB942=1,SUM($AB$3:$AB942),"")</f>
        <v/>
      </c>
    </row>
    <row r="943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>
        <f>IFERROR(INDEX(CONFIGURACOES!$G$37:$G$300,MATCH($I943,CONFIGURACOES!$B$37:$B$300,0)),"")</f>
        <v/>
      </c>
      <c r="K943" s="20">
        <f>IFERROR(INDEX(CONFIGURACOES!$H$37:$H$300,MATCH($I943,CONFIGURACOES!$B$37:$B$300,0)),"")</f>
        <v/>
      </c>
      <c r="L943" s="20" t="n"/>
      <c r="M943" s="20">
        <f>IFERROR(INDEX(CONFIGURACOES!$I$37:$I$300,MATCH($I943,CONFIGURACOES!$B$37:$B$300,0)),"")</f>
        <v/>
      </c>
      <c r="N943" s="21" t="n"/>
      <c r="O943" s="21" t="n"/>
      <c r="P943" s="21" t="n"/>
      <c r="Q943" s="21" t="n"/>
      <c r="R943" s="21">
        <f>IF($N943="","",$N943*IF($Q943="",1,$Q943)*IF($P943="",1,$P943)*IF($O943="",1,$O943))</f>
        <v/>
      </c>
      <c r="S943" s="22">
        <f>IFERROR(INDEX(CONFIGURACOES!$J$37:$J$300,MATCH($I943,CONFIGURACOES!$B$37:$B$300,0)),"")</f>
        <v/>
      </c>
      <c r="T943" s="22">
        <f>IF(OR($R943="",$S943=""),"",$R943*$S943)</f>
        <v/>
      </c>
      <c r="U943" s="20" t="n"/>
      <c r="V943" s="20" t="n"/>
      <c r="W943" s="20" t="n"/>
      <c r="X943">
        <f>IF($A943="","",$A943&amp;"|"&amp;$C943&amp;"|"&amp;$I943)</f>
        <v/>
      </c>
      <c r="Y943">
        <f>IF(AND($A943=RELATORIO_MEDICAO!$C$5,$C943=RELATORIO_MEDICAO!$F$5,$A943&lt;&gt;""),COUNTIFS($A$3:$A943,RELATORIO_MEDICAO!$C$5,$C$3:$C943,RELATORIO_MEDICAO!$F$5),"")</f>
        <v/>
      </c>
      <c r="Z943">
        <f>IF(OR($A943="",PESQUISA!$C$4=""),0,IF(OR(ISNUMBER(SEARCH(PESQUISA!$C$4,$G943)),ISNUMBER(SEARCH(PESQUISA!$C$4,$K943)),ISNUMBER(SEARCH(PESQUISA!$C$4,$L943))),1,0))</f>
        <v/>
      </c>
      <c r="AA943">
        <f>IF($Z943=1,SUM($Z$3:$Z943),"")</f>
        <v/>
      </c>
      <c r="AB943">
        <f>IF(OR($A943="",PESQUISA!$C$50=""),0,IF(ISNUMBER(SEARCH(PESQUISA!$C$50,$I943)),1,0))</f>
        <v/>
      </c>
      <c r="AC943">
        <f>IF($AB943=1,SUM($AB$3:$AB943),"")</f>
        <v/>
      </c>
    </row>
    <row r="944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>
        <f>IFERROR(INDEX(CONFIGURACOES!$G$37:$G$300,MATCH($I944,CONFIGURACOES!$B$37:$B$300,0)),"")</f>
        <v/>
      </c>
      <c r="K944" s="20">
        <f>IFERROR(INDEX(CONFIGURACOES!$H$37:$H$300,MATCH($I944,CONFIGURACOES!$B$37:$B$300,0)),"")</f>
        <v/>
      </c>
      <c r="L944" s="20" t="n"/>
      <c r="M944" s="20">
        <f>IFERROR(INDEX(CONFIGURACOES!$I$37:$I$300,MATCH($I944,CONFIGURACOES!$B$37:$B$300,0)),"")</f>
        <v/>
      </c>
      <c r="N944" s="21" t="n"/>
      <c r="O944" s="21" t="n"/>
      <c r="P944" s="21" t="n"/>
      <c r="Q944" s="21" t="n"/>
      <c r="R944" s="21">
        <f>IF($N944="","",$N944*IF($Q944="",1,$Q944)*IF($P944="",1,$P944)*IF($O944="",1,$O944))</f>
        <v/>
      </c>
      <c r="S944" s="22">
        <f>IFERROR(INDEX(CONFIGURACOES!$J$37:$J$300,MATCH($I944,CONFIGURACOES!$B$37:$B$300,0)),"")</f>
        <v/>
      </c>
      <c r="T944" s="22">
        <f>IF(OR($R944="",$S944=""),"",$R944*$S944)</f>
        <v/>
      </c>
      <c r="U944" s="20" t="n"/>
      <c r="V944" s="20" t="n"/>
      <c r="W944" s="20" t="n"/>
      <c r="X944">
        <f>IF($A944="","",$A944&amp;"|"&amp;$C944&amp;"|"&amp;$I944)</f>
        <v/>
      </c>
      <c r="Y944">
        <f>IF(AND($A944=RELATORIO_MEDICAO!$C$5,$C944=RELATORIO_MEDICAO!$F$5,$A944&lt;&gt;""),COUNTIFS($A$3:$A944,RELATORIO_MEDICAO!$C$5,$C$3:$C944,RELATORIO_MEDICAO!$F$5),"")</f>
        <v/>
      </c>
      <c r="Z944">
        <f>IF(OR($A944="",PESQUISA!$C$4=""),0,IF(OR(ISNUMBER(SEARCH(PESQUISA!$C$4,$G944)),ISNUMBER(SEARCH(PESQUISA!$C$4,$K944)),ISNUMBER(SEARCH(PESQUISA!$C$4,$L944))),1,0))</f>
        <v/>
      </c>
      <c r="AA944">
        <f>IF($Z944=1,SUM($Z$3:$Z944),"")</f>
        <v/>
      </c>
      <c r="AB944">
        <f>IF(OR($A944="",PESQUISA!$C$50=""),0,IF(ISNUMBER(SEARCH(PESQUISA!$C$50,$I944)),1,0))</f>
        <v/>
      </c>
      <c r="AC944">
        <f>IF($AB944=1,SUM($AB$3:$AB944),"")</f>
        <v/>
      </c>
    </row>
    <row r="945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>
        <f>IFERROR(INDEX(CONFIGURACOES!$G$37:$G$300,MATCH($I945,CONFIGURACOES!$B$37:$B$300,0)),"")</f>
        <v/>
      </c>
      <c r="K945" s="20">
        <f>IFERROR(INDEX(CONFIGURACOES!$H$37:$H$300,MATCH($I945,CONFIGURACOES!$B$37:$B$300,0)),"")</f>
        <v/>
      </c>
      <c r="L945" s="20" t="n"/>
      <c r="M945" s="20">
        <f>IFERROR(INDEX(CONFIGURACOES!$I$37:$I$300,MATCH($I945,CONFIGURACOES!$B$37:$B$300,0)),"")</f>
        <v/>
      </c>
      <c r="N945" s="21" t="n"/>
      <c r="O945" s="21" t="n"/>
      <c r="P945" s="21" t="n"/>
      <c r="Q945" s="21" t="n"/>
      <c r="R945" s="21">
        <f>IF($N945="","",$N945*IF($Q945="",1,$Q945)*IF($P945="",1,$P945)*IF($O945="",1,$O945))</f>
        <v/>
      </c>
      <c r="S945" s="22">
        <f>IFERROR(INDEX(CONFIGURACOES!$J$37:$J$300,MATCH($I945,CONFIGURACOES!$B$37:$B$300,0)),"")</f>
        <v/>
      </c>
      <c r="T945" s="22">
        <f>IF(OR($R945="",$S945=""),"",$R945*$S945)</f>
        <v/>
      </c>
      <c r="U945" s="20" t="n"/>
      <c r="V945" s="20" t="n"/>
      <c r="W945" s="20" t="n"/>
      <c r="X945">
        <f>IF($A945="","",$A945&amp;"|"&amp;$C945&amp;"|"&amp;$I945)</f>
        <v/>
      </c>
      <c r="Y945">
        <f>IF(AND($A945=RELATORIO_MEDICAO!$C$5,$C945=RELATORIO_MEDICAO!$F$5,$A945&lt;&gt;""),COUNTIFS($A$3:$A945,RELATORIO_MEDICAO!$C$5,$C$3:$C945,RELATORIO_MEDICAO!$F$5),"")</f>
        <v/>
      </c>
      <c r="Z945">
        <f>IF(OR($A945="",PESQUISA!$C$4=""),0,IF(OR(ISNUMBER(SEARCH(PESQUISA!$C$4,$G945)),ISNUMBER(SEARCH(PESQUISA!$C$4,$K945)),ISNUMBER(SEARCH(PESQUISA!$C$4,$L945))),1,0))</f>
        <v/>
      </c>
      <c r="AA945">
        <f>IF($Z945=1,SUM($Z$3:$Z945),"")</f>
        <v/>
      </c>
      <c r="AB945">
        <f>IF(OR($A945="",PESQUISA!$C$50=""),0,IF(ISNUMBER(SEARCH(PESQUISA!$C$50,$I945)),1,0))</f>
        <v/>
      </c>
      <c r="AC945">
        <f>IF($AB945=1,SUM($AB$3:$AB945),"")</f>
        <v/>
      </c>
    </row>
    <row r="946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>
        <f>IFERROR(INDEX(CONFIGURACOES!$G$37:$G$300,MATCH($I946,CONFIGURACOES!$B$37:$B$300,0)),"")</f>
        <v/>
      </c>
      <c r="K946" s="20">
        <f>IFERROR(INDEX(CONFIGURACOES!$H$37:$H$300,MATCH($I946,CONFIGURACOES!$B$37:$B$300,0)),"")</f>
        <v/>
      </c>
      <c r="L946" s="20" t="n"/>
      <c r="M946" s="20">
        <f>IFERROR(INDEX(CONFIGURACOES!$I$37:$I$300,MATCH($I946,CONFIGURACOES!$B$37:$B$300,0)),"")</f>
        <v/>
      </c>
      <c r="N946" s="21" t="n"/>
      <c r="O946" s="21" t="n"/>
      <c r="P946" s="21" t="n"/>
      <c r="Q946" s="21" t="n"/>
      <c r="R946" s="21">
        <f>IF($N946="","",$N946*IF($Q946="",1,$Q946)*IF($P946="",1,$P946)*IF($O946="",1,$O946))</f>
        <v/>
      </c>
      <c r="S946" s="22">
        <f>IFERROR(INDEX(CONFIGURACOES!$J$37:$J$300,MATCH($I946,CONFIGURACOES!$B$37:$B$300,0)),"")</f>
        <v/>
      </c>
      <c r="T946" s="22">
        <f>IF(OR($R946="",$S946=""),"",$R946*$S946)</f>
        <v/>
      </c>
      <c r="U946" s="20" t="n"/>
      <c r="V946" s="20" t="n"/>
      <c r="W946" s="20" t="n"/>
      <c r="X946">
        <f>IF($A946="","",$A946&amp;"|"&amp;$C946&amp;"|"&amp;$I946)</f>
        <v/>
      </c>
      <c r="Y946">
        <f>IF(AND($A946=RELATORIO_MEDICAO!$C$5,$C946=RELATORIO_MEDICAO!$F$5,$A946&lt;&gt;""),COUNTIFS($A$3:$A946,RELATORIO_MEDICAO!$C$5,$C$3:$C946,RELATORIO_MEDICAO!$F$5),"")</f>
        <v/>
      </c>
      <c r="Z946">
        <f>IF(OR($A946="",PESQUISA!$C$4=""),0,IF(OR(ISNUMBER(SEARCH(PESQUISA!$C$4,$G946)),ISNUMBER(SEARCH(PESQUISA!$C$4,$K946)),ISNUMBER(SEARCH(PESQUISA!$C$4,$L946))),1,0))</f>
        <v/>
      </c>
      <c r="AA946">
        <f>IF($Z946=1,SUM($Z$3:$Z946),"")</f>
        <v/>
      </c>
      <c r="AB946">
        <f>IF(OR($A946="",PESQUISA!$C$50=""),0,IF(ISNUMBER(SEARCH(PESQUISA!$C$50,$I946)),1,0))</f>
        <v/>
      </c>
      <c r="AC946">
        <f>IF($AB946=1,SUM($AB$3:$AB946),"")</f>
        <v/>
      </c>
    </row>
    <row r="947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>
        <f>IFERROR(INDEX(CONFIGURACOES!$G$37:$G$300,MATCH($I947,CONFIGURACOES!$B$37:$B$300,0)),"")</f>
        <v/>
      </c>
      <c r="K947" s="20">
        <f>IFERROR(INDEX(CONFIGURACOES!$H$37:$H$300,MATCH($I947,CONFIGURACOES!$B$37:$B$300,0)),"")</f>
        <v/>
      </c>
      <c r="L947" s="20" t="n"/>
      <c r="M947" s="20">
        <f>IFERROR(INDEX(CONFIGURACOES!$I$37:$I$300,MATCH($I947,CONFIGURACOES!$B$37:$B$300,0)),"")</f>
        <v/>
      </c>
      <c r="N947" s="21" t="n"/>
      <c r="O947" s="21" t="n"/>
      <c r="P947" s="21" t="n"/>
      <c r="Q947" s="21" t="n"/>
      <c r="R947" s="21">
        <f>IF($N947="","",$N947*IF($Q947="",1,$Q947)*IF($P947="",1,$P947)*IF($O947="",1,$O947))</f>
        <v/>
      </c>
      <c r="S947" s="22">
        <f>IFERROR(INDEX(CONFIGURACOES!$J$37:$J$300,MATCH($I947,CONFIGURACOES!$B$37:$B$300,0)),"")</f>
        <v/>
      </c>
      <c r="T947" s="22">
        <f>IF(OR($R947="",$S947=""),"",$R947*$S947)</f>
        <v/>
      </c>
      <c r="U947" s="20" t="n"/>
      <c r="V947" s="20" t="n"/>
      <c r="W947" s="20" t="n"/>
      <c r="X947">
        <f>IF($A947="","",$A947&amp;"|"&amp;$C947&amp;"|"&amp;$I947)</f>
        <v/>
      </c>
      <c r="Y947">
        <f>IF(AND($A947=RELATORIO_MEDICAO!$C$5,$C947=RELATORIO_MEDICAO!$F$5,$A947&lt;&gt;""),COUNTIFS($A$3:$A947,RELATORIO_MEDICAO!$C$5,$C$3:$C947,RELATORIO_MEDICAO!$F$5),"")</f>
        <v/>
      </c>
      <c r="Z947">
        <f>IF(OR($A947="",PESQUISA!$C$4=""),0,IF(OR(ISNUMBER(SEARCH(PESQUISA!$C$4,$G947)),ISNUMBER(SEARCH(PESQUISA!$C$4,$K947)),ISNUMBER(SEARCH(PESQUISA!$C$4,$L947))),1,0))</f>
        <v/>
      </c>
      <c r="AA947">
        <f>IF($Z947=1,SUM($Z$3:$Z947),"")</f>
        <v/>
      </c>
      <c r="AB947">
        <f>IF(OR($A947="",PESQUISA!$C$50=""),0,IF(ISNUMBER(SEARCH(PESQUISA!$C$50,$I947)),1,0))</f>
        <v/>
      </c>
      <c r="AC947">
        <f>IF($AB947=1,SUM($AB$3:$AB947),"")</f>
        <v/>
      </c>
    </row>
    <row r="948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>
        <f>IFERROR(INDEX(CONFIGURACOES!$G$37:$G$300,MATCH($I948,CONFIGURACOES!$B$37:$B$300,0)),"")</f>
        <v/>
      </c>
      <c r="K948" s="20">
        <f>IFERROR(INDEX(CONFIGURACOES!$H$37:$H$300,MATCH($I948,CONFIGURACOES!$B$37:$B$300,0)),"")</f>
        <v/>
      </c>
      <c r="L948" s="20" t="n"/>
      <c r="M948" s="20">
        <f>IFERROR(INDEX(CONFIGURACOES!$I$37:$I$300,MATCH($I948,CONFIGURACOES!$B$37:$B$300,0)),"")</f>
        <v/>
      </c>
      <c r="N948" s="21" t="n"/>
      <c r="O948" s="21" t="n"/>
      <c r="P948" s="21" t="n"/>
      <c r="Q948" s="21" t="n"/>
      <c r="R948" s="21">
        <f>IF($N948="","",$N948*IF($Q948="",1,$Q948)*IF($P948="",1,$P948)*IF($O948="",1,$O948))</f>
        <v/>
      </c>
      <c r="S948" s="22">
        <f>IFERROR(INDEX(CONFIGURACOES!$J$37:$J$300,MATCH($I948,CONFIGURACOES!$B$37:$B$300,0)),"")</f>
        <v/>
      </c>
      <c r="T948" s="22">
        <f>IF(OR($R948="",$S948=""),"",$R948*$S948)</f>
        <v/>
      </c>
      <c r="U948" s="20" t="n"/>
      <c r="V948" s="20" t="n"/>
      <c r="W948" s="20" t="n"/>
      <c r="X948">
        <f>IF($A948="","",$A948&amp;"|"&amp;$C948&amp;"|"&amp;$I948)</f>
        <v/>
      </c>
      <c r="Y948">
        <f>IF(AND($A948=RELATORIO_MEDICAO!$C$5,$C948=RELATORIO_MEDICAO!$F$5,$A948&lt;&gt;""),COUNTIFS($A$3:$A948,RELATORIO_MEDICAO!$C$5,$C$3:$C948,RELATORIO_MEDICAO!$F$5),"")</f>
        <v/>
      </c>
      <c r="Z948">
        <f>IF(OR($A948="",PESQUISA!$C$4=""),0,IF(OR(ISNUMBER(SEARCH(PESQUISA!$C$4,$G948)),ISNUMBER(SEARCH(PESQUISA!$C$4,$K948)),ISNUMBER(SEARCH(PESQUISA!$C$4,$L948))),1,0))</f>
        <v/>
      </c>
      <c r="AA948">
        <f>IF($Z948=1,SUM($Z$3:$Z948),"")</f>
        <v/>
      </c>
      <c r="AB948">
        <f>IF(OR($A948="",PESQUISA!$C$50=""),0,IF(ISNUMBER(SEARCH(PESQUISA!$C$50,$I948)),1,0))</f>
        <v/>
      </c>
      <c r="AC948">
        <f>IF($AB948=1,SUM($AB$3:$AB948),"")</f>
        <v/>
      </c>
    </row>
    <row r="949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>
        <f>IFERROR(INDEX(CONFIGURACOES!$G$37:$G$300,MATCH($I949,CONFIGURACOES!$B$37:$B$300,0)),"")</f>
        <v/>
      </c>
      <c r="K949" s="20">
        <f>IFERROR(INDEX(CONFIGURACOES!$H$37:$H$300,MATCH($I949,CONFIGURACOES!$B$37:$B$300,0)),"")</f>
        <v/>
      </c>
      <c r="L949" s="20" t="n"/>
      <c r="M949" s="20">
        <f>IFERROR(INDEX(CONFIGURACOES!$I$37:$I$300,MATCH($I949,CONFIGURACOES!$B$37:$B$300,0)),"")</f>
        <v/>
      </c>
      <c r="N949" s="21" t="n"/>
      <c r="O949" s="21" t="n"/>
      <c r="P949" s="21" t="n"/>
      <c r="Q949" s="21" t="n"/>
      <c r="R949" s="21">
        <f>IF($N949="","",$N949*IF($Q949="",1,$Q949)*IF($P949="",1,$P949)*IF($O949="",1,$O949))</f>
        <v/>
      </c>
      <c r="S949" s="22">
        <f>IFERROR(INDEX(CONFIGURACOES!$J$37:$J$300,MATCH($I949,CONFIGURACOES!$B$37:$B$300,0)),"")</f>
        <v/>
      </c>
      <c r="T949" s="22">
        <f>IF(OR($R949="",$S949=""),"",$R949*$S949)</f>
        <v/>
      </c>
      <c r="U949" s="20" t="n"/>
      <c r="V949" s="20" t="n"/>
      <c r="W949" s="20" t="n"/>
      <c r="X949">
        <f>IF($A949="","",$A949&amp;"|"&amp;$C949&amp;"|"&amp;$I949)</f>
        <v/>
      </c>
      <c r="Y949">
        <f>IF(AND($A949=RELATORIO_MEDICAO!$C$5,$C949=RELATORIO_MEDICAO!$F$5,$A949&lt;&gt;""),COUNTIFS($A$3:$A949,RELATORIO_MEDICAO!$C$5,$C$3:$C949,RELATORIO_MEDICAO!$F$5),"")</f>
        <v/>
      </c>
      <c r="Z949">
        <f>IF(OR($A949="",PESQUISA!$C$4=""),0,IF(OR(ISNUMBER(SEARCH(PESQUISA!$C$4,$G949)),ISNUMBER(SEARCH(PESQUISA!$C$4,$K949)),ISNUMBER(SEARCH(PESQUISA!$C$4,$L949))),1,0))</f>
        <v/>
      </c>
      <c r="AA949">
        <f>IF($Z949=1,SUM($Z$3:$Z949),"")</f>
        <v/>
      </c>
      <c r="AB949">
        <f>IF(OR($A949="",PESQUISA!$C$50=""),0,IF(ISNUMBER(SEARCH(PESQUISA!$C$50,$I949)),1,0))</f>
        <v/>
      </c>
      <c r="AC949">
        <f>IF($AB949=1,SUM($AB$3:$AB949),"")</f>
        <v/>
      </c>
    </row>
    <row r="950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>
        <f>IFERROR(INDEX(CONFIGURACOES!$G$37:$G$300,MATCH($I950,CONFIGURACOES!$B$37:$B$300,0)),"")</f>
        <v/>
      </c>
      <c r="K950" s="20">
        <f>IFERROR(INDEX(CONFIGURACOES!$H$37:$H$300,MATCH($I950,CONFIGURACOES!$B$37:$B$300,0)),"")</f>
        <v/>
      </c>
      <c r="L950" s="20" t="n"/>
      <c r="M950" s="20">
        <f>IFERROR(INDEX(CONFIGURACOES!$I$37:$I$300,MATCH($I950,CONFIGURACOES!$B$37:$B$300,0)),"")</f>
        <v/>
      </c>
      <c r="N950" s="21" t="n"/>
      <c r="O950" s="21" t="n"/>
      <c r="P950" s="21" t="n"/>
      <c r="Q950" s="21" t="n"/>
      <c r="R950" s="21">
        <f>IF($N950="","",$N950*IF($Q950="",1,$Q950)*IF($P950="",1,$P950)*IF($O950="",1,$O950))</f>
        <v/>
      </c>
      <c r="S950" s="22">
        <f>IFERROR(INDEX(CONFIGURACOES!$J$37:$J$300,MATCH($I950,CONFIGURACOES!$B$37:$B$300,0)),"")</f>
        <v/>
      </c>
      <c r="T950" s="22">
        <f>IF(OR($R950="",$S950=""),"",$R950*$S950)</f>
        <v/>
      </c>
      <c r="U950" s="20" t="n"/>
      <c r="V950" s="20" t="n"/>
      <c r="W950" s="20" t="n"/>
      <c r="X950">
        <f>IF($A950="","",$A950&amp;"|"&amp;$C950&amp;"|"&amp;$I950)</f>
        <v/>
      </c>
      <c r="Y950">
        <f>IF(AND($A950=RELATORIO_MEDICAO!$C$5,$C950=RELATORIO_MEDICAO!$F$5,$A950&lt;&gt;""),COUNTIFS($A$3:$A950,RELATORIO_MEDICAO!$C$5,$C$3:$C950,RELATORIO_MEDICAO!$F$5),"")</f>
        <v/>
      </c>
      <c r="Z950">
        <f>IF(OR($A950="",PESQUISA!$C$4=""),0,IF(OR(ISNUMBER(SEARCH(PESQUISA!$C$4,$G950)),ISNUMBER(SEARCH(PESQUISA!$C$4,$K950)),ISNUMBER(SEARCH(PESQUISA!$C$4,$L950))),1,0))</f>
        <v/>
      </c>
      <c r="AA950">
        <f>IF($Z950=1,SUM($Z$3:$Z950),"")</f>
        <v/>
      </c>
      <c r="AB950">
        <f>IF(OR($A950="",PESQUISA!$C$50=""),0,IF(ISNUMBER(SEARCH(PESQUISA!$C$50,$I950)),1,0))</f>
        <v/>
      </c>
      <c r="AC950">
        <f>IF($AB950=1,SUM($AB$3:$AB950),"")</f>
        <v/>
      </c>
    </row>
    <row r="951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>
        <f>IFERROR(INDEX(CONFIGURACOES!$G$37:$G$300,MATCH($I951,CONFIGURACOES!$B$37:$B$300,0)),"")</f>
        <v/>
      </c>
      <c r="K951" s="20">
        <f>IFERROR(INDEX(CONFIGURACOES!$H$37:$H$300,MATCH($I951,CONFIGURACOES!$B$37:$B$300,0)),"")</f>
        <v/>
      </c>
      <c r="L951" s="20" t="n"/>
      <c r="M951" s="20">
        <f>IFERROR(INDEX(CONFIGURACOES!$I$37:$I$300,MATCH($I951,CONFIGURACOES!$B$37:$B$300,0)),"")</f>
        <v/>
      </c>
      <c r="N951" s="21" t="n"/>
      <c r="O951" s="21" t="n"/>
      <c r="P951" s="21" t="n"/>
      <c r="Q951" s="21" t="n"/>
      <c r="R951" s="21">
        <f>IF($N951="","",$N951*IF($Q951="",1,$Q951)*IF($P951="",1,$P951)*IF($O951="",1,$O951))</f>
        <v/>
      </c>
      <c r="S951" s="22">
        <f>IFERROR(INDEX(CONFIGURACOES!$J$37:$J$300,MATCH($I951,CONFIGURACOES!$B$37:$B$300,0)),"")</f>
        <v/>
      </c>
      <c r="T951" s="22">
        <f>IF(OR($R951="",$S951=""),"",$R951*$S951)</f>
        <v/>
      </c>
      <c r="U951" s="20" t="n"/>
      <c r="V951" s="20" t="n"/>
      <c r="W951" s="20" t="n"/>
      <c r="X951">
        <f>IF($A951="","",$A951&amp;"|"&amp;$C951&amp;"|"&amp;$I951)</f>
        <v/>
      </c>
      <c r="Y951">
        <f>IF(AND($A951=RELATORIO_MEDICAO!$C$5,$C951=RELATORIO_MEDICAO!$F$5,$A951&lt;&gt;""),COUNTIFS($A$3:$A951,RELATORIO_MEDICAO!$C$5,$C$3:$C951,RELATORIO_MEDICAO!$F$5),"")</f>
        <v/>
      </c>
      <c r="Z951">
        <f>IF(OR($A951="",PESQUISA!$C$4=""),0,IF(OR(ISNUMBER(SEARCH(PESQUISA!$C$4,$G951)),ISNUMBER(SEARCH(PESQUISA!$C$4,$K951)),ISNUMBER(SEARCH(PESQUISA!$C$4,$L951))),1,0))</f>
        <v/>
      </c>
      <c r="AA951">
        <f>IF($Z951=1,SUM($Z$3:$Z951),"")</f>
        <v/>
      </c>
      <c r="AB951">
        <f>IF(OR($A951="",PESQUISA!$C$50=""),0,IF(ISNUMBER(SEARCH(PESQUISA!$C$50,$I951)),1,0))</f>
        <v/>
      </c>
      <c r="AC951">
        <f>IF($AB951=1,SUM($AB$3:$AB951),"")</f>
        <v/>
      </c>
    </row>
    <row r="952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>
        <f>IFERROR(INDEX(CONFIGURACOES!$G$37:$G$300,MATCH($I952,CONFIGURACOES!$B$37:$B$300,0)),"")</f>
        <v/>
      </c>
      <c r="K952" s="20">
        <f>IFERROR(INDEX(CONFIGURACOES!$H$37:$H$300,MATCH($I952,CONFIGURACOES!$B$37:$B$300,0)),"")</f>
        <v/>
      </c>
      <c r="L952" s="20" t="n"/>
      <c r="M952" s="20">
        <f>IFERROR(INDEX(CONFIGURACOES!$I$37:$I$300,MATCH($I952,CONFIGURACOES!$B$37:$B$300,0)),"")</f>
        <v/>
      </c>
      <c r="N952" s="21" t="n"/>
      <c r="O952" s="21" t="n"/>
      <c r="P952" s="21" t="n"/>
      <c r="Q952" s="21" t="n"/>
      <c r="R952" s="21">
        <f>IF($N952="","",$N952*IF($Q952="",1,$Q952)*IF($P952="",1,$P952)*IF($O952="",1,$O952))</f>
        <v/>
      </c>
      <c r="S952" s="22">
        <f>IFERROR(INDEX(CONFIGURACOES!$J$37:$J$300,MATCH($I952,CONFIGURACOES!$B$37:$B$300,0)),"")</f>
        <v/>
      </c>
      <c r="T952" s="22">
        <f>IF(OR($R952="",$S952=""),"",$R952*$S952)</f>
        <v/>
      </c>
      <c r="U952" s="20" t="n"/>
      <c r="V952" s="20" t="n"/>
      <c r="W952" s="20" t="n"/>
      <c r="X952">
        <f>IF($A952="","",$A952&amp;"|"&amp;$C952&amp;"|"&amp;$I952)</f>
        <v/>
      </c>
      <c r="Y952">
        <f>IF(AND($A952=RELATORIO_MEDICAO!$C$5,$C952=RELATORIO_MEDICAO!$F$5,$A952&lt;&gt;""),COUNTIFS($A$3:$A952,RELATORIO_MEDICAO!$C$5,$C$3:$C952,RELATORIO_MEDICAO!$F$5),"")</f>
        <v/>
      </c>
      <c r="Z952">
        <f>IF(OR($A952="",PESQUISA!$C$4=""),0,IF(OR(ISNUMBER(SEARCH(PESQUISA!$C$4,$G952)),ISNUMBER(SEARCH(PESQUISA!$C$4,$K952)),ISNUMBER(SEARCH(PESQUISA!$C$4,$L952))),1,0))</f>
        <v/>
      </c>
      <c r="AA952">
        <f>IF($Z952=1,SUM($Z$3:$Z952),"")</f>
        <v/>
      </c>
      <c r="AB952">
        <f>IF(OR($A952="",PESQUISA!$C$50=""),0,IF(ISNUMBER(SEARCH(PESQUISA!$C$50,$I952)),1,0))</f>
        <v/>
      </c>
      <c r="AC952">
        <f>IF($AB952=1,SUM($AB$3:$AB952),"")</f>
        <v/>
      </c>
    </row>
    <row r="953">
      <c r="A953" s="20" t="n"/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>
        <f>IFERROR(INDEX(CONFIGURACOES!$G$37:$G$300,MATCH($I953,CONFIGURACOES!$B$37:$B$300,0)),"")</f>
        <v/>
      </c>
      <c r="K953" s="20">
        <f>IFERROR(INDEX(CONFIGURACOES!$H$37:$H$300,MATCH($I953,CONFIGURACOES!$B$37:$B$300,0)),"")</f>
        <v/>
      </c>
      <c r="L953" s="20" t="n"/>
      <c r="M953" s="20">
        <f>IFERROR(INDEX(CONFIGURACOES!$I$37:$I$300,MATCH($I953,CONFIGURACOES!$B$37:$B$300,0)),"")</f>
        <v/>
      </c>
      <c r="N953" s="21" t="n"/>
      <c r="O953" s="21" t="n"/>
      <c r="P953" s="21" t="n"/>
      <c r="Q953" s="21" t="n"/>
      <c r="R953" s="21">
        <f>IF($N953="","",$N953*IF($Q953="",1,$Q953)*IF($P953="",1,$P953)*IF($O953="",1,$O953))</f>
        <v/>
      </c>
      <c r="S953" s="22">
        <f>IFERROR(INDEX(CONFIGURACOES!$J$37:$J$300,MATCH($I953,CONFIGURACOES!$B$37:$B$300,0)),"")</f>
        <v/>
      </c>
      <c r="T953" s="22">
        <f>IF(OR($R953="",$S953=""),"",$R953*$S953)</f>
        <v/>
      </c>
      <c r="U953" s="20" t="n"/>
      <c r="V953" s="20" t="n"/>
      <c r="W953" s="20" t="n"/>
      <c r="X953">
        <f>IF($A953="","",$A953&amp;"|"&amp;$C953&amp;"|"&amp;$I953)</f>
        <v/>
      </c>
      <c r="Y953">
        <f>IF(AND($A953=RELATORIO_MEDICAO!$C$5,$C953=RELATORIO_MEDICAO!$F$5,$A953&lt;&gt;""),COUNTIFS($A$3:$A953,RELATORIO_MEDICAO!$C$5,$C$3:$C953,RELATORIO_MEDICAO!$F$5),"")</f>
        <v/>
      </c>
      <c r="Z953">
        <f>IF(OR($A953="",PESQUISA!$C$4=""),0,IF(OR(ISNUMBER(SEARCH(PESQUISA!$C$4,$G953)),ISNUMBER(SEARCH(PESQUISA!$C$4,$K953)),ISNUMBER(SEARCH(PESQUISA!$C$4,$L953))),1,0))</f>
        <v/>
      </c>
      <c r="AA953">
        <f>IF($Z953=1,SUM($Z$3:$Z953),"")</f>
        <v/>
      </c>
      <c r="AB953">
        <f>IF(OR($A953="",PESQUISA!$C$50=""),0,IF(ISNUMBER(SEARCH(PESQUISA!$C$50,$I953)),1,0))</f>
        <v/>
      </c>
      <c r="AC953">
        <f>IF($AB953=1,SUM($AB$3:$AB953),"")</f>
        <v/>
      </c>
    </row>
    <row r="954">
      <c r="A954" s="20" t="n"/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>
        <f>IFERROR(INDEX(CONFIGURACOES!$G$37:$G$300,MATCH($I954,CONFIGURACOES!$B$37:$B$300,0)),"")</f>
        <v/>
      </c>
      <c r="K954" s="20">
        <f>IFERROR(INDEX(CONFIGURACOES!$H$37:$H$300,MATCH($I954,CONFIGURACOES!$B$37:$B$300,0)),"")</f>
        <v/>
      </c>
      <c r="L954" s="20" t="n"/>
      <c r="M954" s="20">
        <f>IFERROR(INDEX(CONFIGURACOES!$I$37:$I$300,MATCH($I954,CONFIGURACOES!$B$37:$B$300,0)),"")</f>
        <v/>
      </c>
      <c r="N954" s="21" t="n"/>
      <c r="O954" s="21" t="n"/>
      <c r="P954" s="21" t="n"/>
      <c r="Q954" s="21" t="n"/>
      <c r="R954" s="21">
        <f>IF($N954="","",$N954*IF($Q954="",1,$Q954)*IF($P954="",1,$P954)*IF($O954="",1,$O954))</f>
        <v/>
      </c>
      <c r="S954" s="22">
        <f>IFERROR(INDEX(CONFIGURACOES!$J$37:$J$300,MATCH($I954,CONFIGURACOES!$B$37:$B$300,0)),"")</f>
        <v/>
      </c>
      <c r="T954" s="22">
        <f>IF(OR($R954="",$S954=""),"",$R954*$S954)</f>
        <v/>
      </c>
      <c r="U954" s="20" t="n"/>
      <c r="V954" s="20" t="n"/>
      <c r="W954" s="20" t="n"/>
      <c r="X954">
        <f>IF($A954="","",$A954&amp;"|"&amp;$C954&amp;"|"&amp;$I954)</f>
        <v/>
      </c>
      <c r="Y954">
        <f>IF(AND($A954=RELATORIO_MEDICAO!$C$5,$C954=RELATORIO_MEDICAO!$F$5,$A954&lt;&gt;""),COUNTIFS($A$3:$A954,RELATORIO_MEDICAO!$C$5,$C$3:$C954,RELATORIO_MEDICAO!$F$5),"")</f>
        <v/>
      </c>
      <c r="Z954">
        <f>IF(OR($A954="",PESQUISA!$C$4=""),0,IF(OR(ISNUMBER(SEARCH(PESQUISA!$C$4,$G954)),ISNUMBER(SEARCH(PESQUISA!$C$4,$K954)),ISNUMBER(SEARCH(PESQUISA!$C$4,$L954))),1,0))</f>
        <v/>
      </c>
      <c r="AA954">
        <f>IF($Z954=1,SUM($Z$3:$Z954),"")</f>
        <v/>
      </c>
      <c r="AB954">
        <f>IF(OR($A954="",PESQUISA!$C$50=""),0,IF(ISNUMBER(SEARCH(PESQUISA!$C$50,$I954)),1,0))</f>
        <v/>
      </c>
      <c r="AC954">
        <f>IF($AB954=1,SUM($AB$3:$AB954),"")</f>
        <v/>
      </c>
    </row>
    <row r="955">
      <c r="A955" s="20" t="n"/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>
        <f>IFERROR(INDEX(CONFIGURACOES!$G$37:$G$300,MATCH($I955,CONFIGURACOES!$B$37:$B$300,0)),"")</f>
        <v/>
      </c>
      <c r="K955" s="20">
        <f>IFERROR(INDEX(CONFIGURACOES!$H$37:$H$300,MATCH($I955,CONFIGURACOES!$B$37:$B$300,0)),"")</f>
        <v/>
      </c>
      <c r="L955" s="20" t="n"/>
      <c r="M955" s="20">
        <f>IFERROR(INDEX(CONFIGURACOES!$I$37:$I$300,MATCH($I955,CONFIGURACOES!$B$37:$B$300,0)),"")</f>
        <v/>
      </c>
      <c r="N955" s="21" t="n"/>
      <c r="O955" s="21" t="n"/>
      <c r="P955" s="21" t="n"/>
      <c r="Q955" s="21" t="n"/>
      <c r="R955" s="21">
        <f>IF($N955="","",$N955*IF($Q955="",1,$Q955)*IF($P955="",1,$P955)*IF($O955="",1,$O955))</f>
        <v/>
      </c>
      <c r="S955" s="22">
        <f>IFERROR(INDEX(CONFIGURACOES!$J$37:$J$300,MATCH($I955,CONFIGURACOES!$B$37:$B$300,0)),"")</f>
        <v/>
      </c>
      <c r="T955" s="22">
        <f>IF(OR($R955="",$S955=""),"",$R955*$S955)</f>
        <v/>
      </c>
      <c r="U955" s="20" t="n"/>
      <c r="V955" s="20" t="n"/>
      <c r="W955" s="20" t="n"/>
      <c r="X955">
        <f>IF($A955="","",$A955&amp;"|"&amp;$C955&amp;"|"&amp;$I955)</f>
        <v/>
      </c>
      <c r="Y955">
        <f>IF(AND($A955=RELATORIO_MEDICAO!$C$5,$C955=RELATORIO_MEDICAO!$F$5,$A955&lt;&gt;""),COUNTIFS($A$3:$A955,RELATORIO_MEDICAO!$C$5,$C$3:$C955,RELATORIO_MEDICAO!$F$5),"")</f>
        <v/>
      </c>
      <c r="Z955">
        <f>IF(OR($A955="",PESQUISA!$C$4=""),0,IF(OR(ISNUMBER(SEARCH(PESQUISA!$C$4,$G955)),ISNUMBER(SEARCH(PESQUISA!$C$4,$K955)),ISNUMBER(SEARCH(PESQUISA!$C$4,$L955))),1,0))</f>
        <v/>
      </c>
      <c r="AA955">
        <f>IF($Z955=1,SUM($Z$3:$Z955),"")</f>
        <v/>
      </c>
      <c r="AB955">
        <f>IF(OR($A955="",PESQUISA!$C$50=""),0,IF(ISNUMBER(SEARCH(PESQUISA!$C$50,$I955)),1,0))</f>
        <v/>
      </c>
      <c r="AC955">
        <f>IF($AB955=1,SUM($AB$3:$AB955),"")</f>
        <v/>
      </c>
    </row>
    <row r="956">
      <c r="A956" s="20" t="n"/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>
        <f>IFERROR(INDEX(CONFIGURACOES!$G$37:$G$300,MATCH($I956,CONFIGURACOES!$B$37:$B$300,0)),"")</f>
        <v/>
      </c>
      <c r="K956" s="20">
        <f>IFERROR(INDEX(CONFIGURACOES!$H$37:$H$300,MATCH($I956,CONFIGURACOES!$B$37:$B$300,0)),"")</f>
        <v/>
      </c>
      <c r="L956" s="20" t="n"/>
      <c r="M956" s="20">
        <f>IFERROR(INDEX(CONFIGURACOES!$I$37:$I$300,MATCH($I956,CONFIGURACOES!$B$37:$B$300,0)),"")</f>
        <v/>
      </c>
      <c r="N956" s="21" t="n"/>
      <c r="O956" s="21" t="n"/>
      <c r="P956" s="21" t="n"/>
      <c r="Q956" s="21" t="n"/>
      <c r="R956" s="21">
        <f>IF($N956="","",$N956*IF($Q956="",1,$Q956)*IF($P956="",1,$P956)*IF($O956="",1,$O956))</f>
        <v/>
      </c>
      <c r="S956" s="22">
        <f>IFERROR(INDEX(CONFIGURACOES!$J$37:$J$300,MATCH($I956,CONFIGURACOES!$B$37:$B$300,0)),"")</f>
        <v/>
      </c>
      <c r="T956" s="22">
        <f>IF(OR($R956="",$S956=""),"",$R956*$S956)</f>
        <v/>
      </c>
      <c r="U956" s="20" t="n"/>
      <c r="V956" s="20" t="n"/>
      <c r="W956" s="20" t="n"/>
      <c r="X956">
        <f>IF($A956="","",$A956&amp;"|"&amp;$C956&amp;"|"&amp;$I956)</f>
        <v/>
      </c>
      <c r="Y956">
        <f>IF(AND($A956=RELATORIO_MEDICAO!$C$5,$C956=RELATORIO_MEDICAO!$F$5,$A956&lt;&gt;""),COUNTIFS($A$3:$A956,RELATORIO_MEDICAO!$C$5,$C$3:$C956,RELATORIO_MEDICAO!$F$5),"")</f>
        <v/>
      </c>
      <c r="Z956">
        <f>IF(OR($A956="",PESQUISA!$C$4=""),0,IF(OR(ISNUMBER(SEARCH(PESQUISA!$C$4,$G956)),ISNUMBER(SEARCH(PESQUISA!$C$4,$K956)),ISNUMBER(SEARCH(PESQUISA!$C$4,$L956))),1,0))</f>
        <v/>
      </c>
      <c r="AA956">
        <f>IF($Z956=1,SUM($Z$3:$Z956),"")</f>
        <v/>
      </c>
      <c r="AB956">
        <f>IF(OR($A956="",PESQUISA!$C$50=""),0,IF(ISNUMBER(SEARCH(PESQUISA!$C$50,$I956)),1,0))</f>
        <v/>
      </c>
      <c r="AC956">
        <f>IF($AB956=1,SUM($AB$3:$AB956),"")</f>
        <v/>
      </c>
    </row>
    <row r="957">
      <c r="A957" s="20" t="n"/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>
        <f>IFERROR(INDEX(CONFIGURACOES!$G$37:$G$300,MATCH($I957,CONFIGURACOES!$B$37:$B$300,0)),"")</f>
        <v/>
      </c>
      <c r="K957" s="20">
        <f>IFERROR(INDEX(CONFIGURACOES!$H$37:$H$300,MATCH($I957,CONFIGURACOES!$B$37:$B$300,0)),"")</f>
        <v/>
      </c>
      <c r="L957" s="20" t="n"/>
      <c r="M957" s="20">
        <f>IFERROR(INDEX(CONFIGURACOES!$I$37:$I$300,MATCH($I957,CONFIGURACOES!$B$37:$B$300,0)),"")</f>
        <v/>
      </c>
      <c r="N957" s="21" t="n"/>
      <c r="O957" s="21" t="n"/>
      <c r="P957" s="21" t="n"/>
      <c r="Q957" s="21" t="n"/>
      <c r="R957" s="21">
        <f>IF($N957="","",$N957*IF($Q957="",1,$Q957)*IF($P957="",1,$P957)*IF($O957="",1,$O957))</f>
        <v/>
      </c>
      <c r="S957" s="22">
        <f>IFERROR(INDEX(CONFIGURACOES!$J$37:$J$300,MATCH($I957,CONFIGURACOES!$B$37:$B$300,0)),"")</f>
        <v/>
      </c>
      <c r="T957" s="22">
        <f>IF(OR($R957="",$S957=""),"",$R957*$S957)</f>
        <v/>
      </c>
      <c r="U957" s="20" t="n"/>
      <c r="V957" s="20" t="n"/>
      <c r="W957" s="20" t="n"/>
      <c r="X957">
        <f>IF($A957="","",$A957&amp;"|"&amp;$C957&amp;"|"&amp;$I957)</f>
        <v/>
      </c>
      <c r="Y957">
        <f>IF(AND($A957=RELATORIO_MEDICAO!$C$5,$C957=RELATORIO_MEDICAO!$F$5,$A957&lt;&gt;""),COUNTIFS($A$3:$A957,RELATORIO_MEDICAO!$C$5,$C$3:$C957,RELATORIO_MEDICAO!$F$5),"")</f>
        <v/>
      </c>
      <c r="Z957">
        <f>IF(OR($A957="",PESQUISA!$C$4=""),0,IF(OR(ISNUMBER(SEARCH(PESQUISA!$C$4,$G957)),ISNUMBER(SEARCH(PESQUISA!$C$4,$K957)),ISNUMBER(SEARCH(PESQUISA!$C$4,$L957))),1,0))</f>
        <v/>
      </c>
      <c r="AA957">
        <f>IF($Z957=1,SUM($Z$3:$Z957),"")</f>
        <v/>
      </c>
      <c r="AB957">
        <f>IF(OR($A957="",PESQUISA!$C$50=""),0,IF(ISNUMBER(SEARCH(PESQUISA!$C$50,$I957)),1,0))</f>
        <v/>
      </c>
      <c r="AC957">
        <f>IF($AB957=1,SUM($AB$3:$AB957),"")</f>
        <v/>
      </c>
    </row>
    <row r="958">
      <c r="A958" s="20" t="n"/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>
        <f>IFERROR(INDEX(CONFIGURACOES!$G$37:$G$300,MATCH($I958,CONFIGURACOES!$B$37:$B$300,0)),"")</f>
        <v/>
      </c>
      <c r="K958" s="20">
        <f>IFERROR(INDEX(CONFIGURACOES!$H$37:$H$300,MATCH($I958,CONFIGURACOES!$B$37:$B$300,0)),"")</f>
        <v/>
      </c>
      <c r="L958" s="20" t="n"/>
      <c r="M958" s="20">
        <f>IFERROR(INDEX(CONFIGURACOES!$I$37:$I$300,MATCH($I958,CONFIGURACOES!$B$37:$B$300,0)),"")</f>
        <v/>
      </c>
      <c r="N958" s="21" t="n"/>
      <c r="O958" s="21" t="n"/>
      <c r="P958" s="21" t="n"/>
      <c r="Q958" s="21" t="n"/>
      <c r="R958" s="21">
        <f>IF($N958="","",$N958*IF($Q958="",1,$Q958)*IF($P958="",1,$P958)*IF($O958="",1,$O958))</f>
        <v/>
      </c>
      <c r="S958" s="22">
        <f>IFERROR(INDEX(CONFIGURACOES!$J$37:$J$300,MATCH($I958,CONFIGURACOES!$B$37:$B$300,0)),"")</f>
        <v/>
      </c>
      <c r="T958" s="22">
        <f>IF(OR($R958="",$S958=""),"",$R958*$S958)</f>
        <v/>
      </c>
      <c r="U958" s="20" t="n"/>
      <c r="V958" s="20" t="n"/>
      <c r="W958" s="20" t="n"/>
      <c r="X958">
        <f>IF($A958="","",$A958&amp;"|"&amp;$C958&amp;"|"&amp;$I958)</f>
        <v/>
      </c>
      <c r="Y958">
        <f>IF(AND($A958=RELATORIO_MEDICAO!$C$5,$C958=RELATORIO_MEDICAO!$F$5,$A958&lt;&gt;""),COUNTIFS($A$3:$A958,RELATORIO_MEDICAO!$C$5,$C$3:$C958,RELATORIO_MEDICAO!$F$5),"")</f>
        <v/>
      </c>
      <c r="Z958">
        <f>IF(OR($A958="",PESQUISA!$C$4=""),0,IF(OR(ISNUMBER(SEARCH(PESQUISA!$C$4,$G958)),ISNUMBER(SEARCH(PESQUISA!$C$4,$K958)),ISNUMBER(SEARCH(PESQUISA!$C$4,$L958))),1,0))</f>
        <v/>
      </c>
      <c r="AA958">
        <f>IF($Z958=1,SUM($Z$3:$Z958),"")</f>
        <v/>
      </c>
      <c r="AB958">
        <f>IF(OR($A958="",PESQUISA!$C$50=""),0,IF(ISNUMBER(SEARCH(PESQUISA!$C$50,$I958)),1,0))</f>
        <v/>
      </c>
      <c r="AC958">
        <f>IF($AB958=1,SUM($AB$3:$AB958),"")</f>
        <v/>
      </c>
    </row>
    <row r="959">
      <c r="A959" s="20" t="n"/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>
        <f>IFERROR(INDEX(CONFIGURACOES!$G$37:$G$300,MATCH($I959,CONFIGURACOES!$B$37:$B$300,0)),"")</f>
        <v/>
      </c>
      <c r="K959" s="20">
        <f>IFERROR(INDEX(CONFIGURACOES!$H$37:$H$300,MATCH($I959,CONFIGURACOES!$B$37:$B$300,0)),"")</f>
        <v/>
      </c>
      <c r="L959" s="20" t="n"/>
      <c r="M959" s="20">
        <f>IFERROR(INDEX(CONFIGURACOES!$I$37:$I$300,MATCH($I959,CONFIGURACOES!$B$37:$B$300,0)),"")</f>
        <v/>
      </c>
      <c r="N959" s="21" t="n"/>
      <c r="O959" s="21" t="n"/>
      <c r="P959" s="21" t="n"/>
      <c r="Q959" s="21" t="n"/>
      <c r="R959" s="21">
        <f>IF($N959="","",$N959*IF($Q959="",1,$Q959)*IF($P959="",1,$P959)*IF($O959="",1,$O959))</f>
        <v/>
      </c>
      <c r="S959" s="22">
        <f>IFERROR(INDEX(CONFIGURACOES!$J$37:$J$300,MATCH($I959,CONFIGURACOES!$B$37:$B$300,0)),"")</f>
        <v/>
      </c>
      <c r="T959" s="22">
        <f>IF(OR($R959="",$S959=""),"",$R959*$S959)</f>
        <v/>
      </c>
      <c r="U959" s="20" t="n"/>
      <c r="V959" s="20" t="n"/>
      <c r="W959" s="20" t="n"/>
      <c r="X959">
        <f>IF($A959="","",$A959&amp;"|"&amp;$C959&amp;"|"&amp;$I959)</f>
        <v/>
      </c>
      <c r="Y959">
        <f>IF(AND($A959=RELATORIO_MEDICAO!$C$5,$C959=RELATORIO_MEDICAO!$F$5,$A959&lt;&gt;""),COUNTIFS($A$3:$A959,RELATORIO_MEDICAO!$C$5,$C$3:$C959,RELATORIO_MEDICAO!$F$5),"")</f>
        <v/>
      </c>
      <c r="Z959">
        <f>IF(OR($A959="",PESQUISA!$C$4=""),0,IF(OR(ISNUMBER(SEARCH(PESQUISA!$C$4,$G959)),ISNUMBER(SEARCH(PESQUISA!$C$4,$K959)),ISNUMBER(SEARCH(PESQUISA!$C$4,$L959))),1,0))</f>
        <v/>
      </c>
      <c r="AA959">
        <f>IF($Z959=1,SUM($Z$3:$Z959),"")</f>
        <v/>
      </c>
      <c r="AB959">
        <f>IF(OR($A959="",PESQUISA!$C$50=""),0,IF(ISNUMBER(SEARCH(PESQUISA!$C$50,$I959)),1,0))</f>
        <v/>
      </c>
      <c r="AC959">
        <f>IF($AB959=1,SUM($AB$3:$AB959),"")</f>
        <v/>
      </c>
    </row>
    <row r="960">
      <c r="A960" s="20" t="n"/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>
        <f>IFERROR(INDEX(CONFIGURACOES!$G$37:$G$300,MATCH($I960,CONFIGURACOES!$B$37:$B$300,0)),"")</f>
        <v/>
      </c>
      <c r="K960" s="20">
        <f>IFERROR(INDEX(CONFIGURACOES!$H$37:$H$300,MATCH($I960,CONFIGURACOES!$B$37:$B$300,0)),"")</f>
        <v/>
      </c>
      <c r="L960" s="20" t="n"/>
      <c r="M960" s="20">
        <f>IFERROR(INDEX(CONFIGURACOES!$I$37:$I$300,MATCH($I960,CONFIGURACOES!$B$37:$B$300,0)),"")</f>
        <v/>
      </c>
      <c r="N960" s="21" t="n"/>
      <c r="O960" s="21" t="n"/>
      <c r="P960" s="21" t="n"/>
      <c r="Q960" s="21" t="n"/>
      <c r="R960" s="21">
        <f>IF($N960="","",$N960*IF($Q960="",1,$Q960)*IF($P960="",1,$P960)*IF($O960="",1,$O960))</f>
        <v/>
      </c>
      <c r="S960" s="22">
        <f>IFERROR(INDEX(CONFIGURACOES!$J$37:$J$300,MATCH($I960,CONFIGURACOES!$B$37:$B$300,0)),"")</f>
        <v/>
      </c>
      <c r="T960" s="22">
        <f>IF(OR($R960="",$S960=""),"",$R960*$S960)</f>
        <v/>
      </c>
      <c r="U960" s="20" t="n"/>
      <c r="V960" s="20" t="n"/>
      <c r="W960" s="20" t="n"/>
      <c r="X960">
        <f>IF($A960="","",$A960&amp;"|"&amp;$C960&amp;"|"&amp;$I960)</f>
        <v/>
      </c>
      <c r="Y960">
        <f>IF(AND($A960=RELATORIO_MEDICAO!$C$5,$C960=RELATORIO_MEDICAO!$F$5,$A960&lt;&gt;""),COUNTIFS($A$3:$A960,RELATORIO_MEDICAO!$C$5,$C$3:$C960,RELATORIO_MEDICAO!$F$5),"")</f>
        <v/>
      </c>
      <c r="Z960">
        <f>IF(OR($A960="",PESQUISA!$C$4=""),0,IF(OR(ISNUMBER(SEARCH(PESQUISA!$C$4,$G960)),ISNUMBER(SEARCH(PESQUISA!$C$4,$K960)),ISNUMBER(SEARCH(PESQUISA!$C$4,$L960))),1,0))</f>
        <v/>
      </c>
      <c r="AA960">
        <f>IF($Z960=1,SUM($Z$3:$Z960),"")</f>
        <v/>
      </c>
      <c r="AB960">
        <f>IF(OR($A960="",PESQUISA!$C$50=""),0,IF(ISNUMBER(SEARCH(PESQUISA!$C$50,$I960)),1,0))</f>
        <v/>
      </c>
      <c r="AC960">
        <f>IF($AB960=1,SUM($AB$3:$AB960),"")</f>
        <v/>
      </c>
    </row>
    <row r="961">
      <c r="A961" s="20" t="n"/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>
        <f>IFERROR(INDEX(CONFIGURACOES!$G$37:$G$300,MATCH($I961,CONFIGURACOES!$B$37:$B$300,0)),"")</f>
        <v/>
      </c>
      <c r="K961" s="20">
        <f>IFERROR(INDEX(CONFIGURACOES!$H$37:$H$300,MATCH($I961,CONFIGURACOES!$B$37:$B$300,0)),"")</f>
        <v/>
      </c>
      <c r="L961" s="20" t="n"/>
      <c r="M961" s="20">
        <f>IFERROR(INDEX(CONFIGURACOES!$I$37:$I$300,MATCH($I961,CONFIGURACOES!$B$37:$B$300,0)),"")</f>
        <v/>
      </c>
      <c r="N961" s="21" t="n"/>
      <c r="O961" s="21" t="n"/>
      <c r="P961" s="21" t="n"/>
      <c r="Q961" s="21" t="n"/>
      <c r="R961" s="21">
        <f>IF($N961="","",$N961*IF($Q961="",1,$Q961)*IF($P961="",1,$P961)*IF($O961="",1,$O961))</f>
        <v/>
      </c>
      <c r="S961" s="22">
        <f>IFERROR(INDEX(CONFIGURACOES!$J$37:$J$300,MATCH($I961,CONFIGURACOES!$B$37:$B$300,0)),"")</f>
        <v/>
      </c>
      <c r="T961" s="22">
        <f>IF(OR($R961="",$S961=""),"",$R961*$S961)</f>
        <v/>
      </c>
      <c r="U961" s="20" t="n"/>
      <c r="V961" s="20" t="n"/>
      <c r="W961" s="20" t="n"/>
      <c r="X961">
        <f>IF($A961="","",$A961&amp;"|"&amp;$C961&amp;"|"&amp;$I961)</f>
        <v/>
      </c>
      <c r="Y961">
        <f>IF(AND($A961=RELATORIO_MEDICAO!$C$5,$C961=RELATORIO_MEDICAO!$F$5,$A961&lt;&gt;""),COUNTIFS($A$3:$A961,RELATORIO_MEDICAO!$C$5,$C$3:$C961,RELATORIO_MEDICAO!$F$5),"")</f>
        <v/>
      </c>
      <c r="Z961">
        <f>IF(OR($A961="",PESQUISA!$C$4=""),0,IF(OR(ISNUMBER(SEARCH(PESQUISA!$C$4,$G961)),ISNUMBER(SEARCH(PESQUISA!$C$4,$K961)),ISNUMBER(SEARCH(PESQUISA!$C$4,$L961))),1,0))</f>
        <v/>
      </c>
      <c r="AA961">
        <f>IF($Z961=1,SUM($Z$3:$Z961),"")</f>
        <v/>
      </c>
      <c r="AB961">
        <f>IF(OR($A961="",PESQUISA!$C$50=""),0,IF(ISNUMBER(SEARCH(PESQUISA!$C$50,$I961)),1,0))</f>
        <v/>
      </c>
      <c r="AC961">
        <f>IF($AB961=1,SUM($AB$3:$AB961),"")</f>
        <v/>
      </c>
    </row>
    <row r="962">
      <c r="A962" s="20" t="n"/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>
        <f>IFERROR(INDEX(CONFIGURACOES!$G$37:$G$300,MATCH($I962,CONFIGURACOES!$B$37:$B$300,0)),"")</f>
        <v/>
      </c>
      <c r="K962" s="20">
        <f>IFERROR(INDEX(CONFIGURACOES!$H$37:$H$300,MATCH($I962,CONFIGURACOES!$B$37:$B$300,0)),"")</f>
        <v/>
      </c>
      <c r="L962" s="20" t="n"/>
      <c r="M962" s="20">
        <f>IFERROR(INDEX(CONFIGURACOES!$I$37:$I$300,MATCH($I962,CONFIGURACOES!$B$37:$B$300,0)),"")</f>
        <v/>
      </c>
      <c r="N962" s="21" t="n"/>
      <c r="O962" s="21" t="n"/>
      <c r="P962" s="21" t="n"/>
      <c r="Q962" s="21" t="n"/>
      <c r="R962" s="21">
        <f>IF($N962="","",$N962*IF($Q962="",1,$Q962)*IF($P962="",1,$P962)*IF($O962="",1,$O962))</f>
        <v/>
      </c>
      <c r="S962" s="22">
        <f>IFERROR(INDEX(CONFIGURACOES!$J$37:$J$300,MATCH($I962,CONFIGURACOES!$B$37:$B$300,0)),"")</f>
        <v/>
      </c>
      <c r="T962" s="22">
        <f>IF(OR($R962="",$S962=""),"",$R962*$S962)</f>
        <v/>
      </c>
      <c r="U962" s="20" t="n"/>
      <c r="V962" s="20" t="n"/>
      <c r="W962" s="20" t="n"/>
      <c r="X962">
        <f>IF($A962="","",$A962&amp;"|"&amp;$C962&amp;"|"&amp;$I962)</f>
        <v/>
      </c>
      <c r="Y962">
        <f>IF(AND($A962=RELATORIO_MEDICAO!$C$5,$C962=RELATORIO_MEDICAO!$F$5,$A962&lt;&gt;""),COUNTIFS($A$3:$A962,RELATORIO_MEDICAO!$C$5,$C$3:$C962,RELATORIO_MEDICAO!$F$5),"")</f>
        <v/>
      </c>
      <c r="Z962">
        <f>IF(OR($A962="",PESQUISA!$C$4=""),0,IF(OR(ISNUMBER(SEARCH(PESQUISA!$C$4,$G962)),ISNUMBER(SEARCH(PESQUISA!$C$4,$K962)),ISNUMBER(SEARCH(PESQUISA!$C$4,$L962))),1,0))</f>
        <v/>
      </c>
      <c r="AA962">
        <f>IF($Z962=1,SUM($Z$3:$Z962),"")</f>
        <v/>
      </c>
      <c r="AB962">
        <f>IF(OR($A962="",PESQUISA!$C$50=""),0,IF(ISNUMBER(SEARCH(PESQUISA!$C$50,$I962)),1,0))</f>
        <v/>
      </c>
      <c r="AC962">
        <f>IF($AB962=1,SUM($AB$3:$AB962),"")</f>
        <v/>
      </c>
    </row>
    <row r="963">
      <c r="A963" s="20" t="n"/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>
        <f>IFERROR(INDEX(CONFIGURACOES!$G$37:$G$300,MATCH($I963,CONFIGURACOES!$B$37:$B$300,0)),"")</f>
        <v/>
      </c>
      <c r="K963" s="20">
        <f>IFERROR(INDEX(CONFIGURACOES!$H$37:$H$300,MATCH($I963,CONFIGURACOES!$B$37:$B$300,0)),"")</f>
        <v/>
      </c>
      <c r="L963" s="20" t="n"/>
      <c r="M963" s="20">
        <f>IFERROR(INDEX(CONFIGURACOES!$I$37:$I$300,MATCH($I963,CONFIGURACOES!$B$37:$B$300,0)),"")</f>
        <v/>
      </c>
      <c r="N963" s="21" t="n"/>
      <c r="O963" s="21" t="n"/>
      <c r="P963" s="21" t="n"/>
      <c r="Q963" s="21" t="n"/>
      <c r="R963" s="21">
        <f>IF($N963="","",$N963*IF($Q963="",1,$Q963)*IF($P963="",1,$P963)*IF($O963="",1,$O963))</f>
        <v/>
      </c>
      <c r="S963" s="22">
        <f>IFERROR(INDEX(CONFIGURACOES!$J$37:$J$300,MATCH($I963,CONFIGURACOES!$B$37:$B$300,0)),"")</f>
        <v/>
      </c>
      <c r="T963" s="22">
        <f>IF(OR($R963="",$S963=""),"",$R963*$S963)</f>
        <v/>
      </c>
      <c r="U963" s="20" t="n"/>
      <c r="V963" s="20" t="n"/>
      <c r="W963" s="20" t="n"/>
      <c r="X963">
        <f>IF($A963="","",$A963&amp;"|"&amp;$C963&amp;"|"&amp;$I963)</f>
        <v/>
      </c>
      <c r="Y963">
        <f>IF(AND($A963=RELATORIO_MEDICAO!$C$5,$C963=RELATORIO_MEDICAO!$F$5,$A963&lt;&gt;""),COUNTIFS($A$3:$A963,RELATORIO_MEDICAO!$C$5,$C$3:$C963,RELATORIO_MEDICAO!$F$5),"")</f>
        <v/>
      </c>
      <c r="Z963">
        <f>IF(OR($A963="",PESQUISA!$C$4=""),0,IF(OR(ISNUMBER(SEARCH(PESQUISA!$C$4,$G963)),ISNUMBER(SEARCH(PESQUISA!$C$4,$K963)),ISNUMBER(SEARCH(PESQUISA!$C$4,$L963))),1,0))</f>
        <v/>
      </c>
      <c r="AA963">
        <f>IF($Z963=1,SUM($Z$3:$Z963),"")</f>
        <v/>
      </c>
      <c r="AB963">
        <f>IF(OR($A963="",PESQUISA!$C$50=""),0,IF(ISNUMBER(SEARCH(PESQUISA!$C$50,$I963)),1,0))</f>
        <v/>
      </c>
      <c r="AC963">
        <f>IF($AB963=1,SUM($AB$3:$AB963),"")</f>
        <v/>
      </c>
    </row>
    <row r="964">
      <c r="A964" s="20" t="n"/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>
        <f>IFERROR(INDEX(CONFIGURACOES!$G$37:$G$300,MATCH($I964,CONFIGURACOES!$B$37:$B$300,0)),"")</f>
        <v/>
      </c>
      <c r="K964" s="20">
        <f>IFERROR(INDEX(CONFIGURACOES!$H$37:$H$300,MATCH($I964,CONFIGURACOES!$B$37:$B$300,0)),"")</f>
        <v/>
      </c>
      <c r="L964" s="20" t="n"/>
      <c r="M964" s="20">
        <f>IFERROR(INDEX(CONFIGURACOES!$I$37:$I$300,MATCH($I964,CONFIGURACOES!$B$37:$B$300,0)),"")</f>
        <v/>
      </c>
      <c r="N964" s="21" t="n"/>
      <c r="O964" s="21" t="n"/>
      <c r="P964" s="21" t="n"/>
      <c r="Q964" s="21" t="n"/>
      <c r="R964" s="21">
        <f>IF($N964="","",$N964*IF($Q964="",1,$Q964)*IF($P964="",1,$P964)*IF($O964="",1,$O964))</f>
        <v/>
      </c>
      <c r="S964" s="22">
        <f>IFERROR(INDEX(CONFIGURACOES!$J$37:$J$300,MATCH($I964,CONFIGURACOES!$B$37:$B$300,0)),"")</f>
        <v/>
      </c>
      <c r="T964" s="22">
        <f>IF(OR($R964="",$S964=""),"",$R964*$S964)</f>
        <v/>
      </c>
      <c r="U964" s="20" t="n"/>
      <c r="V964" s="20" t="n"/>
      <c r="W964" s="20" t="n"/>
      <c r="X964">
        <f>IF($A964="","",$A964&amp;"|"&amp;$C964&amp;"|"&amp;$I964)</f>
        <v/>
      </c>
      <c r="Y964">
        <f>IF(AND($A964=RELATORIO_MEDICAO!$C$5,$C964=RELATORIO_MEDICAO!$F$5,$A964&lt;&gt;""),COUNTIFS($A$3:$A964,RELATORIO_MEDICAO!$C$5,$C$3:$C964,RELATORIO_MEDICAO!$F$5),"")</f>
        <v/>
      </c>
      <c r="Z964">
        <f>IF(OR($A964="",PESQUISA!$C$4=""),0,IF(OR(ISNUMBER(SEARCH(PESQUISA!$C$4,$G964)),ISNUMBER(SEARCH(PESQUISA!$C$4,$K964)),ISNUMBER(SEARCH(PESQUISA!$C$4,$L964))),1,0))</f>
        <v/>
      </c>
      <c r="AA964">
        <f>IF($Z964=1,SUM($Z$3:$Z964),"")</f>
        <v/>
      </c>
      <c r="AB964">
        <f>IF(OR($A964="",PESQUISA!$C$50=""),0,IF(ISNUMBER(SEARCH(PESQUISA!$C$50,$I964)),1,0))</f>
        <v/>
      </c>
      <c r="AC964">
        <f>IF($AB964=1,SUM($AB$3:$AB964),"")</f>
        <v/>
      </c>
    </row>
    <row r="965">
      <c r="A965" s="20" t="n"/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>
        <f>IFERROR(INDEX(CONFIGURACOES!$G$37:$G$300,MATCH($I965,CONFIGURACOES!$B$37:$B$300,0)),"")</f>
        <v/>
      </c>
      <c r="K965" s="20">
        <f>IFERROR(INDEX(CONFIGURACOES!$H$37:$H$300,MATCH($I965,CONFIGURACOES!$B$37:$B$300,0)),"")</f>
        <v/>
      </c>
      <c r="L965" s="20" t="n"/>
      <c r="M965" s="20">
        <f>IFERROR(INDEX(CONFIGURACOES!$I$37:$I$300,MATCH($I965,CONFIGURACOES!$B$37:$B$300,0)),"")</f>
        <v/>
      </c>
      <c r="N965" s="21" t="n"/>
      <c r="O965" s="21" t="n"/>
      <c r="P965" s="21" t="n"/>
      <c r="Q965" s="21" t="n"/>
      <c r="R965" s="21">
        <f>IF($N965="","",$N965*IF($Q965="",1,$Q965)*IF($P965="",1,$P965)*IF($O965="",1,$O965))</f>
        <v/>
      </c>
      <c r="S965" s="22">
        <f>IFERROR(INDEX(CONFIGURACOES!$J$37:$J$300,MATCH($I965,CONFIGURACOES!$B$37:$B$300,0)),"")</f>
        <v/>
      </c>
      <c r="T965" s="22">
        <f>IF(OR($R965="",$S965=""),"",$R965*$S965)</f>
        <v/>
      </c>
      <c r="U965" s="20" t="n"/>
      <c r="V965" s="20" t="n"/>
      <c r="W965" s="20" t="n"/>
      <c r="X965">
        <f>IF($A965="","",$A965&amp;"|"&amp;$C965&amp;"|"&amp;$I965)</f>
        <v/>
      </c>
      <c r="Y965">
        <f>IF(AND($A965=RELATORIO_MEDICAO!$C$5,$C965=RELATORIO_MEDICAO!$F$5,$A965&lt;&gt;""),COUNTIFS($A$3:$A965,RELATORIO_MEDICAO!$C$5,$C$3:$C965,RELATORIO_MEDICAO!$F$5),"")</f>
        <v/>
      </c>
      <c r="Z965">
        <f>IF(OR($A965="",PESQUISA!$C$4=""),0,IF(OR(ISNUMBER(SEARCH(PESQUISA!$C$4,$G965)),ISNUMBER(SEARCH(PESQUISA!$C$4,$K965)),ISNUMBER(SEARCH(PESQUISA!$C$4,$L965))),1,0))</f>
        <v/>
      </c>
      <c r="AA965">
        <f>IF($Z965=1,SUM($Z$3:$Z965),"")</f>
        <v/>
      </c>
      <c r="AB965">
        <f>IF(OR($A965="",PESQUISA!$C$50=""),0,IF(ISNUMBER(SEARCH(PESQUISA!$C$50,$I965)),1,0))</f>
        <v/>
      </c>
      <c r="AC965">
        <f>IF($AB965=1,SUM($AB$3:$AB965),"")</f>
        <v/>
      </c>
    </row>
    <row r="966">
      <c r="A966" s="20" t="n"/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>
        <f>IFERROR(INDEX(CONFIGURACOES!$G$37:$G$300,MATCH($I966,CONFIGURACOES!$B$37:$B$300,0)),"")</f>
        <v/>
      </c>
      <c r="K966" s="20">
        <f>IFERROR(INDEX(CONFIGURACOES!$H$37:$H$300,MATCH($I966,CONFIGURACOES!$B$37:$B$300,0)),"")</f>
        <v/>
      </c>
      <c r="L966" s="20" t="n"/>
      <c r="M966" s="20">
        <f>IFERROR(INDEX(CONFIGURACOES!$I$37:$I$300,MATCH($I966,CONFIGURACOES!$B$37:$B$300,0)),"")</f>
        <v/>
      </c>
      <c r="N966" s="21" t="n"/>
      <c r="O966" s="21" t="n"/>
      <c r="P966" s="21" t="n"/>
      <c r="Q966" s="21" t="n"/>
      <c r="R966" s="21">
        <f>IF($N966="","",$N966*IF($Q966="",1,$Q966)*IF($P966="",1,$P966)*IF($O966="",1,$O966))</f>
        <v/>
      </c>
      <c r="S966" s="22">
        <f>IFERROR(INDEX(CONFIGURACOES!$J$37:$J$300,MATCH($I966,CONFIGURACOES!$B$37:$B$300,0)),"")</f>
        <v/>
      </c>
      <c r="T966" s="22">
        <f>IF(OR($R966="",$S966=""),"",$R966*$S966)</f>
        <v/>
      </c>
      <c r="U966" s="20" t="n"/>
      <c r="V966" s="20" t="n"/>
      <c r="W966" s="20" t="n"/>
      <c r="X966">
        <f>IF($A966="","",$A966&amp;"|"&amp;$C966&amp;"|"&amp;$I966)</f>
        <v/>
      </c>
      <c r="Y966">
        <f>IF(AND($A966=RELATORIO_MEDICAO!$C$5,$C966=RELATORIO_MEDICAO!$F$5,$A966&lt;&gt;""),COUNTIFS($A$3:$A966,RELATORIO_MEDICAO!$C$5,$C$3:$C966,RELATORIO_MEDICAO!$F$5),"")</f>
        <v/>
      </c>
      <c r="Z966">
        <f>IF(OR($A966="",PESQUISA!$C$4=""),0,IF(OR(ISNUMBER(SEARCH(PESQUISA!$C$4,$G966)),ISNUMBER(SEARCH(PESQUISA!$C$4,$K966)),ISNUMBER(SEARCH(PESQUISA!$C$4,$L966))),1,0))</f>
        <v/>
      </c>
      <c r="AA966">
        <f>IF($Z966=1,SUM($Z$3:$Z966),"")</f>
        <v/>
      </c>
      <c r="AB966">
        <f>IF(OR($A966="",PESQUISA!$C$50=""),0,IF(ISNUMBER(SEARCH(PESQUISA!$C$50,$I966)),1,0))</f>
        <v/>
      </c>
      <c r="AC966">
        <f>IF($AB966=1,SUM($AB$3:$AB966),"")</f>
        <v/>
      </c>
    </row>
    <row r="967">
      <c r="A967" s="20" t="n"/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>
        <f>IFERROR(INDEX(CONFIGURACOES!$G$37:$G$300,MATCH($I967,CONFIGURACOES!$B$37:$B$300,0)),"")</f>
        <v/>
      </c>
      <c r="K967" s="20">
        <f>IFERROR(INDEX(CONFIGURACOES!$H$37:$H$300,MATCH($I967,CONFIGURACOES!$B$37:$B$300,0)),"")</f>
        <v/>
      </c>
      <c r="L967" s="20" t="n"/>
      <c r="M967" s="20">
        <f>IFERROR(INDEX(CONFIGURACOES!$I$37:$I$300,MATCH($I967,CONFIGURACOES!$B$37:$B$300,0)),"")</f>
        <v/>
      </c>
      <c r="N967" s="21" t="n"/>
      <c r="O967" s="21" t="n"/>
      <c r="P967" s="21" t="n"/>
      <c r="Q967" s="21" t="n"/>
      <c r="R967" s="21">
        <f>IF($N967="","",$N967*IF($Q967="",1,$Q967)*IF($P967="",1,$P967)*IF($O967="",1,$O967))</f>
        <v/>
      </c>
      <c r="S967" s="22">
        <f>IFERROR(INDEX(CONFIGURACOES!$J$37:$J$300,MATCH($I967,CONFIGURACOES!$B$37:$B$300,0)),"")</f>
        <v/>
      </c>
      <c r="T967" s="22">
        <f>IF(OR($R967="",$S967=""),"",$R967*$S967)</f>
        <v/>
      </c>
      <c r="U967" s="20" t="n"/>
      <c r="V967" s="20" t="n"/>
      <c r="W967" s="20" t="n"/>
      <c r="X967">
        <f>IF($A967="","",$A967&amp;"|"&amp;$C967&amp;"|"&amp;$I967)</f>
        <v/>
      </c>
      <c r="Y967">
        <f>IF(AND($A967=RELATORIO_MEDICAO!$C$5,$C967=RELATORIO_MEDICAO!$F$5,$A967&lt;&gt;""),COUNTIFS($A$3:$A967,RELATORIO_MEDICAO!$C$5,$C$3:$C967,RELATORIO_MEDICAO!$F$5),"")</f>
        <v/>
      </c>
      <c r="Z967">
        <f>IF(OR($A967="",PESQUISA!$C$4=""),0,IF(OR(ISNUMBER(SEARCH(PESQUISA!$C$4,$G967)),ISNUMBER(SEARCH(PESQUISA!$C$4,$K967)),ISNUMBER(SEARCH(PESQUISA!$C$4,$L967))),1,0))</f>
        <v/>
      </c>
      <c r="AA967">
        <f>IF($Z967=1,SUM($Z$3:$Z967),"")</f>
        <v/>
      </c>
      <c r="AB967">
        <f>IF(OR($A967="",PESQUISA!$C$50=""),0,IF(ISNUMBER(SEARCH(PESQUISA!$C$50,$I967)),1,0))</f>
        <v/>
      </c>
      <c r="AC967">
        <f>IF($AB967=1,SUM($AB$3:$AB967),"")</f>
        <v/>
      </c>
    </row>
    <row r="968">
      <c r="A968" s="20" t="n"/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>
        <f>IFERROR(INDEX(CONFIGURACOES!$G$37:$G$300,MATCH($I968,CONFIGURACOES!$B$37:$B$300,0)),"")</f>
        <v/>
      </c>
      <c r="K968" s="20">
        <f>IFERROR(INDEX(CONFIGURACOES!$H$37:$H$300,MATCH($I968,CONFIGURACOES!$B$37:$B$300,0)),"")</f>
        <v/>
      </c>
      <c r="L968" s="20" t="n"/>
      <c r="M968" s="20">
        <f>IFERROR(INDEX(CONFIGURACOES!$I$37:$I$300,MATCH($I968,CONFIGURACOES!$B$37:$B$300,0)),"")</f>
        <v/>
      </c>
      <c r="N968" s="21" t="n"/>
      <c r="O968" s="21" t="n"/>
      <c r="P968" s="21" t="n"/>
      <c r="Q968" s="21" t="n"/>
      <c r="R968" s="21">
        <f>IF($N968="","",$N968*IF($Q968="",1,$Q968)*IF($P968="",1,$P968)*IF($O968="",1,$O968))</f>
        <v/>
      </c>
      <c r="S968" s="22">
        <f>IFERROR(INDEX(CONFIGURACOES!$J$37:$J$300,MATCH($I968,CONFIGURACOES!$B$37:$B$300,0)),"")</f>
        <v/>
      </c>
      <c r="T968" s="22">
        <f>IF(OR($R968="",$S968=""),"",$R968*$S968)</f>
        <v/>
      </c>
      <c r="U968" s="20" t="n"/>
      <c r="V968" s="20" t="n"/>
      <c r="W968" s="20" t="n"/>
      <c r="X968">
        <f>IF($A968="","",$A968&amp;"|"&amp;$C968&amp;"|"&amp;$I968)</f>
        <v/>
      </c>
      <c r="Y968">
        <f>IF(AND($A968=RELATORIO_MEDICAO!$C$5,$C968=RELATORIO_MEDICAO!$F$5,$A968&lt;&gt;""),COUNTIFS($A$3:$A968,RELATORIO_MEDICAO!$C$5,$C$3:$C968,RELATORIO_MEDICAO!$F$5),"")</f>
        <v/>
      </c>
      <c r="Z968">
        <f>IF(OR($A968="",PESQUISA!$C$4=""),0,IF(OR(ISNUMBER(SEARCH(PESQUISA!$C$4,$G968)),ISNUMBER(SEARCH(PESQUISA!$C$4,$K968)),ISNUMBER(SEARCH(PESQUISA!$C$4,$L968))),1,0))</f>
        <v/>
      </c>
      <c r="AA968">
        <f>IF($Z968=1,SUM($Z$3:$Z968),"")</f>
        <v/>
      </c>
      <c r="AB968">
        <f>IF(OR($A968="",PESQUISA!$C$50=""),0,IF(ISNUMBER(SEARCH(PESQUISA!$C$50,$I968)),1,0))</f>
        <v/>
      </c>
      <c r="AC968">
        <f>IF($AB968=1,SUM($AB$3:$AB968),"")</f>
        <v/>
      </c>
    </row>
    <row r="969">
      <c r="A969" s="20" t="n"/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>
        <f>IFERROR(INDEX(CONFIGURACOES!$G$37:$G$300,MATCH($I969,CONFIGURACOES!$B$37:$B$300,0)),"")</f>
        <v/>
      </c>
      <c r="K969" s="20">
        <f>IFERROR(INDEX(CONFIGURACOES!$H$37:$H$300,MATCH($I969,CONFIGURACOES!$B$37:$B$300,0)),"")</f>
        <v/>
      </c>
      <c r="L969" s="20" t="n"/>
      <c r="M969" s="20">
        <f>IFERROR(INDEX(CONFIGURACOES!$I$37:$I$300,MATCH($I969,CONFIGURACOES!$B$37:$B$300,0)),"")</f>
        <v/>
      </c>
      <c r="N969" s="21" t="n"/>
      <c r="O969" s="21" t="n"/>
      <c r="P969" s="21" t="n"/>
      <c r="Q969" s="21" t="n"/>
      <c r="R969" s="21">
        <f>IF($N969="","",$N969*IF($Q969="",1,$Q969)*IF($P969="",1,$P969)*IF($O969="",1,$O969))</f>
        <v/>
      </c>
      <c r="S969" s="22">
        <f>IFERROR(INDEX(CONFIGURACOES!$J$37:$J$300,MATCH($I969,CONFIGURACOES!$B$37:$B$300,0)),"")</f>
        <v/>
      </c>
      <c r="T969" s="22">
        <f>IF(OR($R969="",$S969=""),"",$R969*$S969)</f>
        <v/>
      </c>
      <c r="U969" s="20" t="n"/>
      <c r="V969" s="20" t="n"/>
      <c r="W969" s="20" t="n"/>
      <c r="X969">
        <f>IF($A969="","",$A969&amp;"|"&amp;$C969&amp;"|"&amp;$I969)</f>
        <v/>
      </c>
      <c r="Y969">
        <f>IF(AND($A969=RELATORIO_MEDICAO!$C$5,$C969=RELATORIO_MEDICAO!$F$5,$A969&lt;&gt;""),COUNTIFS($A$3:$A969,RELATORIO_MEDICAO!$C$5,$C$3:$C969,RELATORIO_MEDICAO!$F$5),"")</f>
        <v/>
      </c>
      <c r="Z969">
        <f>IF(OR($A969="",PESQUISA!$C$4=""),0,IF(OR(ISNUMBER(SEARCH(PESQUISA!$C$4,$G969)),ISNUMBER(SEARCH(PESQUISA!$C$4,$K969)),ISNUMBER(SEARCH(PESQUISA!$C$4,$L969))),1,0))</f>
        <v/>
      </c>
      <c r="AA969">
        <f>IF($Z969=1,SUM($Z$3:$Z969),"")</f>
        <v/>
      </c>
      <c r="AB969">
        <f>IF(OR($A969="",PESQUISA!$C$50=""),0,IF(ISNUMBER(SEARCH(PESQUISA!$C$50,$I969)),1,0))</f>
        <v/>
      </c>
      <c r="AC969">
        <f>IF($AB969=1,SUM($AB$3:$AB969),"")</f>
        <v/>
      </c>
    </row>
    <row r="970">
      <c r="A970" s="20" t="n"/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>
        <f>IFERROR(INDEX(CONFIGURACOES!$G$37:$G$300,MATCH($I970,CONFIGURACOES!$B$37:$B$300,0)),"")</f>
        <v/>
      </c>
      <c r="K970" s="20">
        <f>IFERROR(INDEX(CONFIGURACOES!$H$37:$H$300,MATCH($I970,CONFIGURACOES!$B$37:$B$300,0)),"")</f>
        <v/>
      </c>
      <c r="L970" s="20" t="n"/>
      <c r="M970" s="20">
        <f>IFERROR(INDEX(CONFIGURACOES!$I$37:$I$300,MATCH($I970,CONFIGURACOES!$B$37:$B$300,0)),"")</f>
        <v/>
      </c>
      <c r="N970" s="21" t="n"/>
      <c r="O970" s="21" t="n"/>
      <c r="P970" s="21" t="n"/>
      <c r="Q970" s="21" t="n"/>
      <c r="R970" s="21">
        <f>IF($N970="","",$N970*IF($Q970="",1,$Q970)*IF($P970="",1,$P970)*IF($O970="",1,$O970))</f>
        <v/>
      </c>
      <c r="S970" s="22">
        <f>IFERROR(INDEX(CONFIGURACOES!$J$37:$J$300,MATCH($I970,CONFIGURACOES!$B$37:$B$300,0)),"")</f>
        <v/>
      </c>
      <c r="T970" s="22">
        <f>IF(OR($R970="",$S970=""),"",$R970*$S970)</f>
        <v/>
      </c>
      <c r="U970" s="20" t="n"/>
      <c r="V970" s="20" t="n"/>
      <c r="W970" s="20" t="n"/>
      <c r="X970">
        <f>IF($A970="","",$A970&amp;"|"&amp;$C970&amp;"|"&amp;$I970)</f>
        <v/>
      </c>
      <c r="Y970">
        <f>IF(AND($A970=RELATORIO_MEDICAO!$C$5,$C970=RELATORIO_MEDICAO!$F$5,$A970&lt;&gt;""),COUNTIFS($A$3:$A970,RELATORIO_MEDICAO!$C$5,$C$3:$C970,RELATORIO_MEDICAO!$F$5),"")</f>
        <v/>
      </c>
      <c r="Z970">
        <f>IF(OR($A970="",PESQUISA!$C$4=""),0,IF(OR(ISNUMBER(SEARCH(PESQUISA!$C$4,$G970)),ISNUMBER(SEARCH(PESQUISA!$C$4,$K970)),ISNUMBER(SEARCH(PESQUISA!$C$4,$L970))),1,0))</f>
        <v/>
      </c>
      <c r="AA970">
        <f>IF($Z970=1,SUM($Z$3:$Z970),"")</f>
        <v/>
      </c>
      <c r="AB970">
        <f>IF(OR($A970="",PESQUISA!$C$50=""),0,IF(ISNUMBER(SEARCH(PESQUISA!$C$50,$I970)),1,0))</f>
        <v/>
      </c>
      <c r="AC970">
        <f>IF($AB970=1,SUM($AB$3:$AB970),"")</f>
        <v/>
      </c>
    </row>
    <row r="971">
      <c r="A971" s="20" t="n"/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>
        <f>IFERROR(INDEX(CONFIGURACOES!$G$37:$G$300,MATCH($I971,CONFIGURACOES!$B$37:$B$300,0)),"")</f>
        <v/>
      </c>
      <c r="K971" s="20">
        <f>IFERROR(INDEX(CONFIGURACOES!$H$37:$H$300,MATCH($I971,CONFIGURACOES!$B$37:$B$300,0)),"")</f>
        <v/>
      </c>
      <c r="L971" s="20" t="n"/>
      <c r="M971" s="20">
        <f>IFERROR(INDEX(CONFIGURACOES!$I$37:$I$300,MATCH($I971,CONFIGURACOES!$B$37:$B$300,0)),"")</f>
        <v/>
      </c>
      <c r="N971" s="21" t="n"/>
      <c r="O971" s="21" t="n"/>
      <c r="P971" s="21" t="n"/>
      <c r="Q971" s="21" t="n"/>
      <c r="R971" s="21">
        <f>IF($N971="","",$N971*IF($Q971="",1,$Q971)*IF($P971="",1,$P971)*IF($O971="",1,$O971))</f>
        <v/>
      </c>
      <c r="S971" s="22">
        <f>IFERROR(INDEX(CONFIGURACOES!$J$37:$J$300,MATCH($I971,CONFIGURACOES!$B$37:$B$300,0)),"")</f>
        <v/>
      </c>
      <c r="T971" s="22">
        <f>IF(OR($R971="",$S971=""),"",$R971*$S971)</f>
        <v/>
      </c>
      <c r="U971" s="20" t="n"/>
      <c r="V971" s="20" t="n"/>
      <c r="W971" s="20" t="n"/>
      <c r="X971">
        <f>IF($A971="","",$A971&amp;"|"&amp;$C971&amp;"|"&amp;$I971)</f>
        <v/>
      </c>
      <c r="Y971">
        <f>IF(AND($A971=RELATORIO_MEDICAO!$C$5,$C971=RELATORIO_MEDICAO!$F$5,$A971&lt;&gt;""),COUNTIFS($A$3:$A971,RELATORIO_MEDICAO!$C$5,$C$3:$C971,RELATORIO_MEDICAO!$F$5),"")</f>
        <v/>
      </c>
      <c r="Z971">
        <f>IF(OR($A971="",PESQUISA!$C$4=""),0,IF(OR(ISNUMBER(SEARCH(PESQUISA!$C$4,$G971)),ISNUMBER(SEARCH(PESQUISA!$C$4,$K971)),ISNUMBER(SEARCH(PESQUISA!$C$4,$L971))),1,0))</f>
        <v/>
      </c>
      <c r="AA971">
        <f>IF($Z971=1,SUM($Z$3:$Z971),"")</f>
        <v/>
      </c>
      <c r="AB971">
        <f>IF(OR($A971="",PESQUISA!$C$50=""),0,IF(ISNUMBER(SEARCH(PESQUISA!$C$50,$I971)),1,0))</f>
        <v/>
      </c>
      <c r="AC971">
        <f>IF($AB971=1,SUM($AB$3:$AB971),"")</f>
        <v/>
      </c>
    </row>
    <row r="972">
      <c r="A972" s="20" t="n"/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>
        <f>IFERROR(INDEX(CONFIGURACOES!$G$37:$G$300,MATCH($I972,CONFIGURACOES!$B$37:$B$300,0)),"")</f>
        <v/>
      </c>
      <c r="K972" s="20">
        <f>IFERROR(INDEX(CONFIGURACOES!$H$37:$H$300,MATCH($I972,CONFIGURACOES!$B$37:$B$300,0)),"")</f>
        <v/>
      </c>
      <c r="L972" s="20" t="n"/>
      <c r="M972" s="20">
        <f>IFERROR(INDEX(CONFIGURACOES!$I$37:$I$300,MATCH($I972,CONFIGURACOES!$B$37:$B$300,0)),"")</f>
        <v/>
      </c>
      <c r="N972" s="21" t="n"/>
      <c r="O972" s="21" t="n"/>
      <c r="P972" s="21" t="n"/>
      <c r="Q972" s="21" t="n"/>
      <c r="R972" s="21">
        <f>IF($N972="","",$N972*IF($Q972="",1,$Q972)*IF($P972="",1,$P972)*IF($O972="",1,$O972))</f>
        <v/>
      </c>
      <c r="S972" s="22">
        <f>IFERROR(INDEX(CONFIGURACOES!$J$37:$J$300,MATCH($I972,CONFIGURACOES!$B$37:$B$300,0)),"")</f>
        <v/>
      </c>
      <c r="T972" s="22">
        <f>IF(OR($R972="",$S972=""),"",$R972*$S972)</f>
        <v/>
      </c>
      <c r="U972" s="20" t="n"/>
      <c r="V972" s="20" t="n"/>
      <c r="W972" s="20" t="n"/>
      <c r="X972">
        <f>IF($A972="","",$A972&amp;"|"&amp;$C972&amp;"|"&amp;$I972)</f>
        <v/>
      </c>
      <c r="Y972">
        <f>IF(AND($A972=RELATORIO_MEDICAO!$C$5,$C972=RELATORIO_MEDICAO!$F$5,$A972&lt;&gt;""),COUNTIFS($A$3:$A972,RELATORIO_MEDICAO!$C$5,$C$3:$C972,RELATORIO_MEDICAO!$F$5),"")</f>
        <v/>
      </c>
      <c r="Z972">
        <f>IF(OR($A972="",PESQUISA!$C$4=""),0,IF(OR(ISNUMBER(SEARCH(PESQUISA!$C$4,$G972)),ISNUMBER(SEARCH(PESQUISA!$C$4,$K972)),ISNUMBER(SEARCH(PESQUISA!$C$4,$L972))),1,0))</f>
        <v/>
      </c>
      <c r="AA972">
        <f>IF($Z972=1,SUM($Z$3:$Z972),"")</f>
        <v/>
      </c>
      <c r="AB972">
        <f>IF(OR($A972="",PESQUISA!$C$50=""),0,IF(ISNUMBER(SEARCH(PESQUISA!$C$50,$I972)),1,0))</f>
        <v/>
      </c>
      <c r="AC972">
        <f>IF($AB972=1,SUM($AB$3:$AB972),"")</f>
        <v/>
      </c>
    </row>
    <row r="973">
      <c r="A973" s="20" t="n"/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>
        <f>IFERROR(INDEX(CONFIGURACOES!$G$37:$G$300,MATCH($I973,CONFIGURACOES!$B$37:$B$300,0)),"")</f>
        <v/>
      </c>
      <c r="K973" s="20">
        <f>IFERROR(INDEX(CONFIGURACOES!$H$37:$H$300,MATCH($I973,CONFIGURACOES!$B$37:$B$300,0)),"")</f>
        <v/>
      </c>
      <c r="L973" s="20" t="n"/>
      <c r="M973" s="20">
        <f>IFERROR(INDEX(CONFIGURACOES!$I$37:$I$300,MATCH($I973,CONFIGURACOES!$B$37:$B$300,0)),"")</f>
        <v/>
      </c>
      <c r="N973" s="21" t="n"/>
      <c r="O973" s="21" t="n"/>
      <c r="P973" s="21" t="n"/>
      <c r="Q973" s="21" t="n"/>
      <c r="R973" s="21">
        <f>IF($N973="","",$N973*IF($Q973="",1,$Q973)*IF($P973="",1,$P973)*IF($O973="",1,$O973))</f>
        <v/>
      </c>
      <c r="S973" s="22">
        <f>IFERROR(INDEX(CONFIGURACOES!$J$37:$J$300,MATCH($I973,CONFIGURACOES!$B$37:$B$300,0)),"")</f>
        <v/>
      </c>
      <c r="T973" s="22">
        <f>IF(OR($R973="",$S973=""),"",$R973*$S973)</f>
        <v/>
      </c>
      <c r="U973" s="20" t="n"/>
      <c r="V973" s="20" t="n"/>
      <c r="W973" s="20" t="n"/>
      <c r="X973">
        <f>IF($A973="","",$A973&amp;"|"&amp;$C973&amp;"|"&amp;$I973)</f>
        <v/>
      </c>
      <c r="Y973">
        <f>IF(AND($A973=RELATORIO_MEDICAO!$C$5,$C973=RELATORIO_MEDICAO!$F$5,$A973&lt;&gt;""),COUNTIFS($A$3:$A973,RELATORIO_MEDICAO!$C$5,$C$3:$C973,RELATORIO_MEDICAO!$F$5),"")</f>
        <v/>
      </c>
      <c r="Z973">
        <f>IF(OR($A973="",PESQUISA!$C$4=""),0,IF(OR(ISNUMBER(SEARCH(PESQUISA!$C$4,$G973)),ISNUMBER(SEARCH(PESQUISA!$C$4,$K973)),ISNUMBER(SEARCH(PESQUISA!$C$4,$L973))),1,0))</f>
        <v/>
      </c>
      <c r="AA973">
        <f>IF($Z973=1,SUM($Z$3:$Z973),"")</f>
        <v/>
      </c>
      <c r="AB973">
        <f>IF(OR($A973="",PESQUISA!$C$50=""),0,IF(ISNUMBER(SEARCH(PESQUISA!$C$50,$I973)),1,0))</f>
        <v/>
      </c>
      <c r="AC973">
        <f>IF($AB973=1,SUM($AB$3:$AB973),"")</f>
        <v/>
      </c>
    </row>
    <row r="974">
      <c r="A974" s="20" t="n"/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>
        <f>IFERROR(INDEX(CONFIGURACOES!$G$37:$G$300,MATCH($I974,CONFIGURACOES!$B$37:$B$300,0)),"")</f>
        <v/>
      </c>
      <c r="K974" s="20">
        <f>IFERROR(INDEX(CONFIGURACOES!$H$37:$H$300,MATCH($I974,CONFIGURACOES!$B$37:$B$300,0)),"")</f>
        <v/>
      </c>
      <c r="L974" s="20" t="n"/>
      <c r="M974" s="20">
        <f>IFERROR(INDEX(CONFIGURACOES!$I$37:$I$300,MATCH($I974,CONFIGURACOES!$B$37:$B$300,0)),"")</f>
        <v/>
      </c>
      <c r="N974" s="21" t="n"/>
      <c r="O974" s="21" t="n"/>
      <c r="P974" s="21" t="n"/>
      <c r="Q974" s="21" t="n"/>
      <c r="R974" s="21">
        <f>IF($N974="","",$N974*IF($Q974="",1,$Q974)*IF($P974="",1,$P974)*IF($O974="",1,$O974))</f>
        <v/>
      </c>
      <c r="S974" s="22">
        <f>IFERROR(INDEX(CONFIGURACOES!$J$37:$J$300,MATCH($I974,CONFIGURACOES!$B$37:$B$300,0)),"")</f>
        <v/>
      </c>
      <c r="T974" s="22">
        <f>IF(OR($R974="",$S974=""),"",$R974*$S974)</f>
        <v/>
      </c>
      <c r="U974" s="20" t="n"/>
      <c r="V974" s="20" t="n"/>
      <c r="W974" s="20" t="n"/>
      <c r="X974">
        <f>IF($A974="","",$A974&amp;"|"&amp;$C974&amp;"|"&amp;$I974)</f>
        <v/>
      </c>
      <c r="Y974">
        <f>IF(AND($A974=RELATORIO_MEDICAO!$C$5,$C974=RELATORIO_MEDICAO!$F$5,$A974&lt;&gt;""),COUNTIFS($A$3:$A974,RELATORIO_MEDICAO!$C$5,$C$3:$C974,RELATORIO_MEDICAO!$F$5),"")</f>
        <v/>
      </c>
      <c r="Z974">
        <f>IF(OR($A974="",PESQUISA!$C$4=""),0,IF(OR(ISNUMBER(SEARCH(PESQUISA!$C$4,$G974)),ISNUMBER(SEARCH(PESQUISA!$C$4,$K974)),ISNUMBER(SEARCH(PESQUISA!$C$4,$L974))),1,0))</f>
        <v/>
      </c>
      <c r="AA974">
        <f>IF($Z974=1,SUM($Z$3:$Z974),"")</f>
        <v/>
      </c>
      <c r="AB974">
        <f>IF(OR($A974="",PESQUISA!$C$50=""),0,IF(ISNUMBER(SEARCH(PESQUISA!$C$50,$I974)),1,0))</f>
        <v/>
      </c>
      <c r="AC974">
        <f>IF($AB974=1,SUM($AB$3:$AB974),"")</f>
        <v/>
      </c>
    </row>
    <row r="975">
      <c r="A975" s="20" t="n"/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>
        <f>IFERROR(INDEX(CONFIGURACOES!$G$37:$G$300,MATCH($I975,CONFIGURACOES!$B$37:$B$300,0)),"")</f>
        <v/>
      </c>
      <c r="K975" s="20">
        <f>IFERROR(INDEX(CONFIGURACOES!$H$37:$H$300,MATCH($I975,CONFIGURACOES!$B$37:$B$300,0)),"")</f>
        <v/>
      </c>
      <c r="L975" s="20" t="n"/>
      <c r="M975" s="20">
        <f>IFERROR(INDEX(CONFIGURACOES!$I$37:$I$300,MATCH($I975,CONFIGURACOES!$B$37:$B$300,0)),"")</f>
        <v/>
      </c>
      <c r="N975" s="21" t="n"/>
      <c r="O975" s="21" t="n"/>
      <c r="P975" s="21" t="n"/>
      <c r="Q975" s="21" t="n"/>
      <c r="R975" s="21">
        <f>IF($N975="","",$N975*IF($Q975="",1,$Q975)*IF($P975="",1,$P975)*IF($O975="",1,$O975))</f>
        <v/>
      </c>
      <c r="S975" s="22">
        <f>IFERROR(INDEX(CONFIGURACOES!$J$37:$J$300,MATCH($I975,CONFIGURACOES!$B$37:$B$300,0)),"")</f>
        <v/>
      </c>
      <c r="T975" s="22">
        <f>IF(OR($R975="",$S975=""),"",$R975*$S975)</f>
        <v/>
      </c>
      <c r="U975" s="20" t="n"/>
      <c r="V975" s="20" t="n"/>
      <c r="W975" s="20" t="n"/>
      <c r="X975">
        <f>IF($A975="","",$A975&amp;"|"&amp;$C975&amp;"|"&amp;$I975)</f>
        <v/>
      </c>
      <c r="Y975">
        <f>IF(AND($A975=RELATORIO_MEDICAO!$C$5,$C975=RELATORIO_MEDICAO!$F$5,$A975&lt;&gt;""),COUNTIFS($A$3:$A975,RELATORIO_MEDICAO!$C$5,$C$3:$C975,RELATORIO_MEDICAO!$F$5),"")</f>
        <v/>
      </c>
      <c r="Z975">
        <f>IF(OR($A975="",PESQUISA!$C$4=""),0,IF(OR(ISNUMBER(SEARCH(PESQUISA!$C$4,$G975)),ISNUMBER(SEARCH(PESQUISA!$C$4,$K975)),ISNUMBER(SEARCH(PESQUISA!$C$4,$L975))),1,0))</f>
        <v/>
      </c>
      <c r="AA975">
        <f>IF($Z975=1,SUM($Z$3:$Z975),"")</f>
        <v/>
      </c>
      <c r="AB975">
        <f>IF(OR($A975="",PESQUISA!$C$50=""),0,IF(ISNUMBER(SEARCH(PESQUISA!$C$50,$I975)),1,0))</f>
        <v/>
      </c>
      <c r="AC975">
        <f>IF($AB975=1,SUM($AB$3:$AB975),"")</f>
        <v/>
      </c>
    </row>
    <row r="976">
      <c r="A976" s="20" t="n"/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>
        <f>IFERROR(INDEX(CONFIGURACOES!$G$37:$G$300,MATCH($I976,CONFIGURACOES!$B$37:$B$300,0)),"")</f>
        <v/>
      </c>
      <c r="K976" s="20">
        <f>IFERROR(INDEX(CONFIGURACOES!$H$37:$H$300,MATCH($I976,CONFIGURACOES!$B$37:$B$300,0)),"")</f>
        <v/>
      </c>
      <c r="L976" s="20" t="n"/>
      <c r="M976" s="20">
        <f>IFERROR(INDEX(CONFIGURACOES!$I$37:$I$300,MATCH($I976,CONFIGURACOES!$B$37:$B$300,0)),"")</f>
        <v/>
      </c>
      <c r="N976" s="21" t="n"/>
      <c r="O976" s="21" t="n"/>
      <c r="P976" s="21" t="n"/>
      <c r="Q976" s="21" t="n"/>
      <c r="R976" s="21">
        <f>IF($N976="","",$N976*IF($Q976="",1,$Q976)*IF($P976="",1,$P976)*IF($O976="",1,$O976))</f>
        <v/>
      </c>
      <c r="S976" s="22">
        <f>IFERROR(INDEX(CONFIGURACOES!$J$37:$J$300,MATCH($I976,CONFIGURACOES!$B$37:$B$300,0)),"")</f>
        <v/>
      </c>
      <c r="T976" s="22">
        <f>IF(OR($R976="",$S976=""),"",$R976*$S976)</f>
        <v/>
      </c>
      <c r="U976" s="20" t="n"/>
      <c r="V976" s="20" t="n"/>
      <c r="W976" s="20" t="n"/>
      <c r="X976">
        <f>IF($A976="","",$A976&amp;"|"&amp;$C976&amp;"|"&amp;$I976)</f>
        <v/>
      </c>
      <c r="Y976">
        <f>IF(AND($A976=RELATORIO_MEDICAO!$C$5,$C976=RELATORIO_MEDICAO!$F$5,$A976&lt;&gt;""),COUNTIFS($A$3:$A976,RELATORIO_MEDICAO!$C$5,$C$3:$C976,RELATORIO_MEDICAO!$F$5),"")</f>
        <v/>
      </c>
      <c r="Z976">
        <f>IF(OR($A976="",PESQUISA!$C$4=""),0,IF(OR(ISNUMBER(SEARCH(PESQUISA!$C$4,$G976)),ISNUMBER(SEARCH(PESQUISA!$C$4,$K976)),ISNUMBER(SEARCH(PESQUISA!$C$4,$L976))),1,0))</f>
        <v/>
      </c>
      <c r="AA976">
        <f>IF($Z976=1,SUM($Z$3:$Z976),"")</f>
        <v/>
      </c>
      <c r="AB976">
        <f>IF(OR($A976="",PESQUISA!$C$50=""),0,IF(ISNUMBER(SEARCH(PESQUISA!$C$50,$I976)),1,0))</f>
        <v/>
      </c>
      <c r="AC976">
        <f>IF($AB976=1,SUM($AB$3:$AB976),"")</f>
        <v/>
      </c>
    </row>
    <row r="977">
      <c r="A977" s="20" t="n"/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>
        <f>IFERROR(INDEX(CONFIGURACOES!$G$37:$G$300,MATCH($I977,CONFIGURACOES!$B$37:$B$300,0)),"")</f>
        <v/>
      </c>
      <c r="K977" s="20">
        <f>IFERROR(INDEX(CONFIGURACOES!$H$37:$H$300,MATCH($I977,CONFIGURACOES!$B$37:$B$300,0)),"")</f>
        <v/>
      </c>
      <c r="L977" s="20" t="n"/>
      <c r="M977" s="20">
        <f>IFERROR(INDEX(CONFIGURACOES!$I$37:$I$300,MATCH($I977,CONFIGURACOES!$B$37:$B$300,0)),"")</f>
        <v/>
      </c>
      <c r="N977" s="21" t="n"/>
      <c r="O977" s="21" t="n"/>
      <c r="P977" s="21" t="n"/>
      <c r="Q977" s="21" t="n"/>
      <c r="R977" s="21">
        <f>IF($N977="","",$N977*IF($Q977="",1,$Q977)*IF($P977="",1,$P977)*IF($O977="",1,$O977))</f>
        <v/>
      </c>
      <c r="S977" s="22">
        <f>IFERROR(INDEX(CONFIGURACOES!$J$37:$J$300,MATCH($I977,CONFIGURACOES!$B$37:$B$300,0)),"")</f>
        <v/>
      </c>
      <c r="T977" s="22">
        <f>IF(OR($R977="",$S977=""),"",$R977*$S977)</f>
        <v/>
      </c>
      <c r="U977" s="20" t="n"/>
      <c r="V977" s="20" t="n"/>
      <c r="W977" s="20" t="n"/>
      <c r="X977">
        <f>IF($A977="","",$A977&amp;"|"&amp;$C977&amp;"|"&amp;$I977)</f>
        <v/>
      </c>
      <c r="Y977">
        <f>IF(AND($A977=RELATORIO_MEDICAO!$C$5,$C977=RELATORIO_MEDICAO!$F$5,$A977&lt;&gt;""),COUNTIFS($A$3:$A977,RELATORIO_MEDICAO!$C$5,$C$3:$C977,RELATORIO_MEDICAO!$F$5),"")</f>
        <v/>
      </c>
      <c r="Z977">
        <f>IF(OR($A977="",PESQUISA!$C$4=""),0,IF(OR(ISNUMBER(SEARCH(PESQUISA!$C$4,$G977)),ISNUMBER(SEARCH(PESQUISA!$C$4,$K977)),ISNUMBER(SEARCH(PESQUISA!$C$4,$L977))),1,0))</f>
        <v/>
      </c>
      <c r="AA977">
        <f>IF($Z977=1,SUM($Z$3:$Z977),"")</f>
        <v/>
      </c>
      <c r="AB977">
        <f>IF(OR($A977="",PESQUISA!$C$50=""),0,IF(ISNUMBER(SEARCH(PESQUISA!$C$50,$I977)),1,0))</f>
        <v/>
      </c>
      <c r="AC977">
        <f>IF($AB977=1,SUM($AB$3:$AB977),"")</f>
        <v/>
      </c>
    </row>
    <row r="978">
      <c r="A978" s="20" t="n"/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>
        <f>IFERROR(INDEX(CONFIGURACOES!$G$37:$G$300,MATCH($I978,CONFIGURACOES!$B$37:$B$300,0)),"")</f>
        <v/>
      </c>
      <c r="K978" s="20">
        <f>IFERROR(INDEX(CONFIGURACOES!$H$37:$H$300,MATCH($I978,CONFIGURACOES!$B$37:$B$300,0)),"")</f>
        <v/>
      </c>
      <c r="L978" s="20" t="n"/>
      <c r="M978" s="20">
        <f>IFERROR(INDEX(CONFIGURACOES!$I$37:$I$300,MATCH($I978,CONFIGURACOES!$B$37:$B$300,0)),"")</f>
        <v/>
      </c>
      <c r="N978" s="21" t="n"/>
      <c r="O978" s="21" t="n"/>
      <c r="P978" s="21" t="n"/>
      <c r="Q978" s="21" t="n"/>
      <c r="R978" s="21">
        <f>IF($N978="","",$N978*IF($Q978="",1,$Q978)*IF($P978="",1,$P978)*IF($O978="",1,$O978))</f>
        <v/>
      </c>
      <c r="S978" s="22">
        <f>IFERROR(INDEX(CONFIGURACOES!$J$37:$J$300,MATCH($I978,CONFIGURACOES!$B$37:$B$300,0)),"")</f>
        <v/>
      </c>
      <c r="T978" s="22">
        <f>IF(OR($R978="",$S978=""),"",$R978*$S978)</f>
        <v/>
      </c>
      <c r="U978" s="20" t="n"/>
      <c r="V978" s="20" t="n"/>
      <c r="W978" s="20" t="n"/>
      <c r="X978">
        <f>IF($A978="","",$A978&amp;"|"&amp;$C978&amp;"|"&amp;$I978)</f>
        <v/>
      </c>
      <c r="Y978">
        <f>IF(AND($A978=RELATORIO_MEDICAO!$C$5,$C978=RELATORIO_MEDICAO!$F$5,$A978&lt;&gt;""),COUNTIFS($A$3:$A978,RELATORIO_MEDICAO!$C$5,$C$3:$C978,RELATORIO_MEDICAO!$F$5),"")</f>
        <v/>
      </c>
      <c r="Z978">
        <f>IF(OR($A978="",PESQUISA!$C$4=""),0,IF(OR(ISNUMBER(SEARCH(PESQUISA!$C$4,$G978)),ISNUMBER(SEARCH(PESQUISA!$C$4,$K978)),ISNUMBER(SEARCH(PESQUISA!$C$4,$L978))),1,0))</f>
        <v/>
      </c>
      <c r="AA978">
        <f>IF($Z978=1,SUM($Z$3:$Z978),"")</f>
        <v/>
      </c>
      <c r="AB978">
        <f>IF(OR($A978="",PESQUISA!$C$50=""),0,IF(ISNUMBER(SEARCH(PESQUISA!$C$50,$I978)),1,0))</f>
        <v/>
      </c>
      <c r="AC978">
        <f>IF($AB978=1,SUM($AB$3:$AB978),"")</f>
        <v/>
      </c>
    </row>
    <row r="979">
      <c r="A979" s="20" t="n"/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>
        <f>IFERROR(INDEX(CONFIGURACOES!$G$37:$G$300,MATCH($I979,CONFIGURACOES!$B$37:$B$300,0)),"")</f>
        <v/>
      </c>
      <c r="K979" s="20">
        <f>IFERROR(INDEX(CONFIGURACOES!$H$37:$H$300,MATCH($I979,CONFIGURACOES!$B$37:$B$300,0)),"")</f>
        <v/>
      </c>
      <c r="L979" s="20" t="n"/>
      <c r="M979" s="20">
        <f>IFERROR(INDEX(CONFIGURACOES!$I$37:$I$300,MATCH($I979,CONFIGURACOES!$B$37:$B$300,0)),"")</f>
        <v/>
      </c>
      <c r="N979" s="21" t="n"/>
      <c r="O979" s="21" t="n"/>
      <c r="P979" s="21" t="n"/>
      <c r="Q979" s="21" t="n"/>
      <c r="R979" s="21">
        <f>IF($N979="","",$N979*IF($Q979="",1,$Q979)*IF($P979="",1,$P979)*IF($O979="",1,$O979))</f>
        <v/>
      </c>
      <c r="S979" s="22">
        <f>IFERROR(INDEX(CONFIGURACOES!$J$37:$J$300,MATCH($I979,CONFIGURACOES!$B$37:$B$300,0)),"")</f>
        <v/>
      </c>
      <c r="T979" s="22">
        <f>IF(OR($R979="",$S979=""),"",$R979*$S979)</f>
        <v/>
      </c>
      <c r="U979" s="20" t="n"/>
      <c r="V979" s="20" t="n"/>
      <c r="W979" s="20" t="n"/>
      <c r="X979">
        <f>IF($A979="","",$A979&amp;"|"&amp;$C979&amp;"|"&amp;$I979)</f>
        <v/>
      </c>
      <c r="Y979">
        <f>IF(AND($A979=RELATORIO_MEDICAO!$C$5,$C979=RELATORIO_MEDICAO!$F$5,$A979&lt;&gt;""),COUNTIFS($A$3:$A979,RELATORIO_MEDICAO!$C$5,$C$3:$C979,RELATORIO_MEDICAO!$F$5),"")</f>
        <v/>
      </c>
      <c r="Z979">
        <f>IF(OR($A979="",PESQUISA!$C$4=""),0,IF(OR(ISNUMBER(SEARCH(PESQUISA!$C$4,$G979)),ISNUMBER(SEARCH(PESQUISA!$C$4,$K979)),ISNUMBER(SEARCH(PESQUISA!$C$4,$L979))),1,0))</f>
        <v/>
      </c>
      <c r="AA979">
        <f>IF($Z979=1,SUM($Z$3:$Z979),"")</f>
        <v/>
      </c>
      <c r="AB979">
        <f>IF(OR($A979="",PESQUISA!$C$50=""),0,IF(ISNUMBER(SEARCH(PESQUISA!$C$50,$I979)),1,0))</f>
        <v/>
      </c>
      <c r="AC979">
        <f>IF($AB979=1,SUM($AB$3:$AB979),"")</f>
        <v/>
      </c>
    </row>
    <row r="980">
      <c r="A980" s="20" t="n"/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>
        <f>IFERROR(INDEX(CONFIGURACOES!$G$37:$G$300,MATCH($I980,CONFIGURACOES!$B$37:$B$300,0)),"")</f>
        <v/>
      </c>
      <c r="K980" s="20">
        <f>IFERROR(INDEX(CONFIGURACOES!$H$37:$H$300,MATCH($I980,CONFIGURACOES!$B$37:$B$300,0)),"")</f>
        <v/>
      </c>
      <c r="L980" s="20" t="n"/>
      <c r="M980" s="20">
        <f>IFERROR(INDEX(CONFIGURACOES!$I$37:$I$300,MATCH($I980,CONFIGURACOES!$B$37:$B$300,0)),"")</f>
        <v/>
      </c>
      <c r="N980" s="21" t="n"/>
      <c r="O980" s="21" t="n"/>
      <c r="P980" s="21" t="n"/>
      <c r="Q980" s="21" t="n"/>
      <c r="R980" s="21">
        <f>IF($N980="","",$N980*IF($Q980="",1,$Q980)*IF($P980="",1,$P980)*IF($O980="",1,$O980))</f>
        <v/>
      </c>
      <c r="S980" s="22">
        <f>IFERROR(INDEX(CONFIGURACOES!$J$37:$J$300,MATCH($I980,CONFIGURACOES!$B$37:$B$300,0)),"")</f>
        <v/>
      </c>
      <c r="T980" s="22">
        <f>IF(OR($R980="",$S980=""),"",$R980*$S980)</f>
        <v/>
      </c>
      <c r="U980" s="20" t="n"/>
      <c r="V980" s="20" t="n"/>
      <c r="W980" s="20" t="n"/>
      <c r="X980">
        <f>IF($A980="","",$A980&amp;"|"&amp;$C980&amp;"|"&amp;$I980)</f>
        <v/>
      </c>
      <c r="Y980">
        <f>IF(AND($A980=RELATORIO_MEDICAO!$C$5,$C980=RELATORIO_MEDICAO!$F$5,$A980&lt;&gt;""),COUNTIFS($A$3:$A980,RELATORIO_MEDICAO!$C$5,$C$3:$C980,RELATORIO_MEDICAO!$F$5),"")</f>
        <v/>
      </c>
      <c r="Z980">
        <f>IF(OR($A980="",PESQUISA!$C$4=""),0,IF(OR(ISNUMBER(SEARCH(PESQUISA!$C$4,$G980)),ISNUMBER(SEARCH(PESQUISA!$C$4,$K980)),ISNUMBER(SEARCH(PESQUISA!$C$4,$L980))),1,0))</f>
        <v/>
      </c>
      <c r="AA980">
        <f>IF($Z980=1,SUM($Z$3:$Z980),"")</f>
        <v/>
      </c>
      <c r="AB980">
        <f>IF(OR($A980="",PESQUISA!$C$50=""),0,IF(ISNUMBER(SEARCH(PESQUISA!$C$50,$I980)),1,0))</f>
        <v/>
      </c>
      <c r="AC980">
        <f>IF($AB980=1,SUM($AB$3:$AB980),"")</f>
        <v/>
      </c>
    </row>
    <row r="981">
      <c r="A981" s="20" t="n"/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>
        <f>IFERROR(INDEX(CONFIGURACOES!$G$37:$G$300,MATCH($I981,CONFIGURACOES!$B$37:$B$300,0)),"")</f>
        <v/>
      </c>
      <c r="K981" s="20">
        <f>IFERROR(INDEX(CONFIGURACOES!$H$37:$H$300,MATCH($I981,CONFIGURACOES!$B$37:$B$300,0)),"")</f>
        <v/>
      </c>
      <c r="L981" s="20" t="n"/>
      <c r="M981" s="20">
        <f>IFERROR(INDEX(CONFIGURACOES!$I$37:$I$300,MATCH($I981,CONFIGURACOES!$B$37:$B$300,0)),"")</f>
        <v/>
      </c>
      <c r="N981" s="21" t="n"/>
      <c r="O981" s="21" t="n"/>
      <c r="P981" s="21" t="n"/>
      <c r="Q981" s="21" t="n"/>
      <c r="R981" s="21">
        <f>IF($N981="","",$N981*IF($Q981="",1,$Q981)*IF($P981="",1,$P981)*IF($O981="",1,$O981))</f>
        <v/>
      </c>
      <c r="S981" s="22">
        <f>IFERROR(INDEX(CONFIGURACOES!$J$37:$J$300,MATCH($I981,CONFIGURACOES!$B$37:$B$300,0)),"")</f>
        <v/>
      </c>
      <c r="T981" s="22">
        <f>IF(OR($R981="",$S981=""),"",$R981*$S981)</f>
        <v/>
      </c>
      <c r="U981" s="20" t="n"/>
      <c r="V981" s="20" t="n"/>
      <c r="W981" s="20" t="n"/>
      <c r="X981">
        <f>IF($A981="","",$A981&amp;"|"&amp;$C981&amp;"|"&amp;$I981)</f>
        <v/>
      </c>
      <c r="Y981">
        <f>IF(AND($A981=RELATORIO_MEDICAO!$C$5,$C981=RELATORIO_MEDICAO!$F$5,$A981&lt;&gt;""),COUNTIFS($A$3:$A981,RELATORIO_MEDICAO!$C$5,$C$3:$C981,RELATORIO_MEDICAO!$F$5),"")</f>
        <v/>
      </c>
      <c r="Z981">
        <f>IF(OR($A981="",PESQUISA!$C$4=""),0,IF(OR(ISNUMBER(SEARCH(PESQUISA!$C$4,$G981)),ISNUMBER(SEARCH(PESQUISA!$C$4,$K981)),ISNUMBER(SEARCH(PESQUISA!$C$4,$L981))),1,0))</f>
        <v/>
      </c>
      <c r="AA981">
        <f>IF($Z981=1,SUM($Z$3:$Z981),"")</f>
        <v/>
      </c>
      <c r="AB981">
        <f>IF(OR($A981="",PESQUISA!$C$50=""),0,IF(ISNUMBER(SEARCH(PESQUISA!$C$50,$I981)),1,0))</f>
        <v/>
      </c>
      <c r="AC981">
        <f>IF($AB981=1,SUM($AB$3:$AB981),"")</f>
        <v/>
      </c>
    </row>
    <row r="982">
      <c r="A982" s="20" t="n"/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>
        <f>IFERROR(INDEX(CONFIGURACOES!$G$37:$G$300,MATCH($I982,CONFIGURACOES!$B$37:$B$300,0)),"")</f>
        <v/>
      </c>
      <c r="K982" s="20">
        <f>IFERROR(INDEX(CONFIGURACOES!$H$37:$H$300,MATCH($I982,CONFIGURACOES!$B$37:$B$300,0)),"")</f>
        <v/>
      </c>
      <c r="L982" s="20" t="n"/>
      <c r="M982" s="20">
        <f>IFERROR(INDEX(CONFIGURACOES!$I$37:$I$300,MATCH($I982,CONFIGURACOES!$B$37:$B$300,0)),"")</f>
        <v/>
      </c>
      <c r="N982" s="21" t="n"/>
      <c r="O982" s="21" t="n"/>
      <c r="P982" s="21" t="n"/>
      <c r="Q982" s="21" t="n"/>
      <c r="R982" s="21">
        <f>IF($N982="","",$N982*IF($Q982="",1,$Q982)*IF($P982="",1,$P982)*IF($O982="",1,$O982))</f>
        <v/>
      </c>
      <c r="S982" s="22">
        <f>IFERROR(INDEX(CONFIGURACOES!$J$37:$J$300,MATCH($I982,CONFIGURACOES!$B$37:$B$300,0)),"")</f>
        <v/>
      </c>
      <c r="T982" s="22">
        <f>IF(OR($R982="",$S982=""),"",$R982*$S982)</f>
        <v/>
      </c>
      <c r="U982" s="20" t="n"/>
      <c r="V982" s="20" t="n"/>
      <c r="W982" s="20" t="n"/>
      <c r="X982">
        <f>IF($A982="","",$A982&amp;"|"&amp;$C982&amp;"|"&amp;$I982)</f>
        <v/>
      </c>
      <c r="Y982">
        <f>IF(AND($A982=RELATORIO_MEDICAO!$C$5,$C982=RELATORIO_MEDICAO!$F$5,$A982&lt;&gt;""),COUNTIFS($A$3:$A982,RELATORIO_MEDICAO!$C$5,$C$3:$C982,RELATORIO_MEDICAO!$F$5),"")</f>
        <v/>
      </c>
      <c r="Z982">
        <f>IF(OR($A982="",PESQUISA!$C$4=""),0,IF(OR(ISNUMBER(SEARCH(PESQUISA!$C$4,$G982)),ISNUMBER(SEARCH(PESQUISA!$C$4,$K982)),ISNUMBER(SEARCH(PESQUISA!$C$4,$L982))),1,0))</f>
        <v/>
      </c>
      <c r="AA982">
        <f>IF($Z982=1,SUM($Z$3:$Z982),"")</f>
        <v/>
      </c>
      <c r="AB982">
        <f>IF(OR($A982="",PESQUISA!$C$50=""),0,IF(ISNUMBER(SEARCH(PESQUISA!$C$50,$I982)),1,0))</f>
        <v/>
      </c>
      <c r="AC982">
        <f>IF($AB982=1,SUM($AB$3:$AB982),"")</f>
        <v/>
      </c>
    </row>
    <row r="983">
      <c r="A983" s="20" t="n"/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>
        <f>IFERROR(INDEX(CONFIGURACOES!$G$37:$G$300,MATCH($I983,CONFIGURACOES!$B$37:$B$300,0)),"")</f>
        <v/>
      </c>
      <c r="K983" s="20">
        <f>IFERROR(INDEX(CONFIGURACOES!$H$37:$H$300,MATCH($I983,CONFIGURACOES!$B$37:$B$300,0)),"")</f>
        <v/>
      </c>
      <c r="L983" s="20" t="n"/>
      <c r="M983" s="20">
        <f>IFERROR(INDEX(CONFIGURACOES!$I$37:$I$300,MATCH($I983,CONFIGURACOES!$B$37:$B$300,0)),"")</f>
        <v/>
      </c>
      <c r="N983" s="21" t="n"/>
      <c r="O983" s="21" t="n"/>
      <c r="P983" s="21" t="n"/>
      <c r="Q983" s="21" t="n"/>
      <c r="R983" s="21">
        <f>IF($N983="","",$N983*IF($Q983="",1,$Q983)*IF($P983="",1,$P983)*IF($O983="",1,$O983))</f>
        <v/>
      </c>
      <c r="S983" s="22">
        <f>IFERROR(INDEX(CONFIGURACOES!$J$37:$J$300,MATCH($I983,CONFIGURACOES!$B$37:$B$300,0)),"")</f>
        <v/>
      </c>
      <c r="T983" s="22">
        <f>IF(OR($R983="",$S983=""),"",$R983*$S983)</f>
        <v/>
      </c>
      <c r="U983" s="20" t="n"/>
      <c r="V983" s="20" t="n"/>
      <c r="W983" s="20" t="n"/>
      <c r="X983">
        <f>IF($A983="","",$A983&amp;"|"&amp;$C983&amp;"|"&amp;$I983)</f>
        <v/>
      </c>
      <c r="Y983">
        <f>IF(AND($A983=RELATORIO_MEDICAO!$C$5,$C983=RELATORIO_MEDICAO!$F$5,$A983&lt;&gt;""),COUNTIFS($A$3:$A983,RELATORIO_MEDICAO!$C$5,$C$3:$C983,RELATORIO_MEDICAO!$F$5),"")</f>
        <v/>
      </c>
      <c r="Z983">
        <f>IF(OR($A983="",PESQUISA!$C$4=""),0,IF(OR(ISNUMBER(SEARCH(PESQUISA!$C$4,$G983)),ISNUMBER(SEARCH(PESQUISA!$C$4,$K983)),ISNUMBER(SEARCH(PESQUISA!$C$4,$L983))),1,0))</f>
        <v/>
      </c>
      <c r="AA983">
        <f>IF($Z983=1,SUM($Z$3:$Z983),"")</f>
        <v/>
      </c>
      <c r="AB983">
        <f>IF(OR($A983="",PESQUISA!$C$50=""),0,IF(ISNUMBER(SEARCH(PESQUISA!$C$50,$I983)),1,0))</f>
        <v/>
      </c>
      <c r="AC983">
        <f>IF($AB983=1,SUM($AB$3:$AB983),"")</f>
        <v/>
      </c>
    </row>
    <row r="984">
      <c r="A984" s="20" t="n"/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>
        <f>IFERROR(INDEX(CONFIGURACOES!$G$37:$G$300,MATCH($I984,CONFIGURACOES!$B$37:$B$300,0)),"")</f>
        <v/>
      </c>
      <c r="K984" s="20">
        <f>IFERROR(INDEX(CONFIGURACOES!$H$37:$H$300,MATCH($I984,CONFIGURACOES!$B$37:$B$300,0)),"")</f>
        <v/>
      </c>
      <c r="L984" s="20" t="n"/>
      <c r="M984" s="20">
        <f>IFERROR(INDEX(CONFIGURACOES!$I$37:$I$300,MATCH($I984,CONFIGURACOES!$B$37:$B$300,0)),"")</f>
        <v/>
      </c>
      <c r="N984" s="21" t="n"/>
      <c r="O984" s="21" t="n"/>
      <c r="P984" s="21" t="n"/>
      <c r="Q984" s="21" t="n"/>
      <c r="R984" s="21">
        <f>IF($N984="","",$N984*IF($Q984="",1,$Q984)*IF($P984="",1,$P984)*IF($O984="",1,$O984))</f>
        <v/>
      </c>
      <c r="S984" s="22">
        <f>IFERROR(INDEX(CONFIGURACOES!$J$37:$J$300,MATCH($I984,CONFIGURACOES!$B$37:$B$300,0)),"")</f>
        <v/>
      </c>
      <c r="T984" s="22">
        <f>IF(OR($R984="",$S984=""),"",$R984*$S984)</f>
        <v/>
      </c>
      <c r="U984" s="20" t="n"/>
      <c r="V984" s="20" t="n"/>
      <c r="W984" s="20" t="n"/>
      <c r="X984">
        <f>IF($A984="","",$A984&amp;"|"&amp;$C984&amp;"|"&amp;$I984)</f>
        <v/>
      </c>
      <c r="Y984">
        <f>IF(AND($A984=RELATORIO_MEDICAO!$C$5,$C984=RELATORIO_MEDICAO!$F$5,$A984&lt;&gt;""),COUNTIFS($A$3:$A984,RELATORIO_MEDICAO!$C$5,$C$3:$C984,RELATORIO_MEDICAO!$F$5),"")</f>
        <v/>
      </c>
      <c r="Z984">
        <f>IF(OR($A984="",PESQUISA!$C$4=""),0,IF(OR(ISNUMBER(SEARCH(PESQUISA!$C$4,$G984)),ISNUMBER(SEARCH(PESQUISA!$C$4,$K984)),ISNUMBER(SEARCH(PESQUISA!$C$4,$L984))),1,0))</f>
        <v/>
      </c>
      <c r="AA984">
        <f>IF($Z984=1,SUM($Z$3:$Z984),"")</f>
        <v/>
      </c>
      <c r="AB984">
        <f>IF(OR($A984="",PESQUISA!$C$50=""),0,IF(ISNUMBER(SEARCH(PESQUISA!$C$50,$I984)),1,0))</f>
        <v/>
      </c>
      <c r="AC984">
        <f>IF($AB984=1,SUM($AB$3:$AB984),"")</f>
        <v/>
      </c>
    </row>
    <row r="985">
      <c r="A985" s="20" t="n"/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>
        <f>IFERROR(INDEX(CONFIGURACOES!$G$37:$G$300,MATCH($I985,CONFIGURACOES!$B$37:$B$300,0)),"")</f>
        <v/>
      </c>
      <c r="K985" s="20">
        <f>IFERROR(INDEX(CONFIGURACOES!$H$37:$H$300,MATCH($I985,CONFIGURACOES!$B$37:$B$300,0)),"")</f>
        <v/>
      </c>
      <c r="L985" s="20" t="n"/>
      <c r="M985" s="20">
        <f>IFERROR(INDEX(CONFIGURACOES!$I$37:$I$300,MATCH($I985,CONFIGURACOES!$B$37:$B$300,0)),"")</f>
        <v/>
      </c>
      <c r="N985" s="21" t="n"/>
      <c r="O985" s="21" t="n"/>
      <c r="P985" s="21" t="n"/>
      <c r="Q985" s="21" t="n"/>
      <c r="R985" s="21">
        <f>IF($N985="","",$N985*IF($Q985="",1,$Q985)*IF($P985="",1,$P985)*IF($O985="",1,$O985))</f>
        <v/>
      </c>
      <c r="S985" s="22">
        <f>IFERROR(INDEX(CONFIGURACOES!$J$37:$J$300,MATCH($I985,CONFIGURACOES!$B$37:$B$300,0)),"")</f>
        <v/>
      </c>
      <c r="T985" s="22">
        <f>IF(OR($R985="",$S985=""),"",$R985*$S985)</f>
        <v/>
      </c>
      <c r="U985" s="20" t="n"/>
      <c r="V985" s="20" t="n"/>
      <c r="W985" s="20" t="n"/>
      <c r="X985">
        <f>IF($A985="","",$A985&amp;"|"&amp;$C985&amp;"|"&amp;$I985)</f>
        <v/>
      </c>
      <c r="Y985">
        <f>IF(AND($A985=RELATORIO_MEDICAO!$C$5,$C985=RELATORIO_MEDICAO!$F$5,$A985&lt;&gt;""),COUNTIFS($A$3:$A985,RELATORIO_MEDICAO!$C$5,$C$3:$C985,RELATORIO_MEDICAO!$F$5),"")</f>
        <v/>
      </c>
      <c r="Z985">
        <f>IF(OR($A985="",PESQUISA!$C$4=""),0,IF(OR(ISNUMBER(SEARCH(PESQUISA!$C$4,$G985)),ISNUMBER(SEARCH(PESQUISA!$C$4,$K985)),ISNUMBER(SEARCH(PESQUISA!$C$4,$L985))),1,0))</f>
        <v/>
      </c>
      <c r="AA985">
        <f>IF($Z985=1,SUM($Z$3:$Z985),"")</f>
        <v/>
      </c>
      <c r="AB985">
        <f>IF(OR($A985="",PESQUISA!$C$50=""),0,IF(ISNUMBER(SEARCH(PESQUISA!$C$50,$I985)),1,0))</f>
        <v/>
      </c>
      <c r="AC985">
        <f>IF($AB985=1,SUM($AB$3:$AB985),"")</f>
        <v/>
      </c>
    </row>
    <row r="986">
      <c r="A986" s="20" t="n"/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>
        <f>IFERROR(INDEX(CONFIGURACOES!$G$37:$G$300,MATCH($I986,CONFIGURACOES!$B$37:$B$300,0)),"")</f>
        <v/>
      </c>
      <c r="K986" s="20">
        <f>IFERROR(INDEX(CONFIGURACOES!$H$37:$H$300,MATCH($I986,CONFIGURACOES!$B$37:$B$300,0)),"")</f>
        <v/>
      </c>
      <c r="L986" s="20" t="n"/>
      <c r="M986" s="20">
        <f>IFERROR(INDEX(CONFIGURACOES!$I$37:$I$300,MATCH($I986,CONFIGURACOES!$B$37:$B$300,0)),"")</f>
        <v/>
      </c>
      <c r="N986" s="21" t="n"/>
      <c r="O986" s="21" t="n"/>
      <c r="P986" s="21" t="n"/>
      <c r="Q986" s="21" t="n"/>
      <c r="R986" s="21">
        <f>IF($N986="","",$N986*IF($Q986="",1,$Q986)*IF($P986="",1,$P986)*IF($O986="",1,$O986))</f>
        <v/>
      </c>
      <c r="S986" s="22">
        <f>IFERROR(INDEX(CONFIGURACOES!$J$37:$J$300,MATCH($I986,CONFIGURACOES!$B$37:$B$300,0)),"")</f>
        <v/>
      </c>
      <c r="T986" s="22">
        <f>IF(OR($R986="",$S986=""),"",$R986*$S986)</f>
        <v/>
      </c>
      <c r="U986" s="20" t="n"/>
      <c r="V986" s="20" t="n"/>
      <c r="W986" s="20" t="n"/>
      <c r="X986">
        <f>IF($A986="","",$A986&amp;"|"&amp;$C986&amp;"|"&amp;$I986)</f>
        <v/>
      </c>
      <c r="Y986">
        <f>IF(AND($A986=RELATORIO_MEDICAO!$C$5,$C986=RELATORIO_MEDICAO!$F$5,$A986&lt;&gt;""),COUNTIFS($A$3:$A986,RELATORIO_MEDICAO!$C$5,$C$3:$C986,RELATORIO_MEDICAO!$F$5),"")</f>
        <v/>
      </c>
      <c r="Z986">
        <f>IF(OR($A986="",PESQUISA!$C$4=""),0,IF(OR(ISNUMBER(SEARCH(PESQUISA!$C$4,$G986)),ISNUMBER(SEARCH(PESQUISA!$C$4,$K986)),ISNUMBER(SEARCH(PESQUISA!$C$4,$L986))),1,0))</f>
        <v/>
      </c>
      <c r="AA986">
        <f>IF($Z986=1,SUM($Z$3:$Z986),"")</f>
        <v/>
      </c>
      <c r="AB986">
        <f>IF(OR($A986="",PESQUISA!$C$50=""),0,IF(ISNUMBER(SEARCH(PESQUISA!$C$50,$I986)),1,0))</f>
        <v/>
      </c>
      <c r="AC986">
        <f>IF($AB986=1,SUM($AB$3:$AB986),"")</f>
        <v/>
      </c>
    </row>
    <row r="987">
      <c r="A987" s="20" t="n"/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>
        <f>IFERROR(INDEX(CONFIGURACOES!$G$37:$G$300,MATCH($I987,CONFIGURACOES!$B$37:$B$300,0)),"")</f>
        <v/>
      </c>
      <c r="K987" s="20">
        <f>IFERROR(INDEX(CONFIGURACOES!$H$37:$H$300,MATCH($I987,CONFIGURACOES!$B$37:$B$300,0)),"")</f>
        <v/>
      </c>
      <c r="L987" s="20" t="n"/>
      <c r="M987" s="20">
        <f>IFERROR(INDEX(CONFIGURACOES!$I$37:$I$300,MATCH($I987,CONFIGURACOES!$B$37:$B$300,0)),"")</f>
        <v/>
      </c>
      <c r="N987" s="21" t="n"/>
      <c r="O987" s="21" t="n"/>
      <c r="P987" s="21" t="n"/>
      <c r="Q987" s="21" t="n"/>
      <c r="R987" s="21">
        <f>IF($N987="","",$N987*IF($Q987="",1,$Q987)*IF($P987="",1,$P987)*IF($O987="",1,$O987))</f>
        <v/>
      </c>
      <c r="S987" s="22">
        <f>IFERROR(INDEX(CONFIGURACOES!$J$37:$J$300,MATCH($I987,CONFIGURACOES!$B$37:$B$300,0)),"")</f>
        <v/>
      </c>
      <c r="T987" s="22">
        <f>IF(OR($R987="",$S987=""),"",$R987*$S987)</f>
        <v/>
      </c>
      <c r="U987" s="20" t="n"/>
      <c r="V987" s="20" t="n"/>
      <c r="W987" s="20" t="n"/>
      <c r="X987">
        <f>IF($A987="","",$A987&amp;"|"&amp;$C987&amp;"|"&amp;$I987)</f>
        <v/>
      </c>
      <c r="Y987">
        <f>IF(AND($A987=RELATORIO_MEDICAO!$C$5,$C987=RELATORIO_MEDICAO!$F$5,$A987&lt;&gt;""),COUNTIFS($A$3:$A987,RELATORIO_MEDICAO!$C$5,$C$3:$C987,RELATORIO_MEDICAO!$F$5),"")</f>
        <v/>
      </c>
      <c r="Z987">
        <f>IF(OR($A987="",PESQUISA!$C$4=""),0,IF(OR(ISNUMBER(SEARCH(PESQUISA!$C$4,$G987)),ISNUMBER(SEARCH(PESQUISA!$C$4,$K987)),ISNUMBER(SEARCH(PESQUISA!$C$4,$L987))),1,0))</f>
        <v/>
      </c>
      <c r="AA987">
        <f>IF($Z987=1,SUM($Z$3:$Z987),"")</f>
        <v/>
      </c>
      <c r="AB987">
        <f>IF(OR($A987="",PESQUISA!$C$50=""),0,IF(ISNUMBER(SEARCH(PESQUISA!$C$50,$I987)),1,0))</f>
        <v/>
      </c>
      <c r="AC987">
        <f>IF($AB987=1,SUM($AB$3:$AB987),"")</f>
        <v/>
      </c>
    </row>
    <row r="988">
      <c r="A988" s="20" t="n"/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>
        <f>IFERROR(INDEX(CONFIGURACOES!$G$37:$G$300,MATCH($I988,CONFIGURACOES!$B$37:$B$300,0)),"")</f>
        <v/>
      </c>
      <c r="K988" s="20">
        <f>IFERROR(INDEX(CONFIGURACOES!$H$37:$H$300,MATCH($I988,CONFIGURACOES!$B$37:$B$300,0)),"")</f>
        <v/>
      </c>
      <c r="L988" s="20" t="n"/>
      <c r="M988" s="20">
        <f>IFERROR(INDEX(CONFIGURACOES!$I$37:$I$300,MATCH($I988,CONFIGURACOES!$B$37:$B$300,0)),"")</f>
        <v/>
      </c>
      <c r="N988" s="21" t="n"/>
      <c r="O988" s="21" t="n"/>
      <c r="P988" s="21" t="n"/>
      <c r="Q988" s="21" t="n"/>
      <c r="R988" s="21">
        <f>IF($N988="","",$N988*IF($Q988="",1,$Q988)*IF($P988="",1,$P988)*IF($O988="",1,$O988))</f>
        <v/>
      </c>
      <c r="S988" s="22">
        <f>IFERROR(INDEX(CONFIGURACOES!$J$37:$J$300,MATCH($I988,CONFIGURACOES!$B$37:$B$300,0)),"")</f>
        <v/>
      </c>
      <c r="T988" s="22">
        <f>IF(OR($R988="",$S988=""),"",$R988*$S988)</f>
        <v/>
      </c>
      <c r="U988" s="20" t="n"/>
      <c r="V988" s="20" t="n"/>
      <c r="W988" s="20" t="n"/>
      <c r="X988">
        <f>IF($A988="","",$A988&amp;"|"&amp;$C988&amp;"|"&amp;$I988)</f>
        <v/>
      </c>
      <c r="Y988">
        <f>IF(AND($A988=RELATORIO_MEDICAO!$C$5,$C988=RELATORIO_MEDICAO!$F$5,$A988&lt;&gt;""),COUNTIFS($A$3:$A988,RELATORIO_MEDICAO!$C$5,$C$3:$C988,RELATORIO_MEDICAO!$F$5),"")</f>
        <v/>
      </c>
      <c r="Z988">
        <f>IF(OR($A988="",PESQUISA!$C$4=""),0,IF(OR(ISNUMBER(SEARCH(PESQUISA!$C$4,$G988)),ISNUMBER(SEARCH(PESQUISA!$C$4,$K988)),ISNUMBER(SEARCH(PESQUISA!$C$4,$L988))),1,0))</f>
        <v/>
      </c>
      <c r="AA988">
        <f>IF($Z988=1,SUM($Z$3:$Z988),"")</f>
        <v/>
      </c>
      <c r="AB988">
        <f>IF(OR($A988="",PESQUISA!$C$50=""),0,IF(ISNUMBER(SEARCH(PESQUISA!$C$50,$I988)),1,0))</f>
        <v/>
      </c>
      <c r="AC988">
        <f>IF($AB988=1,SUM($AB$3:$AB988),"")</f>
        <v/>
      </c>
    </row>
    <row r="989">
      <c r="A989" s="20" t="n"/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>
        <f>IFERROR(INDEX(CONFIGURACOES!$G$37:$G$300,MATCH($I989,CONFIGURACOES!$B$37:$B$300,0)),"")</f>
        <v/>
      </c>
      <c r="K989" s="20">
        <f>IFERROR(INDEX(CONFIGURACOES!$H$37:$H$300,MATCH($I989,CONFIGURACOES!$B$37:$B$300,0)),"")</f>
        <v/>
      </c>
      <c r="L989" s="20" t="n"/>
      <c r="M989" s="20">
        <f>IFERROR(INDEX(CONFIGURACOES!$I$37:$I$300,MATCH($I989,CONFIGURACOES!$B$37:$B$300,0)),"")</f>
        <v/>
      </c>
      <c r="N989" s="21" t="n"/>
      <c r="O989" s="21" t="n"/>
      <c r="P989" s="21" t="n"/>
      <c r="Q989" s="21" t="n"/>
      <c r="R989" s="21">
        <f>IF($N989="","",$N989*IF($Q989="",1,$Q989)*IF($P989="",1,$P989)*IF($O989="",1,$O989))</f>
        <v/>
      </c>
      <c r="S989" s="22">
        <f>IFERROR(INDEX(CONFIGURACOES!$J$37:$J$300,MATCH($I989,CONFIGURACOES!$B$37:$B$300,0)),"")</f>
        <v/>
      </c>
      <c r="T989" s="22">
        <f>IF(OR($R989="",$S989=""),"",$R989*$S989)</f>
        <v/>
      </c>
      <c r="U989" s="20" t="n"/>
      <c r="V989" s="20" t="n"/>
      <c r="W989" s="20" t="n"/>
      <c r="X989">
        <f>IF($A989="","",$A989&amp;"|"&amp;$C989&amp;"|"&amp;$I989)</f>
        <v/>
      </c>
      <c r="Y989">
        <f>IF(AND($A989=RELATORIO_MEDICAO!$C$5,$C989=RELATORIO_MEDICAO!$F$5,$A989&lt;&gt;""),COUNTIFS($A$3:$A989,RELATORIO_MEDICAO!$C$5,$C$3:$C989,RELATORIO_MEDICAO!$F$5),"")</f>
        <v/>
      </c>
      <c r="Z989">
        <f>IF(OR($A989="",PESQUISA!$C$4=""),0,IF(OR(ISNUMBER(SEARCH(PESQUISA!$C$4,$G989)),ISNUMBER(SEARCH(PESQUISA!$C$4,$K989)),ISNUMBER(SEARCH(PESQUISA!$C$4,$L989))),1,0))</f>
        <v/>
      </c>
      <c r="AA989">
        <f>IF($Z989=1,SUM($Z$3:$Z989),"")</f>
        <v/>
      </c>
      <c r="AB989">
        <f>IF(OR($A989="",PESQUISA!$C$50=""),0,IF(ISNUMBER(SEARCH(PESQUISA!$C$50,$I989)),1,0))</f>
        <v/>
      </c>
      <c r="AC989">
        <f>IF($AB989=1,SUM($AB$3:$AB989),"")</f>
        <v/>
      </c>
    </row>
    <row r="990">
      <c r="A990" s="20" t="n"/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>
        <f>IFERROR(INDEX(CONFIGURACOES!$G$37:$G$300,MATCH($I990,CONFIGURACOES!$B$37:$B$300,0)),"")</f>
        <v/>
      </c>
      <c r="K990" s="20">
        <f>IFERROR(INDEX(CONFIGURACOES!$H$37:$H$300,MATCH($I990,CONFIGURACOES!$B$37:$B$300,0)),"")</f>
        <v/>
      </c>
      <c r="L990" s="20" t="n"/>
      <c r="M990" s="20">
        <f>IFERROR(INDEX(CONFIGURACOES!$I$37:$I$300,MATCH($I990,CONFIGURACOES!$B$37:$B$300,0)),"")</f>
        <v/>
      </c>
      <c r="N990" s="21" t="n"/>
      <c r="O990" s="21" t="n"/>
      <c r="P990" s="21" t="n"/>
      <c r="Q990" s="21" t="n"/>
      <c r="R990" s="21">
        <f>IF($N990="","",$N990*IF($Q990="",1,$Q990)*IF($P990="",1,$P990)*IF($O990="",1,$O990))</f>
        <v/>
      </c>
      <c r="S990" s="22">
        <f>IFERROR(INDEX(CONFIGURACOES!$J$37:$J$300,MATCH($I990,CONFIGURACOES!$B$37:$B$300,0)),"")</f>
        <v/>
      </c>
      <c r="T990" s="22">
        <f>IF(OR($R990="",$S990=""),"",$R990*$S990)</f>
        <v/>
      </c>
      <c r="U990" s="20" t="n"/>
      <c r="V990" s="20" t="n"/>
      <c r="W990" s="20" t="n"/>
      <c r="X990">
        <f>IF($A990="","",$A990&amp;"|"&amp;$C990&amp;"|"&amp;$I990)</f>
        <v/>
      </c>
      <c r="Y990">
        <f>IF(AND($A990=RELATORIO_MEDICAO!$C$5,$C990=RELATORIO_MEDICAO!$F$5,$A990&lt;&gt;""),COUNTIFS($A$3:$A990,RELATORIO_MEDICAO!$C$5,$C$3:$C990,RELATORIO_MEDICAO!$F$5),"")</f>
        <v/>
      </c>
      <c r="Z990">
        <f>IF(OR($A990="",PESQUISA!$C$4=""),0,IF(OR(ISNUMBER(SEARCH(PESQUISA!$C$4,$G990)),ISNUMBER(SEARCH(PESQUISA!$C$4,$K990)),ISNUMBER(SEARCH(PESQUISA!$C$4,$L990))),1,0))</f>
        <v/>
      </c>
      <c r="AA990">
        <f>IF($Z990=1,SUM($Z$3:$Z990),"")</f>
        <v/>
      </c>
      <c r="AB990">
        <f>IF(OR($A990="",PESQUISA!$C$50=""),0,IF(ISNUMBER(SEARCH(PESQUISA!$C$50,$I990)),1,0))</f>
        <v/>
      </c>
      <c r="AC990">
        <f>IF($AB990=1,SUM($AB$3:$AB990),"")</f>
        <v/>
      </c>
    </row>
    <row r="991">
      <c r="A991" s="20" t="n"/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>
        <f>IFERROR(INDEX(CONFIGURACOES!$G$37:$G$300,MATCH($I991,CONFIGURACOES!$B$37:$B$300,0)),"")</f>
        <v/>
      </c>
      <c r="K991" s="20">
        <f>IFERROR(INDEX(CONFIGURACOES!$H$37:$H$300,MATCH($I991,CONFIGURACOES!$B$37:$B$300,0)),"")</f>
        <v/>
      </c>
      <c r="L991" s="20" t="n"/>
      <c r="M991" s="20">
        <f>IFERROR(INDEX(CONFIGURACOES!$I$37:$I$300,MATCH($I991,CONFIGURACOES!$B$37:$B$300,0)),"")</f>
        <v/>
      </c>
      <c r="N991" s="21" t="n"/>
      <c r="O991" s="21" t="n"/>
      <c r="P991" s="21" t="n"/>
      <c r="Q991" s="21" t="n"/>
      <c r="R991" s="21">
        <f>IF($N991="","",$N991*IF($Q991="",1,$Q991)*IF($P991="",1,$P991)*IF($O991="",1,$O991))</f>
        <v/>
      </c>
      <c r="S991" s="22">
        <f>IFERROR(INDEX(CONFIGURACOES!$J$37:$J$300,MATCH($I991,CONFIGURACOES!$B$37:$B$300,0)),"")</f>
        <v/>
      </c>
      <c r="T991" s="22">
        <f>IF(OR($R991="",$S991=""),"",$R991*$S991)</f>
        <v/>
      </c>
      <c r="U991" s="20" t="n"/>
      <c r="V991" s="20" t="n"/>
      <c r="W991" s="20" t="n"/>
      <c r="X991">
        <f>IF($A991="","",$A991&amp;"|"&amp;$C991&amp;"|"&amp;$I991)</f>
        <v/>
      </c>
      <c r="Y991">
        <f>IF(AND($A991=RELATORIO_MEDICAO!$C$5,$C991=RELATORIO_MEDICAO!$F$5,$A991&lt;&gt;""),COUNTIFS($A$3:$A991,RELATORIO_MEDICAO!$C$5,$C$3:$C991,RELATORIO_MEDICAO!$F$5),"")</f>
        <v/>
      </c>
      <c r="Z991">
        <f>IF(OR($A991="",PESQUISA!$C$4=""),0,IF(OR(ISNUMBER(SEARCH(PESQUISA!$C$4,$G991)),ISNUMBER(SEARCH(PESQUISA!$C$4,$K991)),ISNUMBER(SEARCH(PESQUISA!$C$4,$L991))),1,0))</f>
        <v/>
      </c>
      <c r="AA991">
        <f>IF($Z991=1,SUM($Z$3:$Z991),"")</f>
        <v/>
      </c>
      <c r="AB991">
        <f>IF(OR($A991="",PESQUISA!$C$50=""),0,IF(ISNUMBER(SEARCH(PESQUISA!$C$50,$I991)),1,0))</f>
        <v/>
      </c>
      <c r="AC991">
        <f>IF($AB991=1,SUM($AB$3:$AB991),"")</f>
        <v/>
      </c>
    </row>
    <row r="992">
      <c r="A992" s="20" t="n"/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>
        <f>IFERROR(INDEX(CONFIGURACOES!$G$37:$G$300,MATCH($I992,CONFIGURACOES!$B$37:$B$300,0)),"")</f>
        <v/>
      </c>
      <c r="K992" s="20">
        <f>IFERROR(INDEX(CONFIGURACOES!$H$37:$H$300,MATCH($I992,CONFIGURACOES!$B$37:$B$300,0)),"")</f>
        <v/>
      </c>
      <c r="L992" s="20" t="n"/>
      <c r="M992" s="20">
        <f>IFERROR(INDEX(CONFIGURACOES!$I$37:$I$300,MATCH($I992,CONFIGURACOES!$B$37:$B$300,0)),"")</f>
        <v/>
      </c>
      <c r="N992" s="21" t="n"/>
      <c r="O992" s="21" t="n"/>
      <c r="P992" s="21" t="n"/>
      <c r="Q992" s="21" t="n"/>
      <c r="R992" s="21">
        <f>IF($N992="","",$N992*IF($Q992="",1,$Q992)*IF($P992="",1,$P992)*IF($O992="",1,$O992))</f>
        <v/>
      </c>
      <c r="S992" s="22">
        <f>IFERROR(INDEX(CONFIGURACOES!$J$37:$J$300,MATCH($I992,CONFIGURACOES!$B$37:$B$300,0)),"")</f>
        <v/>
      </c>
      <c r="T992" s="22">
        <f>IF(OR($R992="",$S992=""),"",$R992*$S992)</f>
        <v/>
      </c>
      <c r="U992" s="20" t="n"/>
      <c r="V992" s="20" t="n"/>
      <c r="W992" s="20" t="n"/>
      <c r="X992">
        <f>IF($A992="","",$A992&amp;"|"&amp;$C992&amp;"|"&amp;$I992)</f>
        <v/>
      </c>
      <c r="Y992">
        <f>IF(AND($A992=RELATORIO_MEDICAO!$C$5,$C992=RELATORIO_MEDICAO!$F$5,$A992&lt;&gt;""),COUNTIFS($A$3:$A992,RELATORIO_MEDICAO!$C$5,$C$3:$C992,RELATORIO_MEDICAO!$F$5),"")</f>
        <v/>
      </c>
      <c r="Z992">
        <f>IF(OR($A992="",PESQUISA!$C$4=""),0,IF(OR(ISNUMBER(SEARCH(PESQUISA!$C$4,$G992)),ISNUMBER(SEARCH(PESQUISA!$C$4,$K992)),ISNUMBER(SEARCH(PESQUISA!$C$4,$L992))),1,0))</f>
        <v/>
      </c>
      <c r="AA992">
        <f>IF($Z992=1,SUM($Z$3:$Z992),"")</f>
        <v/>
      </c>
      <c r="AB992">
        <f>IF(OR($A992="",PESQUISA!$C$50=""),0,IF(ISNUMBER(SEARCH(PESQUISA!$C$50,$I992)),1,0))</f>
        <v/>
      </c>
      <c r="AC992">
        <f>IF($AB992=1,SUM($AB$3:$AB992),"")</f>
        <v/>
      </c>
    </row>
    <row r="993">
      <c r="A993" s="20" t="n"/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>
        <f>IFERROR(INDEX(CONFIGURACOES!$G$37:$G$300,MATCH($I993,CONFIGURACOES!$B$37:$B$300,0)),"")</f>
        <v/>
      </c>
      <c r="K993" s="20">
        <f>IFERROR(INDEX(CONFIGURACOES!$H$37:$H$300,MATCH($I993,CONFIGURACOES!$B$37:$B$300,0)),"")</f>
        <v/>
      </c>
      <c r="L993" s="20" t="n"/>
      <c r="M993" s="20">
        <f>IFERROR(INDEX(CONFIGURACOES!$I$37:$I$300,MATCH($I993,CONFIGURACOES!$B$37:$B$300,0)),"")</f>
        <v/>
      </c>
      <c r="N993" s="21" t="n"/>
      <c r="O993" s="21" t="n"/>
      <c r="P993" s="21" t="n"/>
      <c r="Q993" s="21" t="n"/>
      <c r="R993" s="21">
        <f>IF($N993="","",$N993*IF($Q993="",1,$Q993)*IF($P993="",1,$P993)*IF($O993="",1,$O993))</f>
        <v/>
      </c>
      <c r="S993" s="22">
        <f>IFERROR(INDEX(CONFIGURACOES!$J$37:$J$300,MATCH($I993,CONFIGURACOES!$B$37:$B$300,0)),"")</f>
        <v/>
      </c>
      <c r="T993" s="22">
        <f>IF(OR($R993="",$S993=""),"",$R993*$S993)</f>
        <v/>
      </c>
      <c r="U993" s="20" t="n"/>
      <c r="V993" s="20" t="n"/>
      <c r="W993" s="20" t="n"/>
      <c r="X993">
        <f>IF($A993="","",$A993&amp;"|"&amp;$C993&amp;"|"&amp;$I993)</f>
        <v/>
      </c>
      <c r="Y993">
        <f>IF(AND($A993=RELATORIO_MEDICAO!$C$5,$C993=RELATORIO_MEDICAO!$F$5,$A993&lt;&gt;""),COUNTIFS($A$3:$A993,RELATORIO_MEDICAO!$C$5,$C$3:$C993,RELATORIO_MEDICAO!$F$5),"")</f>
        <v/>
      </c>
      <c r="Z993">
        <f>IF(OR($A993="",PESQUISA!$C$4=""),0,IF(OR(ISNUMBER(SEARCH(PESQUISA!$C$4,$G993)),ISNUMBER(SEARCH(PESQUISA!$C$4,$K993)),ISNUMBER(SEARCH(PESQUISA!$C$4,$L993))),1,0))</f>
        <v/>
      </c>
      <c r="AA993">
        <f>IF($Z993=1,SUM($Z$3:$Z993),"")</f>
        <v/>
      </c>
      <c r="AB993">
        <f>IF(OR($A993="",PESQUISA!$C$50=""),0,IF(ISNUMBER(SEARCH(PESQUISA!$C$50,$I993)),1,0))</f>
        <v/>
      </c>
      <c r="AC993">
        <f>IF($AB993=1,SUM($AB$3:$AB993),"")</f>
        <v/>
      </c>
    </row>
    <row r="994">
      <c r="A994" s="20" t="n"/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>
        <f>IFERROR(INDEX(CONFIGURACOES!$G$37:$G$300,MATCH($I994,CONFIGURACOES!$B$37:$B$300,0)),"")</f>
        <v/>
      </c>
      <c r="K994" s="20">
        <f>IFERROR(INDEX(CONFIGURACOES!$H$37:$H$300,MATCH($I994,CONFIGURACOES!$B$37:$B$300,0)),"")</f>
        <v/>
      </c>
      <c r="L994" s="20" t="n"/>
      <c r="M994" s="20">
        <f>IFERROR(INDEX(CONFIGURACOES!$I$37:$I$300,MATCH($I994,CONFIGURACOES!$B$37:$B$300,0)),"")</f>
        <v/>
      </c>
      <c r="N994" s="21" t="n"/>
      <c r="O994" s="21" t="n"/>
      <c r="P994" s="21" t="n"/>
      <c r="Q994" s="21" t="n"/>
      <c r="R994" s="21">
        <f>IF($N994="","",$N994*IF($Q994="",1,$Q994)*IF($P994="",1,$P994)*IF($O994="",1,$O994))</f>
        <v/>
      </c>
      <c r="S994" s="22">
        <f>IFERROR(INDEX(CONFIGURACOES!$J$37:$J$300,MATCH($I994,CONFIGURACOES!$B$37:$B$300,0)),"")</f>
        <v/>
      </c>
      <c r="T994" s="22">
        <f>IF(OR($R994="",$S994=""),"",$R994*$S994)</f>
        <v/>
      </c>
      <c r="U994" s="20" t="n"/>
      <c r="V994" s="20" t="n"/>
      <c r="W994" s="20" t="n"/>
      <c r="X994">
        <f>IF($A994="","",$A994&amp;"|"&amp;$C994&amp;"|"&amp;$I994)</f>
        <v/>
      </c>
      <c r="Y994">
        <f>IF(AND($A994=RELATORIO_MEDICAO!$C$5,$C994=RELATORIO_MEDICAO!$F$5,$A994&lt;&gt;""),COUNTIFS($A$3:$A994,RELATORIO_MEDICAO!$C$5,$C$3:$C994,RELATORIO_MEDICAO!$F$5),"")</f>
        <v/>
      </c>
      <c r="Z994">
        <f>IF(OR($A994="",PESQUISA!$C$4=""),0,IF(OR(ISNUMBER(SEARCH(PESQUISA!$C$4,$G994)),ISNUMBER(SEARCH(PESQUISA!$C$4,$K994)),ISNUMBER(SEARCH(PESQUISA!$C$4,$L994))),1,0))</f>
        <v/>
      </c>
      <c r="AA994">
        <f>IF($Z994=1,SUM($Z$3:$Z994),"")</f>
        <v/>
      </c>
      <c r="AB994">
        <f>IF(OR($A994="",PESQUISA!$C$50=""),0,IF(ISNUMBER(SEARCH(PESQUISA!$C$50,$I994)),1,0))</f>
        <v/>
      </c>
      <c r="AC994">
        <f>IF($AB994=1,SUM($AB$3:$AB994),"")</f>
        <v/>
      </c>
    </row>
    <row r="995">
      <c r="A995" s="20" t="n"/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>
        <f>IFERROR(INDEX(CONFIGURACOES!$G$37:$G$300,MATCH($I995,CONFIGURACOES!$B$37:$B$300,0)),"")</f>
        <v/>
      </c>
      <c r="K995" s="20">
        <f>IFERROR(INDEX(CONFIGURACOES!$H$37:$H$300,MATCH($I995,CONFIGURACOES!$B$37:$B$300,0)),"")</f>
        <v/>
      </c>
      <c r="L995" s="20" t="n"/>
      <c r="M995" s="20">
        <f>IFERROR(INDEX(CONFIGURACOES!$I$37:$I$300,MATCH($I995,CONFIGURACOES!$B$37:$B$300,0)),"")</f>
        <v/>
      </c>
      <c r="N995" s="21" t="n"/>
      <c r="O995" s="21" t="n"/>
      <c r="P995" s="21" t="n"/>
      <c r="Q995" s="21" t="n"/>
      <c r="R995" s="21">
        <f>IF($N995="","",$N995*IF($Q995="",1,$Q995)*IF($P995="",1,$P995)*IF($O995="",1,$O995))</f>
        <v/>
      </c>
      <c r="S995" s="22">
        <f>IFERROR(INDEX(CONFIGURACOES!$J$37:$J$300,MATCH($I995,CONFIGURACOES!$B$37:$B$300,0)),"")</f>
        <v/>
      </c>
      <c r="T995" s="22">
        <f>IF(OR($R995="",$S995=""),"",$R995*$S995)</f>
        <v/>
      </c>
      <c r="U995" s="20" t="n"/>
      <c r="V995" s="20" t="n"/>
      <c r="W995" s="20" t="n"/>
      <c r="X995">
        <f>IF($A995="","",$A995&amp;"|"&amp;$C995&amp;"|"&amp;$I995)</f>
        <v/>
      </c>
      <c r="Y995">
        <f>IF(AND($A995=RELATORIO_MEDICAO!$C$5,$C995=RELATORIO_MEDICAO!$F$5,$A995&lt;&gt;""),COUNTIFS($A$3:$A995,RELATORIO_MEDICAO!$C$5,$C$3:$C995,RELATORIO_MEDICAO!$F$5),"")</f>
        <v/>
      </c>
      <c r="Z995">
        <f>IF(OR($A995="",PESQUISA!$C$4=""),0,IF(OR(ISNUMBER(SEARCH(PESQUISA!$C$4,$G995)),ISNUMBER(SEARCH(PESQUISA!$C$4,$K995)),ISNUMBER(SEARCH(PESQUISA!$C$4,$L995))),1,0))</f>
        <v/>
      </c>
      <c r="AA995">
        <f>IF($Z995=1,SUM($Z$3:$Z995),"")</f>
        <v/>
      </c>
      <c r="AB995">
        <f>IF(OR($A995="",PESQUISA!$C$50=""),0,IF(ISNUMBER(SEARCH(PESQUISA!$C$50,$I995)),1,0))</f>
        <v/>
      </c>
      <c r="AC995">
        <f>IF($AB995=1,SUM($AB$3:$AB995),"")</f>
        <v/>
      </c>
    </row>
    <row r="996">
      <c r="A996" s="20" t="n"/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>
        <f>IFERROR(INDEX(CONFIGURACOES!$G$37:$G$300,MATCH($I996,CONFIGURACOES!$B$37:$B$300,0)),"")</f>
        <v/>
      </c>
      <c r="K996" s="20">
        <f>IFERROR(INDEX(CONFIGURACOES!$H$37:$H$300,MATCH($I996,CONFIGURACOES!$B$37:$B$300,0)),"")</f>
        <v/>
      </c>
      <c r="L996" s="20" t="n"/>
      <c r="M996" s="20">
        <f>IFERROR(INDEX(CONFIGURACOES!$I$37:$I$300,MATCH($I996,CONFIGURACOES!$B$37:$B$300,0)),"")</f>
        <v/>
      </c>
      <c r="N996" s="21" t="n"/>
      <c r="O996" s="21" t="n"/>
      <c r="P996" s="21" t="n"/>
      <c r="Q996" s="21" t="n"/>
      <c r="R996" s="21">
        <f>IF($N996="","",$N996*IF($Q996="",1,$Q996)*IF($P996="",1,$P996)*IF($O996="",1,$O996))</f>
        <v/>
      </c>
      <c r="S996" s="22">
        <f>IFERROR(INDEX(CONFIGURACOES!$J$37:$J$300,MATCH($I996,CONFIGURACOES!$B$37:$B$300,0)),"")</f>
        <v/>
      </c>
      <c r="T996" s="22">
        <f>IF(OR($R996="",$S996=""),"",$R996*$S996)</f>
        <v/>
      </c>
      <c r="U996" s="20" t="n"/>
      <c r="V996" s="20" t="n"/>
      <c r="W996" s="20" t="n"/>
      <c r="X996">
        <f>IF($A996="","",$A996&amp;"|"&amp;$C996&amp;"|"&amp;$I996)</f>
        <v/>
      </c>
      <c r="Y996">
        <f>IF(AND($A996=RELATORIO_MEDICAO!$C$5,$C996=RELATORIO_MEDICAO!$F$5,$A996&lt;&gt;""),COUNTIFS($A$3:$A996,RELATORIO_MEDICAO!$C$5,$C$3:$C996,RELATORIO_MEDICAO!$F$5),"")</f>
        <v/>
      </c>
      <c r="Z996">
        <f>IF(OR($A996="",PESQUISA!$C$4=""),0,IF(OR(ISNUMBER(SEARCH(PESQUISA!$C$4,$G996)),ISNUMBER(SEARCH(PESQUISA!$C$4,$K996)),ISNUMBER(SEARCH(PESQUISA!$C$4,$L996))),1,0))</f>
        <v/>
      </c>
      <c r="AA996">
        <f>IF($Z996=1,SUM($Z$3:$Z996),"")</f>
        <v/>
      </c>
      <c r="AB996">
        <f>IF(OR($A996="",PESQUISA!$C$50=""),0,IF(ISNUMBER(SEARCH(PESQUISA!$C$50,$I996)),1,0))</f>
        <v/>
      </c>
      <c r="AC996">
        <f>IF($AB996=1,SUM($AB$3:$AB996),"")</f>
        <v/>
      </c>
    </row>
    <row r="997">
      <c r="A997" s="20" t="n"/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>
        <f>IFERROR(INDEX(CONFIGURACOES!$G$37:$G$300,MATCH($I997,CONFIGURACOES!$B$37:$B$300,0)),"")</f>
        <v/>
      </c>
      <c r="K997" s="20">
        <f>IFERROR(INDEX(CONFIGURACOES!$H$37:$H$300,MATCH($I997,CONFIGURACOES!$B$37:$B$300,0)),"")</f>
        <v/>
      </c>
      <c r="L997" s="20" t="n"/>
      <c r="M997" s="20">
        <f>IFERROR(INDEX(CONFIGURACOES!$I$37:$I$300,MATCH($I997,CONFIGURACOES!$B$37:$B$300,0)),"")</f>
        <v/>
      </c>
      <c r="N997" s="21" t="n"/>
      <c r="O997" s="21" t="n"/>
      <c r="P997" s="21" t="n"/>
      <c r="Q997" s="21" t="n"/>
      <c r="R997" s="21">
        <f>IF($N997="","",$N997*IF($Q997="",1,$Q997)*IF($P997="",1,$P997)*IF($O997="",1,$O997))</f>
        <v/>
      </c>
      <c r="S997" s="22">
        <f>IFERROR(INDEX(CONFIGURACOES!$J$37:$J$300,MATCH($I997,CONFIGURACOES!$B$37:$B$300,0)),"")</f>
        <v/>
      </c>
      <c r="T997" s="22">
        <f>IF(OR($R997="",$S997=""),"",$R997*$S997)</f>
        <v/>
      </c>
      <c r="U997" s="20" t="n"/>
      <c r="V997" s="20" t="n"/>
      <c r="W997" s="20" t="n"/>
      <c r="X997">
        <f>IF($A997="","",$A997&amp;"|"&amp;$C997&amp;"|"&amp;$I997)</f>
        <v/>
      </c>
      <c r="Y997">
        <f>IF(AND($A997=RELATORIO_MEDICAO!$C$5,$C997=RELATORIO_MEDICAO!$F$5,$A997&lt;&gt;""),COUNTIFS($A$3:$A997,RELATORIO_MEDICAO!$C$5,$C$3:$C997,RELATORIO_MEDICAO!$F$5),"")</f>
        <v/>
      </c>
      <c r="Z997">
        <f>IF(OR($A997="",PESQUISA!$C$4=""),0,IF(OR(ISNUMBER(SEARCH(PESQUISA!$C$4,$G997)),ISNUMBER(SEARCH(PESQUISA!$C$4,$K997)),ISNUMBER(SEARCH(PESQUISA!$C$4,$L997))),1,0))</f>
        <v/>
      </c>
      <c r="AA997">
        <f>IF($Z997=1,SUM($Z$3:$Z997),"")</f>
        <v/>
      </c>
      <c r="AB997">
        <f>IF(OR($A997="",PESQUISA!$C$50=""),0,IF(ISNUMBER(SEARCH(PESQUISA!$C$50,$I997)),1,0))</f>
        <v/>
      </c>
      <c r="AC997">
        <f>IF($AB997=1,SUM($AB$3:$AB997),"")</f>
        <v/>
      </c>
    </row>
    <row r="998">
      <c r="A998" s="20" t="n"/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>
        <f>IFERROR(INDEX(CONFIGURACOES!$G$37:$G$300,MATCH($I998,CONFIGURACOES!$B$37:$B$300,0)),"")</f>
        <v/>
      </c>
      <c r="K998" s="20">
        <f>IFERROR(INDEX(CONFIGURACOES!$H$37:$H$300,MATCH($I998,CONFIGURACOES!$B$37:$B$300,0)),"")</f>
        <v/>
      </c>
      <c r="L998" s="20" t="n"/>
      <c r="M998" s="20">
        <f>IFERROR(INDEX(CONFIGURACOES!$I$37:$I$300,MATCH($I998,CONFIGURACOES!$B$37:$B$300,0)),"")</f>
        <v/>
      </c>
      <c r="N998" s="21" t="n"/>
      <c r="O998" s="21" t="n"/>
      <c r="P998" s="21" t="n"/>
      <c r="Q998" s="21" t="n"/>
      <c r="R998" s="21">
        <f>IF($N998="","",$N998*IF($Q998="",1,$Q998)*IF($P998="",1,$P998)*IF($O998="",1,$O998))</f>
        <v/>
      </c>
      <c r="S998" s="22">
        <f>IFERROR(INDEX(CONFIGURACOES!$J$37:$J$300,MATCH($I998,CONFIGURACOES!$B$37:$B$300,0)),"")</f>
        <v/>
      </c>
      <c r="T998" s="22">
        <f>IF(OR($R998="",$S998=""),"",$R998*$S998)</f>
        <v/>
      </c>
      <c r="U998" s="20" t="n"/>
      <c r="V998" s="20" t="n"/>
      <c r="W998" s="20" t="n"/>
      <c r="X998">
        <f>IF($A998="","",$A998&amp;"|"&amp;$C998&amp;"|"&amp;$I998)</f>
        <v/>
      </c>
      <c r="Y998">
        <f>IF(AND($A998=RELATORIO_MEDICAO!$C$5,$C998=RELATORIO_MEDICAO!$F$5,$A998&lt;&gt;""),COUNTIFS($A$3:$A998,RELATORIO_MEDICAO!$C$5,$C$3:$C998,RELATORIO_MEDICAO!$F$5),"")</f>
        <v/>
      </c>
      <c r="Z998">
        <f>IF(OR($A998="",PESQUISA!$C$4=""),0,IF(OR(ISNUMBER(SEARCH(PESQUISA!$C$4,$G998)),ISNUMBER(SEARCH(PESQUISA!$C$4,$K998)),ISNUMBER(SEARCH(PESQUISA!$C$4,$L998))),1,0))</f>
        <v/>
      </c>
      <c r="AA998">
        <f>IF($Z998=1,SUM($Z$3:$Z998),"")</f>
        <v/>
      </c>
      <c r="AB998">
        <f>IF(OR($A998="",PESQUISA!$C$50=""),0,IF(ISNUMBER(SEARCH(PESQUISA!$C$50,$I998)),1,0))</f>
        <v/>
      </c>
      <c r="AC998">
        <f>IF($AB998=1,SUM($AB$3:$AB998),"")</f>
        <v/>
      </c>
    </row>
    <row r="999">
      <c r="A999" s="20" t="n"/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>
        <f>IFERROR(INDEX(CONFIGURACOES!$G$37:$G$300,MATCH($I999,CONFIGURACOES!$B$37:$B$300,0)),"")</f>
        <v/>
      </c>
      <c r="K999" s="20">
        <f>IFERROR(INDEX(CONFIGURACOES!$H$37:$H$300,MATCH($I999,CONFIGURACOES!$B$37:$B$300,0)),"")</f>
        <v/>
      </c>
      <c r="L999" s="20" t="n"/>
      <c r="M999" s="20">
        <f>IFERROR(INDEX(CONFIGURACOES!$I$37:$I$300,MATCH($I999,CONFIGURACOES!$B$37:$B$300,0)),"")</f>
        <v/>
      </c>
      <c r="N999" s="21" t="n"/>
      <c r="O999" s="21" t="n"/>
      <c r="P999" s="21" t="n"/>
      <c r="Q999" s="21" t="n"/>
      <c r="R999" s="21">
        <f>IF($N999="","",$N999*IF($Q999="",1,$Q999)*IF($P999="",1,$P999)*IF($O999="",1,$O999))</f>
        <v/>
      </c>
      <c r="S999" s="22">
        <f>IFERROR(INDEX(CONFIGURACOES!$J$37:$J$300,MATCH($I999,CONFIGURACOES!$B$37:$B$300,0)),"")</f>
        <v/>
      </c>
      <c r="T999" s="22">
        <f>IF(OR($R999="",$S999=""),"",$R999*$S999)</f>
        <v/>
      </c>
      <c r="U999" s="20" t="n"/>
      <c r="V999" s="20" t="n"/>
      <c r="W999" s="20" t="n"/>
      <c r="X999">
        <f>IF($A999="","",$A999&amp;"|"&amp;$C999&amp;"|"&amp;$I999)</f>
        <v/>
      </c>
      <c r="Y999">
        <f>IF(AND($A999=RELATORIO_MEDICAO!$C$5,$C999=RELATORIO_MEDICAO!$F$5,$A999&lt;&gt;""),COUNTIFS($A$3:$A999,RELATORIO_MEDICAO!$C$5,$C$3:$C999,RELATORIO_MEDICAO!$F$5),"")</f>
        <v/>
      </c>
      <c r="Z999">
        <f>IF(OR($A999="",PESQUISA!$C$4=""),0,IF(OR(ISNUMBER(SEARCH(PESQUISA!$C$4,$G999)),ISNUMBER(SEARCH(PESQUISA!$C$4,$K999)),ISNUMBER(SEARCH(PESQUISA!$C$4,$L999))),1,0))</f>
        <v/>
      </c>
      <c r="AA999">
        <f>IF($Z999=1,SUM($Z$3:$Z999),"")</f>
        <v/>
      </c>
      <c r="AB999">
        <f>IF(OR($A999="",PESQUISA!$C$50=""),0,IF(ISNUMBER(SEARCH(PESQUISA!$C$50,$I999)),1,0))</f>
        <v/>
      </c>
      <c r="AC999">
        <f>IF($AB999=1,SUM($AB$3:$AB999),"")</f>
        <v/>
      </c>
    </row>
    <row r="1000">
      <c r="A1000" s="20" t="n"/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>
        <f>IFERROR(INDEX(CONFIGURACOES!$G$37:$G$300,MATCH($I1000,CONFIGURACOES!$B$37:$B$300,0)),"")</f>
        <v/>
      </c>
      <c r="K1000" s="20">
        <f>IFERROR(INDEX(CONFIGURACOES!$H$37:$H$300,MATCH($I1000,CONFIGURACOES!$B$37:$B$300,0)),"")</f>
        <v/>
      </c>
      <c r="L1000" s="20" t="n"/>
      <c r="M1000" s="20">
        <f>IFERROR(INDEX(CONFIGURACOES!$I$37:$I$300,MATCH($I1000,CONFIGURACOES!$B$37:$B$300,0)),"")</f>
        <v/>
      </c>
      <c r="N1000" s="21" t="n"/>
      <c r="O1000" s="21" t="n"/>
      <c r="P1000" s="21" t="n"/>
      <c r="Q1000" s="21" t="n"/>
      <c r="R1000" s="21">
        <f>IF($N1000="","",$N1000*IF($Q1000="",1,$Q1000)*IF($P1000="",1,$P1000)*IF($O1000="",1,$O1000))</f>
        <v/>
      </c>
      <c r="S1000" s="22">
        <f>IFERROR(INDEX(CONFIGURACOES!$J$37:$J$300,MATCH($I1000,CONFIGURACOES!$B$37:$B$300,0)),"")</f>
        <v/>
      </c>
      <c r="T1000" s="22">
        <f>IF(OR($R1000="",$S1000=""),"",$R1000*$S1000)</f>
        <v/>
      </c>
      <c r="U1000" s="20" t="n"/>
      <c r="V1000" s="20" t="n"/>
      <c r="W1000" s="20" t="n"/>
      <c r="X1000">
        <f>IF($A1000="","",$A1000&amp;"|"&amp;$C1000&amp;"|"&amp;$I1000)</f>
        <v/>
      </c>
      <c r="Y1000">
        <f>IF(AND($A1000=RELATORIO_MEDICAO!$C$5,$C1000=RELATORIO_MEDICAO!$F$5,$A1000&lt;&gt;""),COUNTIFS($A$3:$A1000,RELATORIO_MEDICAO!$C$5,$C$3:$C1000,RELATORIO_MEDICAO!$F$5),"")</f>
        <v/>
      </c>
      <c r="Z1000">
        <f>IF(OR($A1000="",PESQUISA!$C$4=""),0,IF(OR(ISNUMBER(SEARCH(PESQUISA!$C$4,$G1000)),ISNUMBER(SEARCH(PESQUISA!$C$4,$K1000)),ISNUMBER(SEARCH(PESQUISA!$C$4,$L1000))),1,0))</f>
        <v/>
      </c>
      <c r="AA1000">
        <f>IF($Z1000=1,SUM($Z$3:$Z1000),"")</f>
        <v/>
      </c>
      <c r="AB1000">
        <f>IF(OR($A1000="",PESQUISA!$C$50=""),0,IF(ISNUMBER(SEARCH(PESQUISA!$C$50,$I1000)),1,0))</f>
        <v/>
      </c>
      <c r="AC1000">
        <f>IF($AB1000=1,SUM($AB$3:$AB1000),"")</f>
        <v/>
      </c>
    </row>
    <row r="1001">
      <c r="A1001" s="20" t="n"/>
      <c r="B1001" s="20" t="n"/>
      <c r="C1001" s="20" t="n"/>
      <c r="D1001" s="20" t="n"/>
      <c r="E1001" s="20" t="n"/>
      <c r="F1001" s="20" t="n"/>
      <c r="G1001" s="20" t="n"/>
      <c r="H1001" s="20" t="n"/>
      <c r="I1001" s="20" t="n"/>
      <c r="J1001" s="20">
        <f>IFERROR(INDEX(CONFIGURACOES!$G$37:$G$300,MATCH($I1001,CONFIGURACOES!$B$37:$B$300,0)),"")</f>
        <v/>
      </c>
      <c r="K1001" s="20">
        <f>IFERROR(INDEX(CONFIGURACOES!$H$37:$H$300,MATCH($I1001,CONFIGURACOES!$B$37:$B$300,0)),"")</f>
        <v/>
      </c>
      <c r="L1001" s="20" t="n"/>
      <c r="M1001" s="20">
        <f>IFERROR(INDEX(CONFIGURACOES!$I$37:$I$300,MATCH($I1001,CONFIGURACOES!$B$37:$B$300,0)),"")</f>
        <v/>
      </c>
      <c r="N1001" s="21" t="n"/>
      <c r="O1001" s="21" t="n"/>
      <c r="P1001" s="21" t="n"/>
      <c r="Q1001" s="21" t="n"/>
      <c r="R1001" s="21">
        <f>IF($N1001="","",$N1001*IF($Q1001="",1,$Q1001)*IF($P1001="",1,$P1001)*IF($O1001="",1,$O1001))</f>
        <v/>
      </c>
      <c r="S1001" s="22">
        <f>IFERROR(INDEX(CONFIGURACOES!$J$37:$J$300,MATCH($I1001,CONFIGURACOES!$B$37:$B$300,0)),"")</f>
        <v/>
      </c>
      <c r="T1001" s="22">
        <f>IF(OR($R1001="",$S1001=""),"",$R1001*$S1001)</f>
        <v/>
      </c>
      <c r="U1001" s="20" t="n"/>
      <c r="V1001" s="20" t="n"/>
      <c r="W1001" s="20" t="n"/>
      <c r="X1001">
        <f>IF($A1001="","",$A1001&amp;"|"&amp;$C1001&amp;"|"&amp;$I1001)</f>
        <v/>
      </c>
      <c r="Y1001">
        <f>IF(AND($A1001=RELATORIO_MEDICAO!$C$5,$C1001=RELATORIO_MEDICAO!$F$5,$A1001&lt;&gt;""),COUNTIFS($A$3:$A1001,RELATORIO_MEDICAO!$C$5,$C$3:$C1001,RELATORIO_MEDICAO!$F$5),"")</f>
        <v/>
      </c>
      <c r="Z1001">
        <f>IF(OR($A1001="",PESQUISA!$C$4=""),0,IF(OR(ISNUMBER(SEARCH(PESQUISA!$C$4,$G1001)),ISNUMBER(SEARCH(PESQUISA!$C$4,$K1001)),ISNUMBER(SEARCH(PESQUISA!$C$4,$L1001))),1,0))</f>
        <v/>
      </c>
      <c r="AA1001">
        <f>IF($Z1001=1,SUM($Z$3:$Z1001),"")</f>
        <v/>
      </c>
      <c r="AB1001">
        <f>IF(OR($A1001="",PESQUISA!$C$50=""),0,IF(ISNUMBER(SEARCH(PESQUISA!$C$50,$I1001)),1,0))</f>
        <v/>
      </c>
      <c r="AC1001">
        <f>IF($AB1001=1,SUM($AB$3:$AB1001),"")</f>
        <v/>
      </c>
    </row>
    <row r="1002">
      <c r="A1002" s="20" t="n"/>
      <c r="B1002" s="20" t="n"/>
      <c r="C1002" s="20" t="n"/>
      <c r="D1002" s="20" t="n"/>
      <c r="E1002" s="20" t="n"/>
      <c r="F1002" s="20" t="n"/>
      <c r="G1002" s="20" t="n"/>
      <c r="H1002" s="20" t="n"/>
      <c r="I1002" s="20" t="n"/>
      <c r="J1002" s="20">
        <f>IFERROR(INDEX(CONFIGURACOES!$G$37:$G$300,MATCH($I1002,CONFIGURACOES!$B$37:$B$300,0)),"")</f>
        <v/>
      </c>
      <c r="K1002" s="20">
        <f>IFERROR(INDEX(CONFIGURACOES!$H$37:$H$300,MATCH($I1002,CONFIGURACOES!$B$37:$B$300,0)),"")</f>
        <v/>
      </c>
      <c r="L1002" s="20" t="n"/>
      <c r="M1002" s="20">
        <f>IFERROR(INDEX(CONFIGURACOES!$I$37:$I$300,MATCH($I1002,CONFIGURACOES!$B$37:$B$300,0)),"")</f>
        <v/>
      </c>
      <c r="N1002" s="21" t="n"/>
      <c r="O1002" s="21" t="n"/>
      <c r="P1002" s="21" t="n"/>
      <c r="Q1002" s="21" t="n"/>
      <c r="R1002" s="21">
        <f>IF($N1002="","",$N1002*IF($Q1002="",1,$Q1002)*IF($P1002="",1,$P1002)*IF($O1002="",1,$O1002))</f>
        <v/>
      </c>
      <c r="S1002" s="22">
        <f>IFERROR(INDEX(CONFIGURACOES!$J$37:$J$300,MATCH($I1002,CONFIGURACOES!$B$37:$B$300,0)),"")</f>
        <v/>
      </c>
      <c r="T1002" s="22">
        <f>IF(OR($R1002="",$S1002=""),"",$R1002*$S1002)</f>
        <v/>
      </c>
      <c r="U1002" s="20" t="n"/>
      <c r="V1002" s="20" t="n"/>
      <c r="W1002" s="20" t="n"/>
      <c r="X1002">
        <f>IF($A1002="","",$A1002&amp;"|"&amp;$C1002&amp;"|"&amp;$I1002)</f>
        <v/>
      </c>
      <c r="Y1002">
        <f>IF(AND($A1002=RELATORIO_MEDICAO!$C$5,$C1002=RELATORIO_MEDICAO!$F$5,$A1002&lt;&gt;""),COUNTIFS($A$3:$A1002,RELATORIO_MEDICAO!$C$5,$C$3:$C1002,RELATORIO_MEDICAO!$F$5),"")</f>
        <v/>
      </c>
      <c r="Z1002">
        <f>IF(OR($A1002="",PESQUISA!$C$4=""),0,IF(OR(ISNUMBER(SEARCH(PESQUISA!$C$4,$G1002)),ISNUMBER(SEARCH(PESQUISA!$C$4,$K1002)),ISNUMBER(SEARCH(PESQUISA!$C$4,$L1002))),1,0))</f>
        <v/>
      </c>
      <c r="AA1002">
        <f>IF($Z1002=1,SUM($Z$3:$Z1002),"")</f>
        <v/>
      </c>
      <c r="AB1002">
        <f>IF(OR($A1002="",PESQUISA!$C$50=""),0,IF(ISNUMBER(SEARCH(PESQUISA!$C$50,$I1002)),1,0))</f>
        <v/>
      </c>
      <c r="AC1002">
        <f>IF($AB1002=1,SUM($AB$3:$AB1002),"")</f>
        <v/>
      </c>
    </row>
    <row r="1003">
      <c r="A1003" s="20" t="n"/>
      <c r="B1003" s="20" t="n"/>
      <c r="C1003" s="20" t="n"/>
      <c r="D1003" s="20" t="n"/>
      <c r="E1003" s="20" t="n"/>
      <c r="F1003" s="20" t="n"/>
      <c r="G1003" s="20" t="n"/>
      <c r="H1003" s="20" t="n"/>
      <c r="I1003" s="20" t="n"/>
      <c r="J1003" s="20">
        <f>IFERROR(INDEX(CONFIGURACOES!$G$37:$G$300,MATCH($I1003,CONFIGURACOES!$B$37:$B$300,0)),"")</f>
        <v/>
      </c>
      <c r="K1003" s="20">
        <f>IFERROR(INDEX(CONFIGURACOES!$H$37:$H$300,MATCH($I1003,CONFIGURACOES!$B$37:$B$300,0)),"")</f>
        <v/>
      </c>
      <c r="L1003" s="20" t="n"/>
      <c r="M1003" s="20">
        <f>IFERROR(INDEX(CONFIGURACOES!$I$37:$I$300,MATCH($I1003,CONFIGURACOES!$B$37:$B$300,0)),"")</f>
        <v/>
      </c>
      <c r="N1003" s="21" t="n"/>
      <c r="O1003" s="21" t="n"/>
      <c r="P1003" s="21" t="n"/>
      <c r="Q1003" s="21" t="n"/>
      <c r="R1003" s="21">
        <f>IF($N1003="","",$N1003*IF($Q1003="",1,$Q1003)*IF($P1003="",1,$P1003)*IF($O1003="",1,$O1003))</f>
        <v/>
      </c>
      <c r="S1003" s="22">
        <f>IFERROR(INDEX(CONFIGURACOES!$J$37:$J$300,MATCH($I1003,CONFIGURACOES!$B$37:$B$300,0)),"")</f>
        <v/>
      </c>
      <c r="T1003" s="22">
        <f>IF(OR($R1003="",$S1003=""),"",$R1003*$S1003)</f>
        <v/>
      </c>
      <c r="U1003" s="20" t="n"/>
      <c r="V1003" s="20" t="n"/>
      <c r="W1003" s="20" t="n"/>
      <c r="X1003">
        <f>IF($A1003="","",$A1003&amp;"|"&amp;$C1003&amp;"|"&amp;$I1003)</f>
        <v/>
      </c>
      <c r="Y1003">
        <f>IF(AND($A1003=RELATORIO_MEDICAO!$C$5,$C1003=RELATORIO_MEDICAO!$F$5,$A1003&lt;&gt;""),COUNTIFS($A$3:$A1003,RELATORIO_MEDICAO!$C$5,$C$3:$C1003,RELATORIO_MEDICAO!$F$5),"")</f>
        <v/>
      </c>
      <c r="Z1003">
        <f>IF(OR($A1003="",PESQUISA!$C$4=""),0,IF(OR(ISNUMBER(SEARCH(PESQUISA!$C$4,$G1003)),ISNUMBER(SEARCH(PESQUISA!$C$4,$K1003)),ISNUMBER(SEARCH(PESQUISA!$C$4,$L1003))),1,0))</f>
        <v/>
      </c>
      <c r="AA1003">
        <f>IF($Z1003=1,SUM($Z$3:$Z1003),"")</f>
        <v/>
      </c>
      <c r="AB1003">
        <f>IF(OR($A1003="",PESQUISA!$C$50=""),0,IF(ISNUMBER(SEARCH(PESQUISA!$C$50,$I1003)),1,0))</f>
        <v/>
      </c>
      <c r="AC1003">
        <f>IF($AB1003=1,SUM($AB$3:$AB1003),"")</f>
        <v/>
      </c>
    </row>
    <row r="1004">
      <c r="A1004" s="20" t="n"/>
      <c r="B1004" s="20" t="n"/>
      <c r="C1004" s="20" t="n"/>
      <c r="D1004" s="20" t="n"/>
      <c r="E1004" s="20" t="n"/>
      <c r="F1004" s="20" t="n"/>
      <c r="G1004" s="20" t="n"/>
      <c r="H1004" s="20" t="n"/>
      <c r="I1004" s="20" t="n"/>
      <c r="J1004" s="20">
        <f>IFERROR(INDEX(CONFIGURACOES!$G$37:$G$300,MATCH($I1004,CONFIGURACOES!$B$37:$B$300,0)),"")</f>
        <v/>
      </c>
      <c r="K1004" s="20">
        <f>IFERROR(INDEX(CONFIGURACOES!$H$37:$H$300,MATCH($I1004,CONFIGURACOES!$B$37:$B$300,0)),"")</f>
        <v/>
      </c>
      <c r="L1004" s="20" t="n"/>
      <c r="M1004" s="20">
        <f>IFERROR(INDEX(CONFIGURACOES!$I$37:$I$300,MATCH($I1004,CONFIGURACOES!$B$37:$B$300,0)),"")</f>
        <v/>
      </c>
      <c r="N1004" s="21" t="n"/>
      <c r="O1004" s="21" t="n"/>
      <c r="P1004" s="21" t="n"/>
      <c r="Q1004" s="21" t="n"/>
      <c r="R1004" s="21">
        <f>IF($N1004="","",$N1004*IF($Q1004="",1,$Q1004)*IF($P1004="",1,$P1004)*IF($O1004="",1,$O1004))</f>
        <v/>
      </c>
      <c r="S1004" s="22">
        <f>IFERROR(INDEX(CONFIGURACOES!$J$37:$J$300,MATCH($I1004,CONFIGURACOES!$B$37:$B$300,0)),"")</f>
        <v/>
      </c>
      <c r="T1004" s="22">
        <f>IF(OR($R1004="",$S1004=""),"",$R1004*$S1004)</f>
        <v/>
      </c>
      <c r="U1004" s="20" t="n"/>
      <c r="V1004" s="20" t="n"/>
      <c r="W1004" s="20" t="n"/>
      <c r="X1004">
        <f>IF($A1004="","",$A1004&amp;"|"&amp;$C1004&amp;"|"&amp;$I1004)</f>
        <v/>
      </c>
      <c r="Y1004">
        <f>IF(AND($A1004=RELATORIO_MEDICAO!$C$5,$C1004=RELATORIO_MEDICAO!$F$5,$A1004&lt;&gt;""),COUNTIFS($A$3:$A1004,RELATORIO_MEDICAO!$C$5,$C$3:$C1004,RELATORIO_MEDICAO!$F$5),"")</f>
        <v/>
      </c>
      <c r="Z1004">
        <f>IF(OR($A1004="",PESQUISA!$C$4=""),0,IF(OR(ISNUMBER(SEARCH(PESQUISA!$C$4,$G1004)),ISNUMBER(SEARCH(PESQUISA!$C$4,$K1004)),ISNUMBER(SEARCH(PESQUISA!$C$4,$L1004))),1,0))</f>
        <v/>
      </c>
      <c r="AA1004">
        <f>IF($Z1004=1,SUM($Z$3:$Z1004),"")</f>
        <v/>
      </c>
      <c r="AB1004">
        <f>IF(OR($A1004="",PESQUISA!$C$50=""),0,IF(ISNUMBER(SEARCH(PESQUISA!$C$50,$I1004)),1,0))</f>
        <v/>
      </c>
      <c r="AC1004">
        <f>IF($AB1004=1,SUM($AB$3:$AB1004),"")</f>
        <v/>
      </c>
    </row>
    <row r="1005">
      <c r="A1005" s="20" t="n"/>
      <c r="B1005" s="20" t="n"/>
      <c r="C1005" s="20" t="n"/>
      <c r="D1005" s="20" t="n"/>
      <c r="E1005" s="20" t="n"/>
      <c r="F1005" s="20" t="n"/>
      <c r="G1005" s="20" t="n"/>
      <c r="H1005" s="20" t="n"/>
      <c r="I1005" s="20" t="n"/>
      <c r="J1005" s="20">
        <f>IFERROR(INDEX(CONFIGURACOES!$G$37:$G$300,MATCH($I1005,CONFIGURACOES!$B$37:$B$300,0)),"")</f>
        <v/>
      </c>
      <c r="K1005" s="20">
        <f>IFERROR(INDEX(CONFIGURACOES!$H$37:$H$300,MATCH($I1005,CONFIGURACOES!$B$37:$B$300,0)),"")</f>
        <v/>
      </c>
      <c r="L1005" s="20" t="n"/>
      <c r="M1005" s="20">
        <f>IFERROR(INDEX(CONFIGURACOES!$I$37:$I$300,MATCH($I1005,CONFIGURACOES!$B$37:$B$300,0)),"")</f>
        <v/>
      </c>
      <c r="N1005" s="21" t="n"/>
      <c r="O1005" s="21" t="n"/>
      <c r="P1005" s="21" t="n"/>
      <c r="Q1005" s="21" t="n"/>
      <c r="R1005" s="21">
        <f>IF($N1005="","",$N1005*IF($Q1005="",1,$Q1005)*IF($P1005="",1,$P1005)*IF($O1005="",1,$O1005))</f>
        <v/>
      </c>
      <c r="S1005" s="22">
        <f>IFERROR(INDEX(CONFIGURACOES!$J$37:$J$300,MATCH($I1005,CONFIGURACOES!$B$37:$B$300,0)),"")</f>
        <v/>
      </c>
      <c r="T1005" s="22">
        <f>IF(OR($R1005="",$S1005=""),"",$R1005*$S1005)</f>
        <v/>
      </c>
      <c r="U1005" s="20" t="n"/>
      <c r="V1005" s="20" t="n"/>
      <c r="W1005" s="20" t="n"/>
      <c r="X1005">
        <f>IF($A1005="","",$A1005&amp;"|"&amp;$C1005&amp;"|"&amp;$I1005)</f>
        <v/>
      </c>
      <c r="Y1005">
        <f>IF(AND($A1005=RELATORIO_MEDICAO!$C$5,$C1005=RELATORIO_MEDICAO!$F$5,$A1005&lt;&gt;""),COUNTIFS($A$3:$A1005,RELATORIO_MEDICAO!$C$5,$C$3:$C1005,RELATORIO_MEDICAO!$F$5),"")</f>
        <v/>
      </c>
      <c r="Z1005">
        <f>IF(OR($A1005="",PESQUISA!$C$4=""),0,IF(OR(ISNUMBER(SEARCH(PESQUISA!$C$4,$G1005)),ISNUMBER(SEARCH(PESQUISA!$C$4,$K1005)),ISNUMBER(SEARCH(PESQUISA!$C$4,$L1005))),1,0))</f>
        <v/>
      </c>
      <c r="AA1005">
        <f>IF($Z1005=1,SUM($Z$3:$Z1005),"")</f>
        <v/>
      </c>
      <c r="AB1005">
        <f>IF(OR($A1005="",PESQUISA!$C$50=""),0,IF(ISNUMBER(SEARCH(PESQUISA!$C$50,$I1005)),1,0))</f>
        <v/>
      </c>
      <c r="AC1005">
        <f>IF($AB1005=1,SUM($AB$3:$AB1005),"")</f>
        <v/>
      </c>
    </row>
    <row r="1006">
      <c r="A1006" s="20" t="n"/>
      <c r="B1006" s="20" t="n"/>
      <c r="C1006" s="20" t="n"/>
      <c r="D1006" s="20" t="n"/>
      <c r="E1006" s="20" t="n"/>
      <c r="F1006" s="20" t="n"/>
      <c r="G1006" s="20" t="n"/>
      <c r="H1006" s="20" t="n"/>
      <c r="I1006" s="20" t="n"/>
      <c r="J1006" s="20">
        <f>IFERROR(INDEX(CONFIGURACOES!$G$37:$G$300,MATCH($I1006,CONFIGURACOES!$B$37:$B$300,0)),"")</f>
        <v/>
      </c>
      <c r="K1006" s="20">
        <f>IFERROR(INDEX(CONFIGURACOES!$H$37:$H$300,MATCH($I1006,CONFIGURACOES!$B$37:$B$300,0)),"")</f>
        <v/>
      </c>
      <c r="L1006" s="20" t="n"/>
      <c r="M1006" s="20">
        <f>IFERROR(INDEX(CONFIGURACOES!$I$37:$I$300,MATCH($I1006,CONFIGURACOES!$B$37:$B$300,0)),"")</f>
        <v/>
      </c>
      <c r="N1006" s="21" t="n"/>
      <c r="O1006" s="21" t="n"/>
      <c r="P1006" s="21" t="n"/>
      <c r="Q1006" s="21" t="n"/>
      <c r="R1006" s="21">
        <f>IF($N1006="","",$N1006*IF($Q1006="",1,$Q1006)*IF($P1006="",1,$P1006)*IF($O1006="",1,$O1006))</f>
        <v/>
      </c>
      <c r="S1006" s="22">
        <f>IFERROR(INDEX(CONFIGURACOES!$J$37:$J$300,MATCH($I1006,CONFIGURACOES!$B$37:$B$300,0)),"")</f>
        <v/>
      </c>
      <c r="T1006" s="22">
        <f>IF(OR($R1006="",$S1006=""),"",$R1006*$S1006)</f>
        <v/>
      </c>
      <c r="U1006" s="20" t="n"/>
      <c r="V1006" s="20" t="n"/>
      <c r="W1006" s="20" t="n"/>
      <c r="X1006">
        <f>IF($A1006="","",$A1006&amp;"|"&amp;$C1006&amp;"|"&amp;$I1006)</f>
        <v/>
      </c>
      <c r="Y1006">
        <f>IF(AND($A1006=RELATORIO_MEDICAO!$C$5,$C1006=RELATORIO_MEDICAO!$F$5,$A1006&lt;&gt;""),COUNTIFS($A$3:$A1006,RELATORIO_MEDICAO!$C$5,$C$3:$C1006,RELATORIO_MEDICAO!$F$5),"")</f>
        <v/>
      </c>
      <c r="Z1006">
        <f>IF(OR($A1006="",PESQUISA!$C$4=""),0,IF(OR(ISNUMBER(SEARCH(PESQUISA!$C$4,$G1006)),ISNUMBER(SEARCH(PESQUISA!$C$4,$K1006)),ISNUMBER(SEARCH(PESQUISA!$C$4,$L1006))),1,0))</f>
        <v/>
      </c>
      <c r="AA1006">
        <f>IF($Z1006=1,SUM($Z$3:$Z1006),"")</f>
        <v/>
      </c>
      <c r="AB1006">
        <f>IF(OR($A1006="",PESQUISA!$C$50=""),0,IF(ISNUMBER(SEARCH(PESQUISA!$C$50,$I1006)),1,0))</f>
        <v/>
      </c>
      <c r="AC1006">
        <f>IF($AB1006=1,SUM($AB$3:$AB1006),"")</f>
        <v/>
      </c>
    </row>
    <row r="1007">
      <c r="A1007" s="20" t="n"/>
      <c r="B1007" s="20" t="n"/>
      <c r="C1007" s="20" t="n"/>
      <c r="D1007" s="20" t="n"/>
      <c r="E1007" s="20" t="n"/>
      <c r="F1007" s="20" t="n"/>
      <c r="G1007" s="20" t="n"/>
      <c r="H1007" s="20" t="n"/>
      <c r="I1007" s="20" t="n"/>
      <c r="J1007" s="20">
        <f>IFERROR(INDEX(CONFIGURACOES!$G$37:$G$300,MATCH($I1007,CONFIGURACOES!$B$37:$B$300,0)),"")</f>
        <v/>
      </c>
      <c r="K1007" s="20">
        <f>IFERROR(INDEX(CONFIGURACOES!$H$37:$H$300,MATCH($I1007,CONFIGURACOES!$B$37:$B$300,0)),"")</f>
        <v/>
      </c>
      <c r="L1007" s="20" t="n"/>
      <c r="M1007" s="20">
        <f>IFERROR(INDEX(CONFIGURACOES!$I$37:$I$300,MATCH($I1007,CONFIGURACOES!$B$37:$B$300,0)),"")</f>
        <v/>
      </c>
      <c r="N1007" s="21" t="n"/>
      <c r="O1007" s="21" t="n"/>
      <c r="P1007" s="21" t="n"/>
      <c r="Q1007" s="21" t="n"/>
      <c r="R1007" s="21">
        <f>IF($N1007="","",$N1007*IF($Q1007="",1,$Q1007)*IF($P1007="",1,$P1007)*IF($O1007="",1,$O1007))</f>
        <v/>
      </c>
      <c r="S1007" s="22">
        <f>IFERROR(INDEX(CONFIGURACOES!$J$37:$J$300,MATCH($I1007,CONFIGURACOES!$B$37:$B$300,0)),"")</f>
        <v/>
      </c>
      <c r="T1007" s="22">
        <f>IF(OR($R1007="",$S1007=""),"",$R1007*$S1007)</f>
        <v/>
      </c>
      <c r="U1007" s="20" t="n"/>
      <c r="V1007" s="20" t="n"/>
      <c r="W1007" s="20" t="n"/>
      <c r="X1007">
        <f>IF($A1007="","",$A1007&amp;"|"&amp;$C1007&amp;"|"&amp;$I1007)</f>
        <v/>
      </c>
      <c r="Y1007">
        <f>IF(AND($A1007=RELATORIO_MEDICAO!$C$5,$C1007=RELATORIO_MEDICAO!$F$5,$A1007&lt;&gt;""),COUNTIFS($A$3:$A1007,RELATORIO_MEDICAO!$C$5,$C$3:$C1007,RELATORIO_MEDICAO!$F$5),"")</f>
        <v/>
      </c>
      <c r="Z1007">
        <f>IF(OR($A1007="",PESQUISA!$C$4=""),0,IF(OR(ISNUMBER(SEARCH(PESQUISA!$C$4,$G1007)),ISNUMBER(SEARCH(PESQUISA!$C$4,$K1007)),ISNUMBER(SEARCH(PESQUISA!$C$4,$L1007))),1,0))</f>
        <v/>
      </c>
      <c r="AA1007">
        <f>IF($Z1007=1,SUM($Z$3:$Z1007),"")</f>
        <v/>
      </c>
      <c r="AB1007">
        <f>IF(OR($A1007="",PESQUISA!$C$50=""),0,IF(ISNUMBER(SEARCH(PESQUISA!$C$50,$I1007)),1,0))</f>
        <v/>
      </c>
      <c r="AC1007">
        <f>IF($AB1007=1,SUM($AB$3:$AB1007),"")</f>
        <v/>
      </c>
    </row>
    <row r="1008">
      <c r="A1008" s="20" t="n"/>
      <c r="B1008" s="20" t="n"/>
      <c r="C1008" s="20" t="n"/>
      <c r="D1008" s="20" t="n"/>
      <c r="E1008" s="20" t="n"/>
      <c r="F1008" s="20" t="n"/>
      <c r="G1008" s="20" t="n"/>
      <c r="H1008" s="20" t="n"/>
      <c r="I1008" s="20" t="n"/>
      <c r="J1008" s="20">
        <f>IFERROR(INDEX(CONFIGURACOES!$G$37:$G$300,MATCH($I1008,CONFIGURACOES!$B$37:$B$300,0)),"")</f>
        <v/>
      </c>
      <c r="K1008" s="20">
        <f>IFERROR(INDEX(CONFIGURACOES!$H$37:$H$300,MATCH($I1008,CONFIGURACOES!$B$37:$B$300,0)),"")</f>
        <v/>
      </c>
      <c r="L1008" s="20" t="n"/>
      <c r="M1008" s="20">
        <f>IFERROR(INDEX(CONFIGURACOES!$I$37:$I$300,MATCH($I1008,CONFIGURACOES!$B$37:$B$300,0)),"")</f>
        <v/>
      </c>
      <c r="N1008" s="21" t="n"/>
      <c r="O1008" s="21" t="n"/>
      <c r="P1008" s="21" t="n"/>
      <c r="Q1008" s="21" t="n"/>
      <c r="R1008" s="21">
        <f>IF($N1008="","",$N1008*IF($Q1008="",1,$Q1008)*IF($P1008="",1,$P1008)*IF($O1008="",1,$O1008))</f>
        <v/>
      </c>
      <c r="S1008" s="22">
        <f>IFERROR(INDEX(CONFIGURACOES!$J$37:$J$300,MATCH($I1008,CONFIGURACOES!$B$37:$B$300,0)),"")</f>
        <v/>
      </c>
      <c r="T1008" s="22">
        <f>IF(OR($R1008="",$S1008=""),"",$R1008*$S1008)</f>
        <v/>
      </c>
      <c r="U1008" s="20" t="n"/>
      <c r="V1008" s="20" t="n"/>
      <c r="W1008" s="20" t="n"/>
      <c r="X1008">
        <f>IF($A1008="","",$A1008&amp;"|"&amp;$C1008&amp;"|"&amp;$I1008)</f>
        <v/>
      </c>
      <c r="Y1008">
        <f>IF(AND($A1008=RELATORIO_MEDICAO!$C$5,$C1008=RELATORIO_MEDICAO!$F$5,$A1008&lt;&gt;""),COUNTIFS($A$3:$A1008,RELATORIO_MEDICAO!$C$5,$C$3:$C1008,RELATORIO_MEDICAO!$F$5),"")</f>
        <v/>
      </c>
      <c r="Z1008">
        <f>IF(OR($A1008="",PESQUISA!$C$4=""),0,IF(OR(ISNUMBER(SEARCH(PESQUISA!$C$4,$G1008)),ISNUMBER(SEARCH(PESQUISA!$C$4,$K1008)),ISNUMBER(SEARCH(PESQUISA!$C$4,$L1008))),1,0))</f>
        <v/>
      </c>
      <c r="AA1008">
        <f>IF($Z1008=1,SUM($Z$3:$Z1008),"")</f>
        <v/>
      </c>
      <c r="AB1008">
        <f>IF(OR($A1008="",PESQUISA!$C$50=""),0,IF(ISNUMBER(SEARCH(PESQUISA!$C$50,$I1008)),1,0))</f>
        <v/>
      </c>
      <c r="AC1008">
        <f>IF($AB1008=1,SUM($AB$3:$AB1008),"")</f>
        <v/>
      </c>
    </row>
    <row r="1009">
      <c r="A1009" s="20" t="n"/>
      <c r="B1009" s="20" t="n"/>
      <c r="C1009" s="20" t="n"/>
      <c r="D1009" s="20" t="n"/>
      <c r="E1009" s="20" t="n"/>
      <c r="F1009" s="20" t="n"/>
      <c r="G1009" s="20" t="n"/>
      <c r="H1009" s="20" t="n"/>
      <c r="I1009" s="20" t="n"/>
      <c r="J1009" s="20">
        <f>IFERROR(INDEX(CONFIGURACOES!$G$37:$G$300,MATCH($I1009,CONFIGURACOES!$B$37:$B$300,0)),"")</f>
        <v/>
      </c>
      <c r="K1009" s="20">
        <f>IFERROR(INDEX(CONFIGURACOES!$H$37:$H$300,MATCH($I1009,CONFIGURACOES!$B$37:$B$300,0)),"")</f>
        <v/>
      </c>
      <c r="L1009" s="20" t="n"/>
      <c r="M1009" s="20">
        <f>IFERROR(INDEX(CONFIGURACOES!$I$37:$I$300,MATCH($I1009,CONFIGURACOES!$B$37:$B$300,0)),"")</f>
        <v/>
      </c>
      <c r="N1009" s="21" t="n"/>
      <c r="O1009" s="21" t="n"/>
      <c r="P1009" s="21" t="n"/>
      <c r="Q1009" s="21" t="n"/>
      <c r="R1009" s="21">
        <f>IF($N1009="","",$N1009*IF($Q1009="",1,$Q1009)*IF($P1009="",1,$P1009)*IF($O1009="",1,$O1009))</f>
        <v/>
      </c>
      <c r="S1009" s="22">
        <f>IFERROR(INDEX(CONFIGURACOES!$J$37:$J$300,MATCH($I1009,CONFIGURACOES!$B$37:$B$300,0)),"")</f>
        <v/>
      </c>
      <c r="T1009" s="22">
        <f>IF(OR($R1009="",$S1009=""),"",$R1009*$S1009)</f>
        <v/>
      </c>
      <c r="U1009" s="20" t="n"/>
      <c r="V1009" s="20" t="n"/>
      <c r="W1009" s="20" t="n"/>
      <c r="X1009">
        <f>IF($A1009="","",$A1009&amp;"|"&amp;$C1009&amp;"|"&amp;$I1009)</f>
        <v/>
      </c>
      <c r="Y1009">
        <f>IF(AND($A1009=RELATORIO_MEDICAO!$C$5,$C1009=RELATORIO_MEDICAO!$F$5,$A1009&lt;&gt;""),COUNTIFS($A$3:$A1009,RELATORIO_MEDICAO!$C$5,$C$3:$C1009,RELATORIO_MEDICAO!$F$5),"")</f>
        <v/>
      </c>
      <c r="Z1009">
        <f>IF(OR($A1009="",PESQUISA!$C$4=""),0,IF(OR(ISNUMBER(SEARCH(PESQUISA!$C$4,$G1009)),ISNUMBER(SEARCH(PESQUISA!$C$4,$K1009)),ISNUMBER(SEARCH(PESQUISA!$C$4,$L1009))),1,0))</f>
        <v/>
      </c>
      <c r="AA1009">
        <f>IF($Z1009=1,SUM($Z$3:$Z1009),"")</f>
        <v/>
      </c>
      <c r="AB1009">
        <f>IF(OR($A1009="",PESQUISA!$C$50=""),0,IF(ISNUMBER(SEARCH(PESQUISA!$C$50,$I1009)),1,0))</f>
        <v/>
      </c>
      <c r="AC1009">
        <f>IF($AB1009=1,SUM($AB$3:$AB1009),"")</f>
        <v/>
      </c>
    </row>
    <row r="1010">
      <c r="A1010" s="20" t="n"/>
      <c r="B1010" s="20" t="n"/>
      <c r="C1010" s="20" t="n"/>
      <c r="D1010" s="20" t="n"/>
      <c r="E1010" s="20" t="n"/>
      <c r="F1010" s="20" t="n"/>
      <c r="G1010" s="20" t="n"/>
      <c r="H1010" s="20" t="n"/>
      <c r="I1010" s="20" t="n"/>
      <c r="J1010" s="20">
        <f>IFERROR(INDEX(CONFIGURACOES!$G$37:$G$300,MATCH($I1010,CONFIGURACOES!$B$37:$B$300,0)),"")</f>
        <v/>
      </c>
      <c r="K1010" s="20">
        <f>IFERROR(INDEX(CONFIGURACOES!$H$37:$H$300,MATCH($I1010,CONFIGURACOES!$B$37:$B$300,0)),"")</f>
        <v/>
      </c>
      <c r="L1010" s="20" t="n"/>
      <c r="M1010" s="20">
        <f>IFERROR(INDEX(CONFIGURACOES!$I$37:$I$300,MATCH($I1010,CONFIGURACOES!$B$37:$B$300,0)),"")</f>
        <v/>
      </c>
      <c r="N1010" s="21" t="n"/>
      <c r="O1010" s="21" t="n"/>
      <c r="P1010" s="21" t="n"/>
      <c r="Q1010" s="21" t="n"/>
      <c r="R1010" s="21">
        <f>IF($N1010="","",$N1010*IF($Q1010="",1,$Q1010)*IF($P1010="",1,$P1010)*IF($O1010="",1,$O1010))</f>
        <v/>
      </c>
      <c r="S1010" s="22">
        <f>IFERROR(INDEX(CONFIGURACOES!$J$37:$J$300,MATCH($I1010,CONFIGURACOES!$B$37:$B$300,0)),"")</f>
        <v/>
      </c>
      <c r="T1010" s="22">
        <f>IF(OR($R1010="",$S1010=""),"",$R1010*$S1010)</f>
        <v/>
      </c>
      <c r="U1010" s="20" t="n"/>
      <c r="V1010" s="20" t="n"/>
      <c r="W1010" s="20" t="n"/>
      <c r="X1010">
        <f>IF($A1010="","",$A1010&amp;"|"&amp;$C1010&amp;"|"&amp;$I1010)</f>
        <v/>
      </c>
      <c r="Y1010">
        <f>IF(AND($A1010=RELATORIO_MEDICAO!$C$5,$C1010=RELATORIO_MEDICAO!$F$5,$A1010&lt;&gt;""),COUNTIFS($A$3:$A1010,RELATORIO_MEDICAO!$C$5,$C$3:$C1010,RELATORIO_MEDICAO!$F$5),"")</f>
        <v/>
      </c>
      <c r="Z1010">
        <f>IF(OR($A1010="",PESQUISA!$C$4=""),0,IF(OR(ISNUMBER(SEARCH(PESQUISA!$C$4,$G1010)),ISNUMBER(SEARCH(PESQUISA!$C$4,$K1010)),ISNUMBER(SEARCH(PESQUISA!$C$4,$L1010))),1,0))</f>
        <v/>
      </c>
      <c r="AA1010">
        <f>IF($Z1010=1,SUM($Z$3:$Z1010),"")</f>
        <v/>
      </c>
      <c r="AB1010">
        <f>IF(OR($A1010="",PESQUISA!$C$50=""),0,IF(ISNUMBER(SEARCH(PESQUISA!$C$50,$I1010)),1,0))</f>
        <v/>
      </c>
      <c r="AC1010">
        <f>IF($AB1010=1,SUM($AB$3:$AB1010),"")</f>
        <v/>
      </c>
    </row>
    <row r="1011">
      <c r="A1011" s="20" t="n"/>
      <c r="B1011" s="20" t="n"/>
      <c r="C1011" s="20" t="n"/>
      <c r="D1011" s="20" t="n"/>
      <c r="E1011" s="20" t="n"/>
      <c r="F1011" s="20" t="n"/>
      <c r="G1011" s="20" t="n"/>
      <c r="H1011" s="20" t="n"/>
      <c r="I1011" s="20" t="n"/>
      <c r="J1011" s="20">
        <f>IFERROR(INDEX(CONFIGURACOES!$G$37:$G$300,MATCH($I1011,CONFIGURACOES!$B$37:$B$300,0)),"")</f>
        <v/>
      </c>
      <c r="K1011" s="20">
        <f>IFERROR(INDEX(CONFIGURACOES!$H$37:$H$300,MATCH($I1011,CONFIGURACOES!$B$37:$B$300,0)),"")</f>
        <v/>
      </c>
      <c r="L1011" s="20" t="n"/>
      <c r="M1011" s="20">
        <f>IFERROR(INDEX(CONFIGURACOES!$I$37:$I$300,MATCH($I1011,CONFIGURACOES!$B$37:$B$300,0)),"")</f>
        <v/>
      </c>
      <c r="N1011" s="21" t="n"/>
      <c r="O1011" s="21" t="n"/>
      <c r="P1011" s="21" t="n"/>
      <c r="Q1011" s="21" t="n"/>
      <c r="R1011" s="21">
        <f>IF($N1011="","",$N1011*IF($Q1011="",1,$Q1011)*IF($P1011="",1,$P1011)*IF($O1011="",1,$O1011))</f>
        <v/>
      </c>
      <c r="S1011" s="22">
        <f>IFERROR(INDEX(CONFIGURACOES!$J$37:$J$300,MATCH($I1011,CONFIGURACOES!$B$37:$B$300,0)),"")</f>
        <v/>
      </c>
      <c r="T1011" s="22">
        <f>IF(OR($R1011="",$S1011=""),"",$R1011*$S1011)</f>
        <v/>
      </c>
      <c r="U1011" s="20" t="n"/>
      <c r="V1011" s="20" t="n"/>
      <c r="W1011" s="20" t="n"/>
      <c r="X1011">
        <f>IF($A1011="","",$A1011&amp;"|"&amp;$C1011&amp;"|"&amp;$I1011)</f>
        <v/>
      </c>
      <c r="Y1011">
        <f>IF(AND($A1011=RELATORIO_MEDICAO!$C$5,$C1011=RELATORIO_MEDICAO!$F$5,$A1011&lt;&gt;""),COUNTIFS($A$3:$A1011,RELATORIO_MEDICAO!$C$5,$C$3:$C1011,RELATORIO_MEDICAO!$F$5),"")</f>
        <v/>
      </c>
      <c r="Z1011">
        <f>IF(OR($A1011="",PESQUISA!$C$4=""),0,IF(OR(ISNUMBER(SEARCH(PESQUISA!$C$4,$G1011)),ISNUMBER(SEARCH(PESQUISA!$C$4,$K1011)),ISNUMBER(SEARCH(PESQUISA!$C$4,$L1011))),1,0))</f>
        <v/>
      </c>
      <c r="AA1011">
        <f>IF($Z1011=1,SUM($Z$3:$Z1011),"")</f>
        <v/>
      </c>
      <c r="AB1011">
        <f>IF(OR($A1011="",PESQUISA!$C$50=""),0,IF(ISNUMBER(SEARCH(PESQUISA!$C$50,$I1011)),1,0))</f>
        <v/>
      </c>
      <c r="AC1011">
        <f>IF($AB1011=1,SUM($AB$3:$AB1011),"")</f>
        <v/>
      </c>
    </row>
    <row r="1012">
      <c r="A1012" s="20" t="n"/>
      <c r="B1012" s="20" t="n"/>
      <c r="C1012" s="20" t="n"/>
      <c r="D1012" s="20" t="n"/>
      <c r="E1012" s="20" t="n"/>
      <c r="F1012" s="20" t="n"/>
      <c r="G1012" s="20" t="n"/>
      <c r="H1012" s="20" t="n"/>
      <c r="I1012" s="20" t="n"/>
      <c r="J1012" s="20">
        <f>IFERROR(INDEX(CONFIGURACOES!$G$37:$G$300,MATCH($I1012,CONFIGURACOES!$B$37:$B$300,0)),"")</f>
        <v/>
      </c>
      <c r="K1012" s="20">
        <f>IFERROR(INDEX(CONFIGURACOES!$H$37:$H$300,MATCH($I1012,CONFIGURACOES!$B$37:$B$300,0)),"")</f>
        <v/>
      </c>
      <c r="L1012" s="20" t="n"/>
      <c r="M1012" s="20">
        <f>IFERROR(INDEX(CONFIGURACOES!$I$37:$I$300,MATCH($I1012,CONFIGURACOES!$B$37:$B$300,0)),"")</f>
        <v/>
      </c>
      <c r="N1012" s="21" t="n"/>
      <c r="O1012" s="21" t="n"/>
      <c r="P1012" s="21" t="n"/>
      <c r="Q1012" s="21" t="n"/>
      <c r="R1012" s="21">
        <f>IF($N1012="","",$N1012*IF($Q1012="",1,$Q1012)*IF($P1012="",1,$P1012)*IF($O1012="",1,$O1012))</f>
        <v/>
      </c>
      <c r="S1012" s="22">
        <f>IFERROR(INDEX(CONFIGURACOES!$J$37:$J$300,MATCH($I1012,CONFIGURACOES!$B$37:$B$300,0)),"")</f>
        <v/>
      </c>
      <c r="T1012" s="22">
        <f>IF(OR($R1012="",$S1012=""),"",$R1012*$S1012)</f>
        <v/>
      </c>
      <c r="U1012" s="20" t="n"/>
      <c r="V1012" s="20" t="n"/>
      <c r="W1012" s="20" t="n"/>
      <c r="X1012">
        <f>IF($A1012="","",$A1012&amp;"|"&amp;$C1012&amp;"|"&amp;$I1012)</f>
        <v/>
      </c>
      <c r="Y1012">
        <f>IF(AND($A1012=RELATORIO_MEDICAO!$C$5,$C1012=RELATORIO_MEDICAO!$F$5,$A1012&lt;&gt;""),COUNTIFS($A$3:$A1012,RELATORIO_MEDICAO!$C$5,$C$3:$C1012,RELATORIO_MEDICAO!$F$5),"")</f>
        <v/>
      </c>
      <c r="Z1012">
        <f>IF(OR($A1012="",PESQUISA!$C$4=""),0,IF(OR(ISNUMBER(SEARCH(PESQUISA!$C$4,$G1012)),ISNUMBER(SEARCH(PESQUISA!$C$4,$K1012)),ISNUMBER(SEARCH(PESQUISA!$C$4,$L1012))),1,0))</f>
        <v/>
      </c>
      <c r="AA1012">
        <f>IF($Z1012=1,SUM($Z$3:$Z1012),"")</f>
        <v/>
      </c>
      <c r="AB1012">
        <f>IF(OR($A1012="",PESQUISA!$C$50=""),0,IF(ISNUMBER(SEARCH(PESQUISA!$C$50,$I1012)),1,0))</f>
        <v/>
      </c>
      <c r="AC1012">
        <f>IF($AB1012=1,SUM($AB$3:$AB1012),"")</f>
        <v/>
      </c>
    </row>
    <row r="1013">
      <c r="A1013" s="20" t="n"/>
      <c r="B1013" s="20" t="n"/>
      <c r="C1013" s="20" t="n"/>
      <c r="D1013" s="20" t="n"/>
      <c r="E1013" s="20" t="n"/>
      <c r="F1013" s="20" t="n"/>
      <c r="G1013" s="20" t="n"/>
      <c r="H1013" s="20" t="n"/>
      <c r="I1013" s="20" t="n"/>
      <c r="J1013" s="20">
        <f>IFERROR(INDEX(CONFIGURACOES!$G$37:$G$300,MATCH($I1013,CONFIGURACOES!$B$37:$B$300,0)),"")</f>
        <v/>
      </c>
      <c r="K1013" s="20">
        <f>IFERROR(INDEX(CONFIGURACOES!$H$37:$H$300,MATCH($I1013,CONFIGURACOES!$B$37:$B$300,0)),"")</f>
        <v/>
      </c>
      <c r="L1013" s="20" t="n"/>
      <c r="M1013" s="20">
        <f>IFERROR(INDEX(CONFIGURACOES!$I$37:$I$300,MATCH($I1013,CONFIGURACOES!$B$37:$B$300,0)),"")</f>
        <v/>
      </c>
      <c r="N1013" s="21" t="n"/>
      <c r="O1013" s="21" t="n"/>
      <c r="P1013" s="21" t="n"/>
      <c r="Q1013" s="21" t="n"/>
      <c r="R1013" s="21">
        <f>IF($N1013="","",$N1013*IF($Q1013="",1,$Q1013)*IF($P1013="",1,$P1013)*IF($O1013="",1,$O1013))</f>
        <v/>
      </c>
      <c r="S1013" s="22">
        <f>IFERROR(INDEX(CONFIGURACOES!$J$37:$J$300,MATCH($I1013,CONFIGURACOES!$B$37:$B$300,0)),"")</f>
        <v/>
      </c>
      <c r="T1013" s="22">
        <f>IF(OR($R1013="",$S1013=""),"",$R1013*$S1013)</f>
        <v/>
      </c>
      <c r="U1013" s="20" t="n"/>
      <c r="V1013" s="20" t="n"/>
      <c r="W1013" s="20" t="n"/>
      <c r="X1013">
        <f>IF($A1013="","",$A1013&amp;"|"&amp;$C1013&amp;"|"&amp;$I1013)</f>
        <v/>
      </c>
      <c r="Y1013">
        <f>IF(AND($A1013=RELATORIO_MEDICAO!$C$5,$C1013=RELATORIO_MEDICAO!$F$5,$A1013&lt;&gt;""),COUNTIFS($A$3:$A1013,RELATORIO_MEDICAO!$C$5,$C$3:$C1013,RELATORIO_MEDICAO!$F$5),"")</f>
        <v/>
      </c>
      <c r="Z1013">
        <f>IF(OR($A1013="",PESQUISA!$C$4=""),0,IF(OR(ISNUMBER(SEARCH(PESQUISA!$C$4,$G1013)),ISNUMBER(SEARCH(PESQUISA!$C$4,$K1013)),ISNUMBER(SEARCH(PESQUISA!$C$4,$L1013))),1,0))</f>
        <v/>
      </c>
      <c r="AA1013">
        <f>IF($Z1013=1,SUM($Z$3:$Z1013),"")</f>
        <v/>
      </c>
      <c r="AB1013">
        <f>IF(OR($A1013="",PESQUISA!$C$50=""),0,IF(ISNUMBER(SEARCH(PESQUISA!$C$50,$I1013)),1,0))</f>
        <v/>
      </c>
      <c r="AC1013">
        <f>IF($AB1013=1,SUM($AB$3:$AB1013),"")</f>
        <v/>
      </c>
    </row>
    <row r="1014">
      <c r="A1014" s="20" t="n"/>
      <c r="B1014" s="20" t="n"/>
      <c r="C1014" s="20" t="n"/>
      <c r="D1014" s="20" t="n"/>
      <c r="E1014" s="20" t="n"/>
      <c r="F1014" s="20" t="n"/>
      <c r="G1014" s="20" t="n"/>
      <c r="H1014" s="20" t="n"/>
      <c r="I1014" s="20" t="n"/>
      <c r="J1014" s="20">
        <f>IFERROR(INDEX(CONFIGURACOES!$G$37:$G$300,MATCH($I1014,CONFIGURACOES!$B$37:$B$300,0)),"")</f>
        <v/>
      </c>
      <c r="K1014" s="20">
        <f>IFERROR(INDEX(CONFIGURACOES!$H$37:$H$300,MATCH($I1014,CONFIGURACOES!$B$37:$B$300,0)),"")</f>
        <v/>
      </c>
      <c r="L1014" s="20" t="n"/>
      <c r="M1014" s="20">
        <f>IFERROR(INDEX(CONFIGURACOES!$I$37:$I$300,MATCH($I1014,CONFIGURACOES!$B$37:$B$300,0)),"")</f>
        <v/>
      </c>
      <c r="N1014" s="21" t="n"/>
      <c r="O1014" s="21" t="n"/>
      <c r="P1014" s="21" t="n"/>
      <c r="Q1014" s="21" t="n"/>
      <c r="R1014" s="21">
        <f>IF($N1014="","",$N1014*IF($Q1014="",1,$Q1014)*IF($P1014="",1,$P1014)*IF($O1014="",1,$O1014))</f>
        <v/>
      </c>
      <c r="S1014" s="22">
        <f>IFERROR(INDEX(CONFIGURACOES!$J$37:$J$300,MATCH($I1014,CONFIGURACOES!$B$37:$B$300,0)),"")</f>
        <v/>
      </c>
      <c r="T1014" s="22">
        <f>IF(OR($R1014="",$S1014=""),"",$R1014*$S1014)</f>
        <v/>
      </c>
      <c r="U1014" s="20" t="n"/>
      <c r="V1014" s="20" t="n"/>
      <c r="W1014" s="20" t="n"/>
      <c r="X1014">
        <f>IF($A1014="","",$A1014&amp;"|"&amp;$C1014&amp;"|"&amp;$I1014)</f>
        <v/>
      </c>
      <c r="Y1014">
        <f>IF(AND($A1014=RELATORIO_MEDICAO!$C$5,$C1014=RELATORIO_MEDICAO!$F$5,$A1014&lt;&gt;""),COUNTIFS($A$3:$A1014,RELATORIO_MEDICAO!$C$5,$C$3:$C1014,RELATORIO_MEDICAO!$F$5),"")</f>
        <v/>
      </c>
      <c r="Z1014">
        <f>IF(OR($A1014="",PESQUISA!$C$4=""),0,IF(OR(ISNUMBER(SEARCH(PESQUISA!$C$4,$G1014)),ISNUMBER(SEARCH(PESQUISA!$C$4,$K1014)),ISNUMBER(SEARCH(PESQUISA!$C$4,$L1014))),1,0))</f>
        <v/>
      </c>
      <c r="AA1014">
        <f>IF($Z1014=1,SUM($Z$3:$Z1014),"")</f>
        <v/>
      </c>
      <c r="AB1014">
        <f>IF(OR($A1014="",PESQUISA!$C$50=""),0,IF(ISNUMBER(SEARCH(PESQUISA!$C$50,$I1014)),1,0))</f>
        <v/>
      </c>
      <c r="AC1014">
        <f>IF($AB1014=1,SUM($AB$3:$AB1014),"")</f>
        <v/>
      </c>
    </row>
    <row r="1015">
      <c r="A1015" s="20" t="n"/>
      <c r="B1015" s="20" t="n"/>
      <c r="C1015" s="20" t="n"/>
      <c r="D1015" s="20" t="n"/>
      <c r="E1015" s="20" t="n"/>
      <c r="F1015" s="20" t="n"/>
      <c r="G1015" s="20" t="n"/>
      <c r="H1015" s="20" t="n"/>
      <c r="I1015" s="20" t="n"/>
      <c r="J1015" s="20">
        <f>IFERROR(INDEX(CONFIGURACOES!$G$37:$G$300,MATCH($I1015,CONFIGURACOES!$B$37:$B$300,0)),"")</f>
        <v/>
      </c>
      <c r="K1015" s="20">
        <f>IFERROR(INDEX(CONFIGURACOES!$H$37:$H$300,MATCH($I1015,CONFIGURACOES!$B$37:$B$300,0)),"")</f>
        <v/>
      </c>
      <c r="L1015" s="20" t="n"/>
      <c r="M1015" s="20">
        <f>IFERROR(INDEX(CONFIGURACOES!$I$37:$I$300,MATCH($I1015,CONFIGURACOES!$B$37:$B$300,0)),"")</f>
        <v/>
      </c>
      <c r="N1015" s="21" t="n"/>
      <c r="O1015" s="21" t="n"/>
      <c r="P1015" s="21" t="n"/>
      <c r="Q1015" s="21" t="n"/>
      <c r="R1015" s="21">
        <f>IF($N1015="","",$N1015*IF($Q1015="",1,$Q1015)*IF($P1015="",1,$P1015)*IF($O1015="",1,$O1015))</f>
        <v/>
      </c>
      <c r="S1015" s="22">
        <f>IFERROR(INDEX(CONFIGURACOES!$J$37:$J$300,MATCH($I1015,CONFIGURACOES!$B$37:$B$300,0)),"")</f>
        <v/>
      </c>
      <c r="T1015" s="22">
        <f>IF(OR($R1015="",$S1015=""),"",$R1015*$S1015)</f>
        <v/>
      </c>
      <c r="U1015" s="20" t="n"/>
      <c r="V1015" s="20" t="n"/>
      <c r="W1015" s="20" t="n"/>
      <c r="X1015">
        <f>IF($A1015="","",$A1015&amp;"|"&amp;$C1015&amp;"|"&amp;$I1015)</f>
        <v/>
      </c>
      <c r="Y1015">
        <f>IF(AND($A1015=RELATORIO_MEDICAO!$C$5,$C1015=RELATORIO_MEDICAO!$F$5,$A1015&lt;&gt;""),COUNTIFS($A$3:$A1015,RELATORIO_MEDICAO!$C$5,$C$3:$C1015,RELATORIO_MEDICAO!$F$5),"")</f>
        <v/>
      </c>
      <c r="Z1015">
        <f>IF(OR($A1015="",PESQUISA!$C$4=""),0,IF(OR(ISNUMBER(SEARCH(PESQUISA!$C$4,$G1015)),ISNUMBER(SEARCH(PESQUISA!$C$4,$K1015)),ISNUMBER(SEARCH(PESQUISA!$C$4,$L1015))),1,0))</f>
        <v/>
      </c>
      <c r="AA1015">
        <f>IF($Z1015=1,SUM($Z$3:$Z1015),"")</f>
        <v/>
      </c>
      <c r="AB1015">
        <f>IF(OR($A1015="",PESQUISA!$C$50=""),0,IF(ISNUMBER(SEARCH(PESQUISA!$C$50,$I1015)),1,0))</f>
        <v/>
      </c>
      <c r="AC1015">
        <f>IF($AB1015=1,SUM($AB$3:$AB1015),"")</f>
        <v/>
      </c>
    </row>
    <row r="1016">
      <c r="A1016" s="20" t="n"/>
      <c r="B1016" s="20" t="n"/>
      <c r="C1016" s="20" t="n"/>
      <c r="D1016" s="20" t="n"/>
      <c r="E1016" s="20" t="n"/>
      <c r="F1016" s="20" t="n"/>
      <c r="G1016" s="20" t="n"/>
      <c r="H1016" s="20" t="n"/>
      <c r="I1016" s="20" t="n"/>
      <c r="J1016" s="20">
        <f>IFERROR(INDEX(CONFIGURACOES!$G$37:$G$300,MATCH($I1016,CONFIGURACOES!$B$37:$B$300,0)),"")</f>
        <v/>
      </c>
      <c r="K1016" s="20">
        <f>IFERROR(INDEX(CONFIGURACOES!$H$37:$H$300,MATCH($I1016,CONFIGURACOES!$B$37:$B$300,0)),"")</f>
        <v/>
      </c>
      <c r="L1016" s="20" t="n"/>
      <c r="M1016" s="20">
        <f>IFERROR(INDEX(CONFIGURACOES!$I$37:$I$300,MATCH($I1016,CONFIGURACOES!$B$37:$B$300,0)),"")</f>
        <v/>
      </c>
      <c r="N1016" s="21" t="n"/>
      <c r="O1016" s="21" t="n"/>
      <c r="P1016" s="21" t="n"/>
      <c r="Q1016" s="21" t="n"/>
      <c r="R1016" s="21">
        <f>IF($N1016="","",$N1016*IF($Q1016="",1,$Q1016)*IF($P1016="",1,$P1016)*IF($O1016="",1,$O1016))</f>
        <v/>
      </c>
      <c r="S1016" s="22">
        <f>IFERROR(INDEX(CONFIGURACOES!$J$37:$J$300,MATCH($I1016,CONFIGURACOES!$B$37:$B$300,0)),"")</f>
        <v/>
      </c>
      <c r="T1016" s="22">
        <f>IF(OR($R1016="",$S1016=""),"",$R1016*$S1016)</f>
        <v/>
      </c>
      <c r="U1016" s="20" t="n"/>
      <c r="V1016" s="20" t="n"/>
      <c r="W1016" s="20" t="n"/>
      <c r="X1016">
        <f>IF($A1016="","",$A1016&amp;"|"&amp;$C1016&amp;"|"&amp;$I1016)</f>
        <v/>
      </c>
      <c r="Y1016">
        <f>IF(AND($A1016=RELATORIO_MEDICAO!$C$5,$C1016=RELATORIO_MEDICAO!$F$5,$A1016&lt;&gt;""),COUNTIFS($A$3:$A1016,RELATORIO_MEDICAO!$C$5,$C$3:$C1016,RELATORIO_MEDICAO!$F$5),"")</f>
        <v/>
      </c>
      <c r="Z1016">
        <f>IF(OR($A1016="",PESQUISA!$C$4=""),0,IF(OR(ISNUMBER(SEARCH(PESQUISA!$C$4,$G1016)),ISNUMBER(SEARCH(PESQUISA!$C$4,$K1016)),ISNUMBER(SEARCH(PESQUISA!$C$4,$L1016))),1,0))</f>
        <v/>
      </c>
      <c r="AA1016">
        <f>IF($Z1016=1,SUM($Z$3:$Z1016),"")</f>
        <v/>
      </c>
      <c r="AB1016">
        <f>IF(OR($A1016="",PESQUISA!$C$50=""),0,IF(ISNUMBER(SEARCH(PESQUISA!$C$50,$I1016)),1,0))</f>
        <v/>
      </c>
      <c r="AC1016">
        <f>IF($AB1016=1,SUM($AB$3:$AB1016),"")</f>
        <v/>
      </c>
    </row>
    <row r="1017">
      <c r="A1017" s="20" t="n"/>
      <c r="B1017" s="20" t="n"/>
      <c r="C1017" s="20" t="n"/>
      <c r="D1017" s="20" t="n"/>
      <c r="E1017" s="20" t="n"/>
      <c r="F1017" s="20" t="n"/>
      <c r="G1017" s="20" t="n"/>
      <c r="H1017" s="20" t="n"/>
      <c r="I1017" s="20" t="n"/>
      <c r="J1017" s="20">
        <f>IFERROR(INDEX(CONFIGURACOES!$G$37:$G$300,MATCH($I1017,CONFIGURACOES!$B$37:$B$300,0)),"")</f>
        <v/>
      </c>
      <c r="K1017" s="20">
        <f>IFERROR(INDEX(CONFIGURACOES!$H$37:$H$300,MATCH($I1017,CONFIGURACOES!$B$37:$B$300,0)),"")</f>
        <v/>
      </c>
      <c r="L1017" s="20" t="n"/>
      <c r="M1017" s="20">
        <f>IFERROR(INDEX(CONFIGURACOES!$I$37:$I$300,MATCH($I1017,CONFIGURACOES!$B$37:$B$300,0)),"")</f>
        <v/>
      </c>
      <c r="N1017" s="21" t="n"/>
      <c r="O1017" s="21" t="n"/>
      <c r="P1017" s="21" t="n"/>
      <c r="Q1017" s="21" t="n"/>
      <c r="R1017" s="21">
        <f>IF($N1017="","",$N1017*IF($Q1017="",1,$Q1017)*IF($P1017="",1,$P1017)*IF($O1017="",1,$O1017))</f>
        <v/>
      </c>
      <c r="S1017" s="22">
        <f>IFERROR(INDEX(CONFIGURACOES!$J$37:$J$300,MATCH($I1017,CONFIGURACOES!$B$37:$B$300,0)),"")</f>
        <v/>
      </c>
      <c r="T1017" s="22">
        <f>IF(OR($R1017="",$S1017=""),"",$R1017*$S1017)</f>
        <v/>
      </c>
      <c r="U1017" s="20" t="n"/>
      <c r="V1017" s="20" t="n"/>
      <c r="W1017" s="20" t="n"/>
      <c r="X1017">
        <f>IF($A1017="","",$A1017&amp;"|"&amp;$C1017&amp;"|"&amp;$I1017)</f>
        <v/>
      </c>
      <c r="Y1017">
        <f>IF(AND($A1017=RELATORIO_MEDICAO!$C$5,$C1017=RELATORIO_MEDICAO!$F$5,$A1017&lt;&gt;""),COUNTIFS($A$3:$A1017,RELATORIO_MEDICAO!$C$5,$C$3:$C1017,RELATORIO_MEDICAO!$F$5),"")</f>
        <v/>
      </c>
      <c r="Z1017">
        <f>IF(OR($A1017="",PESQUISA!$C$4=""),0,IF(OR(ISNUMBER(SEARCH(PESQUISA!$C$4,$G1017)),ISNUMBER(SEARCH(PESQUISA!$C$4,$K1017)),ISNUMBER(SEARCH(PESQUISA!$C$4,$L1017))),1,0))</f>
        <v/>
      </c>
      <c r="AA1017">
        <f>IF($Z1017=1,SUM($Z$3:$Z1017),"")</f>
        <v/>
      </c>
      <c r="AB1017">
        <f>IF(OR($A1017="",PESQUISA!$C$50=""),0,IF(ISNUMBER(SEARCH(PESQUISA!$C$50,$I1017)),1,0))</f>
        <v/>
      </c>
      <c r="AC1017">
        <f>IF($AB1017=1,SUM($AB$3:$AB1017),"")</f>
        <v/>
      </c>
    </row>
    <row r="1018">
      <c r="A1018" s="20" t="n"/>
      <c r="B1018" s="20" t="n"/>
      <c r="C1018" s="20" t="n"/>
      <c r="D1018" s="20" t="n"/>
      <c r="E1018" s="20" t="n"/>
      <c r="F1018" s="20" t="n"/>
      <c r="G1018" s="20" t="n"/>
      <c r="H1018" s="20" t="n"/>
      <c r="I1018" s="20" t="n"/>
      <c r="J1018" s="20">
        <f>IFERROR(INDEX(CONFIGURACOES!$G$37:$G$300,MATCH($I1018,CONFIGURACOES!$B$37:$B$300,0)),"")</f>
        <v/>
      </c>
      <c r="K1018" s="20">
        <f>IFERROR(INDEX(CONFIGURACOES!$H$37:$H$300,MATCH($I1018,CONFIGURACOES!$B$37:$B$300,0)),"")</f>
        <v/>
      </c>
      <c r="L1018" s="20" t="n"/>
      <c r="M1018" s="20">
        <f>IFERROR(INDEX(CONFIGURACOES!$I$37:$I$300,MATCH($I1018,CONFIGURACOES!$B$37:$B$300,0)),"")</f>
        <v/>
      </c>
      <c r="N1018" s="21" t="n"/>
      <c r="O1018" s="21" t="n"/>
      <c r="P1018" s="21" t="n"/>
      <c r="Q1018" s="21" t="n"/>
      <c r="R1018" s="21">
        <f>IF($N1018="","",$N1018*IF($Q1018="",1,$Q1018)*IF($P1018="",1,$P1018)*IF($O1018="",1,$O1018))</f>
        <v/>
      </c>
      <c r="S1018" s="22">
        <f>IFERROR(INDEX(CONFIGURACOES!$J$37:$J$300,MATCH($I1018,CONFIGURACOES!$B$37:$B$300,0)),"")</f>
        <v/>
      </c>
      <c r="T1018" s="22">
        <f>IF(OR($R1018="",$S1018=""),"",$R1018*$S1018)</f>
        <v/>
      </c>
      <c r="U1018" s="20" t="n"/>
      <c r="V1018" s="20" t="n"/>
      <c r="W1018" s="20" t="n"/>
      <c r="X1018">
        <f>IF($A1018="","",$A1018&amp;"|"&amp;$C1018&amp;"|"&amp;$I1018)</f>
        <v/>
      </c>
      <c r="Y1018">
        <f>IF(AND($A1018=RELATORIO_MEDICAO!$C$5,$C1018=RELATORIO_MEDICAO!$F$5,$A1018&lt;&gt;""),COUNTIFS($A$3:$A1018,RELATORIO_MEDICAO!$C$5,$C$3:$C1018,RELATORIO_MEDICAO!$F$5),"")</f>
        <v/>
      </c>
      <c r="Z1018">
        <f>IF(OR($A1018="",PESQUISA!$C$4=""),0,IF(OR(ISNUMBER(SEARCH(PESQUISA!$C$4,$G1018)),ISNUMBER(SEARCH(PESQUISA!$C$4,$K1018)),ISNUMBER(SEARCH(PESQUISA!$C$4,$L1018))),1,0))</f>
        <v/>
      </c>
      <c r="AA1018">
        <f>IF($Z1018=1,SUM($Z$3:$Z1018),"")</f>
        <v/>
      </c>
      <c r="AB1018">
        <f>IF(OR($A1018="",PESQUISA!$C$50=""),0,IF(ISNUMBER(SEARCH(PESQUISA!$C$50,$I1018)),1,0))</f>
        <v/>
      </c>
      <c r="AC1018">
        <f>IF($AB1018=1,SUM($AB$3:$AB1018),"")</f>
        <v/>
      </c>
    </row>
    <row r="1019">
      <c r="A1019" s="20" t="n"/>
      <c r="B1019" s="20" t="n"/>
      <c r="C1019" s="20" t="n"/>
      <c r="D1019" s="20" t="n"/>
      <c r="E1019" s="20" t="n"/>
      <c r="F1019" s="20" t="n"/>
      <c r="G1019" s="20" t="n"/>
      <c r="H1019" s="20" t="n"/>
      <c r="I1019" s="20" t="n"/>
      <c r="J1019" s="20">
        <f>IFERROR(INDEX(CONFIGURACOES!$G$37:$G$300,MATCH($I1019,CONFIGURACOES!$B$37:$B$300,0)),"")</f>
        <v/>
      </c>
      <c r="K1019" s="20">
        <f>IFERROR(INDEX(CONFIGURACOES!$H$37:$H$300,MATCH($I1019,CONFIGURACOES!$B$37:$B$300,0)),"")</f>
        <v/>
      </c>
      <c r="L1019" s="20" t="n"/>
      <c r="M1019" s="20">
        <f>IFERROR(INDEX(CONFIGURACOES!$I$37:$I$300,MATCH($I1019,CONFIGURACOES!$B$37:$B$300,0)),"")</f>
        <v/>
      </c>
      <c r="N1019" s="21" t="n"/>
      <c r="O1019" s="21" t="n"/>
      <c r="P1019" s="21" t="n"/>
      <c r="Q1019" s="21" t="n"/>
      <c r="R1019" s="21">
        <f>IF($N1019="","",$N1019*IF($Q1019="",1,$Q1019)*IF($P1019="",1,$P1019)*IF($O1019="",1,$O1019))</f>
        <v/>
      </c>
      <c r="S1019" s="22">
        <f>IFERROR(INDEX(CONFIGURACOES!$J$37:$J$300,MATCH($I1019,CONFIGURACOES!$B$37:$B$300,0)),"")</f>
        <v/>
      </c>
      <c r="T1019" s="22">
        <f>IF(OR($R1019="",$S1019=""),"",$R1019*$S1019)</f>
        <v/>
      </c>
      <c r="U1019" s="20" t="n"/>
      <c r="V1019" s="20" t="n"/>
      <c r="W1019" s="20" t="n"/>
      <c r="X1019">
        <f>IF($A1019="","",$A1019&amp;"|"&amp;$C1019&amp;"|"&amp;$I1019)</f>
        <v/>
      </c>
      <c r="Y1019">
        <f>IF(AND($A1019=RELATORIO_MEDICAO!$C$5,$C1019=RELATORIO_MEDICAO!$F$5,$A1019&lt;&gt;""),COUNTIFS($A$3:$A1019,RELATORIO_MEDICAO!$C$5,$C$3:$C1019,RELATORIO_MEDICAO!$F$5),"")</f>
        <v/>
      </c>
      <c r="Z1019">
        <f>IF(OR($A1019="",PESQUISA!$C$4=""),0,IF(OR(ISNUMBER(SEARCH(PESQUISA!$C$4,$G1019)),ISNUMBER(SEARCH(PESQUISA!$C$4,$K1019)),ISNUMBER(SEARCH(PESQUISA!$C$4,$L1019))),1,0))</f>
        <v/>
      </c>
      <c r="AA1019">
        <f>IF($Z1019=1,SUM($Z$3:$Z1019),"")</f>
        <v/>
      </c>
      <c r="AB1019">
        <f>IF(OR($A1019="",PESQUISA!$C$50=""),0,IF(ISNUMBER(SEARCH(PESQUISA!$C$50,$I1019)),1,0))</f>
        <v/>
      </c>
      <c r="AC1019">
        <f>IF($AB1019=1,SUM($AB$3:$AB1019),"")</f>
        <v/>
      </c>
    </row>
    <row r="1020">
      <c r="A1020" s="20" t="n"/>
      <c r="B1020" s="20" t="n"/>
      <c r="C1020" s="20" t="n"/>
      <c r="D1020" s="20" t="n"/>
      <c r="E1020" s="20" t="n"/>
      <c r="F1020" s="20" t="n"/>
      <c r="G1020" s="20" t="n"/>
      <c r="H1020" s="20" t="n"/>
      <c r="I1020" s="20" t="n"/>
      <c r="J1020" s="20">
        <f>IFERROR(INDEX(CONFIGURACOES!$G$37:$G$300,MATCH($I1020,CONFIGURACOES!$B$37:$B$300,0)),"")</f>
        <v/>
      </c>
      <c r="K1020" s="20">
        <f>IFERROR(INDEX(CONFIGURACOES!$H$37:$H$300,MATCH($I1020,CONFIGURACOES!$B$37:$B$300,0)),"")</f>
        <v/>
      </c>
      <c r="L1020" s="20" t="n"/>
      <c r="M1020" s="20">
        <f>IFERROR(INDEX(CONFIGURACOES!$I$37:$I$300,MATCH($I1020,CONFIGURACOES!$B$37:$B$300,0)),"")</f>
        <v/>
      </c>
      <c r="N1020" s="21" t="n"/>
      <c r="O1020" s="21" t="n"/>
      <c r="P1020" s="21" t="n"/>
      <c r="Q1020" s="21" t="n"/>
      <c r="R1020" s="21">
        <f>IF($N1020="","",$N1020*IF($Q1020="",1,$Q1020)*IF($P1020="",1,$P1020)*IF($O1020="",1,$O1020))</f>
        <v/>
      </c>
      <c r="S1020" s="22">
        <f>IFERROR(INDEX(CONFIGURACOES!$J$37:$J$300,MATCH($I1020,CONFIGURACOES!$B$37:$B$300,0)),"")</f>
        <v/>
      </c>
      <c r="T1020" s="22">
        <f>IF(OR($R1020="",$S1020=""),"",$R1020*$S1020)</f>
        <v/>
      </c>
      <c r="U1020" s="20" t="n"/>
      <c r="V1020" s="20" t="n"/>
      <c r="W1020" s="20" t="n"/>
      <c r="X1020">
        <f>IF($A1020="","",$A1020&amp;"|"&amp;$C1020&amp;"|"&amp;$I1020)</f>
        <v/>
      </c>
      <c r="Y1020">
        <f>IF(AND($A1020=RELATORIO_MEDICAO!$C$5,$C1020=RELATORIO_MEDICAO!$F$5,$A1020&lt;&gt;""),COUNTIFS($A$3:$A1020,RELATORIO_MEDICAO!$C$5,$C$3:$C1020,RELATORIO_MEDICAO!$F$5),"")</f>
        <v/>
      </c>
      <c r="Z1020">
        <f>IF(OR($A1020="",PESQUISA!$C$4=""),0,IF(OR(ISNUMBER(SEARCH(PESQUISA!$C$4,$G1020)),ISNUMBER(SEARCH(PESQUISA!$C$4,$K1020)),ISNUMBER(SEARCH(PESQUISA!$C$4,$L1020))),1,0))</f>
        <v/>
      </c>
      <c r="AA1020">
        <f>IF($Z1020=1,SUM($Z$3:$Z1020),"")</f>
        <v/>
      </c>
      <c r="AB1020">
        <f>IF(OR($A1020="",PESQUISA!$C$50=""),0,IF(ISNUMBER(SEARCH(PESQUISA!$C$50,$I1020)),1,0))</f>
        <v/>
      </c>
      <c r="AC1020">
        <f>IF($AB1020=1,SUM($AB$3:$AB1020),"")</f>
        <v/>
      </c>
    </row>
    <row r="1021">
      <c r="A1021" s="20" t="n"/>
      <c r="B1021" s="20" t="n"/>
      <c r="C1021" s="20" t="n"/>
      <c r="D1021" s="20" t="n"/>
      <c r="E1021" s="20" t="n"/>
      <c r="F1021" s="20" t="n"/>
      <c r="G1021" s="20" t="n"/>
      <c r="H1021" s="20" t="n"/>
      <c r="I1021" s="20" t="n"/>
      <c r="J1021" s="20">
        <f>IFERROR(INDEX(CONFIGURACOES!$G$37:$G$300,MATCH($I1021,CONFIGURACOES!$B$37:$B$300,0)),"")</f>
        <v/>
      </c>
      <c r="K1021" s="20">
        <f>IFERROR(INDEX(CONFIGURACOES!$H$37:$H$300,MATCH($I1021,CONFIGURACOES!$B$37:$B$300,0)),"")</f>
        <v/>
      </c>
      <c r="L1021" s="20" t="n"/>
      <c r="M1021" s="20">
        <f>IFERROR(INDEX(CONFIGURACOES!$I$37:$I$300,MATCH($I1021,CONFIGURACOES!$B$37:$B$300,0)),"")</f>
        <v/>
      </c>
      <c r="N1021" s="21" t="n"/>
      <c r="O1021" s="21" t="n"/>
      <c r="P1021" s="21" t="n"/>
      <c r="Q1021" s="21" t="n"/>
      <c r="R1021" s="21">
        <f>IF($N1021="","",$N1021*IF($Q1021="",1,$Q1021)*IF($P1021="",1,$P1021)*IF($O1021="",1,$O1021))</f>
        <v/>
      </c>
      <c r="S1021" s="22">
        <f>IFERROR(INDEX(CONFIGURACOES!$J$37:$J$300,MATCH($I1021,CONFIGURACOES!$B$37:$B$300,0)),"")</f>
        <v/>
      </c>
      <c r="T1021" s="22">
        <f>IF(OR($R1021="",$S1021=""),"",$R1021*$S1021)</f>
        <v/>
      </c>
      <c r="U1021" s="20" t="n"/>
      <c r="V1021" s="20" t="n"/>
      <c r="W1021" s="20" t="n"/>
      <c r="X1021">
        <f>IF($A1021="","",$A1021&amp;"|"&amp;$C1021&amp;"|"&amp;$I1021)</f>
        <v/>
      </c>
      <c r="Y1021">
        <f>IF(AND($A1021=RELATORIO_MEDICAO!$C$5,$C1021=RELATORIO_MEDICAO!$F$5,$A1021&lt;&gt;""),COUNTIFS($A$3:$A1021,RELATORIO_MEDICAO!$C$5,$C$3:$C1021,RELATORIO_MEDICAO!$F$5),"")</f>
        <v/>
      </c>
      <c r="Z1021">
        <f>IF(OR($A1021="",PESQUISA!$C$4=""),0,IF(OR(ISNUMBER(SEARCH(PESQUISA!$C$4,$G1021)),ISNUMBER(SEARCH(PESQUISA!$C$4,$K1021)),ISNUMBER(SEARCH(PESQUISA!$C$4,$L1021))),1,0))</f>
        <v/>
      </c>
      <c r="AA1021">
        <f>IF($Z1021=1,SUM($Z$3:$Z1021),"")</f>
        <v/>
      </c>
      <c r="AB1021">
        <f>IF(OR($A1021="",PESQUISA!$C$50=""),0,IF(ISNUMBER(SEARCH(PESQUISA!$C$50,$I1021)),1,0))</f>
        <v/>
      </c>
      <c r="AC1021">
        <f>IF($AB1021=1,SUM($AB$3:$AB1021),"")</f>
        <v/>
      </c>
    </row>
    <row r="1022">
      <c r="A1022" s="20" t="n"/>
      <c r="B1022" s="20" t="n"/>
      <c r="C1022" s="20" t="n"/>
      <c r="D1022" s="20" t="n"/>
      <c r="E1022" s="20" t="n"/>
      <c r="F1022" s="20" t="n"/>
      <c r="G1022" s="20" t="n"/>
      <c r="H1022" s="20" t="n"/>
      <c r="I1022" s="20" t="n"/>
      <c r="J1022" s="20">
        <f>IFERROR(INDEX(CONFIGURACOES!$G$37:$G$300,MATCH($I1022,CONFIGURACOES!$B$37:$B$300,0)),"")</f>
        <v/>
      </c>
      <c r="K1022" s="20">
        <f>IFERROR(INDEX(CONFIGURACOES!$H$37:$H$300,MATCH($I1022,CONFIGURACOES!$B$37:$B$300,0)),"")</f>
        <v/>
      </c>
      <c r="L1022" s="20" t="n"/>
      <c r="M1022" s="20">
        <f>IFERROR(INDEX(CONFIGURACOES!$I$37:$I$300,MATCH($I1022,CONFIGURACOES!$B$37:$B$300,0)),"")</f>
        <v/>
      </c>
      <c r="N1022" s="21" t="n"/>
      <c r="O1022" s="21" t="n"/>
      <c r="P1022" s="21" t="n"/>
      <c r="Q1022" s="21" t="n"/>
      <c r="R1022" s="21">
        <f>IF($N1022="","",$N1022*IF($Q1022="",1,$Q1022)*IF($P1022="",1,$P1022)*IF($O1022="",1,$O1022))</f>
        <v/>
      </c>
      <c r="S1022" s="22">
        <f>IFERROR(INDEX(CONFIGURACOES!$J$37:$J$300,MATCH($I1022,CONFIGURACOES!$B$37:$B$300,0)),"")</f>
        <v/>
      </c>
      <c r="T1022" s="22">
        <f>IF(OR($R1022="",$S1022=""),"",$R1022*$S1022)</f>
        <v/>
      </c>
      <c r="U1022" s="20" t="n"/>
      <c r="V1022" s="20" t="n"/>
      <c r="W1022" s="20" t="n"/>
      <c r="X1022">
        <f>IF($A1022="","",$A1022&amp;"|"&amp;$C1022&amp;"|"&amp;$I1022)</f>
        <v/>
      </c>
      <c r="Y1022">
        <f>IF(AND($A1022=RELATORIO_MEDICAO!$C$5,$C1022=RELATORIO_MEDICAO!$F$5,$A1022&lt;&gt;""),COUNTIFS($A$3:$A1022,RELATORIO_MEDICAO!$C$5,$C$3:$C1022,RELATORIO_MEDICAO!$F$5),"")</f>
        <v/>
      </c>
      <c r="Z1022">
        <f>IF(OR($A1022="",PESQUISA!$C$4=""),0,IF(OR(ISNUMBER(SEARCH(PESQUISA!$C$4,$G1022)),ISNUMBER(SEARCH(PESQUISA!$C$4,$K1022)),ISNUMBER(SEARCH(PESQUISA!$C$4,$L1022))),1,0))</f>
        <v/>
      </c>
      <c r="AA1022">
        <f>IF($Z1022=1,SUM($Z$3:$Z1022),"")</f>
        <v/>
      </c>
      <c r="AB1022">
        <f>IF(OR($A1022="",PESQUISA!$C$50=""),0,IF(ISNUMBER(SEARCH(PESQUISA!$C$50,$I1022)),1,0))</f>
        <v/>
      </c>
      <c r="AC1022">
        <f>IF($AB1022=1,SUM($AB$3:$AB1022),"")</f>
        <v/>
      </c>
    </row>
    <row r="1023">
      <c r="A1023" s="20" t="n"/>
      <c r="B1023" s="20" t="n"/>
      <c r="C1023" s="20" t="n"/>
      <c r="D1023" s="20" t="n"/>
      <c r="E1023" s="20" t="n"/>
      <c r="F1023" s="20" t="n"/>
      <c r="G1023" s="20" t="n"/>
      <c r="H1023" s="20" t="n"/>
      <c r="I1023" s="20" t="n"/>
      <c r="J1023" s="20">
        <f>IFERROR(INDEX(CONFIGURACOES!$G$37:$G$300,MATCH($I1023,CONFIGURACOES!$B$37:$B$300,0)),"")</f>
        <v/>
      </c>
      <c r="K1023" s="20">
        <f>IFERROR(INDEX(CONFIGURACOES!$H$37:$H$300,MATCH($I1023,CONFIGURACOES!$B$37:$B$300,0)),"")</f>
        <v/>
      </c>
      <c r="L1023" s="20" t="n"/>
      <c r="M1023" s="20">
        <f>IFERROR(INDEX(CONFIGURACOES!$I$37:$I$300,MATCH($I1023,CONFIGURACOES!$B$37:$B$300,0)),"")</f>
        <v/>
      </c>
      <c r="N1023" s="21" t="n"/>
      <c r="O1023" s="21" t="n"/>
      <c r="P1023" s="21" t="n"/>
      <c r="Q1023" s="21" t="n"/>
      <c r="R1023" s="21">
        <f>IF($N1023="","",$N1023*IF($Q1023="",1,$Q1023)*IF($P1023="",1,$P1023)*IF($O1023="",1,$O1023))</f>
        <v/>
      </c>
      <c r="S1023" s="22">
        <f>IFERROR(INDEX(CONFIGURACOES!$J$37:$J$300,MATCH($I1023,CONFIGURACOES!$B$37:$B$300,0)),"")</f>
        <v/>
      </c>
      <c r="T1023" s="22">
        <f>IF(OR($R1023="",$S1023=""),"",$R1023*$S1023)</f>
        <v/>
      </c>
      <c r="U1023" s="20" t="n"/>
      <c r="V1023" s="20" t="n"/>
      <c r="W1023" s="20" t="n"/>
      <c r="X1023">
        <f>IF($A1023="","",$A1023&amp;"|"&amp;$C1023&amp;"|"&amp;$I1023)</f>
        <v/>
      </c>
      <c r="Y1023">
        <f>IF(AND($A1023=RELATORIO_MEDICAO!$C$5,$C1023=RELATORIO_MEDICAO!$F$5,$A1023&lt;&gt;""),COUNTIFS($A$3:$A1023,RELATORIO_MEDICAO!$C$5,$C$3:$C1023,RELATORIO_MEDICAO!$F$5),"")</f>
        <v/>
      </c>
      <c r="Z1023">
        <f>IF(OR($A1023="",PESQUISA!$C$4=""),0,IF(OR(ISNUMBER(SEARCH(PESQUISA!$C$4,$G1023)),ISNUMBER(SEARCH(PESQUISA!$C$4,$K1023)),ISNUMBER(SEARCH(PESQUISA!$C$4,$L1023))),1,0))</f>
        <v/>
      </c>
      <c r="AA1023">
        <f>IF($Z1023=1,SUM($Z$3:$Z1023),"")</f>
        <v/>
      </c>
      <c r="AB1023">
        <f>IF(OR($A1023="",PESQUISA!$C$50=""),0,IF(ISNUMBER(SEARCH(PESQUISA!$C$50,$I1023)),1,0))</f>
        <v/>
      </c>
      <c r="AC1023">
        <f>IF($AB1023=1,SUM($AB$3:$AB1023),"")</f>
        <v/>
      </c>
    </row>
    <row r="1024">
      <c r="A1024" s="20" t="n"/>
      <c r="B1024" s="20" t="n"/>
      <c r="C1024" s="20" t="n"/>
      <c r="D1024" s="20" t="n"/>
      <c r="E1024" s="20" t="n"/>
      <c r="F1024" s="20" t="n"/>
      <c r="G1024" s="20" t="n"/>
      <c r="H1024" s="20" t="n"/>
      <c r="I1024" s="20" t="n"/>
      <c r="J1024" s="20">
        <f>IFERROR(INDEX(CONFIGURACOES!$G$37:$G$300,MATCH($I1024,CONFIGURACOES!$B$37:$B$300,0)),"")</f>
        <v/>
      </c>
      <c r="K1024" s="20">
        <f>IFERROR(INDEX(CONFIGURACOES!$H$37:$H$300,MATCH($I1024,CONFIGURACOES!$B$37:$B$300,0)),"")</f>
        <v/>
      </c>
      <c r="L1024" s="20" t="n"/>
      <c r="M1024" s="20">
        <f>IFERROR(INDEX(CONFIGURACOES!$I$37:$I$300,MATCH($I1024,CONFIGURACOES!$B$37:$B$300,0)),"")</f>
        <v/>
      </c>
      <c r="N1024" s="21" t="n"/>
      <c r="O1024" s="21" t="n"/>
      <c r="P1024" s="21" t="n"/>
      <c r="Q1024" s="21" t="n"/>
      <c r="R1024" s="21">
        <f>IF($N1024="","",$N1024*IF($Q1024="",1,$Q1024)*IF($P1024="",1,$P1024)*IF($O1024="",1,$O1024))</f>
        <v/>
      </c>
      <c r="S1024" s="22">
        <f>IFERROR(INDEX(CONFIGURACOES!$J$37:$J$300,MATCH($I1024,CONFIGURACOES!$B$37:$B$300,0)),"")</f>
        <v/>
      </c>
      <c r="T1024" s="22">
        <f>IF(OR($R1024="",$S1024=""),"",$R1024*$S1024)</f>
        <v/>
      </c>
      <c r="U1024" s="20" t="n"/>
      <c r="V1024" s="20" t="n"/>
      <c r="W1024" s="20" t="n"/>
      <c r="X1024">
        <f>IF($A1024="","",$A1024&amp;"|"&amp;$C1024&amp;"|"&amp;$I1024)</f>
        <v/>
      </c>
      <c r="Y1024">
        <f>IF(AND($A1024=RELATORIO_MEDICAO!$C$5,$C1024=RELATORIO_MEDICAO!$F$5,$A1024&lt;&gt;""),COUNTIFS($A$3:$A1024,RELATORIO_MEDICAO!$C$5,$C$3:$C1024,RELATORIO_MEDICAO!$F$5),"")</f>
        <v/>
      </c>
      <c r="Z1024">
        <f>IF(OR($A1024="",PESQUISA!$C$4=""),0,IF(OR(ISNUMBER(SEARCH(PESQUISA!$C$4,$G1024)),ISNUMBER(SEARCH(PESQUISA!$C$4,$K1024)),ISNUMBER(SEARCH(PESQUISA!$C$4,$L1024))),1,0))</f>
        <v/>
      </c>
      <c r="AA1024">
        <f>IF($Z1024=1,SUM($Z$3:$Z1024),"")</f>
        <v/>
      </c>
      <c r="AB1024">
        <f>IF(OR($A1024="",PESQUISA!$C$50=""),0,IF(ISNUMBER(SEARCH(PESQUISA!$C$50,$I1024)),1,0))</f>
        <v/>
      </c>
      <c r="AC1024">
        <f>IF($AB1024=1,SUM($AB$3:$AB1024),"")</f>
        <v/>
      </c>
    </row>
    <row r="1025">
      <c r="A1025" s="20" t="n"/>
      <c r="B1025" s="20" t="n"/>
      <c r="C1025" s="20" t="n"/>
      <c r="D1025" s="20" t="n"/>
      <c r="E1025" s="20" t="n"/>
      <c r="F1025" s="20" t="n"/>
      <c r="G1025" s="20" t="n"/>
      <c r="H1025" s="20" t="n"/>
      <c r="I1025" s="20" t="n"/>
      <c r="J1025" s="20">
        <f>IFERROR(INDEX(CONFIGURACOES!$G$37:$G$300,MATCH($I1025,CONFIGURACOES!$B$37:$B$300,0)),"")</f>
        <v/>
      </c>
      <c r="K1025" s="20">
        <f>IFERROR(INDEX(CONFIGURACOES!$H$37:$H$300,MATCH($I1025,CONFIGURACOES!$B$37:$B$300,0)),"")</f>
        <v/>
      </c>
      <c r="L1025" s="20" t="n"/>
      <c r="M1025" s="20">
        <f>IFERROR(INDEX(CONFIGURACOES!$I$37:$I$300,MATCH($I1025,CONFIGURACOES!$B$37:$B$300,0)),"")</f>
        <v/>
      </c>
      <c r="N1025" s="21" t="n"/>
      <c r="O1025" s="21" t="n"/>
      <c r="P1025" s="21" t="n"/>
      <c r="Q1025" s="21" t="n"/>
      <c r="R1025" s="21">
        <f>IF($N1025="","",$N1025*IF($Q1025="",1,$Q1025)*IF($P1025="",1,$P1025)*IF($O1025="",1,$O1025))</f>
        <v/>
      </c>
      <c r="S1025" s="22">
        <f>IFERROR(INDEX(CONFIGURACOES!$J$37:$J$300,MATCH($I1025,CONFIGURACOES!$B$37:$B$300,0)),"")</f>
        <v/>
      </c>
      <c r="T1025" s="22">
        <f>IF(OR($R1025="",$S1025=""),"",$R1025*$S1025)</f>
        <v/>
      </c>
      <c r="U1025" s="20" t="n"/>
      <c r="V1025" s="20" t="n"/>
      <c r="W1025" s="20" t="n"/>
      <c r="X1025">
        <f>IF($A1025="","",$A1025&amp;"|"&amp;$C1025&amp;"|"&amp;$I1025)</f>
        <v/>
      </c>
      <c r="Y1025">
        <f>IF(AND($A1025=RELATORIO_MEDICAO!$C$5,$C1025=RELATORIO_MEDICAO!$F$5,$A1025&lt;&gt;""),COUNTIFS($A$3:$A1025,RELATORIO_MEDICAO!$C$5,$C$3:$C1025,RELATORIO_MEDICAO!$F$5),"")</f>
        <v/>
      </c>
      <c r="Z1025">
        <f>IF(OR($A1025="",PESQUISA!$C$4=""),0,IF(OR(ISNUMBER(SEARCH(PESQUISA!$C$4,$G1025)),ISNUMBER(SEARCH(PESQUISA!$C$4,$K1025)),ISNUMBER(SEARCH(PESQUISA!$C$4,$L1025))),1,0))</f>
        <v/>
      </c>
      <c r="AA1025">
        <f>IF($Z1025=1,SUM($Z$3:$Z1025),"")</f>
        <v/>
      </c>
      <c r="AB1025">
        <f>IF(OR($A1025="",PESQUISA!$C$50=""),0,IF(ISNUMBER(SEARCH(PESQUISA!$C$50,$I1025)),1,0))</f>
        <v/>
      </c>
      <c r="AC1025">
        <f>IF($AB1025=1,SUM($AB$3:$AB1025),"")</f>
        <v/>
      </c>
    </row>
    <row r="1026">
      <c r="A1026" s="20" t="n"/>
      <c r="B1026" s="20" t="n"/>
      <c r="C1026" s="20" t="n"/>
      <c r="D1026" s="20" t="n"/>
      <c r="E1026" s="20" t="n"/>
      <c r="F1026" s="20" t="n"/>
      <c r="G1026" s="20" t="n"/>
      <c r="H1026" s="20" t="n"/>
      <c r="I1026" s="20" t="n"/>
      <c r="J1026" s="20">
        <f>IFERROR(INDEX(CONFIGURACOES!$G$37:$G$300,MATCH($I1026,CONFIGURACOES!$B$37:$B$300,0)),"")</f>
        <v/>
      </c>
      <c r="K1026" s="20">
        <f>IFERROR(INDEX(CONFIGURACOES!$H$37:$H$300,MATCH($I1026,CONFIGURACOES!$B$37:$B$300,0)),"")</f>
        <v/>
      </c>
      <c r="L1026" s="20" t="n"/>
      <c r="M1026" s="20">
        <f>IFERROR(INDEX(CONFIGURACOES!$I$37:$I$300,MATCH($I1026,CONFIGURACOES!$B$37:$B$300,0)),"")</f>
        <v/>
      </c>
      <c r="N1026" s="21" t="n"/>
      <c r="O1026" s="21" t="n"/>
      <c r="P1026" s="21" t="n"/>
      <c r="Q1026" s="21" t="n"/>
      <c r="R1026" s="21">
        <f>IF($N1026="","",$N1026*IF($Q1026="",1,$Q1026)*IF($P1026="",1,$P1026)*IF($O1026="",1,$O1026))</f>
        <v/>
      </c>
      <c r="S1026" s="22">
        <f>IFERROR(INDEX(CONFIGURACOES!$J$37:$J$300,MATCH($I1026,CONFIGURACOES!$B$37:$B$300,0)),"")</f>
        <v/>
      </c>
      <c r="T1026" s="22">
        <f>IF(OR($R1026="",$S1026=""),"",$R1026*$S1026)</f>
        <v/>
      </c>
      <c r="U1026" s="20" t="n"/>
      <c r="V1026" s="20" t="n"/>
      <c r="W1026" s="20" t="n"/>
      <c r="X1026">
        <f>IF($A1026="","",$A1026&amp;"|"&amp;$C1026&amp;"|"&amp;$I1026)</f>
        <v/>
      </c>
      <c r="Y1026">
        <f>IF(AND($A1026=RELATORIO_MEDICAO!$C$5,$C1026=RELATORIO_MEDICAO!$F$5,$A1026&lt;&gt;""),COUNTIFS($A$3:$A1026,RELATORIO_MEDICAO!$C$5,$C$3:$C1026,RELATORIO_MEDICAO!$F$5),"")</f>
        <v/>
      </c>
      <c r="Z1026">
        <f>IF(OR($A1026="",PESQUISA!$C$4=""),0,IF(OR(ISNUMBER(SEARCH(PESQUISA!$C$4,$G1026)),ISNUMBER(SEARCH(PESQUISA!$C$4,$K1026)),ISNUMBER(SEARCH(PESQUISA!$C$4,$L1026))),1,0))</f>
        <v/>
      </c>
      <c r="AA1026">
        <f>IF($Z1026=1,SUM($Z$3:$Z1026),"")</f>
        <v/>
      </c>
      <c r="AB1026">
        <f>IF(OR($A1026="",PESQUISA!$C$50=""),0,IF(ISNUMBER(SEARCH(PESQUISA!$C$50,$I1026)),1,0))</f>
        <v/>
      </c>
      <c r="AC1026">
        <f>IF($AB1026=1,SUM($AB$3:$AB1026),"")</f>
        <v/>
      </c>
    </row>
    <row r="1027">
      <c r="A1027" s="20" t="n"/>
      <c r="B1027" s="20" t="n"/>
      <c r="C1027" s="20" t="n"/>
      <c r="D1027" s="20" t="n"/>
      <c r="E1027" s="20" t="n"/>
      <c r="F1027" s="20" t="n"/>
      <c r="G1027" s="20" t="n"/>
      <c r="H1027" s="20" t="n"/>
      <c r="I1027" s="20" t="n"/>
      <c r="J1027" s="20">
        <f>IFERROR(INDEX(CONFIGURACOES!$G$37:$G$300,MATCH($I1027,CONFIGURACOES!$B$37:$B$300,0)),"")</f>
        <v/>
      </c>
      <c r="K1027" s="20">
        <f>IFERROR(INDEX(CONFIGURACOES!$H$37:$H$300,MATCH($I1027,CONFIGURACOES!$B$37:$B$300,0)),"")</f>
        <v/>
      </c>
      <c r="L1027" s="20" t="n"/>
      <c r="M1027" s="20">
        <f>IFERROR(INDEX(CONFIGURACOES!$I$37:$I$300,MATCH($I1027,CONFIGURACOES!$B$37:$B$300,0)),"")</f>
        <v/>
      </c>
      <c r="N1027" s="21" t="n"/>
      <c r="O1027" s="21" t="n"/>
      <c r="P1027" s="21" t="n"/>
      <c r="Q1027" s="21" t="n"/>
      <c r="R1027" s="21">
        <f>IF($N1027="","",$N1027*IF($Q1027="",1,$Q1027)*IF($P1027="",1,$P1027)*IF($O1027="",1,$O1027))</f>
        <v/>
      </c>
      <c r="S1027" s="22">
        <f>IFERROR(INDEX(CONFIGURACOES!$J$37:$J$300,MATCH($I1027,CONFIGURACOES!$B$37:$B$300,0)),"")</f>
        <v/>
      </c>
      <c r="T1027" s="22">
        <f>IF(OR($R1027="",$S1027=""),"",$R1027*$S1027)</f>
        <v/>
      </c>
      <c r="U1027" s="20" t="n"/>
      <c r="V1027" s="20" t="n"/>
      <c r="W1027" s="20" t="n"/>
      <c r="X1027">
        <f>IF($A1027="","",$A1027&amp;"|"&amp;$C1027&amp;"|"&amp;$I1027)</f>
        <v/>
      </c>
      <c r="Y1027">
        <f>IF(AND($A1027=RELATORIO_MEDICAO!$C$5,$C1027=RELATORIO_MEDICAO!$F$5,$A1027&lt;&gt;""),COUNTIFS($A$3:$A1027,RELATORIO_MEDICAO!$C$5,$C$3:$C1027,RELATORIO_MEDICAO!$F$5),"")</f>
        <v/>
      </c>
      <c r="Z1027">
        <f>IF(OR($A1027="",PESQUISA!$C$4=""),0,IF(OR(ISNUMBER(SEARCH(PESQUISA!$C$4,$G1027)),ISNUMBER(SEARCH(PESQUISA!$C$4,$K1027)),ISNUMBER(SEARCH(PESQUISA!$C$4,$L1027))),1,0))</f>
        <v/>
      </c>
      <c r="AA1027">
        <f>IF($Z1027=1,SUM($Z$3:$Z1027),"")</f>
        <v/>
      </c>
      <c r="AB1027">
        <f>IF(OR($A1027="",PESQUISA!$C$50=""),0,IF(ISNUMBER(SEARCH(PESQUISA!$C$50,$I1027)),1,0))</f>
        <v/>
      </c>
      <c r="AC1027">
        <f>IF($AB1027=1,SUM($AB$3:$AB1027),"")</f>
        <v/>
      </c>
    </row>
    <row r="1028">
      <c r="A1028" s="20" t="n"/>
      <c r="B1028" s="20" t="n"/>
      <c r="C1028" s="20" t="n"/>
      <c r="D1028" s="20" t="n"/>
      <c r="E1028" s="20" t="n"/>
      <c r="F1028" s="20" t="n"/>
      <c r="G1028" s="20" t="n"/>
      <c r="H1028" s="20" t="n"/>
      <c r="I1028" s="20" t="n"/>
      <c r="J1028" s="20">
        <f>IFERROR(INDEX(CONFIGURACOES!$G$37:$G$300,MATCH($I1028,CONFIGURACOES!$B$37:$B$300,0)),"")</f>
        <v/>
      </c>
      <c r="K1028" s="20">
        <f>IFERROR(INDEX(CONFIGURACOES!$H$37:$H$300,MATCH($I1028,CONFIGURACOES!$B$37:$B$300,0)),"")</f>
        <v/>
      </c>
      <c r="L1028" s="20" t="n"/>
      <c r="M1028" s="20">
        <f>IFERROR(INDEX(CONFIGURACOES!$I$37:$I$300,MATCH($I1028,CONFIGURACOES!$B$37:$B$300,0)),"")</f>
        <v/>
      </c>
      <c r="N1028" s="21" t="n"/>
      <c r="O1028" s="21" t="n"/>
      <c r="P1028" s="21" t="n"/>
      <c r="Q1028" s="21" t="n"/>
      <c r="R1028" s="21">
        <f>IF($N1028="","",$N1028*IF($Q1028="",1,$Q1028)*IF($P1028="",1,$P1028)*IF($O1028="",1,$O1028))</f>
        <v/>
      </c>
      <c r="S1028" s="22">
        <f>IFERROR(INDEX(CONFIGURACOES!$J$37:$J$300,MATCH($I1028,CONFIGURACOES!$B$37:$B$300,0)),"")</f>
        <v/>
      </c>
      <c r="T1028" s="22">
        <f>IF(OR($R1028="",$S1028=""),"",$R1028*$S1028)</f>
        <v/>
      </c>
      <c r="U1028" s="20" t="n"/>
      <c r="V1028" s="20" t="n"/>
      <c r="W1028" s="20" t="n"/>
      <c r="X1028">
        <f>IF($A1028="","",$A1028&amp;"|"&amp;$C1028&amp;"|"&amp;$I1028)</f>
        <v/>
      </c>
      <c r="Y1028">
        <f>IF(AND($A1028=RELATORIO_MEDICAO!$C$5,$C1028=RELATORIO_MEDICAO!$F$5,$A1028&lt;&gt;""),COUNTIFS($A$3:$A1028,RELATORIO_MEDICAO!$C$5,$C$3:$C1028,RELATORIO_MEDICAO!$F$5),"")</f>
        <v/>
      </c>
      <c r="Z1028">
        <f>IF(OR($A1028="",PESQUISA!$C$4=""),0,IF(OR(ISNUMBER(SEARCH(PESQUISA!$C$4,$G1028)),ISNUMBER(SEARCH(PESQUISA!$C$4,$K1028)),ISNUMBER(SEARCH(PESQUISA!$C$4,$L1028))),1,0))</f>
        <v/>
      </c>
      <c r="AA1028">
        <f>IF($Z1028=1,SUM($Z$3:$Z1028),"")</f>
        <v/>
      </c>
      <c r="AB1028">
        <f>IF(OR($A1028="",PESQUISA!$C$50=""),0,IF(ISNUMBER(SEARCH(PESQUISA!$C$50,$I1028)),1,0))</f>
        <v/>
      </c>
      <c r="AC1028">
        <f>IF($AB1028=1,SUM($AB$3:$AB1028),"")</f>
        <v/>
      </c>
    </row>
    <row r="1029">
      <c r="A1029" s="20" t="n"/>
      <c r="B1029" s="20" t="n"/>
      <c r="C1029" s="20" t="n"/>
      <c r="D1029" s="20" t="n"/>
      <c r="E1029" s="20" t="n"/>
      <c r="F1029" s="20" t="n"/>
      <c r="G1029" s="20" t="n"/>
      <c r="H1029" s="20" t="n"/>
      <c r="I1029" s="20" t="n"/>
      <c r="J1029" s="20">
        <f>IFERROR(INDEX(CONFIGURACOES!$G$37:$G$300,MATCH($I1029,CONFIGURACOES!$B$37:$B$300,0)),"")</f>
        <v/>
      </c>
      <c r="K1029" s="20">
        <f>IFERROR(INDEX(CONFIGURACOES!$H$37:$H$300,MATCH($I1029,CONFIGURACOES!$B$37:$B$300,0)),"")</f>
        <v/>
      </c>
      <c r="L1029" s="20" t="n"/>
      <c r="M1029" s="20">
        <f>IFERROR(INDEX(CONFIGURACOES!$I$37:$I$300,MATCH($I1029,CONFIGURACOES!$B$37:$B$300,0)),"")</f>
        <v/>
      </c>
      <c r="N1029" s="21" t="n"/>
      <c r="O1029" s="21" t="n"/>
      <c r="P1029" s="21" t="n"/>
      <c r="Q1029" s="21" t="n"/>
      <c r="R1029" s="21">
        <f>IF($N1029="","",$N1029*IF($Q1029="",1,$Q1029)*IF($P1029="",1,$P1029)*IF($O1029="",1,$O1029))</f>
        <v/>
      </c>
      <c r="S1029" s="22">
        <f>IFERROR(INDEX(CONFIGURACOES!$J$37:$J$300,MATCH($I1029,CONFIGURACOES!$B$37:$B$300,0)),"")</f>
        <v/>
      </c>
      <c r="T1029" s="22">
        <f>IF(OR($R1029="",$S1029=""),"",$R1029*$S1029)</f>
        <v/>
      </c>
      <c r="U1029" s="20" t="n"/>
      <c r="V1029" s="20" t="n"/>
      <c r="W1029" s="20" t="n"/>
      <c r="X1029">
        <f>IF($A1029="","",$A1029&amp;"|"&amp;$C1029&amp;"|"&amp;$I1029)</f>
        <v/>
      </c>
      <c r="Y1029">
        <f>IF(AND($A1029=RELATORIO_MEDICAO!$C$5,$C1029=RELATORIO_MEDICAO!$F$5,$A1029&lt;&gt;""),COUNTIFS($A$3:$A1029,RELATORIO_MEDICAO!$C$5,$C$3:$C1029,RELATORIO_MEDICAO!$F$5),"")</f>
        <v/>
      </c>
      <c r="Z1029">
        <f>IF(OR($A1029="",PESQUISA!$C$4=""),0,IF(OR(ISNUMBER(SEARCH(PESQUISA!$C$4,$G1029)),ISNUMBER(SEARCH(PESQUISA!$C$4,$K1029)),ISNUMBER(SEARCH(PESQUISA!$C$4,$L1029))),1,0))</f>
        <v/>
      </c>
      <c r="AA1029">
        <f>IF($Z1029=1,SUM($Z$3:$Z1029),"")</f>
        <v/>
      </c>
      <c r="AB1029">
        <f>IF(OR($A1029="",PESQUISA!$C$50=""),0,IF(ISNUMBER(SEARCH(PESQUISA!$C$50,$I1029)),1,0))</f>
        <v/>
      </c>
      <c r="AC1029">
        <f>IF($AB1029=1,SUM($AB$3:$AB1029),"")</f>
        <v/>
      </c>
    </row>
    <row r="1030">
      <c r="A1030" s="20" t="n"/>
      <c r="B1030" s="20" t="n"/>
      <c r="C1030" s="20" t="n"/>
      <c r="D1030" s="20" t="n"/>
      <c r="E1030" s="20" t="n"/>
      <c r="F1030" s="20" t="n"/>
      <c r="G1030" s="20" t="n"/>
      <c r="H1030" s="20" t="n"/>
      <c r="I1030" s="20" t="n"/>
      <c r="J1030" s="20">
        <f>IFERROR(INDEX(CONFIGURACOES!$G$37:$G$300,MATCH($I1030,CONFIGURACOES!$B$37:$B$300,0)),"")</f>
        <v/>
      </c>
      <c r="K1030" s="20">
        <f>IFERROR(INDEX(CONFIGURACOES!$H$37:$H$300,MATCH($I1030,CONFIGURACOES!$B$37:$B$300,0)),"")</f>
        <v/>
      </c>
      <c r="L1030" s="20" t="n"/>
      <c r="M1030" s="20">
        <f>IFERROR(INDEX(CONFIGURACOES!$I$37:$I$300,MATCH($I1030,CONFIGURACOES!$B$37:$B$300,0)),"")</f>
        <v/>
      </c>
      <c r="N1030" s="21" t="n"/>
      <c r="O1030" s="21" t="n"/>
      <c r="P1030" s="21" t="n"/>
      <c r="Q1030" s="21" t="n"/>
      <c r="R1030" s="21">
        <f>IF($N1030="","",$N1030*IF($Q1030="",1,$Q1030)*IF($P1030="",1,$P1030)*IF($O1030="",1,$O1030))</f>
        <v/>
      </c>
      <c r="S1030" s="22">
        <f>IFERROR(INDEX(CONFIGURACOES!$J$37:$J$300,MATCH($I1030,CONFIGURACOES!$B$37:$B$300,0)),"")</f>
        <v/>
      </c>
      <c r="T1030" s="22">
        <f>IF(OR($R1030="",$S1030=""),"",$R1030*$S1030)</f>
        <v/>
      </c>
      <c r="U1030" s="20" t="n"/>
      <c r="V1030" s="20" t="n"/>
      <c r="W1030" s="20" t="n"/>
      <c r="X1030">
        <f>IF($A1030="","",$A1030&amp;"|"&amp;$C1030&amp;"|"&amp;$I1030)</f>
        <v/>
      </c>
      <c r="Y1030">
        <f>IF(AND($A1030=RELATORIO_MEDICAO!$C$5,$C1030=RELATORIO_MEDICAO!$F$5,$A1030&lt;&gt;""),COUNTIFS($A$3:$A1030,RELATORIO_MEDICAO!$C$5,$C$3:$C1030,RELATORIO_MEDICAO!$F$5),"")</f>
        <v/>
      </c>
      <c r="Z1030">
        <f>IF(OR($A1030="",PESQUISA!$C$4=""),0,IF(OR(ISNUMBER(SEARCH(PESQUISA!$C$4,$G1030)),ISNUMBER(SEARCH(PESQUISA!$C$4,$K1030)),ISNUMBER(SEARCH(PESQUISA!$C$4,$L1030))),1,0))</f>
        <v/>
      </c>
      <c r="AA1030">
        <f>IF($Z1030=1,SUM($Z$3:$Z1030),"")</f>
        <v/>
      </c>
      <c r="AB1030">
        <f>IF(OR($A1030="",PESQUISA!$C$50=""),0,IF(ISNUMBER(SEARCH(PESQUISA!$C$50,$I1030)),1,0))</f>
        <v/>
      </c>
      <c r="AC1030">
        <f>IF($AB1030=1,SUM($AB$3:$AB1030),"")</f>
        <v/>
      </c>
    </row>
    <row r="1031">
      <c r="A1031" s="20" t="n"/>
      <c r="B1031" s="20" t="n"/>
      <c r="C1031" s="20" t="n"/>
      <c r="D1031" s="20" t="n"/>
      <c r="E1031" s="20" t="n"/>
      <c r="F1031" s="20" t="n"/>
      <c r="G1031" s="20" t="n"/>
      <c r="H1031" s="20" t="n"/>
      <c r="I1031" s="20" t="n"/>
      <c r="J1031" s="20">
        <f>IFERROR(INDEX(CONFIGURACOES!$G$37:$G$300,MATCH($I1031,CONFIGURACOES!$B$37:$B$300,0)),"")</f>
        <v/>
      </c>
      <c r="K1031" s="20">
        <f>IFERROR(INDEX(CONFIGURACOES!$H$37:$H$300,MATCH($I1031,CONFIGURACOES!$B$37:$B$300,0)),"")</f>
        <v/>
      </c>
      <c r="L1031" s="20" t="n"/>
      <c r="M1031" s="20">
        <f>IFERROR(INDEX(CONFIGURACOES!$I$37:$I$300,MATCH($I1031,CONFIGURACOES!$B$37:$B$300,0)),"")</f>
        <v/>
      </c>
      <c r="N1031" s="21" t="n"/>
      <c r="O1031" s="21" t="n"/>
      <c r="P1031" s="21" t="n"/>
      <c r="Q1031" s="21" t="n"/>
      <c r="R1031" s="21">
        <f>IF($N1031="","",$N1031*IF($Q1031="",1,$Q1031)*IF($P1031="",1,$P1031)*IF($O1031="",1,$O1031))</f>
        <v/>
      </c>
      <c r="S1031" s="22">
        <f>IFERROR(INDEX(CONFIGURACOES!$J$37:$J$300,MATCH($I1031,CONFIGURACOES!$B$37:$B$300,0)),"")</f>
        <v/>
      </c>
      <c r="T1031" s="22">
        <f>IF(OR($R1031="",$S1031=""),"",$R1031*$S1031)</f>
        <v/>
      </c>
      <c r="U1031" s="20" t="n"/>
      <c r="V1031" s="20" t="n"/>
      <c r="W1031" s="20" t="n"/>
      <c r="X1031">
        <f>IF($A1031="","",$A1031&amp;"|"&amp;$C1031&amp;"|"&amp;$I1031)</f>
        <v/>
      </c>
      <c r="Y1031">
        <f>IF(AND($A1031=RELATORIO_MEDICAO!$C$5,$C1031=RELATORIO_MEDICAO!$F$5,$A1031&lt;&gt;""),COUNTIFS($A$3:$A1031,RELATORIO_MEDICAO!$C$5,$C$3:$C1031,RELATORIO_MEDICAO!$F$5),"")</f>
        <v/>
      </c>
      <c r="Z1031">
        <f>IF(OR($A1031="",PESQUISA!$C$4=""),0,IF(OR(ISNUMBER(SEARCH(PESQUISA!$C$4,$G1031)),ISNUMBER(SEARCH(PESQUISA!$C$4,$K1031)),ISNUMBER(SEARCH(PESQUISA!$C$4,$L1031))),1,0))</f>
        <v/>
      </c>
      <c r="AA1031">
        <f>IF($Z1031=1,SUM($Z$3:$Z1031),"")</f>
        <v/>
      </c>
      <c r="AB1031">
        <f>IF(OR($A1031="",PESQUISA!$C$50=""),0,IF(ISNUMBER(SEARCH(PESQUISA!$C$50,$I1031)),1,0))</f>
        <v/>
      </c>
      <c r="AC1031">
        <f>IF($AB1031=1,SUM($AB$3:$AB1031),"")</f>
        <v/>
      </c>
    </row>
    <row r="1032">
      <c r="A1032" s="20" t="n"/>
      <c r="B1032" s="20" t="n"/>
      <c r="C1032" s="20" t="n"/>
      <c r="D1032" s="20" t="n"/>
      <c r="E1032" s="20" t="n"/>
      <c r="F1032" s="20" t="n"/>
      <c r="G1032" s="20" t="n"/>
      <c r="H1032" s="20" t="n"/>
      <c r="I1032" s="20" t="n"/>
      <c r="J1032" s="20">
        <f>IFERROR(INDEX(CONFIGURACOES!$G$37:$G$300,MATCH($I1032,CONFIGURACOES!$B$37:$B$300,0)),"")</f>
        <v/>
      </c>
      <c r="K1032" s="20">
        <f>IFERROR(INDEX(CONFIGURACOES!$H$37:$H$300,MATCH($I1032,CONFIGURACOES!$B$37:$B$300,0)),"")</f>
        <v/>
      </c>
      <c r="L1032" s="20" t="n"/>
      <c r="M1032" s="20">
        <f>IFERROR(INDEX(CONFIGURACOES!$I$37:$I$300,MATCH($I1032,CONFIGURACOES!$B$37:$B$300,0)),"")</f>
        <v/>
      </c>
      <c r="N1032" s="21" t="n"/>
      <c r="O1032" s="21" t="n"/>
      <c r="P1032" s="21" t="n"/>
      <c r="Q1032" s="21" t="n"/>
      <c r="R1032" s="21">
        <f>IF($N1032="","",$N1032*IF($Q1032="",1,$Q1032)*IF($P1032="",1,$P1032)*IF($O1032="",1,$O1032))</f>
        <v/>
      </c>
      <c r="S1032" s="22">
        <f>IFERROR(INDEX(CONFIGURACOES!$J$37:$J$300,MATCH($I1032,CONFIGURACOES!$B$37:$B$300,0)),"")</f>
        <v/>
      </c>
      <c r="T1032" s="22">
        <f>IF(OR($R1032="",$S1032=""),"",$R1032*$S1032)</f>
        <v/>
      </c>
      <c r="U1032" s="20" t="n"/>
      <c r="V1032" s="20" t="n"/>
      <c r="W1032" s="20" t="n"/>
      <c r="X1032">
        <f>IF($A1032="","",$A1032&amp;"|"&amp;$C1032&amp;"|"&amp;$I1032)</f>
        <v/>
      </c>
      <c r="Y1032">
        <f>IF(AND($A1032=RELATORIO_MEDICAO!$C$5,$C1032=RELATORIO_MEDICAO!$F$5,$A1032&lt;&gt;""),COUNTIFS($A$3:$A1032,RELATORIO_MEDICAO!$C$5,$C$3:$C1032,RELATORIO_MEDICAO!$F$5),"")</f>
        <v/>
      </c>
      <c r="Z1032">
        <f>IF(OR($A1032="",PESQUISA!$C$4=""),0,IF(OR(ISNUMBER(SEARCH(PESQUISA!$C$4,$G1032)),ISNUMBER(SEARCH(PESQUISA!$C$4,$K1032)),ISNUMBER(SEARCH(PESQUISA!$C$4,$L1032))),1,0))</f>
        <v/>
      </c>
      <c r="AA1032">
        <f>IF($Z1032=1,SUM($Z$3:$Z1032),"")</f>
        <v/>
      </c>
      <c r="AB1032">
        <f>IF(OR($A1032="",PESQUISA!$C$50=""),0,IF(ISNUMBER(SEARCH(PESQUISA!$C$50,$I1032)),1,0))</f>
        <v/>
      </c>
      <c r="AC1032">
        <f>IF($AB1032=1,SUM($AB$3:$AB1032),"")</f>
        <v/>
      </c>
    </row>
    <row r="1033">
      <c r="A1033" s="20" t="n"/>
      <c r="B1033" s="20" t="n"/>
      <c r="C1033" s="20" t="n"/>
      <c r="D1033" s="20" t="n"/>
      <c r="E1033" s="20" t="n"/>
      <c r="F1033" s="20" t="n"/>
      <c r="G1033" s="20" t="n"/>
      <c r="H1033" s="20" t="n"/>
      <c r="I1033" s="20" t="n"/>
      <c r="J1033" s="20">
        <f>IFERROR(INDEX(CONFIGURACOES!$G$37:$G$300,MATCH($I1033,CONFIGURACOES!$B$37:$B$300,0)),"")</f>
        <v/>
      </c>
      <c r="K1033" s="20">
        <f>IFERROR(INDEX(CONFIGURACOES!$H$37:$H$300,MATCH($I1033,CONFIGURACOES!$B$37:$B$300,0)),"")</f>
        <v/>
      </c>
      <c r="L1033" s="20" t="n"/>
      <c r="M1033" s="20">
        <f>IFERROR(INDEX(CONFIGURACOES!$I$37:$I$300,MATCH($I1033,CONFIGURACOES!$B$37:$B$300,0)),"")</f>
        <v/>
      </c>
      <c r="N1033" s="21" t="n"/>
      <c r="O1033" s="21" t="n"/>
      <c r="P1033" s="21" t="n"/>
      <c r="Q1033" s="21" t="n"/>
      <c r="R1033" s="21">
        <f>IF($N1033="","",$N1033*IF($Q1033="",1,$Q1033)*IF($P1033="",1,$P1033)*IF($O1033="",1,$O1033))</f>
        <v/>
      </c>
      <c r="S1033" s="22">
        <f>IFERROR(INDEX(CONFIGURACOES!$J$37:$J$300,MATCH($I1033,CONFIGURACOES!$B$37:$B$300,0)),"")</f>
        <v/>
      </c>
      <c r="T1033" s="22">
        <f>IF(OR($R1033="",$S1033=""),"",$R1033*$S1033)</f>
        <v/>
      </c>
      <c r="U1033" s="20" t="n"/>
      <c r="V1033" s="20" t="n"/>
      <c r="W1033" s="20" t="n"/>
      <c r="X1033">
        <f>IF($A1033="","",$A1033&amp;"|"&amp;$C1033&amp;"|"&amp;$I1033)</f>
        <v/>
      </c>
      <c r="Y1033">
        <f>IF(AND($A1033=RELATORIO_MEDICAO!$C$5,$C1033=RELATORIO_MEDICAO!$F$5,$A1033&lt;&gt;""),COUNTIFS($A$3:$A1033,RELATORIO_MEDICAO!$C$5,$C$3:$C1033,RELATORIO_MEDICAO!$F$5),"")</f>
        <v/>
      </c>
      <c r="Z1033">
        <f>IF(OR($A1033="",PESQUISA!$C$4=""),0,IF(OR(ISNUMBER(SEARCH(PESQUISA!$C$4,$G1033)),ISNUMBER(SEARCH(PESQUISA!$C$4,$K1033)),ISNUMBER(SEARCH(PESQUISA!$C$4,$L1033))),1,0))</f>
        <v/>
      </c>
      <c r="AA1033">
        <f>IF($Z1033=1,SUM($Z$3:$Z1033),"")</f>
        <v/>
      </c>
      <c r="AB1033">
        <f>IF(OR($A1033="",PESQUISA!$C$50=""),0,IF(ISNUMBER(SEARCH(PESQUISA!$C$50,$I1033)),1,0))</f>
        <v/>
      </c>
      <c r="AC1033">
        <f>IF($AB1033=1,SUM($AB$3:$AB1033),"")</f>
        <v/>
      </c>
    </row>
    <row r="1034">
      <c r="A1034" s="20" t="n"/>
      <c r="B1034" s="20" t="n"/>
      <c r="C1034" s="20" t="n"/>
      <c r="D1034" s="20" t="n"/>
      <c r="E1034" s="20" t="n"/>
      <c r="F1034" s="20" t="n"/>
      <c r="G1034" s="20" t="n"/>
      <c r="H1034" s="20" t="n"/>
      <c r="I1034" s="20" t="n"/>
      <c r="J1034" s="20">
        <f>IFERROR(INDEX(CONFIGURACOES!$G$37:$G$300,MATCH($I1034,CONFIGURACOES!$B$37:$B$300,0)),"")</f>
        <v/>
      </c>
      <c r="K1034" s="20">
        <f>IFERROR(INDEX(CONFIGURACOES!$H$37:$H$300,MATCH($I1034,CONFIGURACOES!$B$37:$B$300,0)),"")</f>
        <v/>
      </c>
      <c r="L1034" s="20" t="n"/>
      <c r="M1034" s="20">
        <f>IFERROR(INDEX(CONFIGURACOES!$I$37:$I$300,MATCH($I1034,CONFIGURACOES!$B$37:$B$300,0)),"")</f>
        <v/>
      </c>
      <c r="N1034" s="21" t="n"/>
      <c r="O1034" s="21" t="n"/>
      <c r="P1034" s="21" t="n"/>
      <c r="Q1034" s="21" t="n"/>
      <c r="R1034" s="21">
        <f>IF($N1034="","",$N1034*IF($Q1034="",1,$Q1034)*IF($P1034="",1,$P1034)*IF($O1034="",1,$O1034))</f>
        <v/>
      </c>
      <c r="S1034" s="22">
        <f>IFERROR(INDEX(CONFIGURACOES!$J$37:$J$300,MATCH($I1034,CONFIGURACOES!$B$37:$B$300,0)),"")</f>
        <v/>
      </c>
      <c r="T1034" s="22">
        <f>IF(OR($R1034="",$S1034=""),"",$R1034*$S1034)</f>
        <v/>
      </c>
      <c r="U1034" s="20" t="n"/>
      <c r="V1034" s="20" t="n"/>
      <c r="W1034" s="20" t="n"/>
      <c r="X1034">
        <f>IF($A1034="","",$A1034&amp;"|"&amp;$C1034&amp;"|"&amp;$I1034)</f>
        <v/>
      </c>
      <c r="Y1034">
        <f>IF(AND($A1034=RELATORIO_MEDICAO!$C$5,$C1034=RELATORIO_MEDICAO!$F$5,$A1034&lt;&gt;""),COUNTIFS($A$3:$A1034,RELATORIO_MEDICAO!$C$5,$C$3:$C1034,RELATORIO_MEDICAO!$F$5),"")</f>
        <v/>
      </c>
      <c r="Z1034">
        <f>IF(OR($A1034="",PESQUISA!$C$4=""),0,IF(OR(ISNUMBER(SEARCH(PESQUISA!$C$4,$G1034)),ISNUMBER(SEARCH(PESQUISA!$C$4,$K1034)),ISNUMBER(SEARCH(PESQUISA!$C$4,$L1034))),1,0))</f>
        <v/>
      </c>
      <c r="AA1034">
        <f>IF($Z1034=1,SUM($Z$3:$Z1034),"")</f>
        <v/>
      </c>
      <c r="AB1034">
        <f>IF(OR($A1034="",PESQUISA!$C$50=""),0,IF(ISNUMBER(SEARCH(PESQUISA!$C$50,$I1034)),1,0))</f>
        <v/>
      </c>
      <c r="AC1034">
        <f>IF($AB1034=1,SUM($AB$3:$AB1034),"")</f>
        <v/>
      </c>
    </row>
    <row r="1035">
      <c r="A1035" s="20" t="n"/>
      <c r="B1035" s="20" t="n"/>
      <c r="C1035" s="20" t="n"/>
      <c r="D1035" s="20" t="n"/>
      <c r="E1035" s="20" t="n"/>
      <c r="F1035" s="20" t="n"/>
      <c r="G1035" s="20" t="n"/>
      <c r="H1035" s="20" t="n"/>
      <c r="I1035" s="20" t="n"/>
      <c r="J1035" s="20">
        <f>IFERROR(INDEX(CONFIGURACOES!$G$37:$G$300,MATCH($I1035,CONFIGURACOES!$B$37:$B$300,0)),"")</f>
        <v/>
      </c>
      <c r="K1035" s="20">
        <f>IFERROR(INDEX(CONFIGURACOES!$H$37:$H$300,MATCH($I1035,CONFIGURACOES!$B$37:$B$300,0)),"")</f>
        <v/>
      </c>
      <c r="L1035" s="20" t="n"/>
      <c r="M1035" s="20">
        <f>IFERROR(INDEX(CONFIGURACOES!$I$37:$I$300,MATCH($I1035,CONFIGURACOES!$B$37:$B$300,0)),"")</f>
        <v/>
      </c>
      <c r="N1035" s="21" t="n"/>
      <c r="O1035" s="21" t="n"/>
      <c r="P1035" s="21" t="n"/>
      <c r="Q1035" s="21" t="n"/>
      <c r="R1035" s="21">
        <f>IF($N1035="","",$N1035*IF($Q1035="",1,$Q1035)*IF($P1035="",1,$P1035)*IF($O1035="",1,$O1035))</f>
        <v/>
      </c>
      <c r="S1035" s="22">
        <f>IFERROR(INDEX(CONFIGURACOES!$J$37:$J$300,MATCH($I1035,CONFIGURACOES!$B$37:$B$300,0)),"")</f>
        <v/>
      </c>
      <c r="T1035" s="22">
        <f>IF(OR($R1035="",$S1035=""),"",$R1035*$S1035)</f>
        <v/>
      </c>
      <c r="U1035" s="20" t="n"/>
      <c r="V1035" s="20" t="n"/>
      <c r="W1035" s="20" t="n"/>
      <c r="X1035">
        <f>IF($A1035="","",$A1035&amp;"|"&amp;$C1035&amp;"|"&amp;$I1035)</f>
        <v/>
      </c>
      <c r="Y1035">
        <f>IF(AND($A1035=RELATORIO_MEDICAO!$C$5,$C1035=RELATORIO_MEDICAO!$F$5,$A1035&lt;&gt;""),COUNTIFS($A$3:$A1035,RELATORIO_MEDICAO!$C$5,$C$3:$C1035,RELATORIO_MEDICAO!$F$5),"")</f>
        <v/>
      </c>
      <c r="Z1035">
        <f>IF(OR($A1035="",PESQUISA!$C$4=""),0,IF(OR(ISNUMBER(SEARCH(PESQUISA!$C$4,$G1035)),ISNUMBER(SEARCH(PESQUISA!$C$4,$K1035)),ISNUMBER(SEARCH(PESQUISA!$C$4,$L1035))),1,0))</f>
        <v/>
      </c>
      <c r="AA1035">
        <f>IF($Z1035=1,SUM($Z$3:$Z1035),"")</f>
        <v/>
      </c>
      <c r="AB1035">
        <f>IF(OR($A1035="",PESQUISA!$C$50=""),0,IF(ISNUMBER(SEARCH(PESQUISA!$C$50,$I1035)),1,0))</f>
        <v/>
      </c>
      <c r="AC1035">
        <f>IF($AB1035=1,SUM($AB$3:$AB1035),"")</f>
        <v/>
      </c>
    </row>
    <row r="1036">
      <c r="A1036" s="20" t="n"/>
      <c r="B1036" s="20" t="n"/>
      <c r="C1036" s="20" t="n"/>
      <c r="D1036" s="20" t="n"/>
      <c r="E1036" s="20" t="n"/>
      <c r="F1036" s="20" t="n"/>
      <c r="G1036" s="20" t="n"/>
      <c r="H1036" s="20" t="n"/>
      <c r="I1036" s="20" t="n"/>
      <c r="J1036" s="20">
        <f>IFERROR(INDEX(CONFIGURACOES!$G$37:$G$300,MATCH($I1036,CONFIGURACOES!$B$37:$B$300,0)),"")</f>
        <v/>
      </c>
      <c r="K1036" s="20">
        <f>IFERROR(INDEX(CONFIGURACOES!$H$37:$H$300,MATCH($I1036,CONFIGURACOES!$B$37:$B$300,0)),"")</f>
        <v/>
      </c>
      <c r="L1036" s="20" t="n"/>
      <c r="M1036" s="20">
        <f>IFERROR(INDEX(CONFIGURACOES!$I$37:$I$300,MATCH($I1036,CONFIGURACOES!$B$37:$B$300,0)),"")</f>
        <v/>
      </c>
      <c r="N1036" s="21" t="n"/>
      <c r="O1036" s="21" t="n"/>
      <c r="P1036" s="21" t="n"/>
      <c r="Q1036" s="21" t="n"/>
      <c r="R1036" s="21">
        <f>IF($N1036="","",$N1036*IF($Q1036="",1,$Q1036)*IF($P1036="",1,$P1036)*IF($O1036="",1,$O1036))</f>
        <v/>
      </c>
      <c r="S1036" s="22">
        <f>IFERROR(INDEX(CONFIGURACOES!$J$37:$J$300,MATCH($I1036,CONFIGURACOES!$B$37:$B$300,0)),"")</f>
        <v/>
      </c>
      <c r="T1036" s="22">
        <f>IF(OR($R1036="",$S1036=""),"",$R1036*$S1036)</f>
        <v/>
      </c>
      <c r="U1036" s="20" t="n"/>
      <c r="V1036" s="20" t="n"/>
      <c r="W1036" s="20" t="n"/>
      <c r="X1036">
        <f>IF($A1036="","",$A1036&amp;"|"&amp;$C1036&amp;"|"&amp;$I1036)</f>
        <v/>
      </c>
      <c r="Y1036">
        <f>IF(AND($A1036=RELATORIO_MEDICAO!$C$5,$C1036=RELATORIO_MEDICAO!$F$5,$A1036&lt;&gt;""),COUNTIFS($A$3:$A1036,RELATORIO_MEDICAO!$C$5,$C$3:$C1036,RELATORIO_MEDICAO!$F$5),"")</f>
        <v/>
      </c>
      <c r="Z1036">
        <f>IF(OR($A1036="",PESQUISA!$C$4=""),0,IF(OR(ISNUMBER(SEARCH(PESQUISA!$C$4,$G1036)),ISNUMBER(SEARCH(PESQUISA!$C$4,$K1036)),ISNUMBER(SEARCH(PESQUISA!$C$4,$L1036))),1,0))</f>
        <v/>
      </c>
      <c r="AA1036">
        <f>IF($Z1036=1,SUM($Z$3:$Z1036),"")</f>
        <v/>
      </c>
      <c r="AB1036">
        <f>IF(OR($A1036="",PESQUISA!$C$50=""),0,IF(ISNUMBER(SEARCH(PESQUISA!$C$50,$I1036)),1,0))</f>
        <v/>
      </c>
      <c r="AC1036">
        <f>IF($AB1036=1,SUM($AB$3:$AB1036),"")</f>
        <v/>
      </c>
    </row>
    <row r="1037">
      <c r="A1037" s="20" t="n"/>
      <c r="B1037" s="20" t="n"/>
      <c r="C1037" s="20" t="n"/>
      <c r="D1037" s="20" t="n"/>
      <c r="E1037" s="20" t="n"/>
      <c r="F1037" s="20" t="n"/>
      <c r="G1037" s="20" t="n"/>
      <c r="H1037" s="20" t="n"/>
      <c r="I1037" s="20" t="n"/>
      <c r="J1037" s="20">
        <f>IFERROR(INDEX(CONFIGURACOES!$G$37:$G$300,MATCH($I1037,CONFIGURACOES!$B$37:$B$300,0)),"")</f>
        <v/>
      </c>
      <c r="K1037" s="20">
        <f>IFERROR(INDEX(CONFIGURACOES!$H$37:$H$300,MATCH($I1037,CONFIGURACOES!$B$37:$B$300,0)),"")</f>
        <v/>
      </c>
      <c r="L1037" s="20" t="n"/>
      <c r="M1037" s="20">
        <f>IFERROR(INDEX(CONFIGURACOES!$I$37:$I$300,MATCH($I1037,CONFIGURACOES!$B$37:$B$300,0)),"")</f>
        <v/>
      </c>
      <c r="N1037" s="21" t="n"/>
      <c r="O1037" s="21" t="n"/>
      <c r="P1037" s="21" t="n"/>
      <c r="Q1037" s="21" t="n"/>
      <c r="R1037" s="21">
        <f>IF($N1037="","",$N1037*IF($Q1037="",1,$Q1037)*IF($P1037="",1,$P1037)*IF($O1037="",1,$O1037))</f>
        <v/>
      </c>
      <c r="S1037" s="22">
        <f>IFERROR(INDEX(CONFIGURACOES!$J$37:$J$300,MATCH($I1037,CONFIGURACOES!$B$37:$B$300,0)),"")</f>
        <v/>
      </c>
      <c r="T1037" s="22">
        <f>IF(OR($R1037="",$S1037=""),"",$R1037*$S1037)</f>
        <v/>
      </c>
      <c r="U1037" s="20" t="n"/>
      <c r="V1037" s="20" t="n"/>
      <c r="W1037" s="20" t="n"/>
      <c r="X1037">
        <f>IF($A1037="","",$A1037&amp;"|"&amp;$C1037&amp;"|"&amp;$I1037)</f>
        <v/>
      </c>
      <c r="Y1037">
        <f>IF(AND($A1037=RELATORIO_MEDICAO!$C$5,$C1037=RELATORIO_MEDICAO!$F$5,$A1037&lt;&gt;""),COUNTIFS($A$3:$A1037,RELATORIO_MEDICAO!$C$5,$C$3:$C1037,RELATORIO_MEDICAO!$F$5),"")</f>
        <v/>
      </c>
      <c r="Z1037">
        <f>IF(OR($A1037="",PESQUISA!$C$4=""),0,IF(OR(ISNUMBER(SEARCH(PESQUISA!$C$4,$G1037)),ISNUMBER(SEARCH(PESQUISA!$C$4,$K1037)),ISNUMBER(SEARCH(PESQUISA!$C$4,$L1037))),1,0))</f>
        <v/>
      </c>
      <c r="AA1037">
        <f>IF($Z1037=1,SUM($Z$3:$Z1037),"")</f>
        <v/>
      </c>
      <c r="AB1037">
        <f>IF(OR($A1037="",PESQUISA!$C$50=""),0,IF(ISNUMBER(SEARCH(PESQUISA!$C$50,$I1037)),1,0))</f>
        <v/>
      </c>
      <c r="AC1037">
        <f>IF($AB1037=1,SUM($AB$3:$AB1037),"")</f>
        <v/>
      </c>
    </row>
    <row r="1038">
      <c r="A1038" s="20" t="n"/>
      <c r="B1038" s="20" t="n"/>
      <c r="C1038" s="20" t="n"/>
      <c r="D1038" s="20" t="n"/>
      <c r="E1038" s="20" t="n"/>
      <c r="F1038" s="20" t="n"/>
      <c r="G1038" s="20" t="n"/>
      <c r="H1038" s="20" t="n"/>
      <c r="I1038" s="20" t="n"/>
      <c r="J1038" s="20">
        <f>IFERROR(INDEX(CONFIGURACOES!$G$37:$G$300,MATCH($I1038,CONFIGURACOES!$B$37:$B$300,0)),"")</f>
        <v/>
      </c>
      <c r="K1038" s="20">
        <f>IFERROR(INDEX(CONFIGURACOES!$H$37:$H$300,MATCH($I1038,CONFIGURACOES!$B$37:$B$300,0)),"")</f>
        <v/>
      </c>
      <c r="L1038" s="20" t="n"/>
      <c r="M1038" s="20">
        <f>IFERROR(INDEX(CONFIGURACOES!$I$37:$I$300,MATCH($I1038,CONFIGURACOES!$B$37:$B$300,0)),"")</f>
        <v/>
      </c>
      <c r="N1038" s="21" t="n"/>
      <c r="O1038" s="21" t="n"/>
      <c r="P1038" s="21" t="n"/>
      <c r="Q1038" s="21" t="n"/>
      <c r="R1038" s="21">
        <f>IF($N1038="","",$N1038*IF($Q1038="",1,$Q1038)*IF($P1038="",1,$P1038)*IF($O1038="",1,$O1038))</f>
        <v/>
      </c>
      <c r="S1038" s="22">
        <f>IFERROR(INDEX(CONFIGURACOES!$J$37:$J$300,MATCH($I1038,CONFIGURACOES!$B$37:$B$300,0)),"")</f>
        <v/>
      </c>
      <c r="T1038" s="22">
        <f>IF(OR($R1038="",$S1038=""),"",$R1038*$S1038)</f>
        <v/>
      </c>
      <c r="U1038" s="20" t="n"/>
      <c r="V1038" s="20" t="n"/>
      <c r="W1038" s="20" t="n"/>
      <c r="X1038">
        <f>IF($A1038="","",$A1038&amp;"|"&amp;$C1038&amp;"|"&amp;$I1038)</f>
        <v/>
      </c>
      <c r="Y1038">
        <f>IF(AND($A1038=RELATORIO_MEDICAO!$C$5,$C1038=RELATORIO_MEDICAO!$F$5,$A1038&lt;&gt;""),COUNTIFS($A$3:$A1038,RELATORIO_MEDICAO!$C$5,$C$3:$C1038,RELATORIO_MEDICAO!$F$5),"")</f>
        <v/>
      </c>
      <c r="Z1038">
        <f>IF(OR($A1038="",PESQUISA!$C$4=""),0,IF(OR(ISNUMBER(SEARCH(PESQUISA!$C$4,$G1038)),ISNUMBER(SEARCH(PESQUISA!$C$4,$K1038)),ISNUMBER(SEARCH(PESQUISA!$C$4,$L1038))),1,0))</f>
        <v/>
      </c>
      <c r="AA1038">
        <f>IF($Z1038=1,SUM($Z$3:$Z1038),"")</f>
        <v/>
      </c>
      <c r="AB1038">
        <f>IF(OR($A1038="",PESQUISA!$C$50=""),0,IF(ISNUMBER(SEARCH(PESQUISA!$C$50,$I1038)),1,0))</f>
        <v/>
      </c>
      <c r="AC1038">
        <f>IF($AB1038=1,SUM($AB$3:$AB1038),"")</f>
        <v/>
      </c>
    </row>
    <row r="1039">
      <c r="A1039" s="20" t="n"/>
      <c r="B1039" s="20" t="n"/>
      <c r="C1039" s="20" t="n"/>
      <c r="D1039" s="20" t="n"/>
      <c r="E1039" s="20" t="n"/>
      <c r="F1039" s="20" t="n"/>
      <c r="G1039" s="20" t="n"/>
      <c r="H1039" s="20" t="n"/>
      <c r="I1039" s="20" t="n"/>
      <c r="J1039" s="20">
        <f>IFERROR(INDEX(CONFIGURACOES!$G$37:$G$300,MATCH($I1039,CONFIGURACOES!$B$37:$B$300,0)),"")</f>
        <v/>
      </c>
      <c r="K1039" s="20">
        <f>IFERROR(INDEX(CONFIGURACOES!$H$37:$H$300,MATCH($I1039,CONFIGURACOES!$B$37:$B$300,0)),"")</f>
        <v/>
      </c>
      <c r="L1039" s="20" t="n"/>
      <c r="M1039" s="20">
        <f>IFERROR(INDEX(CONFIGURACOES!$I$37:$I$300,MATCH($I1039,CONFIGURACOES!$B$37:$B$300,0)),"")</f>
        <v/>
      </c>
      <c r="N1039" s="21" t="n"/>
      <c r="O1039" s="21" t="n"/>
      <c r="P1039" s="21" t="n"/>
      <c r="Q1039" s="21" t="n"/>
      <c r="R1039" s="21">
        <f>IF($N1039="","",$N1039*IF($Q1039="",1,$Q1039)*IF($P1039="",1,$P1039)*IF($O1039="",1,$O1039))</f>
        <v/>
      </c>
      <c r="S1039" s="22">
        <f>IFERROR(INDEX(CONFIGURACOES!$J$37:$J$300,MATCH($I1039,CONFIGURACOES!$B$37:$B$300,0)),"")</f>
        <v/>
      </c>
      <c r="T1039" s="22">
        <f>IF(OR($R1039="",$S1039=""),"",$R1039*$S1039)</f>
        <v/>
      </c>
      <c r="U1039" s="20" t="n"/>
      <c r="V1039" s="20" t="n"/>
      <c r="W1039" s="20" t="n"/>
      <c r="X1039">
        <f>IF($A1039="","",$A1039&amp;"|"&amp;$C1039&amp;"|"&amp;$I1039)</f>
        <v/>
      </c>
      <c r="Y1039">
        <f>IF(AND($A1039=RELATORIO_MEDICAO!$C$5,$C1039=RELATORIO_MEDICAO!$F$5,$A1039&lt;&gt;""),COUNTIFS($A$3:$A1039,RELATORIO_MEDICAO!$C$5,$C$3:$C1039,RELATORIO_MEDICAO!$F$5),"")</f>
        <v/>
      </c>
      <c r="Z1039">
        <f>IF(OR($A1039="",PESQUISA!$C$4=""),0,IF(OR(ISNUMBER(SEARCH(PESQUISA!$C$4,$G1039)),ISNUMBER(SEARCH(PESQUISA!$C$4,$K1039)),ISNUMBER(SEARCH(PESQUISA!$C$4,$L1039))),1,0))</f>
        <v/>
      </c>
      <c r="AA1039">
        <f>IF($Z1039=1,SUM($Z$3:$Z1039),"")</f>
        <v/>
      </c>
      <c r="AB1039">
        <f>IF(OR($A1039="",PESQUISA!$C$50=""),0,IF(ISNUMBER(SEARCH(PESQUISA!$C$50,$I1039)),1,0))</f>
        <v/>
      </c>
      <c r="AC1039">
        <f>IF($AB1039=1,SUM($AB$3:$AB1039),"")</f>
        <v/>
      </c>
    </row>
    <row r="1040">
      <c r="A1040" s="20" t="n"/>
      <c r="B1040" s="20" t="n"/>
      <c r="C1040" s="20" t="n"/>
      <c r="D1040" s="20" t="n"/>
      <c r="E1040" s="20" t="n"/>
      <c r="F1040" s="20" t="n"/>
      <c r="G1040" s="20" t="n"/>
      <c r="H1040" s="20" t="n"/>
      <c r="I1040" s="20" t="n"/>
      <c r="J1040" s="20">
        <f>IFERROR(INDEX(CONFIGURACOES!$G$37:$G$300,MATCH($I1040,CONFIGURACOES!$B$37:$B$300,0)),"")</f>
        <v/>
      </c>
      <c r="K1040" s="20">
        <f>IFERROR(INDEX(CONFIGURACOES!$H$37:$H$300,MATCH($I1040,CONFIGURACOES!$B$37:$B$300,0)),"")</f>
        <v/>
      </c>
      <c r="L1040" s="20" t="n"/>
      <c r="M1040" s="20">
        <f>IFERROR(INDEX(CONFIGURACOES!$I$37:$I$300,MATCH($I1040,CONFIGURACOES!$B$37:$B$300,0)),"")</f>
        <v/>
      </c>
      <c r="N1040" s="21" t="n"/>
      <c r="O1040" s="21" t="n"/>
      <c r="P1040" s="21" t="n"/>
      <c r="Q1040" s="21" t="n"/>
      <c r="R1040" s="21">
        <f>IF($N1040="","",$N1040*IF($Q1040="",1,$Q1040)*IF($P1040="",1,$P1040)*IF($O1040="",1,$O1040))</f>
        <v/>
      </c>
      <c r="S1040" s="22">
        <f>IFERROR(INDEX(CONFIGURACOES!$J$37:$J$300,MATCH($I1040,CONFIGURACOES!$B$37:$B$300,0)),"")</f>
        <v/>
      </c>
      <c r="T1040" s="22">
        <f>IF(OR($R1040="",$S1040=""),"",$R1040*$S1040)</f>
        <v/>
      </c>
      <c r="U1040" s="20" t="n"/>
      <c r="V1040" s="20" t="n"/>
      <c r="W1040" s="20" t="n"/>
      <c r="X1040">
        <f>IF($A1040="","",$A1040&amp;"|"&amp;$C1040&amp;"|"&amp;$I1040)</f>
        <v/>
      </c>
      <c r="Y1040">
        <f>IF(AND($A1040=RELATORIO_MEDICAO!$C$5,$C1040=RELATORIO_MEDICAO!$F$5,$A1040&lt;&gt;""),COUNTIFS($A$3:$A1040,RELATORIO_MEDICAO!$C$5,$C$3:$C1040,RELATORIO_MEDICAO!$F$5),"")</f>
        <v/>
      </c>
      <c r="Z1040">
        <f>IF(OR($A1040="",PESQUISA!$C$4=""),0,IF(OR(ISNUMBER(SEARCH(PESQUISA!$C$4,$G1040)),ISNUMBER(SEARCH(PESQUISA!$C$4,$K1040)),ISNUMBER(SEARCH(PESQUISA!$C$4,$L1040))),1,0))</f>
        <v/>
      </c>
      <c r="AA1040">
        <f>IF($Z1040=1,SUM($Z$3:$Z1040),"")</f>
        <v/>
      </c>
      <c r="AB1040">
        <f>IF(OR($A1040="",PESQUISA!$C$50=""),0,IF(ISNUMBER(SEARCH(PESQUISA!$C$50,$I1040)),1,0))</f>
        <v/>
      </c>
      <c r="AC1040">
        <f>IF($AB1040=1,SUM($AB$3:$AB1040),"")</f>
        <v/>
      </c>
    </row>
    <row r="1041">
      <c r="A1041" s="20" t="n"/>
      <c r="B1041" s="20" t="n"/>
      <c r="C1041" s="20" t="n"/>
      <c r="D1041" s="20" t="n"/>
      <c r="E1041" s="20" t="n"/>
      <c r="F1041" s="20" t="n"/>
      <c r="G1041" s="20" t="n"/>
      <c r="H1041" s="20" t="n"/>
      <c r="I1041" s="20" t="n"/>
      <c r="J1041" s="20">
        <f>IFERROR(INDEX(CONFIGURACOES!$G$37:$G$300,MATCH($I1041,CONFIGURACOES!$B$37:$B$300,0)),"")</f>
        <v/>
      </c>
      <c r="K1041" s="20">
        <f>IFERROR(INDEX(CONFIGURACOES!$H$37:$H$300,MATCH($I1041,CONFIGURACOES!$B$37:$B$300,0)),"")</f>
        <v/>
      </c>
      <c r="L1041" s="20" t="n"/>
      <c r="M1041" s="20">
        <f>IFERROR(INDEX(CONFIGURACOES!$I$37:$I$300,MATCH($I1041,CONFIGURACOES!$B$37:$B$300,0)),"")</f>
        <v/>
      </c>
      <c r="N1041" s="21" t="n"/>
      <c r="O1041" s="21" t="n"/>
      <c r="P1041" s="21" t="n"/>
      <c r="Q1041" s="21" t="n"/>
      <c r="R1041" s="21">
        <f>IF($N1041="","",$N1041*IF($Q1041="",1,$Q1041)*IF($P1041="",1,$P1041)*IF($O1041="",1,$O1041))</f>
        <v/>
      </c>
      <c r="S1041" s="22">
        <f>IFERROR(INDEX(CONFIGURACOES!$J$37:$J$300,MATCH($I1041,CONFIGURACOES!$B$37:$B$300,0)),"")</f>
        <v/>
      </c>
      <c r="T1041" s="22">
        <f>IF(OR($R1041="",$S1041=""),"",$R1041*$S1041)</f>
        <v/>
      </c>
      <c r="U1041" s="20" t="n"/>
      <c r="V1041" s="20" t="n"/>
      <c r="W1041" s="20" t="n"/>
      <c r="X1041">
        <f>IF($A1041="","",$A1041&amp;"|"&amp;$C1041&amp;"|"&amp;$I1041)</f>
        <v/>
      </c>
      <c r="Y1041">
        <f>IF(AND($A1041=RELATORIO_MEDICAO!$C$5,$C1041=RELATORIO_MEDICAO!$F$5,$A1041&lt;&gt;""),COUNTIFS($A$3:$A1041,RELATORIO_MEDICAO!$C$5,$C$3:$C1041,RELATORIO_MEDICAO!$F$5),"")</f>
        <v/>
      </c>
      <c r="Z1041">
        <f>IF(OR($A1041="",PESQUISA!$C$4=""),0,IF(OR(ISNUMBER(SEARCH(PESQUISA!$C$4,$G1041)),ISNUMBER(SEARCH(PESQUISA!$C$4,$K1041)),ISNUMBER(SEARCH(PESQUISA!$C$4,$L1041))),1,0))</f>
        <v/>
      </c>
      <c r="AA1041">
        <f>IF($Z1041=1,SUM($Z$3:$Z1041),"")</f>
        <v/>
      </c>
      <c r="AB1041">
        <f>IF(OR($A1041="",PESQUISA!$C$50=""),0,IF(ISNUMBER(SEARCH(PESQUISA!$C$50,$I1041)),1,0))</f>
        <v/>
      </c>
      <c r="AC1041">
        <f>IF($AB1041=1,SUM($AB$3:$AB1041),"")</f>
        <v/>
      </c>
    </row>
    <row r="1042">
      <c r="A1042" s="20" t="n"/>
      <c r="B1042" s="20" t="n"/>
      <c r="C1042" s="20" t="n"/>
      <c r="D1042" s="20" t="n"/>
      <c r="E1042" s="20" t="n"/>
      <c r="F1042" s="20" t="n"/>
      <c r="G1042" s="20" t="n"/>
      <c r="H1042" s="20" t="n"/>
      <c r="I1042" s="20" t="n"/>
      <c r="J1042" s="20">
        <f>IFERROR(INDEX(CONFIGURACOES!$G$37:$G$300,MATCH($I1042,CONFIGURACOES!$B$37:$B$300,0)),"")</f>
        <v/>
      </c>
      <c r="K1042" s="20">
        <f>IFERROR(INDEX(CONFIGURACOES!$H$37:$H$300,MATCH($I1042,CONFIGURACOES!$B$37:$B$300,0)),"")</f>
        <v/>
      </c>
      <c r="L1042" s="20" t="n"/>
      <c r="M1042" s="20">
        <f>IFERROR(INDEX(CONFIGURACOES!$I$37:$I$300,MATCH($I1042,CONFIGURACOES!$B$37:$B$300,0)),"")</f>
        <v/>
      </c>
      <c r="N1042" s="21" t="n"/>
      <c r="O1042" s="21" t="n"/>
      <c r="P1042" s="21" t="n"/>
      <c r="Q1042" s="21" t="n"/>
      <c r="R1042" s="21">
        <f>IF($N1042="","",$N1042*IF($Q1042="",1,$Q1042)*IF($P1042="",1,$P1042)*IF($O1042="",1,$O1042))</f>
        <v/>
      </c>
      <c r="S1042" s="22">
        <f>IFERROR(INDEX(CONFIGURACOES!$J$37:$J$300,MATCH($I1042,CONFIGURACOES!$B$37:$B$300,0)),"")</f>
        <v/>
      </c>
      <c r="T1042" s="22">
        <f>IF(OR($R1042="",$S1042=""),"",$R1042*$S1042)</f>
        <v/>
      </c>
      <c r="U1042" s="20" t="n"/>
      <c r="V1042" s="20" t="n"/>
      <c r="W1042" s="20" t="n"/>
      <c r="X1042">
        <f>IF($A1042="","",$A1042&amp;"|"&amp;$C1042&amp;"|"&amp;$I1042)</f>
        <v/>
      </c>
      <c r="Y1042">
        <f>IF(AND($A1042=RELATORIO_MEDICAO!$C$5,$C1042=RELATORIO_MEDICAO!$F$5,$A1042&lt;&gt;""),COUNTIFS($A$3:$A1042,RELATORIO_MEDICAO!$C$5,$C$3:$C1042,RELATORIO_MEDICAO!$F$5),"")</f>
        <v/>
      </c>
      <c r="Z1042">
        <f>IF(OR($A1042="",PESQUISA!$C$4=""),0,IF(OR(ISNUMBER(SEARCH(PESQUISA!$C$4,$G1042)),ISNUMBER(SEARCH(PESQUISA!$C$4,$K1042)),ISNUMBER(SEARCH(PESQUISA!$C$4,$L1042))),1,0))</f>
        <v/>
      </c>
      <c r="AA1042">
        <f>IF($Z1042=1,SUM($Z$3:$Z1042),"")</f>
        <v/>
      </c>
      <c r="AB1042">
        <f>IF(OR($A1042="",PESQUISA!$C$50=""),0,IF(ISNUMBER(SEARCH(PESQUISA!$C$50,$I1042)),1,0))</f>
        <v/>
      </c>
      <c r="AC1042">
        <f>IF($AB1042=1,SUM($AB$3:$AB1042),"")</f>
        <v/>
      </c>
    </row>
    <row r="1043">
      <c r="A1043" s="20" t="n"/>
      <c r="B1043" s="20" t="n"/>
      <c r="C1043" s="20" t="n"/>
      <c r="D1043" s="20" t="n"/>
      <c r="E1043" s="20" t="n"/>
      <c r="F1043" s="20" t="n"/>
      <c r="G1043" s="20" t="n"/>
      <c r="H1043" s="20" t="n"/>
      <c r="I1043" s="20" t="n"/>
      <c r="J1043" s="20">
        <f>IFERROR(INDEX(CONFIGURACOES!$G$37:$G$300,MATCH($I1043,CONFIGURACOES!$B$37:$B$300,0)),"")</f>
        <v/>
      </c>
      <c r="K1043" s="20">
        <f>IFERROR(INDEX(CONFIGURACOES!$H$37:$H$300,MATCH($I1043,CONFIGURACOES!$B$37:$B$300,0)),"")</f>
        <v/>
      </c>
      <c r="L1043" s="20" t="n"/>
      <c r="M1043" s="20">
        <f>IFERROR(INDEX(CONFIGURACOES!$I$37:$I$300,MATCH($I1043,CONFIGURACOES!$B$37:$B$300,0)),"")</f>
        <v/>
      </c>
      <c r="N1043" s="21" t="n"/>
      <c r="O1043" s="21" t="n"/>
      <c r="P1043" s="21" t="n"/>
      <c r="Q1043" s="21" t="n"/>
      <c r="R1043" s="21">
        <f>IF($N1043="","",$N1043*IF($Q1043="",1,$Q1043)*IF($P1043="",1,$P1043)*IF($O1043="",1,$O1043))</f>
        <v/>
      </c>
      <c r="S1043" s="22">
        <f>IFERROR(INDEX(CONFIGURACOES!$J$37:$J$300,MATCH($I1043,CONFIGURACOES!$B$37:$B$300,0)),"")</f>
        <v/>
      </c>
      <c r="T1043" s="22">
        <f>IF(OR($R1043="",$S1043=""),"",$R1043*$S1043)</f>
        <v/>
      </c>
      <c r="U1043" s="20" t="n"/>
      <c r="V1043" s="20" t="n"/>
      <c r="W1043" s="20" t="n"/>
      <c r="X1043">
        <f>IF($A1043="","",$A1043&amp;"|"&amp;$C1043&amp;"|"&amp;$I1043)</f>
        <v/>
      </c>
      <c r="Y1043">
        <f>IF(AND($A1043=RELATORIO_MEDICAO!$C$5,$C1043=RELATORIO_MEDICAO!$F$5,$A1043&lt;&gt;""),COUNTIFS($A$3:$A1043,RELATORIO_MEDICAO!$C$5,$C$3:$C1043,RELATORIO_MEDICAO!$F$5),"")</f>
        <v/>
      </c>
      <c r="Z1043">
        <f>IF(OR($A1043="",PESQUISA!$C$4=""),0,IF(OR(ISNUMBER(SEARCH(PESQUISA!$C$4,$G1043)),ISNUMBER(SEARCH(PESQUISA!$C$4,$K1043)),ISNUMBER(SEARCH(PESQUISA!$C$4,$L1043))),1,0))</f>
        <v/>
      </c>
      <c r="AA1043">
        <f>IF($Z1043=1,SUM($Z$3:$Z1043),"")</f>
        <v/>
      </c>
      <c r="AB1043">
        <f>IF(OR($A1043="",PESQUISA!$C$50=""),0,IF(ISNUMBER(SEARCH(PESQUISA!$C$50,$I1043)),1,0))</f>
        <v/>
      </c>
      <c r="AC1043">
        <f>IF($AB1043=1,SUM($AB$3:$AB1043),"")</f>
        <v/>
      </c>
    </row>
    <row r="1044">
      <c r="A1044" s="20" t="n"/>
      <c r="B1044" s="20" t="n"/>
      <c r="C1044" s="20" t="n"/>
      <c r="D1044" s="20" t="n"/>
      <c r="E1044" s="20" t="n"/>
      <c r="F1044" s="20" t="n"/>
      <c r="G1044" s="20" t="n"/>
      <c r="H1044" s="20" t="n"/>
      <c r="I1044" s="20" t="n"/>
      <c r="J1044" s="20">
        <f>IFERROR(INDEX(CONFIGURACOES!$G$37:$G$300,MATCH($I1044,CONFIGURACOES!$B$37:$B$300,0)),"")</f>
        <v/>
      </c>
      <c r="K1044" s="20">
        <f>IFERROR(INDEX(CONFIGURACOES!$H$37:$H$300,MATCH($I1044,CONFIGURACOES!$B$37:$B$300,0)),"")</f>
        <v/>
      </c>
      <c r="L1044" s="20" t="n"/>
      <c r="M1044" s="20">
        <f>IFERROR(INDEX(CONFIGURACOES!$I$37:$I$300,MATCH($I1044,CONFIGURACOES!$B$37:$B$300,0)),"")</f>
        <v/>
      </c>
      <c r="N1044" s="21" t="n"/>
      <c r="O1044" s="21" t="n"/>
      <c r="P1044" s="21" t="n"/>
      <c r="Q1044" s="21" t="n"/>
      <c r="R1044" s="21">
        <f>IF($N1044="","",$N1044*IF($Q1044="",1,$Q1044)*IF($P1044="",1,$P1044)*IF($O1044="",1,$O1044))</f>
        <v/>
      </c>
      <c r="S1044" s="22">
        <f>IFERROR(INDEX(CONFIGURACOES!$J$37:$J$300,MATCH($I1044,CONFIGURACOES!$B$37:$B$300,0)),"")</f>
        <v/>
      </c>
      <c r="T1044" s="22">
        <f>IF(OR($R1044="",$S1044=""),"",$R1044*$S1044)</f>
        <v/>
      </c>
      <c r="U1044" s="20" t="n"/>
      <c r="V1044" s="20" t="n"/>
      <c r="W1044" s="20" t="n"/>
      <c r="X1044">
        <f>IF($A1044="","",$A1044&amp;"|"&amp;$C1044&amp;"|"&amp;$I1044)</f>
        <v/>
      </c>
      <c r="Y1044">
        <f>IF(AND($A1044=RELATORIO_MEDICAO!$C$5,$C1044=RELATORIO_MEDICAO!$F$5,$A1044&lt;&gt;""),COUNTIFS($A$3:$A1044,RELATORIO_MEDICAO!$C$5,$C$3:$C1044,RELATORIO_MEDICAO!$F$5),"")</f>
        <v/>
      </c>
      <c r="Z1044">
        <f>IF(OR($A1044="",PESQUISA!$C$4=""),0,IF(OR(ISNUMBER(SEARCH(PESQUISA!$C$4,$G1044)),ISNUMBER(SEARCH(PESQUISA!$C$4,$K1044)),ISNUMBER(SEARCH(PESQUISA!$C$4,$L1044))),1,0))</f>
        <v/>
      </c>
      <c r="AA1044">
        <f>IF($Z1044=1,SUM($Z$3:$Z1044),"")</f>
        <v/>
      </c>
      <c r="AB1044">
        <f>IF(OR($A1044="",PESQUISA!$C$50=""),0,IF(ISNUMBER(SEARCH(PESQUISA!$C$50,$I1044)),1,0))</f>
        <v/>
      </c>
      <c r="AC1044">
        <f>IF($AB1044=1,SUM($AB$3:$AB1044),"")</f>
        <v/>
      </c>
    </row>
    <row r="1045">
      <c r="A1045" s="20" t="n"/>
      <c r="B1045" s="20" t="n"/>
      <c r="C1045" s="20" t="n"/>
      <c r="D1045" s="20" t="n"/>
      <c r="E1045" s="20" t="n"/>
      <c r="F1045" s="20" t="n"/>
      <c r="G1045" s="20" t="n"/>
      <c r="H1045" s="20" t="n"/>
      <c r="I1045" s="20" t="n"/>
      <c r="J1045" s="20">
        <f>IFERROR(INDEX(CONFIGURACOES!$G$37:$G$300,MATCH($I1045,CONFIGURACOES!$B$37:$B$300,0)),"")</f>
        <v/>
      </c>
      <c r="K1045" s="20">
        <f>IFERROR(INDEX(CONFIGURACOES!$H$37:$H$300,MATCH($I1045,CONFIGURACOES!$B$37:$B$300,0)),"")</f>
        <v/>
      </c>
      <c r="L1045" s="20" t="n"/>
      <c r="M1045" s="20">
        <f>IFERROR(INDEX(CONFIGURACOES!$I$37:$I$300,MATCH($I1045,CONFIGURACOES!$B$37:$B$300,0)),"")</f>
        <v/>
      </c>
      <c r="N1045" s="21" t="n"/>
      <c r="O1045" s="21" t="n"/>
      <c r="P1045" s="21" t="n"/>
      <c r="Q1045" s="21" t="n"/>
      <c r="R1045" s="21">
        <f>IF($N1045="","",$N1045*IF($Q1045="",1,$Q1045)*IF($P1045="",1,$P1045)*IF($O1045="",1,$O1045))</f>
        <v/>
      </c>
      <c r="S1045" s="22">
        <f>IFERROR(INDEX(CONFIGURACOES!$J$37:$J$300,MATCH($I1045,CONFIGURACOES!$B$37:$B$300,0)),"")</f>
        <v/>
      </c>
      <c r="T1045" s="22">
        <f>IF(OR($R1045="",$S1045=""),"",$R1045*$S1045)</f>
        <v/>
      </c>
      <c r="U1045" s="20" t="n"/>
      <c r="V1045" s="20" t="n"/>
      <c r="W1045" s="20" t="n"/>
      <c r="X1045">
        <f>IF($A1045="","",$A1045&amp;"|"&amp;$C1045&amp;"|"&amp;$I1045)</f>
        <v/>
      </c>
      <c r="Y1045">
        <f>IF(AND($A1045=RELATORIO_MEDICAO!$C$5,$C1045=RELATORIO_MEDICAO!$F$5,$A1045&lt;&gt;""),COUNTIFS($A$3:$A1045,RELATORIO_MEDICAO!$C$5,$C$3:$C1045,RELATORIO_MEDICAO!$F$5),"")</f>
        <v/>
      </c>
      <c r="Z1045">
        <f>IF(OR($A1045="",PESQUISA!$C$4=""),0,IF(OR(ISNUMBER(SEARCH(PESQUISA!$C$4,$G1045)),ISNUMBER(SEARCH(PESQUISA!$C$4,$K1045)),ISNUMBER(SEARCH(PESQUISA!$C$4,$L1045))),1,0))</f>
        <v/>
      </c>
      <c r="AA1045">
        <f>IF($Z1045=1,SUM($Z$3:$Z1045),"")</f>
        <v/>
      </c>
      <c r="AB1045">
        <f>IF(OR($A1045="",PESQUISA!$C$50=""),0,IF(ISNUMBER(SEARCH(PESQUISA!$C$50,$I1045)),1,0))</f>
        <v/>
      </c>
      <c r="AC1045">
        <f>IF($AB1045=1,SUM($AB$3:$AB1045),"")</f>
        <v/>
      </c>
    </row>
    <row r="1046">
      <c r="A1046" s="20" t="n"/>
      <c r="B1046" s="20" t="n"/>
      <c r="C1046" s="20" t="n"/>
      <c r="D1046" s="20" t="n"/>
      <c r="E1046" s="20" t="n"/>
      <c r="F1046" s="20" t="n"/>
      <c r="G1046" s="20" t="n"/>
      <c r="H1046" s="20" t="n"/>
      <c r="I1046" s="20" t="n"/>
      <c r="J1046" s="20">
        <f>IFERROR(INDEX(CONFIGURACOES!$G$37:$G$300,MATCH($I1046,CONFIGURACOES!$B$37:$B$300,0)),"")</f>
        <v/>
      </c>
      <c r="K1046" s="20">
        <f>IFERROR(INDEX(CONFIGURACOES!$H$37:$H$300,MATCH($I1046,CONFIGURACOES!$B$37:$B$300,0)),"")</f>
        <v/>
      </c>
      <c r="L1046" s="20" t="n"/>
      <c r="M1046" s="20">
        <f>IFERROR(INDEX(CONFIGURACOES!$I$37:$I$300,MATCH($I1046,CONFIGURACOES!$B$37:$B$300,0)),"")</f>
        <v/>
      </c>
      <c r="N1046" s="21" t="n"/>
      <c r="O1046" s="21" t="n"/>
      <c r="P1046" s="21" t="n"/>
      <c r="Q1046" s="21" t="n"/>
      <c r="R1046" s="21">
        <f>IF($N1046="","",$N1046*IF($Q1046="",1,$Q1046)*IF($P1046="",1,$P1046)*IF($O1046="",1,$O1046))</f>
        <v/>
      </c>
      <c r="S1046" s="22">
        <f>IFERROR(INDEX(CONFIGURACOES!$J$37:$J$300,MATCH($I1046,CONFIGURACOES!$B$37:$B$300,0)),"")</f>
        <v/>
      </c>
      <c r="T1046" s="22">
        <f>IF(OR($R1046="",$S1046=""),"",$R1046*$S1046)</f>
        <v/>
      </c>
      <c r="U1046" s="20" t="n"/>
      <c r="V1046" s="20" t="n"/>
      <c r="W1046" s="20" t="n"/>
      <c r="X1046">
        <f>IF($A1046="","",$A1046&amp;"|"&amp;$C1046&amp;"|"&amp;$I1046)</f>
        <v/>
      </c>
      <c r="Y1046">
        <f>IF(AND($A1046=RELATORIO_MEDICAO!$C$5,$C1046=RELATORIO_MEDICAO!$F$5,$A1046&lt;&gt;""),COUNTIFS($A$3:$A1046,RELATORIO_MEDICAO!$C$5,$C$3:$C1046,RELATORIO_MEDICAO!$F$5),"")</f>
        <v/>
      </c>
      <c r="Z1046">
        <f>IF(OR($A1046="",PESQUISA!$C$4=""),0,IF(OR(ISNUMBER(SEARCH(PESQUISA!$C$4,$G1046)),ISNUMBER(SEARCH(PESQUISA!$C$4,$K1046)),ISNUMBER(SEARCH(PESQUISA!$C$4,$L1046))),1,0))</f>
        <v/>
      </c>
      <c r="AA1046">
        <f>IF($Z1046=1,SUM($Z$3:$Z1046),"")</f>
        <v/>
      </c>
      <c r="AB1046">
        <f>IF(OR($A1046="",PESQUISA!$C$50=""),0,IF(ISNUMBER(SEARCH(PESQUISA!$C$50,$I1046)),1,0))</f>
        <v/>
      </c>
      <c r="AC1046">
        <f>IF($AB1046=1,SUM($AB$3:$AB1046),"")</f>
        <v/>
      </c>
    </row>
    <row r="1047">
      <c r="A1047" s="20" t="n"/>
      <c r="B1047" s="20" t="n"/>
      <c r="C1047" s="20" t="n"/>
      <c r="D1047" s="20" t="n"/>
      <c r="E1047" s="20" t="n"/>
      <c r="F1047" s="20" t="n"/>
      <c r="G1047" s="20" t="n"/>
      <c r="H1047" s="20" t="n"/>
      <c r="I1047" s="20" t="n"/>
      <c r="J1047" s="20">
        <f>IFERROR(INDEX(CONFIGURACOES!$G$37:$G$300,MATCH($I1047,CONFIGURACOES!$B$37:$B$300,0)),"")</f>
        <v/>
      </c>
      <c r="K1047" s="20">
        <f>IFERROR(INDEX(CONFIGURACOES!$H$37:$H$300,MATCH($I1047,CONFIGURACOES!$B$37:$B$300,0)),"")</f>
        <v/>
      </c>
      <c r="L1047" s="20" t="n"/>
      <c r="M1047" s="20">
        <f>IFERROR(INDEX(CONFIGURACOES!$I$37:$I$300,MATCH($I1047,CONFIGURACOES!$B$37:$B$300,0)),"")</f>
        <v/>
      </c>
      <c r="N1047" s="21" t="n"/>
      <c r="O1047" s="21" t="n"/>
      <c r="P1047" s="21" t="n"/>
      <c r="Q1047" s="21" t="n"/>
      <c r="R1047" s="21">
        <f>IF($N1047="","",$N1047*IF($Q1047="",1,$Q1047)*IF($P1047="",1,$P1047)*IF($O1047="",1,$O1047))</f>
        <v/>
      </c>
      <c r="S1047" s="22">
        <f>IFERROR(INDEX(CONFIGURACOES!$J$37:$J$300,MATCH($I1047,CONFIGURACOES!$B$37:$B$300,0)),"")</f>
        <v/>
      </c>
      <c r="T1047" s="22">
        <f>IF(OR($R1047="",$S1047=""),"",$R1047*$S1047)</f>
        <v/>
      </c>
      <c r="U1047" s="20" t="n"/>
      <c r="V1047" s="20" t="n"/>
      <c r="W1047" s="20" t="n"/>
      <c r="X1047">
        <f>IF($A1047="","",$A1047&amp;"|"&amp;$C1047&amp;"|"&amp;$I1047)</f>
        <v/>
      </c>
      <c r="Y1047">
        <f>IF(AND($A1047=RELATORIO_MEDICAO!$C$5,$C1047=RELATORIO_MEDICAO!$F$5,$A1047&lt;&gt;""),COUNTIFS($A$3:$A1047,RELATORIO_MEDICAO!$C$5,$C$3:$C1047,RELATORIO_MEDICAO!$F$5),"")</f>
        <v/>
      </c>
      <c r="Z1047">
        <f>IF(OR($A1047="",PESQUISA!$C$4=""),0,IF(OR(ISNUMBER(SEARCH(PESQUISA!$C$4,$G1047)),ISNUMBER(SEARCH(PESQUISA!$C$4,$K1047)),ISNUMBER(SEARCH(PESQUISA!$C$4,$L1047))),1,0))</f>
        <v/>
      </c>
      <c r="AA1047">
        <f>IF($Z1047=1,SUM($Z$3:$Z1047),"")</f>
        <v/>
      </c>
      <c r="AB1047">
        <f>IF(OR($A1047="",PESQUISA!$C$50=""),0,IF(ISNUMBER(SEARCH(PESQUISA!$C$50,$I1047)),1,0))</f>
        <v/>
      </c>
      <c r="AC1047">
        <f>IF($AB1047=1,SUM($AB$3:$AB1047),"")</f>
        <v/>
      </c>
    </row>
    <row r="1048">
      <c r="A1048" s="20" t="n"/>
      <c r="B1048" s="20" t="n"/>
      <c r="C1048" s="20" t="n"/>
      <c r="D1048" s="20" t="n"/>
      <c r="E1048" s="20" t="n"/>
      <c r="F1048" s="20" t="n"/>
      <c r="G1048" s="20" t="n"/>
      <c r="H1048" s="20" t="n"/>
      <c r="I1048" s="20" t="n"/>
      <c r="J1048" s="20">
        <f>IFERROR(INDEX(CONFIGURACOES!$G$37:$G$300,MATCH($I1048,CONFIGURACOES!$B$37:$B$300,0)),"")</f>
        <v/>
      </c>
      <c r="K1048" s="20">
        <f>IFERROR(INDEX(CONFIGURACOES!$H$37:$H$300,MATCH($I1048,CONFIGURACOES!$B$37:$B$300,0)),"")</f>
        <v/>
      </c>
      <c r="L1048" s="20" t="n"/>
      <c r="M1048" s="20">
        <f>IFERROR(INDEX(CONFIGURACOES!$I$37:$I$300,MATCH($I1048,CONFIGURACOES!$B$37:$B$300,0)),"")</f>
        <v/>
      </c>
      <c r="N1048" s="21" t="n"/>
      <c r="O1048" s="21" t="n"/>
      <c r="P1048" s="21" t="n"/>
      <c r="Q1048" s="21" t="n"/>
      <c r="R1048" s="21">
        <f>IF($N1048="","",$N1048*IF($Q1048="",1,$Q1048)*IF($P1048="",1,$P1048)*IF($O1048="",1,$O1048))</f>
        <v/>
      </c>
      <c r="S1048" s="22">
        <f>IFERROR(INDEX(CONFIGURACOES!$J$37:$J$300,MATCH($I1048,CONFIGURACOES!$B$37:$B$300,0)),"")</f>
        <v/>
      </c>
      <c r="T1048" s="22">
        <f>IF(OR($R1048="",$S1048=""),"",$R1048*$S1048)</f>
        <v/>
      </c>
      <c r="U1048" s="20" t="n"/>
      <c r="V1048" s="20" t="n"/>
      <c r="W1048" s="20" t="n"/>
      <c r="X1048">
        <f>IF($A1048="","",$A1048&amp;"|"&amp;$C1048&amp;"|"&amp;$I1048)</f>
        <v/>
      </c>
      <c r="Y1048">
        <f>IF(AND($A1048=RELATORIO_MEDICAO!$C$5,$C1048=RELATORIO_MEDICAO!$F$5,$A1048&lt;&gt;""),COUNTIFS($A$3:$A1048,RELATORIO_MEDICAO!$C$5,$C$3:$C1048,RELATORIO_MEDICAO!$F$5),"")</f>
        <v/>
      </c>
      <c r="Z1048">
        <f>IF(OR($A1048="",PESQUISA!$C$4=""),0,IF(OR(ISNUMBER(SEARCH(PESQUISA!$C$4,$G1048)),ISNUMBER(SEARCH(PESQUISA!$C$4,$K1048)),ISNUMBER(SEARCH(PESQUISA!$C$4,$L1048))),1,0))</f>
        <v/>
      </c>
      <c r="AA1048">
        <f>IF($Z1048=1,SUM($Z$3:$Z1048),"")</f>
        <v/>
      </c>
      <c r="AB1048">
        <f>IF(OR($A1048="",PESQUISA!$C$50=""),0,IF(ISNUMBER(SEARCH(PESQUISA!$C$50,$I1048)),1,0))</f>
        <v/>
      </c>
      <c r="AC1048">
        <f>IF($AB1048=1,SUM($AB$3:$AB1048),"")</f>
        <v/>
      </c>
    </row>
    <row r="1049">
      <c r="A1049" s="20" t="n"/>
      <c r="B1049" s="20" t="n"/>
      <c r="C1049" s="20" t="n"/>
      <c r="D1049" s="20" t="n"/>
      <c r="E1049" s="20" t="n"/>
      <c r="F1049" s="20" t="n"/>
      <c r="G1049" s="20" t="n"/>
      <c r="H1049" s="20" t="n"/>
      <c r="I1049" s="20" t="n"/>
      <c r="J1049" s="20">
        <f>IFERROR(INDEX(CONFIGURACOES!$G$37:$G$300,MATCH($I1049,CONFIGURACOES!$B$37:$B$300,0)),"")</f>
        <v/>
      </c>
      <c r="K1049" s="20">
        <f>IFERROR(INDEX(CONFIGURACOES!$H$37:$H$300,MATCH($I1049,CONFIGURACOES!$B$37:$B$300,0)),"")</f>
        <v/>
      </c>
      <c r="L1049" s="20" t="n"/>
      <c r="M1049" s="20">
        <f>IFERROR(INDEX(CONFIGURACOES!$I$37:$I$300,MATCH($I1049,CONFIGURACOES!$B$37:$B$300,0)),"")</f>
        <v/>
      </c>
      <c r="N1049" s="21" t="n"/>
      <c r="O1049" s="21" t="n"/>
      <c r="P1049" s="21" t="n"/>
      <c r="Q1049" s="21" t="n"/>
      <c r="R1049" s="21">
        <f>IF($N1049="","",$N1049*IF($Q1049="",1,$Q1049)*IF($P1049="",1,$P1049)*IF($O1049="",1,$O1049))</f>
        <v/>
      </c>
      <c r="S1049" s="22">
        <f>IFERROR(INDEX(CONFIGURACOES!$J$37:$J$300,MATCH($I1049,CONFIGURACOES!$B$37:$B$300,0)),"")</f>
        <v/>
      </c>
      <c r="T1049" s="22">
        <f>IF(OR($R1049="",$S1049=""),"",$R1049*$S1049)</f>
        <v/>
      </c>
      <c r="U1049" s="20" t="n"/>
      <c r="V1049" s="20" t="n"/>
      <c r="W1049" s="20" t="n"/>
      <c r="X1049">
        <f>IF($A1049="","",$A1049&amp;"|"&amp;$C1049&amp;"|"&amp;$I1049)</f>
        <v/>
      </c>
      <c r="Y1049">
        <f>IF(AND($A1049=RELATORIO_MEDICAO!$C$5,$C1049=RELATORIO_MEDICAO!$F$5,$A1049&lt;&gt;""),COUNTIFS($A$3:$A1049,RELATORIO_MEDICAO!$C$5,$C$3:$C1049,RELATORIO_MEDICAO!$F$5),"")</f>
        <v/>
      </c>
      <c r="Z1049">
        <f>IF(OR($A1049="",PESQUISA!$C$4=""),0,IF(OR(ISNUMBER(SEARCH(PESQUISA!$C$4,$G1049)),ISNUMBER(SEARCH(PESQUISA!$C$4,$K1049)),ISNUMBER(SEARCH(PESQUISA!$C$4,$L1049))),1,0))</f>
        <v/>
      </c>
      <c r="AA1049">
        <f>IF($Z1049=1,SUM($Z$3:$Z1049),"")</f>
        <v/>
      </c>
      <c r="AB1049">
        <f>IF(OR($A1049="",PESQUISA!$C$50=""),0,IF(ISNUMBER(SEARCH(PESQUISA!$C$50,$I1049)),1,0))</f>
        <v/>
      </c>
      <c r="AC1049">
        <f>IF($AB1049=1,SUM($AB$3:$AB1049),"")</f>
        <v/>
      </c>
    </row>
    <row r="1050">
      <c r="A1050" s="20" t="n"/>
      <c r="B1050" s="20" t="n"/>
      <c r="C1050" s="20" t="n"/>
      <c r="D1050" s="20" t="n"/>
      <c r="E1050" s="20" t="n"/>
      <c r="F1050" s="20" t="n"/>
      <c r="G1050" s="20" t="n"/>
      <c r="H1050" s="20" t="n"/>
      <c r="I1050" s="20" t="n"/>
      <c r="J1050" s="20">
        <f>IFERROR(INDEX(CONFIGURACOES!$G$37:$G$300,MATCH($I1050,CONFIGURACOES!$B$37:$B$300,0)),"")</f>
        <v/>
      </c>
      <c r="K1050" s="20">
        <f>IFERROR(INDEX(CONFIGURACOES!$H$37:$H$300,MATCH($I1050,CONFIGURACOES!$B$37:$B$300,0)),"")</f>
        <v/>
      </c>
      <c r="L1050" s="20" t="n"/>
      <c r="M1050" s="20">
        <f>IFERROR(INDEX(CONFIGURACOES!$I$37:$I$300,MATCH($I1050,CONFIGURACOES!$B$37:$B$300,0)),"")</f>
        <v/>
      </c>
      <c r="N1050" s="21" t="n"/>
      <c r="O1050" s="21" t="n"/>
      <c r="P1050" s="21" t="n"/>
      <c r="Q1050" s="21" t="n"/>
      <c r="R1050" s="21">
        <f>IF($N1050="","",$N1050*IF($Q1050="",1,$Q1050)*IF($P1050="",1,$P1050)*IF($O1050="",1,$O1050))</f>
        <v/>
      </c>
      <c r="S1050" s="22">
        <f>IFERROR(INDEX(CONFIGURACOES!$J$37:$J$300,MATCH($I1050,CONFIGURACOES!$B$37:$B$300,0)),"")</f>
        <v/>
      </c>
      <c r="T1050" s="22">
        <f>IF(OR($R1050="",$S1050=""),"",$R1050*$S1050)</f>
        <v/>
      </c>
      <c r="U1050" s="20" t="n"/>
      <c r="V1050" s="20" t="n"/>
      <c r="W1050" s="20" t="n"/>
      <c r="X1050">
        <f>IF($A1050="","",$A1050&amp;"|"&amp;$C1050&amp;"|"&amp;$I1050)</f>
        <v/>
      </c>
      <c r="Y1050">
        <f>IF(AND($A1050=RELATORIO_MEDICAO!$C$5,$C1050=RELATORIO_MEDICAO!$F$5,$A1050&lt;&gt;""),COUNTIFS($A$3:$A1050,RELATORIO_MEDICAO!$C$5,$C$3:$C1050,RELATORIO_MEDICAO!$F$5),"")</f>
        <v/>
      </c>
      <c r="Z1050">
        <f>IF(OR($A1050="",PESQUISA!$C$4=""),0,IF(OR(ISNUMBER(SEARCH(PESQUISA!$C$4,$G1050)),ISNUMBER(SEARCH(PESQUISA!$C$4,$K1050)),ISNUMBER(SEARCH(PESQUISA!$C$4,$L1050))),1,0))</f>
        <v/>
      </c>
      <c r="AA1050">
        <f>IF($Z1050=1,SUM($Z$3:$Z1050),"")</f>
        <v/>
      </c>
      <c r="AB1050">
        <f>IF(OR($A1050="",PESQUISA!$C$50=""),0,IF(ISNUMBER(SEARCH(PESQUISA!$C$50,$I1050)),1,0))</f>
        <v/>
      </c>
      <c r="AC1050">
        <f>IF($AB1050=1,SUM($AB$3:$AB1050),"")</f>
        <v/>
      </c>
    </row>
    <row r="1051">
      <c r="A1051" s="20" t="n"/>
      <c r="B1051" s="20" t="n"/>
      <c r="C1051" s="20" t="n"/>
      <c r="D1051" s="20" t="n"/>
      <c r="E1051" s="20" t="n"/>
      <c r="F1051" s="20" t="n"/>
      <c r="G1051" s="20" t="n"/>
      <c r="H1051" s="20" t="n"/>
      <c r="I1051" s="20" t="n"/>
      <c r="J1051" s="20">
        <f>IFERROR(INDEX(CONFIGURACOES!$G$37:$G$300,MATCH($I1051,CONFIGURACOES!$B$37:$B$300,0)),"")</f>
        <v/>
      </c>
      <c r="K1051" s="20">
        <f>IFERROR(INDEX(CONFIGURACOES!$H$37:$H$300,MATCH($I1051,CONFIGURACOES!$B$37:$B$300,0)),"")</f>
        <v/>
      </c>
      <c r="L1051" s="20" t="n"/>
      <c r="M1051" s="20">
        <f>IFERROR(INDEX(CONFIGURACOES!$I$37:$I$300,MATCH($I1051,CONFIGURACOES!$B$37:$B$300,0)),"")</f>
        <v/>
      </c>
      <c r="N1051" s="21" t="n"/>
      <c r="O1051" s="21" t="n"/>
      <c r="P1051" s="21" t="n"/>
      <c r="Q1051" s="21" t="n"/>
      <c r="R1051" s="21">
        <f>IF($N1051="","",$N1051*IF($Q1051="",1,$Q1051)*IF($P1051="",1,$P1051)*IF($O1051="",1,$O1051))</f>
        <v/>
      </c>
      <c r="S1051" s="22">
        <f>IFERROR(INDEX(CONFIGURACOES!$J$37:$J$300,MATCH($I1051,CONFIGURACOES!$B$37:$B$300,0)),"")</f>
        <v/>
      </c>
      <c r="T1051" s="22">
        <f>IF(OR($R1051="",$S1051=""),"",$R1051*$S1051)</f>
        <v/>
      </c>
      <c r="U1051" s="20" t="n"/>
      <c r="V1051" s="20" t="n"/>
      <c r="W1051" s="20" t="n"/>
      <c r="X1051">
        <f>IF($A1051="","",$A1051&amp;"|"&amp;$C1051&amp;"|"&amp;$I1051)</f>
        <v/>
      </c>
      <c r="Y1051">
        <f>IF(AND($A1051=RELATORIO_MEDICAO!$C$5,$C1051=RELATORIO_MEDICAO!$F$5,$A1051&lt;&gt;""),COUNTIFS($A$3:$A1051,RELATORIO_MEDICAO!$C$5,$C$3:$C1051,RELATORIO_MEDICAO!$F$5),"")</f>
        <v/>
      </c>
      <c r="Z1051">
        <f>IF(OR($A1051="",PESQUISA!$C$4=""),0,IF(OR(ISNUMBER(SEARCH(PESQUISA!$C$4,$G1051)),ISNUMBER(SEARCH(PESQUISA!$C$4,$K1051)),ISNUMBER(SEARCH(PESQUISA!$C$4,$L1051))),1,0))</f>
        <v/>
      </c>
      <c r="AA1051">
        <f>IF($Z1051=1,SUM($Z$3:$Z1051),"")</f>
        <v/>
      </c>
      <c r="AB1051">
        <f>IF(OR($A1051="",PESQUISA!$C$50=""),0,IF(ISNUMBER(SEARCH(PESQUISA!$C$50,$I1051)),1,0))</f>
        <v/>
      </c>
      <c r="AC1051">
        <f>IF($AB1051=1,SUM($AB$3:$AB1051),"")</f>
        <v/>
      </c>
    </row>
    <row r="1052">
      <c r="A1052" s="20" t="n"/>
      <c r="B1052" s="20" t="n"/>
      <c r="C1052" s="20" t="n"/>
      <c r="D1052" s="20" t="n"/>
      <c r="E1052" s="20" t="n"/>
      <c r="F1052" s="20" t="n"/>
      <c r="G1052" s="20" t="n"/>
      <c r="H1052" s="20" t="n"/>
      <c r="I1052" s="20" t="n"/>
      <c r="J1052" s="20">
        <f>IFERROR(INDEX(CONFIGURACOES!$G$37:$G$300,MATCH($I1052,CONFIGURACOES!$B$37:$B$300,0)),"")</f>
        <v/>
      </c>
      <c r="K1052" s="20">
        <f>IFERROR(INDEX(CONFIGURACOES!$H$37:$H$300,MATCH($I1052,CONFIGURACOES!$B$37:$B$300,0)),"")</f>
        <v/>
      </c>
      <c r="L1052" s="20" t="n"/>
      <c r="M1052" s="20">
        <f>IFERROR(INDEX(CONFIGURACOES!$I$37:$I$300,MATCH($I1052,CONFIGURACOES!$B$37:$B$300,0)),"")</f>
        <v/>
      </c>
      <c r="N1052" s="21" t="n"/>
      <c r="O1052" s="21" t="n"/>
      <c r="P1052" s="21" t="n"/>
      <c r="Q1052" s="21" t="n"/>
      <c r="R1052" s="21">
        <f>IF($N1052="","",$N1052*IF($Q1052="",1,$Q1052)*IF($P1052="",1,$P1052)*IF($O1052="",1,$O1052))</f>
        <v/>
      </c>
      <c r="S1052" s="22">
        <f>IFERROR(INDEX(CONFIGURACOES!$J$37:$J$300,MATCH($I1052,CONFIGURACOES!$B$37:$B$300,0)),"")</f>
        <v/>
      </c>
      <c r="T1052" s="22">
        <f>IF(OR($R1052="",$S1052=""),"",$R1052*$S1052)</f>
        <v/>
      </c>
      <c r="U1052" s="20" t="n"/>
      <c r="V1052" s="20" t="n"/>
      <c r="W1052" s="20" t="n"/>
      <c r="X1052">
        <f>IF($A1052="","",$A1052&amp;"|"&amp;$C1052&amp;"|"&amp;$I1052)</f>
        <v/>
      </c>
      <c r="Y1052">
        <f>IF(AND($A1052=RELATORIO_MEDICAO!$C$5,$C1052=RELATORIO_MEDICAO!$F$5,$A1052&lt;&gt;""),COUNTIFS($A$3:$A1052,RELATORIO_MEDICAO!$C$5,$C$3:$C1052,RELATORIO_MEDICAO!$F$5),"")</f>
        <v/>
      </c>
      <c r="Z1052">
        <f>IF(OR($A1052="",PESQUISA!$C$4=""),0,IF(OR(ISNUMBER(SEARCH(PESQUISA!$C$4,$G1052)),ISNUMBER(SEARCH(PESQUISA!$C$4,$K1052)),ISNUMBER(SEARCH(PESQUISA!$C$4,$L1052))),1,0))</f>
        <v/>
      </c>
      <c r="AA1052">
        <f>IF($Z1052=1,SUM($Z$3:$Z1052),"")</f>
        <v/>
      </c>
      <c r="AB1052">
        <f>IF(OR($A1052="",PESQUISA!$C$50=""),0,IF(ISNUMBER(SEARCH(PESQUISA!$C$50,$I1052)),1,0))</f>
        <v/>
      </c>
      <c r="AC1052">
        <f>IF($AB1052=1,SUM($AB$3:$AB1052),"")</f>
        <v/>
      </c>
    </row>
    <row r="1053">
      <c r="A1053" s="20" t="n"/>
      <c r="B1053" s="20" t="n"/>
      <c r="C1053" s="20" t="n"/>
      <c r="D1053" s="20" t="n"/>
      <c r="E1053" s="20" t="n"/>
      <c r="F1053" s="20" t="n"/>
      <c r="G1053" s="20" t="n"/>
      <c r="H1053" s="20" t="n"/>
      <c r="I1053" s="20" t="n"/>
      <c r="J1053" s="20">
        <f>IFERROR(INDEX(CONFIGURACOES!$G$37:$G$300,MATCH($I1053,CONFIGURACOES!$B$37:$B$300,0)),"")</f>
        <v/>
      </c>
      <c r="K1053" s="20">
        <f>IFERROR(INDEX(CONFIGURACOES!$H$37:$H$300,MATCH($I1053,CONFIGURACOES!$B$37:$B$300,0)),"")</f>
        <v/>
      </c>
      <c r="L1053" s="20" t="n"/>
      <c r="M1053" s="20">
        <f>IFERROR(INDEX(CONFIGURACOES!$I$37:$I$300,MATCH($I1053,CONFIGURACOES!$B$37:$B$300,0)),"")</f>
        <v/>
      </c>
      <c r="N1053" s="21" t="n"/>
      <c r="O1053" s="21" t="n"/>
      <c r="P1053" s="21" t="n"/>
      <c r="Q1053" s="21" t="n"/>
      <c r="R1053" s="21">
        <f>IF($N1053="","",$N1053*IF($Q1053="",1,$Q1053)*IF($P1053="",1,$P1053)*IF($O1053="",1,$O1053))</f>
        <v/>
      </c>
      <c r="S1053" s="22">
        <f>IFERROR(INDEX(CONFIGURACOES!$J$37:$J$300,MATCH($I1053,CONFIGURACOES!$B$37:$B$300,0)),"")</f>
        <v/>
      </c>
      <c r="T1053" s="22">
        <f>IF(OR($R1053="",$S1053=""),"",$R1053*$S1053)</f>
        <v/>
      </c>
      <c r="U1053" s="20" t="n"/>
      <c r="V1053" s="20" t="n"/>
      <c r="W1053" s="20" t="n"/>
      <c r="X1053">
        <f>IF($A1053="","",$A1053&amp;"|"&amp;$C1053&amp;"|"&amp;$I1053)</f>
        <v/>
      </c>
      <c r="Y1053">
        <f>IF(AND($A1053=RELATORIO_MEDICAO!$C$5,$C1053=RELATORIO_MEDICAO!$F$5,$A1053&lt;&gt;""),COUNTIFS($A$3:$A1053,RELATORIO_MEDICAO!$C$5,$C$3:$C1053,RELATORIO_MEDICAO!$F$5),"")</f>
        <v/>
      </c>
      <c r="Z1053">
        <f>IF(OR($A1053="",PESQUISA!$C$4=""),0,IF(OR(ISNUMBER(SEARCH(PESQUISA!$C$4,$G1053)),ISNUMBER(SEARCH(PESQUISA!$C$4,$K1053)),ISNUMBER(SEARCH(PESQUISA!$C$4,$L1053))),1,0))</f>
        <v/>
      </c>
      <c r="AA1053">
        <f>IF($Z1053=1,SUM($Z$3:$Z1053),"")</f>
        <v/>
      </c>
      <c r="AB1053">
        <f>IF(OR($A1053="",PESQUISA!$C$50=""),0,IF(ISNUMBER(SEARCH(PESQUISA!$C$50,$I1053)),1,0))</f>
        <v/>
      </c>
      <c r="AC1053">
        <f>IF($AB1053=1,SUM($AB$3:$AB1053),"")</f>
        <v/>
      </c>
    </row>
    <row r="1054">
      <c r="A1054" s="20" t="n"/>
      <c r="B1054" s="20" t="n"/>
      <c r="C1054" s="20" t="n"/>
      <c r="D1054" s="20" t="n"/>
      <c r="E1054" s="20" t="n"/>
      <c r="F1054" s="20" t="n"/>
      <c r="G1054" s="20" t="n"/>
      <c r="H1054" s="20" t="n"/>
      <c r="I1054" s="20" t="n"/>
      <c r="J1054" s="20">
        <f>IFERROR(INDEX(CONFIGURACOES!$G$37:$G$300,MATCH($I1054,CONFIGURACOES!$B$37:$B$300,0)),"")</f>
        <v/>
      </c>
      <c r="K1054" s="20">
        <f>IFERROR(INDEX(CONFIGURACOES!$H$37:$H$300,MATCH($I1054,CONFIGURACOES!$B$37:$B$300,0)),"")</f>
        <v/>
      </c>
      <c r="L1054" s="20" t="n"/>
      <c r="M1054" s="20">
        <f>IFERROR(INDEX(CONFIGURACOES!$I$37:$I$300,MATCH($I1054,CONFIGURACOES!$B$37:$B$300,0)),"")</f>
        <v/>
      </c>
      <c r="N1054" s="21" t="n"/>
      <c r="O1054" s="21" t="n"/>
      <c r="P1054" s="21" t="n"/>
      <c r="Q1054" s="21" t="n"/>
      <c r="R1054" s="21">
        <f>IF($N1054="","",$N1054*IF($Q1054="",1,$Q1054)*IF($P1054="",1,$P1054)*IF($O1054="",1,$O1054))</f>
        <v/>
      </c>
      <c r="S1054" s="22">
        <f>IFERROR(INDEX(CONFIGURACOES!$J$37:$J$300,MATCH($I1054,CONFIGURACOES!$B$37:$B$300,0)),"")</f>
        <v/>
      </c>
      <c r="T1054" s="22">
        <f>IF(OR($R1054="",$S1054=""),"",$R1054*$S1054)</f>
        <v/>
      </c>
      <c r="U1054" s="20" t="n"/>
      <c r="V1054" s="20" t="n"/>
      <c r="W1054" s="20" t="n"/>
      <c r="X1054">
        <f>IF($A1054="","",$A1054&amp;"|"&amp;$C1054&amp;"|"&amp;$I1054)</f>
        <v/>
      </c>
      <c r="Y1054">
        <f>IF(AND($A1054=RELATORIO_MEDICAO!$C$5,$C1054=RELATORIO_MEDICAO!$F$5,$A1054&lt;&gt;""),COUNTIFS($A$3:$A1054,RELATORIO_MEDICAO!$C$5,$C$3:$C1054,RELATORIO_MEDICAO!$F$5),"")</f>
        <v/>
      </c>
      <c r="Z1054">
        <f>IF(OR($A1054="",PESQUISA!$C$4=""),0,IF(OR(ISNUMBER(SEARCH(PESQUISA!$C$4,$G1054)),ISNUMBER(SEARCH(PESQUISA!$C$4,$K1054)),ISNUMBER(SEARCH(PESQUISA!$C$4,$L1054))),1,0))</f>
        <v/>
      </c>
      <c r="AA1054">
        <f>IF($Z1054=1,SUM($Z$3:$Z1054),"")</f>
        <v/>
      </c>
      <c r="AB1054">
        <f>IF(OR($A1054="",PESQUISA!$C$50=""),0,IF(ISNUMBER(SEARCH(PESQUISA!$C$50,$I1054)),1,0))</f>
        <v/>
      </c>
      <c r="AC1054">
        <f>IF($AB1054=1,SUM($AB$3:$AB1054),"")</f>
        <v/>
      </c>
    </row>
    <row r="1055">
      <c r="A1055" s="20" t="n"/>
      <c r="B1055" s="20" t="n"/>
      <c r="C1055" s="20" t="n"/>
      <c r="D1055" s="20" t="n"/>
      <c r="E1055" s="20" t="n"/>
      <c r="F1055" s="20" t="n"/>
      <c r="G1055" s="20" t="n"/>
      <c r="H1055" s="20" t="n"/>
      <c r="I1055" s="20" t="n"/>
      <c r="J1055" s="20">
        <f>IFERROR(INDEX(CONFIGURACOES!$G$37:$G$300,MATCH($I1055,CONFIGURACOES!$B$37:$B$300,0)),"")</f>
        <v/>
      </c>
      <c r="K1055" s="20">
        <f>IFERROR(INDEX(CONFIGURACOES!$H$37:$H$300,MATCH($I1055,CONFIGURACOES!$B$37:$B$300,0)),"")</f>
        <v/>
      </c>
      <c r="L1055" s="20" t="n"/>
      <c r="M1055" s="20">
        <f>IFERROR(INDEX(CONFIGURACOES!$I$37:$I$300,MATCH($I1055,CONFIGURACOES!$B$37:$B$300,0)),"")</f>
        <v/>
      </c>
      <c r="N1055" s="21" t="n"/>
      <c r="O1055" s="21" t="n"/>
      <c r="P1055" s="21" t="n"/>
      <c r="Q1055" s="21" t="n"/>
      <c r="R1055" s="21">
        <f>IF($N1055="","",$N1055*IF($Q1055="",1,$Q1055)*IF($P1055="",1,$P1055)*IF($O1055="",1,$O1055))</f>
        <v/>
      </c>
      <c r="S1055" s="22">
        <f>IFERROR(INDEX(CONFIGURACOES!$J$37:$J$300,MATCH($I1055,CONFIGURACOES!$B$37:$B$300,0)),"")</f>
        <v/>
      </c>
      <c r="T1055" s="22">
        <f>IF(OR($R1055="",$S1055=""),"",$R1055*$S1055)</f>
        <v/>
      </c>
      <c r="U1055" s="20" t="n"/>
      <c r="V1055" s="20" t="n"/>
      <c r="W1055" s="20" t="n"/>
      <c r="X1055">
        <f>IF($A1055="","",$A1055&amp;"|"&amp;$C1055&amp;"|"&amp;$I1055)</f>
        <v/>
      </c>
      <c r="Y1055">
        <f>IF(AND($A1055=RELATORIO_MEDICAO!$C$5,$C1055=RELATORIO_MEDICAO!$F$5,$A1055&lt;&gt;""),COUNTIFS($A$3:$A1055,RELATORIO_MEDICAO!$C$5,$C$3:$C1055,RELATORIO_MEDICAO!$F$5),"")</f>
        <v/>
      </c>
      <c r="Z1055">
        <f>IF(OR($A1055="",PESQUISA!$C$4=""),0,IF(OR(ISNUMBER(SEARCH(PESQUISA!$C$4,$G1055)),ISNUMBER(SEARCH(PESQUISA!$C$4,$K1055)),ISNUMBER(SEARCH(PESQUISA!$C$4,$L1055))),1,0))</f>
        <v/>
      </c>
      <c r="AA1055">
        <f>IF($Z1055=1,SUM($Z$3:$Z1055),"")</f>
        <v/>
      </c>
      <c r="AB1055">
        <f>IF(OR($A1055="",PESQUISA!$C$50=""),0,IF(ISNUMBER(SEARCH(PESQUISA!$C$50,$I1055)),1,0))</f>
        <v/>
      </c>
      <c r="AC1055">
        <f>IF($AB1055=1,SUM($AB$3:$AB1055),"")</f>
        <v/>
      </c>
    </row>
    <row r="1056">
      <c r="A1056" s="20" t="n"/>
      <c r="B1056" s="20" t="n"/>
      <c r="C1056" s="20" t="n"/>
      <c r="D1056" s="20" t="n"/>
      <c r="E1056" s="20" t="n"/>
      <c r="F1056" s="20" t="n"/>
      <c r="G1056" s="20" t="n"/>
      <c r="H1056" s="20" t="n"/>
      <c r="I1056" s="20" t="n"/>
      <c r="J1056" s="20">
        <f>IFERROR(INDEX(CONFIGURACOES!$G$37:$G$300,MATCH($I1056,CONFIGURACOES!$B$37:$B$300,0)),"")</f>
        <v/>
      </c>
      <c r="K1056" s="20">
        <f>IFERROR(INDEX(CONFIGURACOES!$H$37:$H$300,MATCH($I1056,CONFIGURACOES!$B$37:$B$300,0)),"")</f>
        <v/>
      </c>
      <c r="L1056" s="20" t="n"/>
      <c r="M1056" s="20">
        <f>IFERROR(INDEX(CONFIGURACOES!$I$37:$I$300,MATCH($I1056,CONFIGURACOES!$B$37:$B$300,0)),"")</f>
        <v/>
      </c>
      <c r="N1056" s="21" t="n"/>
      <c r="O1056" s="21" t="n"/>
      <c r="P1056" s="21" t="n"/>
      <c r="Q1056" s="21" t="n"/>
      <c r="R1056" s="21">
        <f>IF($N1056="","",$N1056*IF($Q1056="",1,$Q1056)*IF($P1056="",1,$P1056)*IF($O1056="",1,$O1056))</f>
        <v/>
      </c>
      <c r="S1056" s="22">
        <f>IFERROR(INDEX(CONFIGURACOES!$J$37:$J$300,MATCH($I1056,CONFIGURACOES!$B$37:$B$300,0)),"")</f>
        <v/>
      </c>
      <c r="T1056" s="22">
        <f>IF(OR($R1056="",$S1056=""),"",$R1056*$S1056)</f>
        <v/>
      </c>
      <c r="U1056" s="20" t="n"/>
      <c r="V1056" s="20" t="n"/>
      <c r="W1056" s="20" t="n"/>
      <c r="X1056">
        <f>IF($A1056="","",$A1056&amp;"|"&amp;$C1056&amp;"|"&amp;$I1056)</f>
        <v/>
      </c>
      <c r="Y1056">
        <f>IF(AND($A1056=RELATORIO_MEDICAO!$C$5,$C1056=RELATORIO_MEDICAO!$F$5,$A1056&lt;&gt;""),COUNTIFS($A$3:$A1056,RELATORIO_MEDICAO!$C$5,$C$3:$C1056,RELATORIO_MEDICAO!$F$5),"")</f>
        <v/>
      </c>
      <c r="Z1056">
        <f>IF(OR($A1056="",PESQUISA!$C$4=""),0,IF(OR(ISNUMBER(SEARCH(PESQUISA!$C$4,$G1056)),ISNUMBER(SEARCH(PESQUISA!$C$4,$K1056)),ISNUMBER(SEARCH(PESQUISA!$C$4,$L1056))),1,0))</f>
        <v/>
      </c>
      <c r="AA1056">
        <f>IF($Z1056=1,SUM($Z$3:$Z1056),"")</f>
        <v/>
      </c>
      <c r="AB1056">
        <f>IF(OR($A1056="",PESQUISA!$C$50=""),0,IF(ISNUMBER(SEARCH(PESQUISA!$C$50,$I1056)),1,0))</f>
        <v/>
      </c>
      <c r="AC1056">
        <f>IF($AB1056=1,SUM($AB$3:$AB1056),"")</f>
        <v/>
      </c>
    </row>
    <row r="1057">
      <c r="A1057" s="20" t="n"/>
      <c r="B1057" s="20" t="n"/>
      <c r="C1057" s="20" t="n"/>
      <c r="D1057" s="20" t="n"/>
      <c r="E1057" s="20" t="n"/>
      <c r="F1057" s="20" t="n"/>
      <c r="G1057" s="20" t="n"/>
      <c r="H1057" s="20" t="n"/>
      <c r="I1057" s="20" t="n"/>
      <c r="J1057" s="20">
        <f>IFERROR(INDEX(CONFIGURACOES!$G$37:$G$300,MATCH($I1057,CONFIGURACOES!$B$37:$B$300,0)),"")</f>
        <v/>
      </c>
      <c r="K1057" s="20">
        <f>IFERROR(INDEX(CONFIGURACOES!$H$37:$H$300,MATCH($I1057,CONFIGURACOES!$B$37:$B$300,0)),"")</f>
        <v/>
      </c>
      <c r="L1057" s="20" t="n"/>
      <c r="M1057" s="20">
        <f>IFERROR(INDEX(CONFIGURACOES!$I$37:$I$300,MATCH($I1057,CONFIGURACOES!$B$37:$B$300,0)),"")</f>
        <v/>
      </c>
      <c r="N1057" s="21" t="n"/>
      <c r="O1057" s="21" t="n"/>
      <c r="P1057" s="21" t="n"/>
      <c r="Q1057" s="21" t="n"/>
      <c r="R1057" s="21">
        <f>IF($N1057="","",$N1057*IF($Q1057="",1,$Q1057)*IF($P1057="",1,$P1057)*IF($O1057="",1,$O1057))</f>
        <v/>
      </c>
      <c r="S1057" s="22">
        <f>IFERROR(INDEX(CONFIGURACOES!$J$37:$J$300,MATCH($I1057,CONFIGURACOES!$B$37:$B$300,0)),"")</f>
        <v/>
      </c>
      <c r="T1057" s="22">
        <f>IF(OR($R1057="",$S1057=""),"",$R1057*$S1057)</f>
        <v/>
      </c>
      <c r="U1057" s="20" t="n"/>
      <c r="V1057" s="20" t="n"/>
      <c r="W1057" s="20" t="n"/>
      <c r="X1057">
        <f>IF($A1057="","",$A1057&amp;"|"&amp;$C1057&amp;"|"&amp;$I1057)</f>
        <v/>
      </c>
      <c r="Y1057">
        <f>IF(AND($A1057=RELATORIO_MEDICAO!$C$5,$C1057=RELATORIO_MEDICAO!$F$5,$A1057&lt;&gt;""),COUNTIFS($A$3:$A1057,RELATORIO_MEDICAO!$C$5,$C$3:$C1057,RELATORIO_MEDICAO!$F$5),"")</f>
        <v/>
      </c>
      <c r="Z1057">
        <f>IF(OR($A1057="",PESQUISA!$C$4=""),0,IF(OR(ISNUMBER(SEARCH(PESQUISA!$C$4,$G1057)),ISNUMBER(SEARCH(PESQUISA!$C$4,$K1057)),ISNUMBER(SEARCH(PESQUISA!$C$4,$L1057))),1,0))</f>
        <v/>
      </c>
      <c r="AA1057">
        <f>IF($Z1057=1,SUM($Z$3:$Z1057),"")</f>
        <v/>
      </c>
      <c r="AB1057">
        <f>IF(OR($A1057="",PESQUISA!$C$50=""),0,IF(ISNUMBER(SEARCH(PESQUISA!$C$50,$I1057)),1,0))</f>
        <v/>
      </c>
      <c r="AC1057">
        <f>IF($AB1057=1,SUM($AB$3:$AB1057),"")</f>
        <v/>
      </c>
    </row>
    <row r="1058">
      <c r="A1058" s="20" t="n"/>
      <c r="B1058" s="20" t="n"/>
      <c r="C1058" s="20" t="n"/>
      <c r="D1058" s="20" t="n"/>
      <c r="E1058" s="20" t="n"/>
      <c r="F1058" s="20" t="n"/>
      <c r="G1058" s="20" t="n"/>
      <c r="H1058" s="20" t="n"/>
      <c r="I1058" s="20" t="n"/>
      <c r="J1058" s="20">
        <f>IFERROR(INDEX(CONFIGURACOES!$G$37:$G$300,MATCH($I1058,CONFIGURACOES!$B$37:$B$300,0)),"")</f>
        <v/>
      </c>
      <c r="K1058" s="20">
        <f>IFERROR(INDEX(CONFIGURACOES!$H$37:$H$300,MATCH($I1058,CONFIGURACOES!$B$37:$B$300,0)),"")</f>
        <v/>
      </c>
      <c r="L1058" s="20" t="n"/>
      <c r="M1058" s="20">
        <f>IFERROR(INDEX(CONFIGURACOES!$I$37:$I$300,MATCH($I1058,CONFIGURACOES!$B$37:$B$300,0)),"")</f>
        <v/>
      </c>
      <c r="N1058" s="21" t="n"/>
      <c r="O1058" s="21" t="n"/>
      <c r="P1058" s="21" t="n"/>
      <c r="Q1058" s="21" t="n"/>
      <c r="R1058" s="21">
        <f>IF($N1058="","",$N1058*IF($Q1058="",1,$Q1058)*IF($P1058="",1,$P1058)*IF($O1058="",1,$O1058))</f>
        <v/>
      </c>
      <c r="S1058" s="22">
        <f>IFERROR(INDEX(CONFIGURACOES!$J$37:$J$300,MATCH($I1058,CONFIGURACOES!$B$37:$B$300,0)),"")</f>
        <v/>
      </c>
      <c r="T1058" s="22">
        <f>IF(OR($R1058="",$S1058=""),"",$R1058*$S1058)</f>
        <v/>
      </c>
      <c r="U1058" s="20" t="n"/>
      <c r="V1058" s="20" t="n"/>
      <c r="W1058" s="20" t="n"/>
      <c r="X1058">
        <f>IF($A1058="","",$A1058&amp;"|"&amp;$C1058&amp;"|"&amp;$I1058)</f>
        <v/>
      </c>
      <c r="Y1058">
        <f>IF(AND($A1058=RELATORIO_MEDICAO!$C$5,$C1058=RELATORIO_MEDICAO!$F$5,$A1058&lt;&gt;""),COUNTIFS($A$3:$A1058,RELATORIO_MEDICAO!$C$5,$C$3:$C1058,RELATORIO_MEDICAO!$F$5),"")</f>
        <v/>
      </c>
      <c r="Z1058">
        <f>IF(OR($A1058="",PESQUISA!$C$4=""),0,IF(OR(ISNUMBER(SEARCH(PESQUISA!$C$4,$G1058)),ISNUMBER(SEARCH(PESQUISA!$C$4,$K1058)),ISNUMBER(SEARCH(PESQUISA!$C$4,$L1058))),1,0))</f>
        <v/>
      </c>
      <c r="AA1058">
        <f>IF($Z1058=1,SUM($Z$3:$Z1058),"")</f>
        <v/>
      </c>
      <c r="AB1058">
        <f>IF(OR($A1058="",PESQUISA!$C$50=""),0,IF(ISNUMBER(SEARCH(PESQUISA!$C$50,$I1058)),1,0))</f>
        <v/>
      </c>
      <c r="AC1058">
        <f>IF($AB1058=1,SUM($AB$3:$AB1058),"")</f>
        <v/>
      </c>
    </row>
    <row r="1059">
      <c r="A1059" s="20" t="n"/>
      <c r="B1059" s="20" t="n"/>
      <c r="C1059" s="20" t="n"/>
      <c r="D1059" s="20" t="n"/>
      <c r="E1059" s="20" t="n"/>
      <c r="F1059" s="20" t="n"/>
      <c r="G1059" s="20" t="n"/>
      <c r="H1059" s="20" t="n"/>
      <c r="I1059" s="20" t="n"/>
      <c r="J1059" s="20">
        <f>IFERROR(INDEX(CONFIGURACOES!$G$37:$G$300,MATCH($I1059,CONFIGURACOES!$B$37:$B$300,0)),"")</f>
        <v/>
      </c>
      <c r="K1059" s="20">
        <f>IFERROR(INDEX(CONFIGURACOES!$H$37:$H$300,MATCH($I1059,CONFIGURACOES!$B$37:$B$300,0)),"")</f>
        <v/>
      </c>
      <c r="L1059" s="20" t="n"/>
      <c r="M1059" s="20">
        <f>IFERROR(INDEX(CONFIGURACOES!$I$37:$I$300,MATCH($I1059,CONFIGURACOES!$B$37:$B$300,0)),"")</f>
        <v/>
      </c>
      <c r="N1059" s="21" t="n"/>
      <c r="O1059" s="21" t="n"/>
      <c r="P1059" s="21" t="n"/>
      <c r="Q1059" s="21" t="n"/>
      <c r="R1059" s="21">
        <f>IF($N1059="","",$N1059*IF($Q1059="",1,$Q1059)*IF($P1059="",1,$P1059)*IF($O1059="",1,$O1059))</f>
        <v/>
      </c>
      <c r="S1059" s="22">
        <f>IFERROR(INDEX(CONFIGURACOES!$J$37:$J$300,MATCH($I1059,CONFIGURACOES!$B$37:$B$300,0)),"")</f>
        <v/>
      </c>
      <c r="T1059" s="22">
        <f>IF(OR($R1059="",$S1059=""),"",$R1059*$S1059)</f>
        <v/>
      </c>
      <c r="U1059" s="20" t="n"/>
      <c r="V1059" s="20" t="n"/>
      <c r="W1059" s="20" t="n"/>
      <c r="X1059">
        <f>IF($A1059="","",$A1059&amp;"|"&amp;$C1059&amp;"|"&amp;$I1059)</f>
        <v/>
      </c>
      <c r="Y1059">
        <f>IF(AND($A1059=RELATORIO_MEDICAO!$C$5,$C1059=RELATORIO_MEDICAO!$F$5,$A1059&lt;&gt;""),COUNTIFS($A$3:$A1059,RELATORIO_MEDICAO!$C$5,$C$3:$C1059,RELATORIO_MEDICAO!$F$5),"")</f>
        <v/>
      </c>
      <c r="Z1059">
        <f>IF(OR($A1059="",PESQUISA!$C$4=""),0,IF(OR(ISNUMBER(SEARCH(PESQUISA!$C$4,$G1059)),ISNUMBER(SEARCH(PESQUISA!$C$4,$K1059)),ISNUMBER(SEARCH(PESQUISA!$C$4,$L1059))),1,0))</f>
        <v/>
      </c>
      <c r="AA1059">
        <f>IF($Z1059=1,SUM($Z$3:$Z1059),"")</f>
        <v/>
      </c>
      <c r="AB1059">
        <f>IF(OR($A1059="",PESQUISA!$C$50=""),0,IF(ISNUMBER(SEARCH(PESQUISA!$C$50,$I1059)),1,0))</f>
        <v/>
      </c>
      <c r="AC1059">
        <f>IF($AB1059=1,SUM($AB$3:$AB1059),"")</f>
        <v/>
      </c>
    </row>
    <row r="1060">
      <c r="A1060" s="20" t="n"/>
      <c r="B1060" s="20" t="n"/>
      <c r="C1060" s="20" t="n"/>
      <c r="D1060" s="20" t="n"/>
      <c r="E1060" s="20" t="n"/>
      <c r="F1060" s="20" t="n"/>
      <c r="G1060" s="20" t="n"/>
      <c r="H1060" s="20" t="n"/>
      <c r="I1060" s="20" t="n"/>
      <c r="J1060" s="20">
        <f>IFERROR(INDEX(CONFIGURACOES!$G$37:$G$300,MATCH($I1060,CONFIGURACOES!$B$37:$B$300,0)),"")</f>
        <v/>
      </c>
      <c r="K1060" s="20">
        <f>IFERROR(INDEX(CONFIGURACOES!$H$37:$H$300,MATCH($I1060,CONFIGURACOES!$B$37:$B$300,0)),"")</f>
        <v/>
      </c>
      <c r="L1060" s="20" t="n"/>
      <c r="M1060" s="20">
        <f>IFERROR(INDEX(CONFIGURACOES!$I$37:$I$300,MATCH($I1060,CONFIGURACOES!$B$37:$B$300,0)),"")</f>
        <v/>
      </c>
      <c r="N1060" s="21" t="n"/>
      <c r="O1060" s="21" t="n"/>
      <c r="P1060" s="21" t="n"/>
      <c r="Q1060" s="21" t="n"/>
      <c r="R1060" s="21">
        <f>IF($N1060="","",$N1060*IF($Q1060="",1,$Q1060)*IF($P1060="",1,$P1060)*IF($O1060="",1,$O1060))</f>
        <v/>
      </c>
      <c r="S1060" s="22">
        <f>IFERROR(INDEX(CONFIGURACOES!$J$37:$J$300,MATCH($I1060,CONFIGURACOES!$B$37:$B$300,0)),"")</f>
        <v/>
      </c>
      <c r="T1060" s="22">
        <f>IF(OR($R1060="",$S1060=""),"",$R1060*$S1060)</f>
        <v/>
      </c>
      <c r="U1060" s="20" t="n"/>
      <c r="V1060" s="20" t="n"/>
      <c r="W1060" s="20" t="n"/>
      <c r="X1060">
        <f>IF($A1060="","",$A1060&amp;"|"&amp;$C1060&amp;"|"&amp;$I1060)</f>
        <v/>
      </c>
      <c r="Y1060">
        <f>IF(AND($A1060=RELATORIO_MEDICAO!$C$5,$C1060=RELATORIO_MEDICAO!$F$5,$A1060&lt;&gt;""),COUNTIFS($A$3:$A1060,RELATORIO_MEDICAO!$C$5,$C$3:$C1060,RELATORIO_MEDICAO!$F$5),"")</f>
        <v/>
      </c>
      <c r="Z1060">
        <f>IF(OR($A1060="",PESQUISA!$C$4=""),0,IF(OR(ISNUMBER(SEARCH(PESQUISA!$C$4,$G1060)),ISNUMBER(SEARCH(PESQUISA!$C$4,$K1060)),ISNUMBER(SEARCH(PESQUISA!$C$4,$L1060))),1,0))</f>
        <v/>
      </c>
      <c r="AA1060">
        <f>IF($Z1060=1,SUM($Z$3:$Z1060),"")</f>
        <v/>
      </c>
      <c r="AB1060">
        <f>IF(OR($A1060="",PESQUISA!$C$50=""),0,IF(ISNUMBER(SEARCH(PESQUISA!$C$50,$I1060)),1,0))</f>
        <v/>
      </c>
      <c r="AC1060">
        <f>IF($AB1060=1,SUM($AB$3:$AB1060),"")</f>
        <v/>
      </c>
    </row>
    <row r="1061">
      <c r="A1061" s="20" t="n"/>
      <c r="B1061" s="20" t="n"/>
      <c r="C1061" s="20" t="n"/>
      <c r="D1061" s="20" t="n"/>
      <c r="E1061" s="20" t="n"/>
      <c r="F1061" s="20" t="n"/>
      <c r="G1061" s="20" t="n"/>
      <c r="H1061" s="20" t="n"/>
      <c r="I1061" s="20" t="n"/>
      <c r="J1061" s="20">
        <f>IFERROR(INDEX(CONFIGURACOES!$G$37:$G$300,MATCH($I1061,CONFIGURACOES!$B$37:$B$300,0)),"")</f>
        <v/>
      </c>
      <c r="K1061" s="20">
        <f>IFERROR(INDEX(CONFIGURACOES!$H$37:$H$300,MATCH($I1061,CONFIGURACOES!$B$37:$B$300,0)),"")</f>
        <v/>
      </c>
      <c r="L1061" s="20" t="n"/>
      <c r="M1061" s="20">
        <f>IFERROR(INDEX(CONFIGURACOES!$I$37:$I$300,MATCH($I1061,CONFIGURACOES!$B$37:$B$300,0)),"")</f>
        <v/>
      </c>
      <c r="N1061" s="21" t="n"/>
      <c r="O1061" s="21" t="n"/>
      <c r="P1061" s="21" t="n"/>
      <c r="Q1061" s="21" t="n"/>
      <c r="R1061" s="21">
        <f>IF($N1061="","",$N1061*IF($Q1061="",1,$Q1061)*IF($P1061="",1,$P1061)*IF($O1061="",1,$O1061))</f>
        <v/>
      </c>
      <c r="S1061" s="22">
        <f>IFERROR(INDEX(CONFIGURACOES!$J$37:$J$300,MATCH($I1061,CONFIGURACOES!$B$37:$B$300,0)),"")</f>
        <v/>
      </c>
      <c r="T1061" s="22">
        <f>IF(OR($R1061="",$S1061=""),"",$R1061*$S1061)</f>
        <v/>
      </c>
      <c r="U1061" s="20" t="n"/>
      <c r="V1061" s="20" t="n"/>
      <c r="W1061" s="20" t="n"/>
      <c r="X1061">
        <f>IF($A1061="","",$A1061&amp;"|"&amp;$C1061&amp;"|"&amp;$I1061)</f>
        <v/>
      </c>
      <c r="Y1061">
        <f>IF(AND($A1061=RELATORIO_MEDICAO!$C$5,$C1061=RELATORIO_MEDICAO!$F$5,$A1061&lt;&gt;""),COUNTIFS($A$3:$A1061,RELATORIO_MEDICAO!$C$5,$C$3:$C1061,RELATORIO_MEDICAO!$F$5),"")</f>
        <v/>
      </c>
      <c r="Z1061">
        <f>IF(OR($A1061="",PESQUISA!$C$4=""),0,IF(OR(ISNUMBER(SEARCH(PESQUISA!$C$4,$G1061)),ISNUMBER(SEARCH(PESQUISA!$C$4,$K1061)),ISNUMBER(SEARCH(PESQUISA!$C$4,$L1061))),1,0))</f>
        <v/>
      </c>
      <c r="AA1061">
        <f>IF($Z1061=1,SUM($Z$3:$Z1061),"")</f>
        <v/>
      </c>
      <c r="AB1061">
        <f>IF(OR($A1061="",PESQUISA!$C$50=""),0,IF(ISNUMBER(SEARCH(PESQUISA!$C$50,$I1061)),1,0))</f>
        <v/>
      </c>
      <c r="AC1061">
        <f>IF($AB1061=1,SUM($AB$3:$AB1061),"")</f>
        <v/>
      </c>
    </row>
    <row r="1062">
      <c r="A1062" s="20" t="n"/>
      <c r="B1062" s="20" t="n"/>
      <c r="C1062" s="20" t="n"/>
      <c r="D1062" s="20" t="n"/>
      <c r="E1062" s="20" t="n"/>
      <c r="F1062" s="20" t="n"/>
      <c r="G1062" s="20" t="n"/>
      <c r="H1062" s="20" t="n"/>
      <c r="I1062" s="20" t="n"/>
      <c r="J1062" s="20">
        <f>IFERROR(INDEX(CONFIGURACOES!$G$37:$G$300,MATCH($I1062,CONFIGURACOES!$B$37:$B$300,0)),"")</f>
        <v/>
      </c>
      <c r="K1062" s="20">
        <f>IFERROR(INDEX(CONFIGURACOES!$H$37:$H$300,MATCH($I1062,CONFIGURACOES!$B$37:$B$300,0)),"")</f>
        <v/>
      </c>
      <c r="L1062" s="20" t="n"/>
      <c r="M1062" s="20">
        <f>IFERROR(INDEX(CONFIGURACOES!$I$37:$I$300,MATCH($I1062,CONFIGURACOES!$B$37:$B$300,0)),"")</f>
        <v/>
      </c>
      <c r="N1062" s="21" t="n"/>
      <c r="O1062" s="21" t="n"/>
      <c r="P1062" s="21" t="n"/>
      <c r="Q1062" s="21" t="n"/>
      <c r="R1062" s="21">
        <f>IF($N1062="","",$N1062*IF($Q1062="",1,$Q1062)*IF($P1062="",1,$P1062)*IF($O1062="",1,$O1062))</f>
        <v/>
      </c>
      <c r="S1062" s="22">
        <f>IFERROR(INDEX(CONFIGURACOES!$J$37:$J$300,MATCH($I1062,CONFIGURACOES!$B$37:$B$300,0)),"")</f>
        <v/>
      </c>
      <c r="T1062" s="22">
        <f>IF(OR($R1062="",$S1062=""),"",$R1062*$S1062)</f>
        <v/>
      </c>
      <c r="U1062" s="20" t="n"/>
      <c r="V1062" s="20" t="n"/>
      <c r="W1062" s="20" t="n"/>
      <c r="X1062">
        <f>IF($A1062="","",$A1062&amp;"|"&amp;$C1062&amp;"|"&amp;$I1062)</f>
        <v/>
      </c>
      <c r="Y1062">
        <f>IF(AND($A1062=RELATORIO_MEDICAO!$C$5,$C1062=RELATORIO_MEDICAO!$F$5,$A1062&lt;&gt;""),COUNTIFS($A$3:$A1062,RELATORIO_MEDICAO!$C$5,$C$3:$C1062,RELATORIO_MEDICAO!$F$5),"")</f>
        <v/>
      </c>
      <c r="Z1062">
        <f>IF(OR($A1062="",PESQUISA!$C$4=""),0,IF(OR(ISNUMBER(SEARCH(PESQUISA!$C$4,$G1062)),ISNUMBER(SEARCH(PESQUISA!$C$4,$K1062)),ISNUMBER(SEARCH(PESQUISA!$C$4,$L1062))),1,0))</f>
        <v/>
      </c>
      <c r="AA1062">
        <f>IF($Z1062=1,SUM($Z$3:$Z1062),"")</f>
        <v/>
      </c>
      <c r="AB1062">
        <f>IF(OR($A1062="",PESQUISA!$C$50=""),0,IF(ISNUMBER(SEARCH(PESQUISA!$C$50,$I1062)),1,0))</f>
        <v/>
      </c>
      <c r="AC1062">
        <f>IF($AB1062=1,SUM($AB$3:$AB1062),"")</f>
        <v/>
      </c>
    </row>
    <row r="1063">
      <c r="A1063" s="20" t="n"/>
      <c r="B1063" s="20" t="n"/>
      <c r="C1063" s="20" t="n"/>
      <c r="D1063" s="20" t="n"/>
      <c r="E1063" s="20" t="n"/>
      <c r="F1063" s="20" t="n"/>
      <c r="G1063" s="20" t="n"/>
      <c r="H1063" s="20" t="n"/>
      <c r="I1063" s="20" t="n"/>
      <c r="J1063" s="20">
        <f>IFERROR(INDEX(CONFIGURACOES!$G$37:$G$300,MATCH($I1063,CONFIGURACOES!$B$37:$B$300,0)),"")</f>
        <v/>
      </c>
      <c r="K1063" s="20">
        <f>IFERROR(INDEX(CONFIGURACOES!$H$37:$H$300,MATCH($I1063,CONFIGURACOES!$B$37:$B$300,0)),"")</f>
        <v/>
      </c>
      <c r="L1063" s="20" t="n"/>
      <c r="M1063" s="20">
        <f>IFERROR(INDEX(CONFIGURACOES!$I$37:$I$300,MATCH($I1063,CONFIGURACOES!$B$37:$B$300,0)),"")</f>
        <v/>
      </c>
      <c r="N1063" s="21" t="n"/>
      <c r="O1063" s="21" t="n"/>
      <c r="P1063" s="21" t="n"/>
      <c r="Q1063" s="21" t="n"/>
      <c r="R1063" s="21">
        <f>IF($N1063="","",$N1063*IF($Q1063="",1,$Q1063)*IF($P1063="",1,$P1063)*IF($O1063="",1,$O1063))</f>
        <v/>
      </c>
      <c r="S1063" s="22">
        <f>IFERROR(INDEX(CONFIGURACOES!$J$37:$J$300,MATCH($I1063,CONFIGURACOES!$B$37:$B$300,0)),"")</f>
        <v/>
      </c>
      <c r="T1063" s="22">
        <f>IF(OR($R1063="",$S1063=""),"",$R1063*$S1063)</f>
        <v/>
      </c>
      <c r="U1063" s="20" t="n"/>
      <c r="V1063" s="20" t="n"/>
      <c r="W1063" s="20" t="n"/>
      <c r="X1063">
        <f>IF($A1063="","",$A1063&amp;"|"&amp;$C1063&amp;"|"&amp;$I1063)</f>
        <v/>
      </c>
      <c r="Y1063">
        <f>IF(AND($A1063=RELATORIO_MEDICAO!$C$5,$C1063=RELATORIO_MEDICAO!$F$5,$A1063&lt;&gt;""),COUNTIFS($A$3:$A1063,RELATORIO_MEDICAO!$C$5,$C$3:$C1063,RELATORIO_MEDICAO!$F$5),"")</f>
        <v/>
      </c>
      <c r="Z1063">
        <f>IF(OR($A1063="",PESQUISA!$C$4=""),0,IF(OR(ISNUMBER(SEARCH(PESQUISA!$C$4,$G1063)),ISNUMBER(SEARCH(PESQUISA!$C$4,$K1063)),ISNUMBER(SEARCH(PESQUISA!$C$4,$L1063))),1,0))</f>
        <v/>
      </c>
      <c r="AA1063">
        <f>IF($Z1063=1,SUM($Z$3:$Z1063),"")</f>
        <v/>
      </c>
      <c r="AB1063">
        <f>IF(OR($A1063="",PESQUISA!$C$50=""),0,IF(ISNUMBER(SEARCH(PESQUISA!$C$50,$I1063)),1,0))</f>
        <v/>
      </c>
      <c r="AC1063">
        <f>IF($AB1063=1,SUM($AB$3:$AB1063),"")</f>
        <v/>
      </c>
    </row>
    <row r="1064">
      <c r="A1064" s="20" t="n"/>
      <c r="B1064" s="20" t="n"/>
      <c r="C1064" s="20" t="n"/>
      <c r="D1064" s="20" t="n"/>
      <c r="E1064" s="20" t="n"/>
      <c r="F1064" s="20" t="n"/>
      <c r="G1064" s="20" t="n"/>
      <c r="H1064" s="20" t="n"/>
      <c r="I1064" s="20" t="n"/>
      <c r="J1064" s="20">
        <f>IFERROR(INDEX(CONFIGURACOES!$G$37:$G$300,MATCH($I1064,CONFIGURACOES!$B$37:$B$300,0)),"")</f>
        <v/>
      </c>
      <c r="K1064" s="20">
        <f>IFERROR(INDEX(CONFIGURACOES!$H$37:$H$300,MATCH($I1064,CONFIGURACOES!$B$37:$B$300,0)),"")</f>
        <v/>
      </c>
      <c r="L1064" s="20" t="n"/>
      <c r="M1064" s="20">
        <f>IFERROR(INDEX(CONFIGURACOES!$I$37:$I$300,MATCH($I1064,CONFIGURACOES!$B$37:$B$300,0)),"")</f>
        <v/>
      </c>
      <c r="N1064" s="21" t="n"/>
      <c r="O1064" s="21" t="n"/>
      <c r="P1064" s="21" t="n"/>
      <c r="Q1064" s="21" t="n"/>
      <c r="R1064" s="21">
        <f>IF($N1064="","",$N1064*IF($Q1064="",1,$Q1064)*IF($P1064="",1,$P1064)*IF($O1064="",1,$O1064))</f>
        <v/>
      </c>
      <c r="S1064" s="22">
        <f>IFERROR(INDEX(CONFIGURACOES!$J$37:$J$300,MATCH($I1064,CONFIGURACOES!$B$37:$B$300,0)),"")</f>
        <v/>
      </c>
      <c r="T1064" s="22">
        <f>IF(OR($R1064="",$S1064=""),"",$R1064*$S1064)</f>
        <v/>
      </c>
      <c r="U1064" s="20" t="n"/>
      <c r="V1064" s="20" t="n"/>
      <c r="W1064" s="20" t="n"/>
      <c r="X1064">
        <f>IF($A1064="","",$A1064&amp;"|"&amp;$C1064&amp;"|"&amp;$I1064)</f>
        <v/>
      </c>
      <c r="Y1064">
        <f>IF(AND($A1064=RELATORIO_MEDICAO!$C$5,$C1064=RELATORIO_MEDICAO!$F$5,$A1064&lt;&gt;""),COUNTIFS($A$3:$A1064,RELATORIO_MEDICAO!$C$5,$C$3:$C1064,RELATORIO_MEDICAO!$F$5),"")</f>
        <v/>
      </c>
      <c r="Z1064">
        <f>IF(OR($A1064="",PESQUISA!$C$4=""),0,IF(OR(ISNUMBER(SEARCH(PESQUISA!$C$4,$G1064)),ISNUMBER(SEARCH(PESQUISA!$C$4,$K1064)),ISNUMBER(SEARCH(PESQUISA!$C$4,$L1064))),1,0))</f>
        <v/>
      </c>
      <c r="AA1064">
        <f>IF($Z1064=1,SUM($Z$3:$Z1064),"")</f>
        <v/>
      </c>
      <c r="AB1064">
        <f>IF(OR($A1064="",PESQUISA!$C$50=""),0,IF(ISNUMBER(SEARCH(PESQUISA!$C$50,$I1064)),1,0))</f>
        <v/>
      </c>
      <c r="AC1064">
        <f>IF($AB1064=1,SUM($AB$3:$AB1064),"")</f>
        <v/>
      </c>
    </row>
    <row r="1065">
      <c r="A1065" s="20" t="n"/>
      <c r="B1065" s="20" t="n"/>
      <c r="C1065" s="20" t="n"/>
      <c r="D1065" s="20" t="n"/>
      <c r="E1065" s="20" t="n"/>
      <c r="F1065" s="20" t="n"/>
      <c r="G1065" s="20" t="n"/>
      <c r="H1065" s="20" t="n"/>
      <c r="I1065" s="20" t="n"/>
      <c r="J1065" s="20">
        <f>IFERROR(INDEX(CONFIGURACOES!$G$37:$G$300,MATCH($I1065,CONFIGURACOES!$B$37:$B$300,0)),"")</f>
        <v/>
      </c>
      <c r="K1065" s="20">
        <f>IFERROR(INDEX(CONFIGURACOES!$H$37:$H$300,MATCH($I1065,CONFIGURACOES!$B$37:$B$300,0)),"")</f>
        <v/>
      </c>
      <c r="L1065" s="20" t="n"/>
      <c r="M1065" s="20">
        <f>IFERROR(INDEX(CONFIGURACOES!$I$37:$I$300,MATCH($I1065,CONFIGURACOES!$B$37:$B$300,0)),"")</f>
        <v/>
      </c>
      <c r="N1065" s="21" t="n"/>
      <c r="O1065" s="21" t="n"/>
      <c r="P1065" s="21" t="n"/>
      <c r="Q1065" s="21" t="n"/>
      <c r="R1065" s="21">
        <f>IF($N1065="","",$N1065*IF($Q1065="",1,$Q1065)*IF($P1065="",1,$P1065)*IF($O1065="",1,$O1065))</f>
        <v/>
      </c>
      <c r="S1065" s="22">
        <f>IFERROR(INDEX(CONFIGURACOES!$J$37:$J$300,MATCH($I1065,CONFIGURACOES!$B$37:$B$300,0)),"")</f>
        <v/>
      </c>
      <c r="T1065" s="22">
        <f>IF(OR($R1065="",$S1065=""),"",$R1065*$S1065)</f>
        <v/>
      </c>
      <c r="U1065" s="20" t="n"/>
      <c r="V1065" s="20" t="n"/>
      <c r="W1065" s="20" t="n"/>
      <c r="X1065">
        <f>IF($A1065="","",$A1065&amp;"|"&amp;$C1065&amp;"|"&amp;$I1065)</f>
        <v/>
      </c>
      <c r="Y1065">
        <f>IF(AND($A1065=RELATORIO_MEDICAO!$C$5,$C1065=RELATORIO_MEDICAO!$F$5,$A1065&lt;&gt;""),COUNTIFS($A$3:$A1065,RELATORIO_MEDICAO!$C$5,$C$3:$C1065,RELATORIO_MEDICAO!$F$5),"")</f>
        <v/>
      </c>
      <c r="Z1065">
        <f>IF(OR($A1065="",PESQUISA!$C$4=""),0,IF(OR(ISNUMBER(SEARCH(PESQUISA!$C$4,$G1065)),ISNUMBER(SEARCH(PESQUISA!$C$4,$K1065)),ISNUMBER(SEARCH(PESQUISA!$C$4,$L1065))),1,0))</f>
        <v/>
      </c>
      <c r="AA1065">
        <f>IF($Z1065=1,SUM($Z$3:$Z1065),"")</f>
        <v/>
      </c>
      <c r="AB1065">
        <f>IF(OR($A1065="",PESQUISA!$C$50=""),0,IF(ISNUMBER(SEARCH(PESQUISA!$C$50,$I1065)),1,0))</f>
        <v/>
      </c>
      <c r="AC1065">
        <f>IF($AB1065=1,SUM($AB$3:$AB1065),"")</f>
        <v/>
      </c>
    </row>
    <row r="1066">
      <c r="A1066" s="20" t="n"/>
      <c r="B1066" s="20" t="n"/>
      <c r="C1066" s="20" t="n"/>
      <c r="D1066" s="20" t="n"/>
      <c r="E1066" s="20" t="n"/>
      <c r="F1066" s="20" t="n"/>
      <c r="G1066" s="20" t="n"/>
      <c r="H1066" s="20" t="n"/>
      <c r="I1066" s="20" t="n"/>
      <c r="J1066" s="20">
        <f>IFERROR(INDEX(CONFIGURACOES!$G$37:$G$300,MATCH($I1066,CONFIGURACOES!$B$37:$B$300,0)),"")</f>
        <v/>
      </c>
      <c r="K1066" s="20">
        <f>IFERROR(INDEX(CONFIGURACOES!$H$37:$H$300,MATCH($I1066,CONFIGURACOES!$B$37:$B$300,0)),"")</f>
        <v/>
      </c>
      <c r="L1066" s="20" t="n"/>
      <c r="M1066" s="20">
        <f>IFERROR(INDEX(CONFIGURACOES!$I$37:$I$300,MATCH($I1066,CONFIGURACOES!$B$37:$B$300,0)),"")</f>
        <v/>
      </c>
      <c r="N1066" s="21" t="n"/>
      <c r="O1066" s="21" t="n"/>
      <c r="P1066" s="21" t="n"/>
      <c r="Q1066" s="21" t="n"/>
      <c r="R1066" s="21">
        <f>IF($N1066="","",$N1066*IF($Q1066="",1,$Q1066)*IF($P1066="",1,$P1066)*IF($O1066="",1,$O1066))</f>
        <v/>
      </c>
      <c r="S1066" s="22">
        <f>IFERROR(INDEX(CONFIGURACOES!$J$37:$J$300,MATCH($I1066,CONFIGURACOES!$B$37:$B$300,0)),"")</f>
        <v/>
      </c>
      <c r="T1066" s="22">
        <f>IF(OR($R1066="",$S1066=""),"",$R1066*$S1066)</f>
        <v/>
      </c>
      <c r="U1066" s="20" t="n"/>
      <c r="V1066" s="20" t="n"/>
      <c r="W1066" s="20" t="n"/>
      <c r="X1066">
        <f>IF($A1066="","",$A1066&amp;"|"&amp;$C1066&amp;"|"&amp;$I1066)</f>
        <v/>
      </c>
      <c r="Y1066">
        <f>IF(AND($A1066=RELATORIO_MEDICAO!$C$5,$C1066=RELATORIO_MEDICAO!$F$5,$A1066&lt;&gt;""),COUNTIFS($A$3:$A1066,RELATORIO_MEDICAO!$C$5,$C$3:$C1066,RELATORIO_MEDICAO!$F$5),"")</f>
        <v/>
      </c>
      <c r="Z1066">
        <f>IF(OR($A1066="",PESQUISA!$C$4=""),0,IF(OR(ISNUMBER(SEARCH(PESQUISA!$C$4,$G1066)),ISNUMBER(SEARCH(PESQUISA!$C$4,$K1066)),ISNUMBER(SEARCH(PESQUISA!$C$4,$L1066))),1,0))</f>
        <v/>
      </c>
      <c r="AA1066">
        <f>IF($Z1066=1,SUM($Z$3:$Z1066),"")</f>
        <v/>
      </c>
      <c r="AB1066">
        <f>IF(OR($A1066="",PESQUISA!$C$50=""),0,IF(ISNUMBER(SEARCH(PESQUISA!$C$50,$I1066)),1,0))</f>
        <v/>
      </c>
      <c r="AC1066">
        <f>IF($AB1066=1,SUM($AB$3:$AB1066),"")</f>
        <v/>
      </c>
    </row>
    <row r="1067">
      <c r="A1067" s="20" t="n"/>
      <c r="B1067" s="20" t="n"/>
      <c r="C1067" s="20" t="n"/>
      <c r="D1067" s="20" t="n"/>
      <c r="E1067" s="20" t="n"/>
      <c r="F1067" s="20" t="n"/>
      <c r="G1067" s="20" t="n"/>
      <c r="H1067" s="20" t="n"/>
      <c r="I1067" s="20" t="n"/>
      <c r="J1067" s="20">
        <f>IFERROR(INDEX(CONFIGURACOES!$G$37:$G$300,MATCH($I1067,CONFIGURACOES!$B$37:$B$300,0)),"")</f>
        <v/>
      </c>
      <c r="K1067" s="20">
        <f>IFERROR(INDEX(CONFIGURACOES!$H$37:$H$300,MATCH($I1067,CONFIGURACOES!$B$37:$B$300,0)),"")</f>
        <v/>
      </c>
      <c r="L1067" s="20" t="n"/>
      <c r="M1067" s="20">
        <f>IFERROR(INDEX(CONFIGURACOES!$I$37:$I$300,MATCH($I1067,CONFIGURACOES!$B$37:$B$300,0)),"")</f>
        <v/>
      </c>
      <c r="N1067" s="21" t="n"/>
      <c r="O1067" s="21" t="n"/>
      <c r="P1067" s="21" t="n"/>
      <c r="Q1067" s="21" t="n"/>
      <c r="R1067" s="21">
        <f>IF($N1067="","",$N1067*IF($Q1067="",1,$Q1067)*IF($P1067="",1,$P1067)*IF($O1067="",1,$O1067))</f>
        <v/>
      </c>
      <c r="S1067" s="22">
        <f>IFERROR(INDEX(CONFIGURACOES!$J$37:$J$300,MATCH($I1067,CONFIGURACOES!$B$37:$B$300,0)),"")</f>
        <v/>
      </c>
      <c r="T1067" s="22">
        <f>IF(OR($R1067="",$S1067=""),"",$R1067*$S1067)</f>
        <v/>
      </c>
      <c r="U1067" s="20" t="n"/>
      <c r="V1067" s="20" t="n"/>
      <c r="W1067" s="20" t="n"/>
      <c r="X1067">
        <f>IF($A1067="","",$A1067&amp;"|"&amp;$C1067&amp;"|"&amp;$I1067)</f>
        <v/>
      </c>
      <c r="Y1067">
        <f>IF(AND($A1067=RELATORIO_MEDICAO!$C$5,$C1067=RELATORIO_MEDICAO!$F$5,$A1067&lt;&gt;""),COUNTIFS($A$3:$A1067,RELATORIO_MEDICAO!$C$5,$C$3:$C1067,RELATORIO_MEDICAO!$F$5),"")</f>
        <v/>
      </c>
      <c r="Z1067">
        <f>IF(OR($A1067="",PESQUISA!$C$4=""),0,IF(OR(ISNUMBER(SEARCH(PESQUISA!$C$4,$G1067)),ISNUMBER(SEARCH(PESQUISA!$C$4,$K1067)),ISNUMBER(SEARCH(PESQUISA!$C$4,$L1067))),1,0))</f>
        <v/>
      </c>
      <c r="AA1067">
        <f>IF($Z1067=1,SUM($Z$3:$Z1067),"")</f>
        <v/>
      </c>
      <c r="AB1067">
        <f>IF(OR($A1067="",PESQUISA!$C$50=""),0,IF(ISNUMBER(SEARCH(PESQUISA!$C$50,$I1067)),1,0))</f>
        <v/>
      </c>
      <c r="AC1067">
        <f>IF($AB1067=1,SUM($AB$3:$AB1067),"")</f>
        <v/>
      </c>
    </row>
    <row r="1068">
      <c r="A1068" s="20" t="n"/>
      <c r="B1068" s="20" t="n"/>
      <c r="C1068" s="20" t="n"/>
      <c r="D1068" s="20" t="n"/>
      <c r="E1068" s="20" t="n"/>
      <c r="F1068" s="20" t="n"/>
      <c r="G1068" s="20" t="n"/>
      <c r="H1068" s="20" t="n"/>
      <c r="I1068" s="20" t="n"/>
      <c r="J1068" s="20">
        <f>IFERROR(INDEX(CONFIGURACOES!$G$37:$G$300,MATCH($I1068,CONFIGURACOES!$B$37:$B$300,0)),"")</f>
        <v/>
      </c>
      <c r="K1068" s="20">
        <f>IFERROR(INDEX(CONFIGURACOES!$H$37:$H$300,MATCH($I1068,CONFIGURACOES!$B$37:$B$300,0)),"")</f>
        <v/>
      </c>
      <c r="L1068" s="20" t="n"/>
      <c r="M1068" s="20">
        <f>IFERROR(INDEX(CONFIGURACOES!$I$37:$I$300,MATCH($I1068,CONFIGURACOES!$B$37:$B$300,0)),"")</f>
        <v/>
      </c>
      <c r="N1068" s="21" t="n"/>
      <c r="O1068" s="21" t="n"/>
      <c r="P1068" s="21" t="n"/>
      <c r="Q1068" s="21" t="n"/>
      <c r="R1068" s="21">
        <f>IF($N1068="","",$N1068*IF($Q1068="",1,$Q1068)*IF($P1068="",1,$P1068)*IF($O1068="",1,$O1068))</f>
        <v/>
      </c>
      <c r="S1068" s="22">
        <f>IFERROR(INDEX(CONFIGURACOES!$J$37:$J$300,MATCH($I1068,CONFIGURACOES!$B$37:$B$300,0)),"")</f>
        <v/>
      </c>
      <c r="T1068" s="22">
        <f>IF(OR($R1068="",$S1068=""),"",$R1068*$S1068)</f>
        <v/>
      </c>
      <c r="U1068" s="20" t="n"/>
      <c r="V1068" s="20" t="n"/>
      <c r="W1068" s="20" t="n"/>
      <c r="X1068">
        <f>IF($A1068="","",$A1068&amp;"|"&amp;$C1068&amp;"|"&amp;$I1068)</f>
        <v/>
      </c>
      <c r="Y1068">
        <f>IF(AND($A1068=RELATORIO_MEDICAO!$C$5,$C1068=RELATORIO_MEDICAO!$F$5,$A1068&lt;&gt;""),COUNTIFS($A$3:$A1068,RELATORIO_MEDICAO!$C$5,$C$3:$C1068,RELATORIO_MEDICAO!$F$5),"")</f>
        <v/>
      </c>
      <c r="Z1068">
        <f>IF(OR($A1068="",PESQUISA!$C$4=""),0,IF(OR(ISNUMBER(SEARCH(PESQUISA!$C$4,$G1068)),ISNUMBER(SEARCH(PESQUISA!$C$4,$K1068)),ISNUMBER(SEARCH(PESQUISA!$C$4,$L1068))),1,0))</f>
        <v/>
      </c>
      <c r="AA1068">
        <f>IF($Z1068=1,SUM($Z$3:$Z1068),"")</f>
        <v/>
      </c>
      <c r="AB1068">
        <f>IF(OR($A1068="",PESQUISA!$C$50=""),0,IF(ISNUMBER(SEARCH(PESQUISA!$C$50,$I1068)),1,0))</f>
        <v/>
      </c>
      <c r="AC1068">
        <f>IF($AB1068=1,SUM($AB$3:$AB1068),"")</f>
        <v/>
      </c>
    </row>
    <row r="1069">
      <c r="A1069" s="20" t="n"/>
      <c r="B1069" s="20" t="n"/>
      <c r="C1069" s="20" t="n"/>
      <c r="D1069" s="20" t="n"/>
      <c r="E1069" s="20" t="n"/>
      <c r="F1069" s="20" t="n"/>
      <c r="G1069" s="20" t="n"/>
      <c r="H1069" s="20" t="n"/>
      <c r="I1069" s="20" t="n"/>
      <c r="J1069" s="20">
        <f>IFERROR(INDEX(CONFIGURACOES!$G$37:$G$300,MATCH($I1069,CONFIGURACOES!$B$37:$B$300,0)),"")</f>
        <v/>
      </c>
      <c r="K1069" s="20">
        <f>IFERROR(INDEX(CONFIGURACOES!$H$37:$H$300,MATCH($I1069,CONFIGURACOES!$B$37:$B$300,0)),"")</f>
        <v/>
      </c>
      <c r="L1069" s="20" t="n"/>
      <c r="M1069" s="20">
        <f>IFERROR(INDEX(CONFIGURACOES!$I$37:$I$300,MATCH($I1069,CONFIGURACOES!$B$37:$B$300,0)),"")</f>
        <v/>
      </c>
      <c r="N1069" s="21" t="n"/>
      <c r="O1069" s="21" t="n"/>
      <c r="P1069" s="21" t="n"/>
      <c r="Q1069" s="21" t="n"/>
      <c r="R1069" s="21">
        <f>IF($N1069="","",$N1069*IF($Q1069="",1,$Q1069)*IF($P1069="",1,$P1069)*IF($O1069="",1,$O1069))</f>
        <v/>
      </c>
      <c r="S1069" s="22">
        <f>IFERROR(INDEX(CONFIGURACOES!$J$37:$J$300,MATCH($I1069,CONFIGURACOES!$B$37:$B$300,0)),"")</f>
        <v/>
      </c>
      <c r="T1069" s="22">
        <f>IF(OR($R1069="",$S1069=""),"",$R1069*$S1069)</f>
        <v/>
      </c>
      <c r="U1069" s="20" t="n"/>
      <c r="V1069" s="20" t="n"/>
      <c r="W1069" s="20" t="n"/>
      <c r="X1069">
        <f>IF($A1069="","",$A1069&amp;"|"&amp;$C1069&amp;"|"&amp;$I1069)</f>
        <v/>
      </c>
      <c r="Y1069">
        <f>IF(AND($A1069=RELATORIO_MEDICAO!$C$5,$C1069=RELATORIO_MEDICAO!$F$5,$A1069&lt;&gt;""),COUNTIFS($A$3:$A1069,RELATORIO_MEDICAO!$C$5,$C$3:$C1069,RELATORIO_MEDICAO!$F$5),"")</f>
        <v/>
      </c>
      <c r="Z1069">
        <f>IF(OR($A1069="",PESQUISA!$C$4=""),0,IF(OR(ISNUMBER(SEARCH(PESQUISA!$C$4,$G1069)),ISNUMBER(SEARCH(PESQUISA!$C$4,$K1069)),ISNUMBER(SEARCH(PESQUISA!$C$4,$L1069))),1,0))</f>
        <v/>
      </c>
      <c r="AA1069">
        <f>IF($Z1069=1,SUM($Z$3:$Z1069),"")</f>
        <v/>
      </c>
      <c r="AB1069">
        <f>IF(OR($A1069="",PESQUISA!$C$50=""),0,IF(ISNUMBER(SEARCH(PESQUISA!$C$50,$I1069)),1,0))</f>
        <v/>
      </c>
      <c r="AC1069">
        <f>IF($AB1069=1,SUM($AB$3:$AB1069),"")</f>
        <v/>
      </c>
    </row>
    <row r="1070">
      <c r="A1070" s="20" t="n"/>
      <c r="B1070" s="20" t="n"/>
      <c r="C1070" s="20" t="n"/>
      <c r="D1070" s="20" t="n"/>
      <c r="E1070" s="20" t="n"/>
      <c r="F1070" s="20" t="n"/>
      <c r="G1070" s="20" t="n"/>
      <c r="H1070" s="20" t="n"/>
      <c r="I1070" s="20" t="n"/>
      <c r="J1070" s="20">
        <f>IFERROR(INDEX(CONFIGURACOES!$G$37:$G$300,MATCH($I1070,CONFIGURACOES!$B$37:$B$300,0)),"")</f>
        <v/>
      </c>
      <c r="K1070" s="20">
        <f>IFERROR(INDEX(CONFIGURACOES!$H$37:$H$300,MATCH($I1070,CONFIGURACOES!$B$37:$B$300,0)),"")</f>
        <v/>
      </c>
      <c r="L1070" s="20" t="n"/>
      <c r="M1070" s="20">
        <f>IFERROR(INDEX(CONFIGURACOES!$I$37:$I$300,MATCH($I1070,CONFIGURACOES!$B$37:$B$300,0)),"")</f>
        <v/>
      </c>
      <c r="N1070" s="21" t="n"/>
      <c r="O1070" s="21" t="n"/>
      <c r="P1070" s="21" t="n"/>
      <c r="Q1070" s="21" t="n"/>
      <c r="R1070" s="21">
        <f>IF($N1070="","",$N1070*IF($Q1070="",1,$Q1070)*IF($P1070="",1,$P1070)*IF($O1070="",1,$O1070))</f>
        <v/>
      </c>
      <c r="S1070" s="22">
        <f>IFERROR(INDEX(CONFIGURACOES!$J$37:$J$300,MATCH($I1070,CONFIGURACOES!$B$37:$B$300,0)),"")</f>
        <v/>
      </c>
      <c r="T1070" s="22">
        <f>IF(OR($R1070="",$S1070=""),"",$R1070*$S1070)</f>
        <v/>
      </c>
      <c r="U1070" s="20" t="n"/>
      <c r="V1070" s="20" t="n"/>
      <c r="W1070" s="20" t="n"/>
      <c r="X1070">
        <f>IF($A1070="","",$A1070&amp;"|"&amp;$C1070&amp;"|"&amp;$I1070)</f>
        <v/>
      </c>
      <c r="Y1070">
        <f>IF(AND($A1070=RELATORIO_MEDICAO!$C$5,$C1070=RELATORIO_MEDICAO!$F$5,$A1070&lt;&gt;""),COUNTIFS($A$3:$A1070,RELATORIO_MEDICAO!$C$5,$C$3:$C1070,RELATORIO_MEDICAO!$F$5),"")</f>
        <v/>
      </c>
      <c r="Z1070">
        <f>IF(OR($A1070="",PESQUISA!$C$4=""),0,IF(OR(ISNUMBER(SEARCH(PESQUISA!$C$4,$G1070)),ISNUMBER(SEARCH(PESQUISA!$C$4,$K1070)),ISNUMBER(SEARCH(PESQUISA!$C$4,$L1070))),1,0))</f>
        <v/>
      </c>
      <c r="AA1070">
        <f>IF($Z1070=1,SUM($Z$3:$Z1070),"")</f>
        <v/>
      </c>
      <c r="AB1070">
        <f>IF(OR($A1070="",PESQUISA!$C$50=""),0,IF(ISNUMBER(SEARCH(PESQUISA!$C$50,$I1070)),1,0))</f>
        <v/>
      </c>
      <c r="AC1070">
        <f>IF($AB1070=1,SUM($AB$3:$AB1070),"")</f>
        <v/>
      </c>
    </row>
    <row r="1071">
      <c r="A1071" s="20" t="n"/>
      <c r="B1071" s="20" t="n"/>
      <c r="C1071" s="20" t="n"/>
      <c r="D1071" s="20" t="n"/>
      <c r="E1071" s="20" t="n"/>
      <c r="F1071" s="20" t="n"/>
      <c r="G1071" s="20" t="n"/>
      <c r="H1071" s="20" t="n"/>
      <c r="I1071" s="20" t="n"/>
      <c r="J1071" s="20">
        <f>IFERROR(INDEX(CONFIGURACOES!$G$37:$G$300,MATCH($I1071,CONFIGURACOES!$B$37:$B$300,0)),"")</f>
        <v/>
      </c>
      <c r="K1071" s="20">
        <f>IFERROR(INDEX(CONFIGURACOES!$H$37:$H$300,MATCH($I1071,CONFIGURACOES!$B$37:$B$300,0)),"")</f>
        <v/>
      </c>
      <c r="L1071" s="20" t="n"/>
      <c r="M1071" s="20">
        <f>IFERROR(INDEX(CONFIGURACOES!$I$37:$I$300,MATCH($I1071,CONFIGURACOES!$B$37:$B$300,0)),"")</f>
        <v/>
      </c>
      <c r="N1071" s="21" t="n"/>
      <c r="O1071" s="21" t="n"/>
      <c r="P1071" s="21" t="n"/>
      <c r="Q1071" s="21" t="n"/>
      <c r="R1071" s="21">
        <f>IF($N1071="","",$N1071*IF($Q1071="",1,$Q1071)*IF($P1071="",1,$P1071)*IF($O1071="",1,$O1071))</f>
        <v/>
      </c>
      <c r="S1071" s="22">
        <f>IFERROR(INDEX(CONFIGURACOES!$J$37:$J$300,MATCH($I1071,CONFIGURACOES!$B$37:$B$300,0)),"")</f>
        <v/>
      </c>
      <c r="T1071" s="22">
        <f>IF(OR($R1071="",$S1071=""),"",$R1071*$S1071)</f>
        <v/>
      </c>
      <c r="U1071" s="20" t="n"/>
      <c r="V1071" s="20" t="n"/>
      <c r="W1071" s="20" t="n"/>
      <c r="X1071">
        <f>IF($A1071="","",$A1071&amp;"|"&amp;$C1071&amp;"|"&amp;$I1071)</f>
        <v/>
      </c>
      <c r="Y1071">
        <f>IF(AND($A1071=RELATORIO_MEDICAO!$C$5,$C1071=RELATORIO_MEDICAO!$F$5,$A1071&lt;&gt;""),COUNTIFS($A$3:$A1071,RELATORIO_MEDICAO!$C$5,$C$3:$C1071,RELATORIO_MEDICAO!$F$5),"")</f>
        <v/>
      </c>
      <c r="Z1071">
        <f>IF(OR($A1071="",PESQUISA!$C$4=""),0,IF(OR(ISNUMBER(SEARCH(PESQUISA!$C$4,$G1071)),ISNUMBER(SEARCH(PESQUISA!$C$4,$K1071)),ISNUMBER(SEARCH(PESQUISA!$C$4,$L1071))),1,0))</f>
        <v/>
      </c>
      <c r="AA1071">
        <f>IF($Z1071=1,SUM($Z$3:$Z1071),"")</f>
        <v/>
      </c>
      <c r="AB1071">
        <f>IF(OR($A1071="",PESQUISA!$C$50=""),0,IF(ISNUMBER(SEARCH(PESQUISA!$C$50,$I1071)),1,0))</f>
        <v/>
      </c>
      <c r="AC1071">
        <f>IF($AB1071=1,SUM($AB$3:$AB1071),"")</f>
        <v/>
      </c>
    </row>
    <row r="1072">
      <c r="A1072" s="20" t="n"/>
      <c r="B1072" s="20" t="n"/>
      <c r="C1072" s="20" t="n"/>
      <c r="D1072" s="20" t="n"/>
      <c r="E1072" s="20" t="n"/>
      <c r="F1072" s="20" t="n"/>
      <c r="G1072" s="20" t="n"/>
      <c r="H1072" s="20" t="n"/>
      <c r="I1072" s="20" t="n"/>
      <c r="J1072" s="20">
        <f>IFERROR(INDEX(CONFIGURACOES!$G$37:$G$300,MATCH($I1072,CONFIGURACOES!$B$37:$B$300,0)),"")</f>
        <v/>
      </c>
      <c r="K1072" s="20">
        <f>IFERROR(INDEX(CONFIGURACOES!$H$37:$H$300,MATCH($I1072,CONFIGURACOES!$B$37:$B$300,0)),"")</f>
        <v/>
      </c>
      <c r="L1072" s="20" t="n"/>
      <c r="M1072" s="20">
        <f>IFERROR(INDEX(CONFIGURACOES!$I$37:$I$300,MATCH($I1072,CONFIGURACOES!$B$37:$B$300,0)),"")</f>
        <v/>
      </c>
      <c r="N1072" s="21" t="n"/>
      <c r="O1072" s="21" t="n"/>
      <c r="P1072" s="21" t="n"/>
      <c r="Q1072" s="21" t="n"/>
      <c r="R1072" s="21">
        <f>IF($N1072="","",$N1072*IF($Q1072="",1,$Q1072)*IF($P1072="",1,$P1072)*IF($O1072="",1,$O1072))</f>
        <v/>
      </c>
      <c r="S1072" s="22">
        <f>IFERROR(INDEX(CONFIGURACOES!$J$37:$J$300,MATCH($I1072,CONFIGURACOES!$B$37:$B$300,0)),"")</f>
        <v/>
      </c>
      <c r="T1072" s="22">
        <f>IF(OR($R1072="",$S1072=""),"",$R1072*$S1072)</f>
        <v/>
      </c>
      <c r="U1072" s="20" t="n"/>
      <c r="V1072" s="20" t="n"/>
      <c r="W1072" s="20" t="n"/>
      <c r="X1072">
        <f>IF($A1072="","",$A1072&amp;"|"&amp;$C1072&amp;"|"&amp;$I1072)</f>
        <v/>
      </c>
      <c r="Y1072">
        <f>IF(AND($A1072=RELATORIO_MEDICAO!$C$5,$C1072=RELATORIO_MEDICAO!$F$5,$A1072&lt;&gt;""),COUNTIFS($A$3:$A1072,RELATORIO_MEDICAO!$C$5,$C$3:$C1072,RELATORIO_MEDICAO!$F$5),"")</f>
        <v/>
      </c>
      <c r="Z1072">
        <f>IF(OR($A1072="",PESQUISA!$C$4=""),0,IF(OR(ISNUMBER(SEARCH(PESQUISA!$C$4,$G1072)),ISNUMBER(SEARCH(PESQUISA!$C$4,$K1072)),ISNUMBER(SEARCH(PESQUISA!$C$4,$L1072))),1,0))</f>
        <v/>
      </c>
      <c r="AA1072">
        <f>IF($Z1072=1,SUM($Z$3:$Z1072),"")</f>
        <v/>
      </c>
      <c r="AB1072">
        <f>IF(OR($A1072="",PESQUISA!$C$50=""),0,IF(ISNUMBER(SEARCH(PESQUISA!$C$50,$I1072)),1,0))</f>
        <v/>
      </c>
      <c r="AC1072">
        <f>IF($AB1072=1,SUM($AB$3:$AB1072),"")</f>
        <v/>
      </c>
    </row>
    <row r="1073">
      <c r="A1073" s="20" t="n"/>
      <c r="B1073" s="20" t="n"/>
      <c r="C1073" s="20" t="n"/>
      <c r="D1073" s="20" t="n"/>
      <c r="E1073" s="20" t="n"/>
      <c r="F1073" s="20" t="n"/>
      <c r="G1073" s="20" t="n"/>
      <c r="H1073" s="20" t="n"/>
      <c r="I1073" s="20" t="n"/>
      <c r="J1073" s="20">
        <f>IFERROR(INDEX(CONFIGURACOES!$G$37:$G$300,MATCH($I1073,CONFIGURACOES!$B$37:$B$300,0)),"")</f>
        <v/>
      </c>
      <c r="K1073" s="20">
        <f>IFERROR(INDEX(CONFIGURACOES!$H$37:$H$300,MATCH($I1073,CONFIGURACOES!$B$37:$B$300,0)),"")</f>
        <v/>
      </c>
      <c r="L1073" s="20" t="n"/>
      <c r="M1073" s="20">
        <f>IFERROR(INDEX(CONFIGURACOES!$I$37:$I$300,MATCH($I1073,CONFIGURACOES!$B$37:$B$300,0)),"")</f>
        <v/>
      </c>
      <c r="N1073" s="21" t="n"/>
      <c r="O1073" s="21" t="n"/>
      <c r="P1073" s="21" t="n"/>
      <c r="Q1073" s="21" t="n"/>
      <c r="R1073" s="21">
        <f>IF($N1073="","",$N1073*IF($Q1073="",1,$Q1073)*IF($P1073="",1,$P1073)*IF($O1073="",1,$O1073))</f>
        <v/>
      </c>
      <c r="S1073" s="22">
        <f>IFERROR(INDEX(CONFIGURACOES!$J$37:$J$300,MATCH($I1073,CONFIGURACOES!$B$37:$B$300,0)),"")</f>
        <v/>
      </c>
      <c r="T1073" s="22">
        <f>IF(OR($R1073="",$S1073=""),"",$R1073*$S1073)</f>
        <v/>
      </c>
      <c r="U1073" s="20" t="n"/>
      <c r="V1073" s="20" t="n"/>
      <c r="W1073" s="20" t="n"/>
      <c r="X1073">
        <f>IF($A1073="","",$A1073&amp;"|"&amp;$C1073&amp;"|"&amp;$I1073)</f>
        <v/>
      </c>
      <c r="Y1073">
        <f>IF(AND($A1073=RELATORIO_MEDICAO!$C$5,$C1073=RELATORIO_MEDICAO!$F$5,$A1073&lt;&gt;""),COUNTIFS($A$3:$A1073,RELATORIO_MEDICAO!$C$5,$C$3:$C1073,RELATORIO_MEDICAO!$F$5),"")</f>
        <v/>
      </c>
      <c r="Z1073">
        <f>IF(OR($A1073="",PESQUISA!$C$4=""),0,IF(OR(ISNUMBER(SEARCH(PESQUISA!$C$4,$G1073)),ISNUMBER(SEARCH(PESQUISA!$C$4,$K1073)),ISNUMBER(SEARCH(PESQUISA!$C$4,$L1073))),1,0))</f>
        <v/>
      </c>
      <c r="AA1073">
        <f>IF($Z1073=1,SUM($Z$3:$Z1073),"")</f>
        <v/>
      </c>
      <c r="AB1073">
        <f>IF(OR($A1073="",PESQUISA!$C$50=""),0,IF(ISNUMBER(SEARCH(PESQUISA!$C$50,$I1073)),1,0))</f>
        <v/>
      </c>
      <c r="AC1073">
        <f>IF($AB1073=1,SUM($AB$3:$AB1073),"")</f>
        <v/>
      </c>
    </row>
    <row r="1074">
      <c r="A1074" s="20" t="n"/>
      <c r="B1074" s="20" t="n"/>
      <c r="C1074" s="20" t="n"/>
      <c r="D1074" s="20" t="n"/>
      <c r="E1074" s="20" t="n"/>
      <c r="F1074" s="20" t="n"/>
      <c r="G1074" s="20" t="n"/>
      <c r="H1074" s="20" t="n"/>
      <c r="I1074" s="20" t="n"/>
      <c r="J1074" s="20">
        <f>IFERROR(INDEX(CONFIGURACOES!$G$37:$G$300,MATCH($I1074,CONFIGURACOES!$B$37:$B$300,0)),"")</f>
        <v/>
      </c>
      <c r="K1074" s="20">
        <f>IFERROR(INDEX(CONFIGURACOES!$H$37:$H$300,MATCH($I1074,CONFIGURACOES!$B$37:$B$300,0)),"")</f>
        <v/>
      </c>
      <c r="L1074" s="20" t="n"/>
      <c r="M1074" s="20">
        <f>IFERROR(INDEX(CONFIGURACOES!$I$37:$I$300,MATCH($I1074,CONFIGURACOES!$B$37:$B$300,0)),"")</f>
        <v/>
      </c>
      <c r="N1074" s="21" t="n"/>
      <c r="O1074" s="21" t="n"/>
      <c r="P1074" s="21" t="n"/>
      <c r="Q1074" s="21" t="n"/>
      <c r="R1074" s="21">
        <f>IF($N1074="","",$N1074*IF($Q1074="",1,$Q1074)*IF($P1074="",1,$P1074)*IF($O1074="",1,$O1074))</f>
        <v/>
      </c>
      <c r="S1074" s="22">
        <f>IFERROR(INDEX(CONFIGURACOES!$J$37:$J$300,MATCH($I1074,CONFIGURACOES!$B$37:$B$300,0)),"")</f>
        <v/>
      </c>
      <c r="T1074" s="22">
        <f>IF(OR($R1074="",$S1074=""),"",$R1074*$S1074)</f>
        <v/>
      </c>
      <c r="U1074" s="20" t="n"/>
      <c r="V1074" s="20" t="n"/>
      <c r="W1074" s="20" t="n"/>
      <c r="X1074">
        <f>IF($A1074="","",$A1074&amp;"|"&amp;$C1074&amp;"|"&amp;$I1074)</f>
        <v/>
      </c>
      <c r="Y1074">
        <f>IF(AND($A1074=RELATORIO_MEDICAO!$C$5,$C1074=RELATORIO_MEDICAO!$F$5,$A1074&lt;&gt;""),COUNTIFS($A$3:$A1074,RELATORIO_MEDICAO!$C$5,$C$3:$C1074,RELATORIO_MEDICAO!$F$5),"")</f>
        <v/>
      </c>
      <c r="Z1074">
        <f>IF(OR($A1074="",PESQUISA!$C$4=""),0,IF(OR(ISNUMBER(SEARCH(PESQUISA!$C$4,$G1074)),ISNUMBER(SEARCH(PESQUISA!$C$4,$K1074)),ISNUMBER(SEARCH(PESQUISA!$C$4,$L1074))),1,0))</f>
        <v/>
      </c>
      <c r="AA1074">
        <f>IF($Z1074=1,SUM($Z$3:$Z1074),"")</f>
        <v/>
      </c>
      <c r="AB1074">
        <f>IF(OR($A1074="",PESQUISA!$C$50=""),0,IF(ISNUMBER(SEARCH(PESQUISA!$C$50,$I1074)),1,0))</f>
        <v/>
      </c>
      <c r="AC1074">
        <f>IF($AB1074=1,SUM($AB$3:$AB1074),"")</f>
        <v/>
      </c>
    </row>
    <row r="1075">
      <c r="A1075" s="20" t="n"/>
      <c r="B1075" s="20" t="n"/>
      <c r="C1075" s="20" t="n"/>
      <c r="D1075" s="20" t="n"/>
      <c r="E1075" s="20" t="n"/>
      <c r="F1075" s="20" t="n"/>
      <c r="G1075" s="20" t="n"/>
      <c r="H1075" s="20" t="n"/>
      <c r="I1075" s="20" t="n"/>
      <c r="J1075" s="20">
        <f>IFERROR(INDEX(CONFIGURACOES!$G$37:$G$300,MATCH($I1075,CONFIGURACOES!$B$37:$B$300,0)),"")</f>
        <v/>
      </c>
      <c r="K1075" s="20">
        <f>IFERROR(INDEX(CONFIGURACOES!$H$37:$H$300,MATCH($I1075,CONFIGURACOES!$B$37:$B$300,0)),"")</f>
        <v/>
      </c>
      <c r="L1075" s="20" t="n"/>
      <c r="M1075" s="20">
        <f>IFERROR(INDEX(CONFIGURACOES!$I$37:$I$300,MATCH($I1075,CONFIGURACOES!$B$37:$B$300,0)),"")</f>
        <v/>
      </c>
      <c r="N1075" s="21" t="n"/>
      <c r="O1075" s="21" t="n"/>
      <c r="P1075" s="21" t="n"/>
      <c r="Q1075" s="21" t="n"/>
      <c r="R1075" s="21">
        <f>IF($N1075="","",$N1075*IF($Q1075="",1,$Q1075)*IF($P1075="",1,$P1075)*IF($O1075="",1,$O1075))</f>
        <v/>
      </c>
      <c r="S1075" s="22">
        <f>IFERROR(INDEX(CONFIGURACOES!$J$37:$J$300,MATCH($I1075,CONFIGURACOES!$B$37:$B$300,0)),"")</f>
        <v/>
      </c>
      <c r="T1075" s="22">
        <f>IF(OR($R1075="",$S1075=""),"",$R1075*$S1075)</f>
        <v/>
      </c>
      <c r="U1075" s="20" t="n"/>
      <c r="V1075" s="20" t="n"/>
      <c r="W1075" s="20" t="n"/>
      <c r="X1075">
        <f>IF($A1075="","",$A1075&amp;"|"&amp;$C1075&amp;"|"&amp;$I1075)</f>
        <v/>
      </c>
      <c r="Y1075">
        <f>IF(AND($A1075=RELATORIO_MEDICAO!$C$5,$C1075=RELATORIO_MEDICAO!$F$5,$A1075&lt;&gt;""),COUNTIFS($A$3:$A1075,RELATORIO_MEDICAO!$C$5,$C$3:$C1075,RELATORIO_MEDICAO!$F$5),"")</f>
        <v/>
      </c>
      <c r="Z1075">
        <f>IF(OR($A1075="",PESQUISA!$C$4=""),0,IF(OR(ISNUMBER(SEARCH(PESQUISA!$C$4,$G1075)),ISNUMBER(SEARCH(PESQUISA!$C$4,$K1075)),ISNUMBER(SEARCH(PESQUISA!$C$4,$L1075))),1,0))</f>
        <v/>
      </c>
      <c r="AA1075">
        <f>IF($Z1075=1,SUM($Z$3:$Z1075),"")</f>
        <v/>
      </c>
      <c r="AB1075">
        <f>IF(OR($A1075="",PESQUISA!$C$50=""),0,IF(ISNUMBER(SEARCH(PESQUISA!$C$50,$I1075)),1,0))</f>
        <v/>
      </c>
      <c r="AC1075">
        <f>IF($AB1075=1,SUM($AB$3:$AB1075),"")</f>
        <v/>
      </c>
    </row>
    <row r="1076">
      <c r="A1076" s="20" t="n"/>
      <c r="B1076" s="20" t="n"/>
      <c r="C1076" s="20" t="n"/>
      <c r="D1076" s="20" t="n"/>
      <c r="E1076" s="20" t="n"/>
      <c r="F1076" s="20" t="n"/>
      <c r="G1076" s="20" t="n"/>
      <c r="H1076" s="20" t="n"/>
      <c r="I1076" s="20" t="n"/>
      <c r="J1076" s="20">
        <f>IFERROR(INDEX(CONFIGURACOES!$G$37:$G$300,MATCH($I1076,CONFIGURACOES!$B$37:$B$300,0)),"")</f>
        <v/>
      </c>
      <c r="K1076" s="20">
        <f>IFERROR(INDEX(CONFIGURACOES!$H$37:$H$300,MATCH($I1076,CONFIGURACOES!$B$37:$B$300,0)),"")</f>
        <v/>
      </c>
      <c r="L1076" s="20" t="n"/>
      <c r="M1076" s="20">
        <f>IFERROR(INDEX(CONFIGURACOES!$I$37:$I$300,MATCH($I1076,CONFIGURACOES!$B$37:$B$300,0)),"")</f>
        <v/>
      </c>
      <c r="N1076" s="21" t="n"/>
      <c r="O1076" s="21" t="n"/>
      <c r="P1076" s="21" t="n"/>
      <c r="Q1076" s="21" t="n"/>
      <c r="R1076" s="21">
        <f>IF($N1076="","",$N1076*IF($Q1076="",1,$Q1076)*IF($P1076="",1,$P1076)*IF($O1076="",1,$O1076))</f>
        <v/>
      </c>
      <c r="S1076" s="22">
        <f>IFERROR(INDEX(CONFIGURACOES!$J$37:$J$300,MATCH($I1076,CONFIGURACOES!$B$37:$B$300,0)),"")</f>
        <v/>
      </c>
      <c r="T1076" s="22">
        <f>IF(OR($R1076="",$S1076=""),"",$R1076*$S1076)</f>
        <v/>
      </c>
      <c r="U1076" s="20" t="n"/>
      <c r="V1076" s="20" t="n"/>
      <c r="W1076" s="20" t="n"/>
      <c r="X1076">
        <f>IF($A1076="","",$A1076&amp;"|"&amp;$C1076&amp;"|"&amp;$I1076)</f>
        <v/>
      </c>
      <c r="Y1076">
        <f>IF(AND($A1076=RELATORIO_MEDICAO!$C$5,$C1076=RELATORIO_MEDICAO!$F$5,$A1076&lt;&gt;""),COUNTIFS($A$3:$A1076,RELATORIO_MEDICAO!$C$5,$C$3:$C1076,RELATORIO_MEDICAO!$F$5),"")</f>
        <v/>
      </c>
      <c r="Z1076">
        <f>IF(OR($A1076="",PESQUISA!$C$4=""),0,IF(OR(ISNUMBER(SEARCH(PESQUISA!$C$4,$G1076)),ISNUMBER(SEARCH(PESQUISA!$C$4,$K1076)),ISNUMBER(SEARCH(PESQUISA!$C$4,$L1076))),1,0))</f>
        <v/>
      </c>
      <c r="AA1076">
        <f>IF($Z1076=1,SUM($Z$3:$Z1076),"")</f>
        <v/>
      </c>
      <c r="AB1076">
        <f>IF(OR($A1076="",PESQUISA!$C$50=""),0,IF(ISNUMBER(SEARCH(PESQUISA!$C$50,$I1076)),1,0))</f>
        <v/>
      </c>
      <c r="AC1076">
        <f>IF($AB1076=1,SUM($AB$3:$AB1076),"")</f>
        <v/>
      </c>
    </row>
    <row r="1077">
      <c r="A1077" s="20" t="n"/>
      <c r="B1077" s="20" t="n"/>
      <c r="C1077" s="20" t="n"/>
      <c r="D1077" s="20" t="n"/>
      <c r="E1077" s="20" t="n"/>
      <c r="F1077" s="20" t="n"/>
      <c r="G1077" s="20" t="n"/>
      <c r="H1077" s="20" t="n"/>
      <c r="I1077" s="20" t="n"/>
      <c r="J1077" s="20">
        <f>IFERROR(INDEX(CONFIGURACOES!$G$37:$G$300,MATCH($I1077,CONFIGURACOES!$B$37:$B$300,0)),"")</f>
        <v/>
      </c>
      <c r="K1077" s="20">
        <f>IFERROR(INDEX(CONFIGURACOES!$H$37:$H$300,MATCH($I1077,CONFIGURACOES!$B$37:$B$300,0)),"")</f>
        <v/>
      </c>
      <c r="L1077" s="20" t="n"/>
      <c r="M1077" s="20">
        <f>IFERROR(INDEX(CONFIGURACOES!$I$37:$I$300,MATCH($I1077,CONFIGURACOES!$B$37:$B$300,0)),"")</f>
        <v/>
      </c>
      <c r="N1077" s="21" t="n"/>
      <c r="O1077" s="21" t="n"/>
      <c r="P1077" s="21" t="n"/>
      <c r="Q1077" s="21" t="n"/>
      <c r="R1077" s="21">
        <f>IF($N1077="","",$N1077*IF($Q1077="",1,$Q1077)*IF($P1077="",1,$P1077)*IF($O1077="",1,$O1077))</f>
        <v/>
      </c>
      <c r="S1077" s="22">
        <f>IFERROR(INDEX(CONFIGURACOES!$J$37:$J$300,MATCH($I1077,CONFIGURACOES!$B$37:$B$300,0)),"")</f>
        <v/>
      </c>
      <c r="T1077" s="22">
        <f>IF(OR($R1077="",$S1077=""),"",$R1077*$S1077)</f>
        <v/>
      </c>
      <c r="U1077" s="20" t="n"/>
      <c r="V1077" s="20" t="n"/>
      <c r="W1077" s="20" t="n"/>
      <c r="X1077">
        <f>IF($A1077="","",$A1077&amp;"|"&amp;$C1077&amp;"|"&amp;$I1077)</f>
        <v/>
      </c>
      <c r="Y1077">
        <f>IF(AND($A1077=RELATORIO_MEDICAO!$C$5,$C1077=RELATORIO_MEDICAO!$F$5,$A1077&lt;&gt;""),COUNTIFS($A$3:$A1077,RELATORIO_MEDICAO!$C$5,$C$3:$C1077,RELATORIO_MEDICAO!$F$5),"")</f>
        <v/>
      </c>
      <c r="Z1077">
        <f>IF(OR($A1077="",PESQUISA!$C$4=""),0,IF(OR(ISNUMBER(SEARCH(PESQUISA!$C$4,$G1077)),ISNUMBER(SEARCH(PESQUISA!$C$4,$K1077)),ISNUMBER(SEARCH(PESQUISA!$C$4,$L1077))),1,0))</f>
        <v/>
      </c>
      <c r="AA1077">
        <f>IF($Z1077=1,SUM($Z$3:$Z1077),"")</f>
        <v/>
      </c>
      <c r="AB1077">
        <f>IF(OR($A1077="",PESQUISA!$C$50=""),0,IF(ISNUMBER(SEARCH(PESQUISA!$C$50,$I1077)),1,0))</f>
        <v/>
      </c>
      <c r="AC1077">
        <f>IF($AB1077=1,SUM($AB$3:$AB1077),"")</f>
        <v/>
      </c>
    </row>
    <row r="1078">
      <c r="A1078" s="20" t="n"/>
      <c r="B1078" s="20" t="n"/>
      <c r="C1078" s="20" t="n"/>
      <c r="D1078" s="20" t="n"/>
      <c r="E1078" s="20" t="n"/>
      <c r="F1078" s="20" t="n"/>
      <c r="G1078" s="20" t="n"/>
      <c r="H1078" s="20" t="n"/>
      <c r="I1078" s="20" t="n"/>
      <c r="J1078" s="20">
        <f>IFERROR(INDEX(CONFIGURACOES!$G$37:$G$300,MATCH($I1078,CONFIGURACOES!$B$37:$B$300,0)),"")</f>
        <v/>
      </c>
      <c r="K1078" s="20">
        <f>IFERROR(INDEX(CONFIGURACOES!$H$37:$H$300,MATCH($I1078,CONFIGURACOES!$B$37:$B$300,0)),"")</f>
        <v/>
      </c>
      <c r="L1078" s="20" t="n"/>
      <c r="M1078" s="20">
        <f>IFERROR(INDEX(CONFIGURACOES!$I$37:$I$300,MATCH($I1078,CONFIGURACOES!$B$37:$B$300,0)),"")</f>
        <v/>
      </c>
      <c r="N1078" s="21" t="n"/>
      <c r="O1078" s="21" t="n"/>
      <c r="P1078" s="21" t="n"/>
      <c r="Q1078" s="21" t="n"/>
      <c r="R1078" s="21">
        <f>IF($N1078="","",$N1078*IF($Q1078="",1,$Q1078)*IF($P1078="",1,$P1078)*IF($O1078="",1,$O1078))</f>
        <v/>
      </c>
      <c r="S1078" s="22">
        <f>IFERROR(INDEX(CONFIGURACOES!$J$37:$J$300,MATCH($I1078,CONFIGURACOES!$B$37:$B$300,0)),"")</f>
        <v/>
      </c>
      <c r="T1078" s="22">
        <f>IF(OR($R1078="",$S1078=""),"",$R1078*$S1078)</f>
        <v/>
      </c>
      <c r="U1078" s="20" t="n"/>
      <c r="V1078" s="20" t="n"/>
      <c r="W1078" s="20" t="n"/>
      <c r="X1078">
        <f>IF($A1078="","",$A1078&amp;"|"&amp;$C1078&amp;"|"&amp;$I1078)</f>
        <v/>
      </c>
      <c r="Y1078">
        <f>IF(AND($A1078=RELATORIO_MEDICAO!$C$5,$C1078=RELATORIO_MEDICAO!$F$5,$A1078&lt;&gt;""),COUNTIFS($A$3:$A1078,RELATORIO_MEDICAO!$C$5,$C$3:$C1078,RELATORIO_MEDICAO!$F$5),"")</f>
        <v/>
      </c>
      <c r="Z1078">
        <f>IF(OR($A1078="",PESQUISA!$C$4=""),0,IF(OR(ISNUMBER(SEARCH(PESQUISA!$C$4,$G1078)),ISNUMBER(SEARCH(PESQUISA!$C$4,$K1078)),ISNUMBER(SEARCH(PESQUISA!$C$4,$L1078))),1,0))</f>
        <v/>
      </c>
      <c r="AA1078">
        <f>IF($Z1078=1,SUM($Z$3:$Z1078),"")</f>
        <v/>
      </c>
      <c r="AB1078">
        <f>IF(OR($A1078="",PESQUISA!$C$50=""),0,IF(ISNUMBER(SEARCH(PESQUISA!$C$50,$I1078)),1,0))</f>
        <v/>
      </c>
      <c r="AC1078">
        <f>IF($AB1078=1,SUM($AB$3:$AB1078),"")</f>
        <v/>
      </c>
    </row>
    <row r="1079">
      <c r="A1079" s="20" t="n"/>
      <c r="B1079" s="20" t="n"/>
      <c r="C1079" s="20" t="n"/>
      <c r="D1079" s="20" t="n"/>
      <c r="E1079" s="20" t="n"/>
      <c r="F1079" s="20" t="n"/>
      <c r="G1079" s="20" t="n"/>
      <c r="H1079" s="20" t="n"/>
      <c r="I1079" s="20" t="n"/>
      <c r="J1079" s="20">
        <f>IFERROR(INDEX(CONFIGURACOES!$G$37:$G$300,MATCH($I1079,CONFIGURACOES!$B$37:$B$300,0)),"")</f>
        <v/>
      </c>
      <c r="K1079" s="20">
        <f>IFERROR(INDEX(CONFIGURACOES!$H$37:$H$300,MATCH($I1079,CONFIGURACOES!$B$37:$B$300,0)),"")</f>
        <v/>
      </c>
      <c r="L1079" s="20" t="n"/>
      <c r="M1079" s="20">
        <f>IFERROR(INDEX(CONFIGURACOES!$I$37:$I$300,MATCH($I1079,CONFIGURACOES!$B$37:$B$300,0)),"")</f>
        <v/>
      </c>
      <c r="N1079" s="21" t="n"/>
      <c r="O1079" s="21" t="n"/>
      <c r="P1079" s="21" t="n"/>
      <c r="Q1079" s="21" t="n"/>
      <c r="R1079" s="21">
        <f>IF($N1079="","",$N1079*IF($Q1079="",1,$Q1079)*IF($P1079="",1,$P1079)*IF($O1079="",1,$O1079))</f>
        <v/>
      </c>
      <c r="S1079" s="22">
        <f>IFERROR(INDEX(CONFIGURACOES!$J$37:$J$300,MATCH($I1079,CONFIGURACOES!$B$37:$B$300,0)),"")</f>
        <v/>
      </c>
      <c r="T1079" s="22">
        <f>IF(OR($R1079="",$S1079=""),"",$R1079*$S1079)</f>
        <v/>
      </c>
      <c r="U1079" s="20" t="n"/>
      <c r="V1079" s="20" t="n"/>
      <c r="W1079" s="20" t="n"/>
      <c r="X1079">
        <f>IF($A1079="","",$A1079&amp;"|"&amp;$C1079&amp;"|"&amp;$I1079)</f>
        <v/>
      </c>
      <c r="Y1079">
        <f>IF(AND($A1079=RELATORIO_MEDICAO!$C$5,$C1079=RELATORIO_MEDICAO!$F$5,$A1079&lt;&gt;""),COUNTIFS($A$3:$A1079,RELATORIO_MEDICAO!$C$5,$C$3:$C1079,RELATORIO_MEDICAO!$F$5),"")</f>
        <v/>
      </c>
      <c r="Z1079">
        <f>IF(OR($A1079="",PESQUISA!$C$4=""),0,IF(OR(ISNUMBER(SEARCH(PESQUISA!$C$4,$G1079)),ISNUMBER(SEARCH(PESQUISA!$C$4,$K1079)),ISNUMBER(SEARCH(PESQUISA!$C$4,$L1079))),1,0))</f>
        <v/>
      </c>
      <c r="AA1079">
        <f>IF($Z1079=1,SUM($Z$3:$Z1079),"")</f>
        <v/>
      </c>
      <c r="AB1079">
        <f>IF(OR($A1079="",PESQUISA!$C$50=""),0,IF(ISNUMBER(SEARCH(PESQUISA!$C$50,$I1079)),1,0))</f>
        <v/>
      </c>
      <c r="AC1079">
        <f>IF($AB1079=1,SUM($AB$3:$AB1079),"")</f>
        <v/>
      </c>
    </row>
    <row r="1080">
      <c r="A1080" s="20" t="n"/>
      <c r="B1080" s="20" t="n"/>
      <c r="C1080" s="20" t="n"/>
      <c r="D1080" s="20" t="n"/>
      <c r="E1080" s="20" t="n"/>
      <c r="F1080" s="20" t="n"/>
      <c r="G1080" s="20" t="n"/>
      <c r="H1080" s="20" t="n"/>
      <c r="I1080" s="20" t="n"/>
      <c r="J1080" s="20">
        <f>IFERROR(INDEX(CONFIGURACOES!$G$37:$G$300,MATCH($I1080,CONFIGURACOES!$B$37:$B$300,0)),"")</f>
        <v/>
      </c>
      <c r="K1080" s="20">
        <f>IFERROR(INDEX(CONFIGURACOES!$H$37:$H$300,MATCH($I1080,CONFIGURACOES!$B$37:$B$300,0)),"")</f>
        <v/>
      </c>
      <c r="L1080" s="20" t="n"/>
      <c r="M1080" s="20">
        <f>IFERROR(INDEX(CONFIGURACOES!$I$37:$I$300,MATCH($I1080,CONFIGURACOES!$B$37:$B$300,0)),"")</f>
        <v/>
      </c>
      <c r="N1080" s="21" t="n"/>
      <c r="O1080" s="21" t="n"/>
      <c r="P1080" s="21" t="n"/>
      <c r="Q1080" s="21" t="n"/>
      <c r="R1080" s="21">
        <f>IF($N1080="","",$N1080*IF($Q1080="",1,$Q1080)*IF($P1080="",1,$P1080)*IF($O1080="",1,$O1080))</f>
        <v/>
      </c>
      <c r="S1080" s="22">
        <f>IFERROR(INDEX(CONFIGURACOES!$J$37:$J$300,MATCH($I1080,CONFIGURACOES!$B$37:$B$300,0)),"")</f>
        <v/>
      </c>
      <c r="T1080" s="22">
        <f>IF(OR($R1080="",$S1080=""),"",$R1080*$S1080)</f>
        <v/>
      </c>
      <c r="U1080" s="20" t="n"/>
      <c r="V1080" s="20" t="n"/>
      <c r="W1080" s="20" t="n"/>
      <c r="X1080">
        <f>IF($A1080="","",$A1080&amp;"|"&amp;$C1080&amp;"|"&amp;$I1080)</f>
        <v/>
      </c>
      <c r="Y1080">
        <f>IF(AND($A1080=RELATORIO_MEDICAO!$C$5,$C1080=RELATORIO_MEDICAO!$F$5,$A1080&lt;&gt;""),COUNTIFS($A$3:$A1080,RELATORIO_MEDICAO!$C$5,$C$3:$C1080,RELATORIO_MEDICAO!$F$5),"")</f>
        <v/>
      </c>
      <c r="Z1080">
        <f>IF(OR($A1080="",PESQUISA!$C$4=""),0,IF(OR(ISNUMBER(SEARCH(PESQUISA!$C$4,$G1080)),ISNUMBER(SEARCH(PESQUISA!$C$4,$K1080)),ISNUMBER(SEARCH(PESQUISA!$C$4,$L1080))),1,0))</f>
        <v/>
      </c>
      <c r="AA1080">
        <f>IF($Z1080=1,SUM($Z$3:$Z1080),"")</f>
        <v/>
      </c>
      <c r="AB1080">
        <f>IF(OR($A1080="",PESQUISA!$C$50=""),0,IF(ISNUMBER(SEARCH(PESQUISA!$C$50,$I1080)),1,0))</f>
        <v/>
      </c>
      <c r="AC1080">
        <f>IF($AB1080=1,SUM($AB$3:$AB1080),"")</f>
        <v/>
      </c>
    </row>
    <row r="1081">
      <c r="A1081" s="20" t="n"/>
      <c r="B1081" s="20" t="n"/>
      <c r="C1081" s="20" t="n"/>
      <c r="D1081" s="20" t="n"/>
      <c r="E1081" s="20" t="n"/>
      <c r="F1081" s="20" t="n"/>
      <c r="G1081" s="20" t="n"/>
      <c r="H1081" s="20" t="n"/>
      <c r="I1081" s="20" t="n"/>
      <c r="J1081" s="20">
        <f>IFERROR(INDEX(CONFIGURACOES!$G$37:$G$300,MATCH($I1081,CONFIGURACOES!$B$37:$B$300,0)),"")</f>
        <v/>
      </c>
      <c r="K1081" s="20">
        <f>IFERROR(INDEX(CONFIGURACOES!$H$37:$H$300,MATCH($I1081,CONFIGURACOES!$B$37:$B$300,0)),"")</f>
        <v/>
      </c>
      <c r="L1081" s="20" t="n"/>
      <c r="M1081" s="20">
        <f>IFERROR(INDEX(CONFIGURACOES!$I$37:$I$300,MATCH($I1081,CONFIGURACOES!$B$37:$B$300,0)),"")</f>
        <v/>
      </c>
      <c r="N1081" s="21" t="n"/>
      <c r="O1081" s="21" t="n"/>
      <c r="P1081" s="21" t="n"/>
      <c r="Q1081" s="21" t="n"/>
      <c r="R1081" s="21">
        <f>IF($N1081="","",$N1081*IF($Q1081="",1,$Q1081)*IF($P1081="",1,$P1081)*IF($O1081="",1,$O1081))</f>
        <v/>
      </c>
      <c r="S1081" s="22">
        <f>IFERROR(INDEX(CONFIGURACOES!$J$37:$J$300,MATCH($I1081,CONFIGURACOES!$B$37:$B$300,0)),"")</f>
        <v/>
      </c>
      <c r="T1081" s="22">
        <f>IF(OR($R1081="",$S1081=""),"",$R1081*$S1081)</f>
        <v/>
      </c>
      <c r="U1081" s="20" t="n"/>
      <c r="V1081" s="20" t="n"/>
      <c r="W1081" s="20" t="n"/>
      <c r="X1081">
        <f>IF($A1081="","",$A1081&amp;"|"&amp;$C1081&amp;"|"&amp;$I1081)</f>
        <v/>
      </c>
      <c r="Y1081">
        <f>IF(AND($A1081=RELATORIO_MEDICAO!$C$5,$C1081=RELATORIO_MEDICAO!$F$5,$A1081&lt;&gt;""),COUNTIFS($A$3:$A1081,RELATORIO_MEDICAO!$C$5,$C$3:$C1081,RELATORIO_MEDICAO!$F$5),"")</f>
        <v/>
      </c>
      <c r="Z1081">
        <f>IF(OR($A1081="",PESQUISA!$C$4=""),0,IF(OR(ISNUMBER(SEARCH(PESQUISA!$C$4,$G1081)),ISNUMBER(SEARCH(PESQUISA!$C$4,$K1081)),ISNUMBER(SEARCH(PESQUISA!$C$4,$L1081))),1,0))</f>
        <v/>
      </c>
      <c r="AA1081">
        <f>IF($Z1081=1,SUM($Z$3:$Z1081),"")</f>
        <v/>
      </c>
      <c r="AB1081">
        <f>IF(OR($A1081="",PESQUISA!$C$50=""),0,IF(ISNUMBER(SEARCH(PESQUISA!$C$50,$I1081)),1,0))</f>
        <v/>
      </c>
      <c r="AC1081">
        <f>IF($AB1081=1,SUM($AB$3:$AB1081),"")</f>
        <v/>
      </c>
    </row>
    <row r="1082">
      <c r="A1082" s="20" t="n"/>
      <c r="B1082" s="20" t="n"/>
      <c r="C1082" s="20" t="n"/>
      <c r="D1082" s="20" t="n"/>
      <c r="E1082" s="20" t="n"/>
      <c r="F1082" s="20" t="n"/>
      <c r="G1082" s="20" t="n"/>
      <c r="H1082" s="20" t="n"/>
      <c r="I1082" s="20" t="n"/>
      <c r="J1082" s="20">
        <f>IFERROR(INDEX(CONFIGURACOES!$G$37:$G$300,MATCH($I1082,CONFIGURACOES!$B$37:$B$300,0)),"")</f>
        <v/>
      </c>
      <c r="K1082" s="20">
        <f>IFERROR(INDEX(CONFIGURACOES!$H$37:$H$300,MATCH($I1082,CONFIGURACOES!$B$37:$B$300,0)),"")</f>
        <v/>
      </c>
      <c r="L1082" s="20" t="n"/>
      <c r="M1082" s="20">
        <f>IFERROR(INDEX(CONFIGURACOES!$I$37:$I$300,MATCH($I1082,CONFIGURACOES!$B$37:$B$300,0)),"")</f>
        <v/>
      </c>
      <c r="N1082" s="21" t="n"/>
      <c r="O1082" s="21" t="n"/>
      <c r="P1082" s="21" t="n"/>
      <c r="Q1082" s="21" t="n"/>
      <c r="R1082" s="21">
        <f>IF($N1082="","",$N1082*IF($Q1082="",1,$Q1082)*IF($P1082="",1,$P1082)*IF($O1082="",1,$O1082))</f>
        <v/>
      </c>
      <c r="S1082" s="22">
        <f>IFERROR(INDEX(CONFIGURACOES!$J$37:$J$300,MATCH($I1082,CONFIGURACOES!$B$37:$B$300,0)),"")</f>
        <v/>
      </c>
      <c r="T1082" s="22">
        <f>IF(OR($R1082="",$S1082=""),"",$R1082*$S1082)</f>
        <v/>
      </c>
      <c r="U1082" s="20" t="n"/>
      <c r="V1082" s="20" t="n"/>
      <c r="W1082" s="20" t="n"/>
      <c r="X1082">
        <f>IF($A1082="","",$A1082&amp;"|"&amp;$C1082&amp;"|"&amp;$I1082)</f>
        <v/>
      </c>
      <c r="Y1082">
        <f>IF(AND($A1082=RELATORIO_MEDICAO!$C$5,$C1082=RELATORIO_MEDICAO!$F$5,$A1082&lt;&gt;""),COUNTIFS($A$3:$A1082,RELATORIO_MEDICAO!$C$5,$C$3:$C1082,RELATORIO_MEDICAO!$F$5),"")</f>
        <v/>
      </c>
      <c r="Z1082">
        <f>IF(OR($A1082="",PESQUISA!$C$4=""),0,IF(OR(ISNUMBER(SEARCH(PESQUISA!$C$4,$G1082)),ISNUMBER(SEARCH(PESQUISA!$C$4,$K1082)),ISNUMBER(SEARCH(PESQUISA!$C$4,$L1082))),1,0))</f>
        <v/>
      </c>
      <c r="AA1082">
        <f>IF($Z1082=1,SUM($Z$3:$Z1082),"")</f>
        <v/>
      </c>
      <c r="AB1082">
        <f>IF(OR($A1082="",PESQUISA!$C$50=""),0,IF(ISNUMBER(SEARCH(PESQUISA!$C$50,$I1082)),1,0))</f>
        <v/>
      </c>
      <c r="AC1082">
        <f>IF($AB1082=1,SUM($AB$3:$AB1082),"")</f>
        <v/>
      </c>
    </row>
    <row r="1083">
      <c r="A1083" s="20" t="n"/>
      <c r="B1083" s="20" t="n"/>
      <c r="C1083" s="20" t="n"/>
      <c r="D1083" s="20" t="n"/>
      <c r="E1083" s="20" t="n"/>
      <c r="F1083" s="20" t="n"/>
      <c r="G1083" s="20" t="n"/>
      <c r="H1083" s="20" t="n"/>
      <c r="I1083" s="20" t="n"/>
      <c r="J1083" s="20">
        <f>IFERROR(INDEX(CONFIGURACOES!$G$37:$G$300,MATCH($I1083,CONFIGURACOES!$B$37:$B$300,0)),"")</f>
        <v/>
      </c>
      <c r="K1083" s="20">
        <f>IFERROR(INDEX(CONFIGURACOES!$H$37:$H$300,MATCH($I1083,CONFIGURACOES!$B$37:$B$300,0)),"")</f>
        <v/>
      </c>
      <c r="L1083" s="20" t="n"/>
      <c r="M1083" s="20">
        <f>IFERROR(INDEX(CONFIGURACOES!$I$37:$I$300,MATCH($I1083,CONFIGURACOES!$B$37:$B$300,0)),"")</f>
        <v/>
      </c>
      <c r="N1083" s="21" t="n"/>
      <c r="O1083" s="21" t="n"/>
      <c r="P1083" s="21" t="n"/>
      <c r="Q1083" s="21" t="n"/>
      <c r="R1083" s="21">
        <f>IF($N1083="","",$N1083*IF($Q1083="",1,$Q1083)*IF($P1083="",1,$P1083)*IF($O1083="",1,$O1083))</f>
        <v/>
      </c>
      <c r="S1083" s="22">
        <f>IFERROR(INDEX(CONFIGURACOES!$J$37:$J$300,MATCH($I1083,CONFIGURACOES!$B$37:$B$300,0)),"")</f>
        <v/>
      </c>
      <c r="T1083" s="22">
        <f>IF(OR($R1083="",$S1083=""),"",$R1083*$S1083)</f>
        <v/>
      </c>
      <c r="U1083" s="20" t="n"/>
      <c r="V1083" s="20" t="n"/>
      <c r="W1083" s="20" t="n"/>
      <c r="X1083">
        <f>IF($A1083="","",$A1083&amp;"|"&amp;$C1083&amp;"|"&amp;$I1083)</f>
        <v/>
      </c>
      <c r="Y1083">
        <f>IF(AND($A1083=RELATORIO_MEDICAO!$C$5,$C1083=RELATORIO_MEDICAO!$F$5,$A1083&lt;&gt;""),COUNTIFS($A$3:$A1083,RELATORIO_MEDICAO!$C$5,$C$3:$C1083,RELATORIO_MEDICAO!$F$5),"")</f>
        <v/>
      </c>
      <c r="Z1083">
        <f>IF(OR($A1083="",PESQUISA!$C$4=""),0,IF(OR(ISNUMBER(SEARCH(PESQUISA!$C$4,$G1083)),ISNUMBER(SEARCH(PESQUISA!$C$4,$K1083)),ISNUMBER(SEARCH(PESQUISA!$C$4,$L1083))),1,0))</f>
        <v/>
      </c>
      <c r="AA1083">
        <f>IF($Z1083=1,SUM($Z$3:$Z1083),"")</f>
        <v/>
      </c>
      <c r="AB1083">
        <f>IF(OR($A1083="",PESQUISA!$C$50=""),0,IF(ISNUMBER(SEARCH(PESQUISA!$C$50,$I1083)),1,0))</f>
        <v/>
      </c>
      <c r="AC1083">
        <f>IF($AB1083=1,SUM($AB$3:$AB1083),"")</f>
        <v/>
      </c>
    </row>
    <row r="1084">
      <c r="A1084" s="20" t="n"/>
      <c r="B1084" s="20" t="n"/>
      <c r="C1084" s="20" t="n"/>
      <c r="D1084" s="20" t="n"/>
      <c r="E1084" s="20" t="n"/>
      <c r="F1084" s="20" t="n"/>
      <c r="G1084" s="20" t="n"/>
      <c r="H1084" s="20" t="n"/>
      <c r="I1084" s="20" t="n"/>
      <c r="J1084" s="20">
        <f>IFERROR(INDEX(CONFIGURACOES!$G$37:$G$300,MATCH($I1084,CONFIGURACOES!$B$37:$B$300,0)),"")</f>
        <v/>
      </c>
      <c r="K1084" s="20">
        <f>IFERROR(INDEX(CONFIGURACOES!$H$37:$H$300,MATCH($I1084,CONFIGURACOES!$B$37:$B$300,0)),"")</f>
        <v/>
      </c>
      <c r="L1084" s="20" t="n"/>
      <c r="M1084" s="20">
        <f>IFERROR(INDEX(CONFIGURACOES!$I$37:$I$300,MATCH($I1084,CONFIGURACOES!$B$37:$B$300,0)),"")</f>
        <v/>
      </c>
      <c r="N1084" s="21" t="n"/>
      <c r="O1084" s="21" t="n"/>
      <c r="P1084" s="21" t="n"/>
      <c r="Q1084" s="21" t="n"/>
      <c r="R1084" s="21">
        <f>IF($N1084="","",$N1084*IF($Q1084="",1,$Q1084)*IF($P1084="",1,$P1084)*IF($O1084="",1,$O1084))</f>
        <v/>
      </c>
      <c r="S1084" s="22">
        <f>IFERROR(INDEX(CONFIGURACOES!$J$37:$J$300,MATCH($I1084,CONFIGURACOES!$B$37:$B$300,0)),"")</f>
        <v/>
      </c>
      <c r="T1084" s="22">
        <f>IF(OR($R1084="",$S1084=""),"",$R1084*$S1084)</f>
        <v/>
      </c>
      <c r="U1084" s="20" t="n"/>
      <c r="V1084" s="20" t="n"/>
      <c r="W1084" s="20" t="n"/>
      <c r="X1084">
        <f>IF($A1084="","",$A1084&amp;"|"&amp;$C1084&amp;"|"&amp;$I1084)</f>
        <v/>
      </c>
      <c r="Y1084">
        <f>IF(AND($A1084=RELATORIO_MEDICAO!$C$5,$C1084=RELATORIO_MEDICAO!$F$5,$A1084&lt;&gt;""),COUNTIFS($A$3:$A1084,RELATORIO_MEDICAO!$C$5,$C$3:$C1084,RELATORIO_MEDICAO!$F$5),"")</f>
        <v/>
      </c>
      <c r="Z1084">
        <f>IF(OR($A1084="",PESQUISA!$C$4=""),0,IF(OR(ISNUMBER(SEARCH(PESQUISA!$C$4,$G1084)),ISNUMBER(SEARCH(PESQUISA!$C$4,$K1084)),ISNUMBER(SEARCH(PESQUISA!$C$4,$L1084))),1,0))</f>
        <v/>
      </c>
      <c r="AA1084">
        <f>IF($Z1084=1,SUM($Z$3:$Z1084),"")</f>
        <v/>
      </c>
      <c r="AB1084">
        <f>IF(OR($A1084="",PESQUISA!$C$50=""),0,IF(ISNUMBER(SEARCH(PESQUISA!$C$50,$I1084)),1,0))</f>
        <v/>
      </c>
      <c r="AC1084">
        <f>IF($AB1084=1,SUM($AB$3:$AB1084),"")</f>
        <v/>
      </c>
    </row>
    <row r="1085">
      <c r="A1085" s="20" t="n"/>
      <c r="B1085" s="20" t="n"/>
      <c r="C1085" s="20" t="n"/>
      <c r="D1085" s="20" t="n"/>
      <c r="E1085" s="20" t="n"/>
      <c r="F1085" s="20" t="n"/>
      <c r="G1085" s="20" t="n"/>
      <c r="H1085" s="20" t="n"/>
      <c r="I1085" s="20" t="n"/>
      <c r="J1085" s="20">
        <f>IFERROR(INDEX(CONFIGURACOES!$G$37:$G$300,MATCH($I1085,CONFIGURACOES!$B$37:$B$300,0)),"")</f>
        <v/>
      </c>
      <c r="K1085" s="20">
        <f>IFERROR(INDEX(CONFIGURACOES!$H$37:$H$300,MATCH($I1085,CONFIGURACOES!$B$37:$B$300,0)),"")</f>
        <v/>
      </c>
      <c r="L1085" s="20" t="n"/>
      <c r="M1085" s="20">
        <f>IFERROR(INDEX(CONFIGURACOES!$I$37:$I$300,MATCH($I1085,CONFIGURACOES!$B$37:$B$300,0)),"")</f>
        <v/>
      </c>
      <c r="N1085" s="21" t="n"/>
      <c r="O1085" s="21" t="n"/>
      <c r="P1085" s="21" t="n"/>
      <c r="Q1085" s="21" t="n"/>
      <c r="R1085" s="21">
        <f>IF($N1085="","",$N1085*IF($Q1085="",1,$Q1085)*IF($P1085="",1,$P1085)*IF($O1085="",1,$O1085))</f>
        <v/>
      </c>
      <c r="S1085" s="22">
        <f>IFERROR(INDEX(CONFIGURACOES!$J$37:$J$300,MATCH($I1085,CONFIGURACOES!$B$37:$B$300,0)),"")</f>
        <v/>
      </c>
      <c r="T1085" s="22">
        <f>IF(OR($R1085="",$S1085=""),"",$R1085*$S1085)</f>
        <v/>
      </c>
      <c r="U1085" s="20" t="n"/>
      <c r="V1085" s="20" t="n"/>
      <c r="W1085" s="20" t="n"/>
      <c r="X1085">
        <f>IF($A1085="","",$A1085&amp;"|"&amp;$C1085&amp;"|"&amp;$I1085)</f>
        <v/>
      </c>
      <c r="Y1085">
        <f>IF(AND($A1085=RELATORIO_MEDICAO!$C$5,$C1085=RELATORIO_MEDICAO!$F$5,$A1085&lt;&gt;""),COUNTIFS($A$3:$A1085,RELATORIO_MEDICAO!$C$5,$C$3:$C1085,RELATORIO_MEDICAO!$F$5),"")</f>
        <v/>
      </c>
      <c r="Z1085">
        <f>IF(OR($A1085="",PESQUISA!$C$4=""),0,IF(OR(ISNUMBER(SEARCH(PESQUISA!$C$4,$G1085)),ISNUMBER(SEARCH(PESQUISA!$C$4,$K1085)),ISNUMBER(SEARCH(PESQUISA!$C$4,$L1085))),1,0))</f>
        <v/>
      </c>
      <c r="AA1085">
        <f>IF($Z1085=1,SUM($Z$3:$Z1085),"")</f>
        <v/>
      </c>
      <c r="AB1085">
        <f>IF(OR($A1085="",PESQUISA!$C$50=""),0,IF(ISNUMBER(SEARCH(PESQUISA!$C$50,$I1085)),1,0))</f>
        <v/>
      </c>
      <c r="AC1085">
        <f>IF($AB1085=1,SUM($AB$3:$AB1085),"")</f>
        <v/>
      </c>
    </row>
    <row r="1086">
      <c r="A1086" s="20" t="n"/>
      <c r="B1086" s="20" t="n"/>
      <c r="C1086" s="20" t="n"/>
      <c r="D1086" s="20" t="n"/>
      <c r="E1086" s="20" t="n"/>
      <c r="F1086" s="20" t="n"/>
      <c r="G1086" s="20" t="n"/>
      <c r="H1086" s="20" t="n"/>
      <c r="I1086" s="20" t="n"/>
      <c r="J1086" s="20">
        <f>IFERROR(INDEX(CONFIGURACOES!$G$37:$G$300,MATCH($I1086,CONFIGURACOES!$B$37:$B$300,0)),"")</f>
        <v/>
      </c>
      <c r="K1086" s="20">
        <f>IFERROR(INDEX(CONFIGURACOES!$H$37:$H$300,MATCH($I1086,CONFIGURACOES!$B$37:$B$300,0)),"")</f>
        <v/>
      </c>
      <c r="L1086" s="20" t="n"/>
      <c r="M1086" s="20">
        <f>IFERROR(INDEX(CONFIGURACOES!$I$37:$I$300,MATCH($I1086,CONFIGURACOES!$B$37:$B$300,0)),"")</f>
        <v/>
      </c>
      <c r="N1086" s="21" t="n"/>
      <c r="O1086" s="21" t="n"/>
      <c r="P1086" s="21" t="n"/>
      <c r="Q1086" s="21" t="n"/>
      <c r="R1086" s="21">
        <f>IF($N1086="","",$N1086*IF($Q1086="",1,$Q1086)*IF($P1086="",1,$P1086)*IF($O1086="",1,$O1086))</f>
        <v/>
      </c>
      <c r="S1086" s="22">
        <f>IFERROR(INDEX(CONFIGURACOES!$J$37:$J$300,MATCH($I1086,CONFIGURACOES!$B$37:$B$300,0)),"")</f>
        <v/>
      </c>
      <c r="T1086" s="22">
        <f>IF(OR($R1086="",$S1086=""),"",$R1086*$S1086)</f>
        <v/>
      </c>
      <c r="U1086" s="20" t="n"/>
      <c r="V1086" s="20" t="n"/>
      <c r="W1086" s="20" t="n"/>
      <c r="X1086">
        <f>IF($A1086="","",$A1086&amp;"|"&amp;$C1086&amp;"|"&amp;$I1086)</f>
        <v/>
      </c>
      <c r="Y1086">
        <f>IF(AND($A1086=RELATORIO_MEDICAO!$C$5,$C1086=RELATORIO_MEDICAO!$F$5,$A1086&lt;&gt;""),COUNTIFS($A$3:$A1086,RELATORIO_MEDICAO!$C$5,$C$3:$C1086,RELATORIO_MEDICAO!$F$5),"")</f>
        <v/>
      </c>
      <c r="Z1086">
        <f>IF(OR($A1086="",PESQUISA!$C$4=""),0,IF(OR(ISNUMBER(SEARCH(PESQUISA!$C$4,$G1086)),ISNUMBER(SEARCH(PESQUISA!$C$4,$K1086)),ISNUMBER(SEARCH(PESQUISA!$C$4,$L1086))),1,0))</f>
        <v/>
      </c>
      <c r="AA1086">
        <f>IF($Z1086=1,SUM($Z$3:$Z1086),"")</f>
        <v/>
      </c>
      <c r="AB1086">
        <f>IF(OR($A1086="",PESQUISA!$C$50=""),0,IF(ISNUMBER(SEARCH(PESQUISA!$C$50,$I1086)),1,0))</f>
        <v/>
      </c>
      <c r="AC1086">
        <f>IF($AB1086=1,SUM($AB$3:$AB1086),"")</f>
        <v/>
      </c>
    </row>
    <row r="1087">
      <c r="A1087" s="20" t="n"/>
      <c r="B1087" s="20" t="n"/>
      <c r="C1087" s="20" t="n"/>
      <c r="D1087" s="20" t="n"/>
      <c r="E1087" s="20" t="n"/>
      <c r="F1087" s="20" t="n"/>
      <c r="G1087" s="20" t="n"/>
      <c r="H1087" s="20" t="n"/>
      <c r="I1087" s="20" t="n"/>
      <c r="J1087" s="20">
        <f>IFERROR(INDEX(CONFIGURACOES!$G$37:$G$300,MATCH($I1087,CONFIGURACOES!$B$37:$B$300,0)),"")</f>
        <v/>
      </c>
      <c r="K1087" s="20">
        <f>IFERROR(INDEX(CONFIGURACOES!$H$37:$H$300,MATCH($I1087,CONFIGURACOES!$B$37:$B$300,0)),"")</f>
        <v/>
      </c>
      <c r="L1087" s="20" t="n"/>
      <c r="M1087" s="20">
        <f>IFERROR(INDEX(CONFIGURACOES!$I$37:$I$300,MATCH($I1087,CONFIGURACOES!$B$37:$B$300,0)),"")</f>
        <v/>
      </c>
      <c r="N1087" s="21" t="n"/>
      <c r="O1087" s="21" t="n"/>
      <c r="P1087" s="21" t="n"/>
      <c r="Q1087" s="21" t="n"/>
      <c r="R1087" s="21">
        <f>IF($N1087="","",$N1087*IF($Q1087="",1,$Q1087)*IF($P1087="",1,$P1087)*IF($O1087="",1,$O1087))</f>
        <v/>
      </c>
      <c r="S1087" s="22">
        <f>IFERROR(INDEX(CONFIGURACOES!$J$37:$J$300,MATCH($I1087,CONFIGURACOES!$B$37:$B$300,0)),"")</f>
        <v/>
      </c>
      <c r="T1087" s="22">
        <f>IF(OR($R1087="",$S1087=""),"",$R1087*$S1087)</f>
        <v/>
      </c>
      <c r="U1087" s="20" t="n"/>
      <c r="V1087" s="20" t="n"/>
      <c r="W1087" s="20" t="n"/>
      <c r="X1087">
        <f>IF($A1087="","",$A1087&amp;"|"&amp;$C1087&amp;"|"&amp;$I1087)</f>
        <v/>
      </c>
      <c r="Y1087">
        <f>IF(AND($A1087=RELATORIO_MEDICAO!$C$5,$C1087=RELATORIO_MEDICAO!$F$5,$A1087&lt;&gt;""),COUNTIFS($A$3:$A1087,RELATORIO_MEDICAO!$C$5,$C$3:$C1087,RELATORIO_MEDICAO!$F$5),"")</f>
        <v/>
      </c>
      <c r="Z1087">
        <f>IF(OR($A1087="",PESQUISA!$C$4=""),0,IF(OR(ISNUMBER(SEARCH(PESQUISA!$C$4,$G1087)),ISNUMBER(SEARCH(PESQUISA!$C$4,$K1087)),ISNUMBER(SEARCH(PESQUISA!$C$4,$L1087))),1,0))</f>
        <v/>
      </c>
      <c r="AA1087">
        <f>IF($Z1087=1,SUM($Z$3:$Z1087),"")</f>
        <v/>
      </c>
      <c r="AB1087">
        <f>IF(OR($A1087="",PESQUISA!$C$50=""),0,IF(ISNUMBER(SEARCH(PESQUISA!$C$50,$I1087)),1,0))</f>
        <v/>
      </c>
      <c r="AC1087">
        <f>IF($AB1087=1,SUM($AB$3:$AB1087),"")</f>
        <v/>
      </c>
    </row>
    <row r="1088">
      <c r="A1088" s="20" t="n"/>
      <c r="B1088" s="20" t="n"/>
      <c r="C1088" s="20" t="n"/>
      <c r="D1088" s="20" t="n"/>
      <c r="E1088" s="20" t="n"/>
      <c r="F1088" s="20" t="n"/>
      <c r="G1088" s="20" t="n"/>
      <c r="H1088" s="20" t="n"/>
      <c r="I1088" s="20" t="n"/>
      <c r="J1088" s="20">
        <f>IFERROR(INDEX(CONFIGURACOES!$G$37:$G$300,MATCH($I1088,CONFIGURACOES!$B$37:$B$300,0)),"")</f>
        <v/>
      </c>
      <c r="K1088" s="20">
        <f>IFERROR(INDEX(CONFIGURACOES!$H$37:$H$300,MATCH($I1088,CONFIGURACOES!$B$37:$B$300,0)),"")</f>
        <v/>
      </c>
      <c r="L1088" s="20" t="n"/>
      <c r="M1088" s="20">
        <f>IFERROR(INDEX(CONFIGURACOES!$I$37:$I$300,MATCH($I1088,CONFIGURACOES!$B$37:$B$300,0)),"")</f>
        <v/>
      </c>
      <c r="N1088" s="21" t="n"/>
      <c r="O1088" s="21" t="n"/>
      <c r="P1088" s="21" t="n"/>
      <c r="Q1088" s="21" t="n"/>
      <c r="R1088" s="21">
        <f>IF($N1088="","",$N1088*IF($Q1088="",1,$Q1088)*IF($P1088="",1,$P1088)*IF($O1088="",1,$O1088))</f>
        <v/>
      </c>
      <c r="S1088" s="22">
        <f>IFERROR(INDEX(CONFIGURACOES!$J$37:$J$300,MATCH($I1088,CONFIGURACOES!$B$37:$B$300,0)),"")</f>
        <v/>
      </c>
      <c r="T1088" s="22">
        <f>IF(OR($R1088="",$S1088=""),"",$R1088*$S1088)</f>
        <v/>
      </c>
      <c r="U1088" s="20" t="n"/>
      <c r="V1088" s="20" t="n"/>
      <c r="W1088" s="20" t="n"/>
      <c r="X1088">
        <f>IF($A1088="","",$A1088&amp;"|"&amp;$C1088&amp;"|"&amp;$I1088)</f>
        <v/>
      </c>
      <c r="Y1088">
        <f>IF(AND($A1088=RELATORIO_MEDICAO!$C$5,$C1088=RELATORIO_MEDICAO!$F$5,$A1088&lt;&gt;""),COUNTIFS($A$3:$A1088,RELATORIO_MEDICAO!$C$5,$C$3:$C1088,RELATORIO_MEDICAO!$F$5),"")</f>
        <v/>
      </c>
      <c r="Z1088">
        <f>IF(OR($A1088="",PESQUISA!$C$4=""),0,IF(OR(ISNUMBER(SEARCH(PESQUISA!$C$4,$G1088)),ISNUMBER(SEARCH(PESQUISA!$C$4,$K1088)),ISNUMBER(SEARCH(PESQUISA!$C$4,$L1088))),1,0))</f>
        <v/>
      </c>
      <c r="AA1088">
        <f>IF($Z1088=1,SUM($Z$3:$Z1088),"")</f>
        <v/>
      </c>
      <c r="AB1088">
        <f>IF(OR($A1088="",PESQUISA!$C$50=""),0,IF(ISNUMBER(SEARCH(PESQUISA!$C$50,$I1088)),1,0))</f>
        <v/>
      </c>
      <c r="AC1088">
        <f>IF($AB1088=1,SUM($AB$3:$AB1088),"")</f>
        <v/>
      </c>
    </row>
    <row r="1089">
      <c r="A1089" s="20" t="n"/>
      <c r="B1089" s="20" t="n"/>
      <c r="C1089" s="20" t="n"/>
      <c r="D1089" s="20" t="n"/>
      <c r="E1089" s="20" t="n"/>
      <c r="F1089" s="20" t="n"/>
      <c r="G1089" s="20" t="n"/>
      <c r="H1089" s="20" t="n"/>
      <c r="I1089" s="20" t="n"/>
      <c r="J1089" s="20">
        <f>IFERROR(INDEX(CONFIGURACOES!$G$37:$G$300,MATCH($I1089,CONFIGURACOES!$B$37:$B$300,0)),"")</f>
        <v/>
      </c>
      <c r="K1089" s="20">
        <f>IFERROR(INDEX(CONFIGURACOES!$H$37:$H$300,MATCH($I1089,CONFIGURACOES!$B$37:$B$300,0)),"")</f>
        <v/>
      </c>
      <c r="L1089" s="20" t="n"/>
      <c r="M1089" s="20">
        <f>IFERROR(INDEX(CONFIGURACOES!$I$37:$I$300,MATCH($I1089,CONFIGURACOES!$B$37:$B$300,0)),"")</f>
        <v/>
      </c>
      <c r="N1089" s="21" t="n"/>
      <c r="O1089" s="21" t="n"/>
      <c r="P1089" s="21" t="n"/>
      <c r="Q1089" s="21" t="n"/>
      <c r="R1089" s="21">
        <f>IF($N1089="","",$N1089*IF($Q1089="",1,$Q1089)*IF($P1089="",1,$P1089)*IF($O1089="",1,$O1089))</f>
        <v/>
      </c>
      <c r="S1089" s="22">
        <f>IFERROR(INDEX(CONFIGURACOES!$J$37:$J$300,MATCH($I1089,CONFIGURACOES!$B$37:$B$300,0)),"")</f>
        <v/>
      </c>
      <c r="T1089" s="22">
        <f>IF(OR($R1089="",$S1089=""),"",$R1089*$S1089)</f>
        <v/>
      </c>
      <c r="U1089" s="20" t="n"/>
      <c r="V1089" s="20" t="n"/>
      <c r="W1089" s="20" t="n"/>
      <c r="X1089">
        <f>IF($A1089="","",$A1089&amp;"|"&amp;$C1089&amp;"|"&amp;$I1089)</f>
        <v/>
      </c>
      <c r="Y1089">
        <f>IF(AND($A1089=RELATORIO_MEDICAO!$C$5,$C1089=RELATORIO_MEDICAO!$F$5,$A1089&lt;&gt;""),COUNTIFS($A$3:$A1089,RELATORIO_MEDICAO!$C$5,$C$3:$C1089,RELATORIO_MEDICAO!$F$5),"")</f>
        <v/>
      </c>
      <c r="Z1089">
        <f>IF(OR($A1089="",PESQUISA!$C$4=""),0,IF(OR(ISNUMBER(SEARCH(PESQUISA!$C$4,$G1089)),ISNUMBER(SEARCH(PESQUISA!$C$4,$K1089)),ISNUMBER(SEARCH(PESQUISA!$C$4,$L1089))),1,0))</f>
        <v/>
      </c>
      <c r="AA1089">
        <f>IF($Z1089=1,SUM($Z$3:$Z1089),"")</f>
        <v/>
      </c>
      <c r="AB1089">
        <f>IF(OR($A1089="",PESQUISA!$C$50=""),0,IF(ISNUMBER(SEARCH(PESQUISA!$C$50,$I1089)),1,0))</f>
        <v/>
      </c>
      <c r="AC1089">
        <f>IF($AB1089=1,SUM($AB$3:$AB1089),"")</f>
        <v/>
      </c>
    </row>
    <row r="1090">
      <c r="A1090" s="20" t="n"/>
      <c r="B1090" s="20" t="n"/>
      <c r="C1090" s="20" t="n"/>
      <c r="D1090" s="20" t="n"/>
      <c r="E1090" s="20" t="n"/>
      <c r="F1090" s="20" t="n"/>
      <c r="G1090" s="20" t="n"/>
      <c r="H1090" s="20" t="n"/>
      <c r="I1090" s="20" t="n"/>
      <c r="J1090" s="20">
        <f>IFERROR(INDEX(CONFIGURACOES!$G$37:$G$300,MATCH($I1090,CONFIGURACOES!$B$37:$B$300,0)),"")</f>
        <v/>
      </c>
      <c r="K1090" s="20">
        <f>IFERROR(INDEX(CONFIGURACOES!$H$37:$H$300,MATCH($I1090,CONFIGURACOES!$B$37:$B$300,0)),"")</f>
        <v/>
      </c>
      <c r="L1090" s="20" t="n"/>
      <c r="M1090" s="20">
        <f>IFERROR(INDEX(CONFIGURACOES!$I$37:$I$300,MATCH($I1090,CONFIGURACOES!$B$37:$B$300,0)),"")</f>
        <v/>
      </c>
      <c r="N1090" s="21" t="n"/>
      <c r="O1090" s="21" t="n"/>
      <c r="P1090" s="21" t="n"/>
      <c r="Q1090" s="21" t="n"/>
      <c r="R1090" s="21">
        <f>IF($N1090="","",$N1090*IF($Q1090="",1,$Q1090)*IF($P1090="",1,$P1090)*IF($O1090="",1,$O1090))</f>
        <v/>
      </c>
      <c r="S1090" s="22">
        <f>IFERROR(INDEX(CONFIGURACOES!$J$37:$J$300,MATCH($I1090,CONFIGURACOES!$B$37:$B$300,0)),"")</f>
        <v/>
      </c>
      <c r="T1090" s="22">
        <f>IF(OR($R1090="",$S1090=""),"",$R1090*$S1090)</f>
        <v/>
      </c>
      <c r="U1090" s="20" t="n"/>
      <c r="V1090" s="20" t="n"/>
      <c r="W1090" s="20" t="n"/>
      <c r="X1090">
        <f>IF($A1090="","",$A1090&amp;"|"&amp;$C1090&amp;"|"&amp;$I1090)</f>
        <v/>
      </c>
      <c r="Y1090">
        <f>IF(AND($A1090=RELATORIO_MEDICAO!$C$5,$C1090=RELATORIO_MEDICAO!$F$5,$A1090&lt;&gt;""),COUNTIFS($A$3:$A1090,RELATORIO_MEDICAO!$C$5,$C$3:$C1090,RELATORIO_MEDICAO!$F$5),"")</f>
        <v/>
      </c>
      <c r="Z1090">
        <f>IF(OR($A1090="",PESQUISA!$C$4=""),0,IF(OR(ISNUMBER(SEARCH(PESQUISA!$C$4,$G1090)),ISNUMBER(SEARCH(PESQUISA!$C$4,$K1090)),ISNUMBER(SEARCH(PESQUISA!$C$4,$L1090))),1,0))</f>
        <v/>
      </c>
      <c r="AA1090">
        <f>IF($Z1090=1,SUM($Z$3:$Z1090),"")</f>
        <v/>
      </c>
      <c r="AB1090">
        <f>IF(OR($A1090="",PESQUISA!$C$50=""),0,IF(ISNUMBER(SEARCH(PESQUISA!$C$50,$I1090)),1,0))</f>
        <v/>
      </c>
      <c r="AC1090">
        <f>IF($AB1090=1,SUM($AB$3:$AB1090),"")</f>
        <v/>
      </c>
    </row>
    <row r="1091">
      <c r="A1091" s="20" t="n"/>
      <c r="B1091" s="20" t="n"/>
      <c r="C1091" s="20" t="n"/>
      <c r="D1091" s="20" t="n"/>
      <c r="E1091" s="20" t="n"/>
      <c r="F1091" s="20" t="n"/>
      <c r="G1091" s="20" t="n"/>
      <c r="H1091" s="20" t="n"/>
      <c r="I1091" s="20" t="n"/>
      <c r="J1091" s="20">
        <f>IFERROR(INDEX(CONFIGURACOES!$G$37:$G$300,MATCH($I1091,CONFIGURACOES!$B$37:$B$300,0)),"")</f>
        <v/>
      </c>
      <c r="K1091" s="20">
        <f>IFERROR(INDEX(CONFIGURACOES!$H$37:$H$300,MATCH($I1091,CONFIGURACOES!$B$37:$B$300,0)),"")</f>
        <v/>
      </c>
      <c r="L1091" s="20" t="n"/>
      <c r="M1091" s="20">
        <f>IFERROR(INDEX(CONFIGURACOES!$I$37:$I$300,MATCH($I1091,CONFIGURACOES!$B$37:$B$300,0)),"")</f>
        <v/>
      </c>
      <c r="N1091" s="21" t="n"/>
      <c r="O1091" s="21" t="n"/>
      <c r="P1091" s="21" t="n"/>
      <c r="Q1091" s="21" t="n"/>
      <c r="R1091" s="21">
        <f>IF($N1091="","",$N1091*IF($Q1091="",1,$Q1091)*IF($P1091="",1,$P1091)*IF($O1091="",1,$O1091))</f>
        <v/>
      </c>
      <c r="S1091" s="22">
        <f>IFERROR(INDEX(CONFIGURACOES!$J$37:$J$300,MATCH($I1091,CONFIGURACOES!$B$37:$B$300,0)),"")</f>
        <v/>
      </c>
      <c r="T1091" s="22">
        <f>IF(OR($R1091="",$S1091=""),"",$R1091*$S1091)</f>
        <v/>
      </c>
      <c r="U1091" s="20" t="n"/>
      <c r="V1091" s="20" t="n"/>
      <c r="W1091" s="20" t="n"/>
      <c r="X1091">
        <f>IF($A1091="","",$A1091&amp;"|"&amp;$C1091&amp;"|"&amp;$I1091)</f>
        <v/>
      </c>
      <c r="Y1091">
        <f>IF(AND($A1091=RELATORIO_MEDICAO!$C$5,$C1091=RELATORIO_MEDICAO!$F$5,$A1091&lt;&gt;""),COUNTIFS($A$3:$A1091,RELATORIO_MEDICAO!$C$5,$C$3:$C1091,RELATORIO_MEDICAO!$F$5),"")</f>
        <v/>
      </c>
      <c r="Z1091">
        <f>IF(OR($A1091="",PESQUISA!$C$4=""),0,IF(OR(ISNUMBER(SEARCH(PESQUISA!$C$4,$G1091)),ISNUMBER(SEARCH(PESQUISA!$C$4,$K1091)),ISNUMBER(SEARCH(PESQUISA!$C$4,$L1091))),1,0))</f>
        <v/>
      </c>
      <c r="AA1091">
        <f>IF($Z1091=1,SUM($Z$3:$Z1091),"")</f>
        <v/>
      </c>
      <c r="AB1091">
        <f>IF(OR($A1091="",PESQUISA!$C$50=""),0,IF(ISNUMBER(SEARCH(PESQUISA!$C$50,$I1091)),1,0))</f>
        <v/>
      </c>
      <c r="AC1091">
        <f>IF($AB1091=1,SUM($AB$3:$AB1091),"")</f>
        <v/>
      </c>
    </row>
    <row r="1092">
      <c r="A1092" s="20" t="n"/>
      <c r="B1092" s="20" t="n"/>
      <c r="C1092" s="20" t="n"/>
      <c r="D1092" s="20" t="n"/>
      <c r="E1092" s="20" t="n"/>
      <c r="F1092" s="20" t="n"/>
      <c r="G1092" s="20" t="n"/>
      <c r="H1092" s="20" t="n"/>
      <c r="I1092" s="20" t="n"/>
      <c r="J1092" s="20">
        <f>IFERROR(INDEX(CONFIGURACOES!$G$37:$G$300,MATCH($I1092,CONFIGURACOES!$B$37:$B$300,0)),"")</f>
        <v/>
      </c>
      <c r="K1092" s="20">
        <f>IFERROR(INDEX(CONFIGURACOES!$H$37:$H$300,MATCH($I1092,CONFIGURACOES!$B$37:$B$300,0)),"")</f>
        <v/>
      </c>
      <c r="L1092" s="20" t="n"/>
      <c r="M1092" s="20">
        <f>IFERROR(INDEX(CONFIGURACOES!$I$37:$I$300,MATCH($I1092,CONFIGURACOES!$B$37:$B$300,0)),"")</f>
        <v/>
      </c>
      <c r="N1092" s="21" t="n"/>
      <c r="O1092" s="21" t="n"/>
      <c r="P1092" s="21" t="n"/>
      <c r="Q1092" s="21" t="n"/>
      <c r="R1092" s="21">
        <f>IF($N1092="","",$N1092*IF($Q1092="",1,$Q1092)*IF($P1092="",1,$P1092)*IF($O1092="",1,$O1092))</f>
        <v/>
      </c>
      <c r="S1092" s="22">
        <f>IFERROR(INDEX(CONFIGURACOES!$J$37:$J$300,MATCH($I1092,CONFIGURACOES!$B$37:$B$300,0)),"")</f>
        <v/>
      </c>
      <c r="T1092" s="22">
        <f>IF(OR($R1092="",$S1092=""),"",$R1092*$S1092)</f>
        <v/>
      </c>
      <c r="U1092" s="20" t="n"/>
      <c r="V1092" s="20" t="n"/>
      <c r="W1092" s="20" t="n"/>
      <c r="X1092">
        <f>IF($A1092="","",$A1092&amp;"|"&amp;$C1092&amp;"|"&amp;$I1092)</f>
        <v/>
      </c>
      <c r="Y1092">
        <f>IF(AND($A1092=RELATORIO_MEDICAO!$C$5,$C1092=RELATORIO_MEDICAO!$F$5,$A1092&lt;&gt;""),COUNTIFS($A$3:$A1092,RELATORIO_MEDICAO!$C$5,$C$3:$C1092,RELATORIO_MEDICAO!$F$5),"")</f>
        <v/>
      </c>
      <c r="Z1092">
        <f>IF(OR($A1092="",PESQUISA!$C$4=""),0,IF(OR(ISNUMBER(SEARCH(PESQUISA!$C$4,$G1092)),ISNUMBER(SEARCH(PESQUISA!$C$4,$K1092)),ISNUMBER(SEARCH(PESQUISA!$C$4,$L1092))),1,0))</f>
        <v/>
      </c>
      <c r="AA1092">
        <f>IF($Z1092=1,SUM($Z$3:$Z1092),"")</f>
        <v/>
      </c>
      <c r="AB1092">
        <f>IF(OR($A1092="",PESQUISA!$C$50=""),0,IF(ISNUMBER(SEARCH(PESQUISA!$C$50,$I1092)),1,0))</f>
        <v/>
      </c>
      <c r="AC1092">
        <f>IF($AB1092=1,SUM($AB$3:$AB1092),"")</f>
        <v/>
      </c>
    </row>
    <row r="1093">
      <c r="A1093" s="20" t="n"/>
      <c r="B1093" s="20" t="n"/>
      <c r="C1093" s="20" t="n"/>
      <c r="D1093" s="20" t="n"/>
      <c r="E1093" s="20" t="n"/>
      <c r="F1093" s="20" t="n"/>
      <c r="G1093" s="20" t="n"/>
      <c r="H1093" s="20" t="n"/>
      <c r="I1093" s="20" t="n"/>
      <c r="J1093" s="20">
        <f>IFERROR(INDEX(CONFIGURACOES!$G$37:$G$300,MATCH($I1093,CONFIGURACOES!$B$37:$B$300,0)),"")</f>
        <v/>
      </c>
      <c r="K1093" s="20">
        <f>IFERROR(INDEX(CONFIGURACOES!$H$37:$H$300,MATCH($I1093,CONFIGURACOES!$B$37:$B$300,0)),"")</f>
        <v/>
      </c>
      <c r="L1093" s="20" t="n"/>
      <c r="M1093" s="20">
        <f>IFERROR(INDEX(CONFIGURACOES!$I$37:$I$300,MATCH($I1093,CONFIGURACOES!$B$37:$B$300,0)),"")</f>
        <v/>
      </c>
      <c r="N1093" s="21" t="n"/>
      <c r="O1093" s="21" t="n"/>
      <c r="P1093" s="21" t="n"/>
      <c r="Q1093" s="21" t="n"/>
      <c r="R1093" s="21">
        <f>IF($N1093="","",$N1093*IF($Q1093="",1,$Q1093)*IF($P1093="",1,$P1093)*IF($O1093="",1,$O1093))</f>
        <v/>
      </c>
      <c r="S1093" s="22">
        <f>IFERROR(INDEX(CONFIGURACOES!$J$37:$J$300,MATCH($I1093,CONFIGURACOES!$B$37:$B$300,0)),"")</f>
        <v/>
      </c>
      <c r="T1093" s="22">
        <f>IF(OR($R1093="",$S1093=""),"",$R1093*$S1093)</f>
        <v/>
      </c>
      <c r="U1093" s="20" t="n"/>
      <c r="V1093" s="20" t="n"/>
      <c r="W1093" s="20" t="n"/>
      <c r="X1093">
        <f>IF($A1093="","",$A1093&amp;"|"&amp;$C1093&amp;"|"&amp;$I1093)</f>
        <v/>
      </c>
      <c r="Y1093">
        <f>IF(AND($A1093=RELATORIO_MEDICAO!$C$5,$C1093=RELATORIO_MEDICAO!$F$5,$A1093&lt;&gt;""),COUNTIFS($A$3:$A1093,RELATORIO_MEDICAO!$C$5,$C$3:$C1093,RELATORIO_MEDICAO!$F$5),"")</f>
        <v/>
      </c>
      <c r="Z1093">
        <f>IF(OR($A1093="",PESQUISA!$C$4=""),0,IF(OR(ISNUMBER(SEARCH(PESQUISA!$C$4,$G1093)),ISNUMBER(SEARCH(PESQUISA!$C$4,$K1093)),ISNUMBER(SEARCH(PESQUISA!$C$4,$L1093))),1,0))</f>
        <v/>
      </c>
      <c r="AA1093">
        <f>IF($Z1093=1,SUM($Z$3:$Z1093),"")</f>
        <v/>
      </c>
      <c r="AB1093">
        <f>IF(OR($A1093="",PESQUISA!$C$50=""),0,IF(ISNUMBER(SEARCH(PESQUISA!$C$50,$I1093)),1,0))</f>
        <v/>
      </c>
      <c r="AC1093">
        <f>IF($AB1093=1,SUM($AB$3:$AB1093),"")</f>
        <v/>
      </c>
    </row>
    <row r="1094">
      <c r="A1094" s="20" t="n"/>
      <c r="B1094" s="20" t="n"/>
      <c r="C1094" s="20" t="n"/>
      <c r="D1094" s="20" t="n"/>
      <c r="E1094" s="20" t="n"/>
      <c r="F1094" s="20" t="n"/>
      <c r="G1094" s="20" t="n"/>
      <c r="H1094" s="20" t="n"/>
      <c r="I1094" s="20" t="n"/>
      <c r="J1094" s="20">
        <f>IFERROR(INDEX(CONFIGURACOES!$G$37:$G$300,MATCH($I1094,CONFIGURACOES!$B$37:$B$300,0)),"")</f>
        <v/>
      </c>
      <c r="K1094" s="20">
        <f>IFERROR(INDEX(CONFIGURACOES!$H$37:$H$300,MATCH($I1094,CONFIGURACOES!$B$37:$B$300,0)),"")</f>
        <v/>
      </c>
      <c r="L1094" s="20" t="n"/>
      <c r="M1094" s="20">
        <f>IFERROR(INDEX(CONFIGURACOES!$I$37:$I$300,MATCH($I1094,CONFIGURACOES!$B$37:$B$300,0)),"")</f>
        <v/>
      </c>
      <c r="N1094" s="21" t="n"/>
      <c r="O1094" s="21" t="n"/>
      <c r="P1094" s="21" t="n"/>
      <c r="Q1094" s="21" t="n"/>
      <c r="R1094" s="21">
        <f>IF($N1094="","",$N1094*IF($Q1094="",1,$Q1094)*IF($P1094="",1,$P1094)*IF($O1094="",1,$O1094))</f>
        <v/>
      </c>
      <c r="S1094" s="22">
        <f>IFERROR(INDEX(CONFIGURACOES!$J$37:$J$300,MATCH($I1094,CONFIGURACOES!$B$37:$B$300,0)),"")</f>
        <v/>
      </c>
      <c r="T1094" s="22">
        <f>IF(OR($R1094="",$S1094=""),"",$R1094*$S1094)</f>
        <v/>
      </c>
      <c r="U1094" s="20" t="n"/>
      <c r="V1094" s="20" t="n"/>
      <c r="W1094" s="20" t="n"/>
      <c r="X1094">
        <f>IF($A1094="","",$A1094&amp;"|"&amp;$C1094&amp;"|"&amp;$I1094)</f>
        <v/>
      </c>
      <c r="Y1094">
        <f>IF(AND($A1094=RELATORIO_MEDICAO!$C$5,$C1094=RELATORIO_MEDICAO!$F$5,$A1094&lt;&gt;""),COUNTIFS($A$3:$A1094,RELATORIO_MEDICAO!$C$5,$C$3:$C1094,RELATORIO_MEDICAO!$F$5),"")</f>
        <v/>
      </c>
      <c r="Z1094">
        <f>IF(OR($A1094="",PESQUISA!$C$4=""),0,IF(OR(ISNUMBER(SEARCH(PESQUISA!$C$4,$G1094)),ISNUMBER(SEARCH(PESQUISA!$C$4,$K1094)),ISNUMBER(SEARCH(PESQUISA!$C$4,$L1094))),1,0))</f>
        <v/>
      </c>
      <c r="AA1094">
        <f>IF($Z1094=1,SUM($Z$3:$Z1094),"")</f>
        <v/>
      </c>
      <c r="AB1094">
        <f>IF(OR($A1094="",PESQUISA!$C$50=""),0,IF(ISNUMBER(SEARCH(PESQUISA!$C$50,$I1094)),1,0))</f>
        <v/>
      </c>
      <c r="AC1094">
        <f>IF($AB1094=1,SUM($AB$3:$AB1094),"")</f>
        <v/>
      </c>
    </row>
    <row r="1095">
      <c r="A1095" s="20" t="n"/>
      <c r="B1095" s="20" t="n"/>
      <c r="C1095" s="20" t="n"/>
      <c r="D1095" s="20" t="n"/>
      <c r="E1095" s="20" t="n"/>
      <c r="F1095" s="20" t="n"/>
      <c r="G1095" s="20" t="n"/>
      <c r="H1095" s="20" t="n"/>
      <c r="I1095" s="20" t="n"/>
      <c r="J1095" s="20">
        <f>IFERROR(INDEX(CONFIGURACOES!$G$37:$G$300,MATCH($I1095,CONFIGURACOES!$B$37:$B$300,0)),"")</f>
        <v/>
      </c>
      <c r="K1095" s="20">
        <f>IFERROR(INDEX(CONFIGURACOES!$H$37:$H$300,MATCH($I1095,CONFIGURACOES!$B$37:$B$300,0)),"")</f>
        <v/>
      </c>
      <c r="L1095" s="20" t="n"/>
      <c r="M1095" s="20">
        <f>IFERROR(INDEX(CONFIGURACOES!$I$37:$I$300,MATCH($I1095,CONFIGURACOES!$B$37:$B$300,0)),"")</f>
        <v/>
      </c>
      <c r="N1095" s="21" t="n"/>
      <c r="O1095" s="21" t="n"/>
      <c r="P1095" s="21" t="n"/>
      <c r="Q1095" s="21" t="n"/>
      <c r="R1095" s="21">
        <f>IF($N1095="","",$N1095*IF($Q1095="",1,$Q1095)*IF($P1095="",1,$P1095)*IF($O1095="",1,$O1095))</f>
        <v/>
      </c>
      <c r="S1095" s="22">
        <f>IFERROR(INDEX(CONFIGURACOES!$J$37:$J$300,MATCH($I1095,CONFIGURACOES!$B$37:$B$300,0)),"")</f>
        <v/>
      </c>
      <c r="T1095" s="22">
        <f>IF(OR($R1095="",$S1095=""),"",$R1095*$S1095)</f>
        <v/>
      </c>
      <c r="U1095" s="20" t="n"/>
      <c r="V1095" s="20" t="n"/>
      <c r="W1095" s="20" t="n"/>
      <c r="X1095">
        <f>IF($A1095="","",$A1095&amp;"|"&amp;$C1095&amp;"|"&amp;$I1095)</f>
        <v/>
      </c>
      <c r="Y1095">
        <f>IF(AND($A1095=RELATORIO_MEDICAO!$C$5,$C1095=RELATORIO_MEDICAO!$F$5,$A1095&lt;&gt;""),COUNTIFS($A$3:$A1095,RELATORIO_MEDICAO!$C$5,$C$3:$C1095,RELATORIO_MEDICAO!$F$5),"")</f>
        <v/>
      </c>
      <c r="Z1095">
        <f>IF(OR($A1095="",PESQUISA!$C$4=""),0,IF(OR(ISNUMBER(SEARCH(PESQUISA!$C$4,$G1095)),ISNUMBER(SEARCH(PESQUISA!$C$4,$K1095)),ISNUMBER(SEARCH(PESQUISA!$C$4,$L1095))),1,0))</f>
        <v/>
      </c>
      <c r="AA1095">
        <f>IF($Z1095=1,SUM($Z$3:$Z1095),"")</f>
        <v/>
      </c>
      <c r="AB1095">
        <f>IF(OR($A1095="",PESQUISA!$C$50=""),0,IF(ISNUMBER(SEARCH(PESQUISA!$C$50,$I1095)),1,0))</f>
        <v/>
      </c>
      <c r="AC1095">
        <f>IF($AB1095=1,SUM($AB$3:$AB1095),"")</f>
        <v/>
      </c>
    </row>
    <row r="1096">
      <c r="A1096" s="20" t="n"/>
      <c r="B1096" s="20" t="n"/>
      <c r="C1096" s="20" t="n"/>
      <c r="D1096" s="20" t="n"/>
      <c r="E1096" s="20" t="n"/>
      <c r="F1096" s="20" t="n"/>
      <c r="G1096" s="20" t="n"/>
      <c r="H1096" s="20" t="n"/>
      <c r="I1096" s="20" t="n"/>
      <c r="J1096" s="20">
        <f>IFERROR(INDEX(CONFIGURACOES!$G$37:$G$300,MATCH($I1096,CONFIGURACOES!$B$37:$B$300,0)),"")</f>
        <v/>
      </c>
      <c r="K1096" s="20">
        <f>IFERROR(INDEX(CONFIGURACOES!$H$37:$H$300,MATCH($I1096,CONFIGURACOES!$B$37:$B$300,0)),"")</f>
        <v/>
      </c>
      <c r="L1096" s="20" t="n"/>
      <c r="M1096" s="20">
        <f>IFERROR(INDEX(CONFIGURACOES!$I$37:$I$300,MATCH($I1096,CONFIGURACOES!$B$37:$B$300,0)),"")</f>
        <v/>
      </c>
      <c r="N1096" s="21" t="n"/>
      <c r="O1096" s="21" t="n"/>
      <c r="P1096" s="21" t="n"/>
      <c r="Q1096" s="21" t="n"/>
      <c r="R1096" s="21">
        <f>IF($N1096="","",$N1096*IF($Q1096="",1,$Q1096)*IF($P1096="",1,$P1096)*IF($O1096="",1,$O1096))</f>
        <v/>
      </c>
      <c r="S1096" s="22">
        <f>IFERROR(INDEX(CONFIGURACOES!$J$37:$J$300,MATCH($I1096,CONFIGURACOES!$B$37:$B$300,0)),"")</f>
        <v/>
      </c>
      <c r="T1096" s="22">
        <f>IF(OR($R1096="",$S1096=""),"",$R1096*$S1096)</f>
        <v/>
      </c>
      <c r="U1096" s="20" t="n"/>
      <c r="V1096" s="20" t="n"/>
      <c r="W1096" s="20" t="n"/>
      <c r="X1096">
        <f>IF($A1096="","",$A1096&amp;"|"&amp;$C1096&amp;"|"&amp;$I1096)</f>
        <v/>
      </c>
      <c r="Y1096">
        <f>IF(AND($A1096=RELATORIO_MEDICAO!$C$5,$C1096=RELATORIO_MEDICAO!$F$5,$A1096&lt;&gt;""),COUNTIFS($A$3:$A1096,RELATORIO_MEDICAO!$C$5,$C$3:$C1096,RELATORIO_MEDICAO!$F$5),"")</f>
        <v/>
      </c>
      <c r="Z1096">
        <f>IF(OR($A1096="",PESQUISA!$C$4=""),0,IF(OR(ISNUMBER(SEARCH(PESQUISA!$C$4,$G1096)),ISNUMBER(SEARCH(PESQUISA!$C$4,$K1096)),ISNUMBER(SEARCH(PESQUISA!$C$4,$L1096))),1,0))</f>
        <v/>
      </c>
      <c r="AA1096">
        <f>IF($Z1096=1,SUM($Z$3:$Z1096),"")</f>
        <v/>
      </c>
      <c r="AB1096">
        <f>IF(OR($A1096="",PESQUISA!$C$50=""),0,IF(ISNUMBER(SEARCH(PESQUISA!$C$50,$I1096)),1,0))</f>
        <v/>
      </c>
      <c r="AC1096">
        <f>IF($AB1096=1,SUM($AB$3:$AB1096),"")</f>
        <v/>
      </c>
    </row>
    <row r="1097">
      <c r="A1097" s="20" t="n"/>
      <c r="B1097" s="20" t="n"/>
      <c r="C1097" s="20" t="n"/>
      <c r="D1097" s="20" t="n"/>
      <c r="E1097" s="20" t="n"/>
      <c r="F1097" s="20" t="n"/>
      <c r="G1097" s="20" t="n"/>
      <c r="H1097" s="20" t="n"/>
      <c r="I1097" s="20" t="n"/>
      <c r="J1097" s="20">
        <f>IFERROR(INDEX(CONFIGURACOES!$G$37:$G$300,MATCH($I1097,CONFIGURACOES!$B$37:$B$300,0)),"")</f>
        <v/>
      </c>
      <c r="K1097" s="20">
        <f>IFERROR(INDEX(CONFIGURACOES!$H$37:$H$300,MATCH($I1097,CONFIGURACOES!$B$37:$B$300,0)),"")</f>
        <v/>
      </c>
      <c r="L1097" s="20" t="n"/>
      <c r="M1097" s="20">
        <f>IFERROR(INDEX(CONFIGURACOES!$I$37:$I$300,MATCH($I1097,CONFIGURACOES!$B$37:$B$300,0)),"")</f>
        <v/>
      </c>
      <c r="N1097" s="21" t="n"/>
      <c r="O1097" s="21" t="n"/>
      <c r="P1097" s="21" t="n"/>
      <c r="Q1097" s="21" t="n"/>
      <c r="R1097" s="21">
        <f>IF($N1097="","",$N1097*IF($Q1097="",1,$Q1097)*IF($P1097="",1,$P1097)*IF($O1097="",1,$O1097))</f>
        <v/>
      </c>
      <c r="S1097" s="22">
        <f>IFERROR(INDEX(CONFIGURACOES!$J$37:$J$300,MATCH($I1097,CONFIGURACOES!$B$37:$B$300,0)),"")</f>
        <v/>
      </c>
      <c r="T1097" s="22">
        <f>IF(OR($R1097="",$S1097=""),"",$R1097*$S1097)</f>
        <v/>
      </c>
      <c r="U1097" s="20" t="n"/>
      <c r="V1097" s="20" t="n"/>
      <c r="W1097" s="20" t="n"/>
      <c r="X1097">
        <f>IF($A1097="","",$A1097&amp;"|"&amp;$C1097&amp;"|"&amp;$I1097)</f>
        <v/>
      </c>
      <c r="Y1097">
        <f>IF(AND($A1097=RELATORIO_MEDICAO!$C$5,$C1097=RELATORIO_MEDICAO!$F$5,$A1097&lt;&gt;""),COUNTIFS($A$3:$A1097,RELATORIO_MEDICAO!$C$5,$C$3:$C1097,RELATORIO_MEDICAO!$F$5),"")</f>
        <v/>
      </c>
      <c r="Z1097">
        <f>IF(OR($A1097="",PESQUISA!$C$4=""),0,IF(OR(ISNUMBER(SEARCH(PESQUISA!$C$4,$G1097)),ISNUMBER(SEARCH(PESQUISA!$C$4,$K1097)),ISNUMBER(SEARCH(PESQUISA!$C$4,$L1097))),1,0))</f>
        <v/>
      </c>
      <c r="AA1097">
        <f>IF($Z1097=1,SUM($Z$3:$Z1097),"")</f>
        <v/>
      </c>
      <c r="AB1097">
        <f>IF(OR($A1097="",PESQUISA!$C$50=""),0,IF(ISNUMBER(SEARCH(PESQUISA!$C$50,$I1097)),1,0))</f>
        <v/>
      </c>
      <c r="AC1097">
        <f>IF($AB1097=1,SUM($AB$3:$AB1097),"")</f>
        <v/>
      </c>
    </row>
    <row r="1098">
      <c r="A1098" s="20" t="n"/>
      <c r="B1098" s="20" t="n"/>
      <c r="C1098" s="20" t="n"/>
      <c r="D1098" s="20" t="n"/>
      <c r="E1098" s="20" t="n"/>
      <c r="F1098" s="20" t="n"/>
      <c r="G1098" s="20" t="n"/>
      <c r="H1098" s="20" t="n"/>
      <c r="I1098" s="20" t="n"/>
      <c r="J1098" s="20">
        <f>IFERROR(INDEX(CONFIGURACOES!$G$37:$G$300,MATCH($I1098,CONFIGURACOES!$B$37:$B$300,0)),"")</f>
        <v/>
      </c>
      <c r="K1098" s="20">
        <f>IFERROR(INDEX(CONFIGURACOES!$H$37:$H$300,MATCH($I1098,CONFIGURACOES!$B$37:$B$300,0)),"")</f>
        <v/>
      </c>
      <c r="L1098" s="20" t="n"/>
      <c r="M1098" s="20">
        <f>IFERROR(INDEX(CONFIGURACOES!$I$37:$I$300,MATCH($I1098,CONFIGURACOES!$B$37:$B$300,0)),"")</f>
        <v/>
      </c>
      <c r="N1098" s="21" t="n"/>
      <c r="O1098" s="21" t="n"/>
      <c r="P1098" s="21" t="n"/>
      <c r="Q1098" s="21" t="n"/>
      <c r="R1098" s="21">
        <f>IF($N1098="","",$N1098*IF($Q1098="",1,$Q1098)*IF($P1098="",1,$P1098)*IF($O1098="",1,$O1098))</f>
        <v/>
      </c>
      <c r="S1098" s="22">
        <f>IFERROR(INDEX(CONFIGURACOES!$J$37:$J$300,MATCH($I1098,CONFIGURACOES!$B$37:$B$300,0)),"")</f>
        <v/>
      </c>
      <c r="T1098" s="22">
        <f>IF(OR($R1098="",$S1098=""),"",$R1098*$S1098)</f>
        <v/>
      </c>
      <c r="U1098" s="20" t="n"/>
      <c r="V1098" s="20" t="n"/>
      <c r="W1098" s="20" t="n"/>
      <c r="X1098">
        <f>IF($A1098="","",$A1098&amp;"|"&amp;$C1098&amp;"|"&amp;$I1098)</f>
        <v/>
      </c>
      <c r="Y1098">
        <f>IF(AND($A1098=RELATORIO_MEDICAO!$C$5,$C1098=RELATORIO_MEDICAO!$F$5,$A1098&lt;&gt;""),COUNTIFS($A$3:$A1098,RELATORIO_MEDICAO!$C$5,$C$3:$C1098,RELATORIO_MEDICAO!$F$5),"")</f>
        <v/>
      </c>
      <c r="Z1098">
        <f>IF(OR($A1098="",PESQUISA!$C$4=""),0,IF(OR(ISNUMBER(SEARCH(PESQUISA!$C$4,$G1098)),ISNUMBER(SEARCH(PESQUISA!$C$4,$K1098)),ISNUMBER(SEARCH(PESQUISA!$C$4,$L1098))),1,0))</f>
        <v/>
      </c>
      <c r="AA1098">
        <f>IF($Z1098=1,SUM($Z$3:$Z1098),"")</f>
        <v/>
      </c>
      <c r="AB1098">
        <f>IF(OR($A1098="",PESQUISA!$C$50=""),0,IF(ISNUMBER(SEARCH(PESQUISA!$C$50,$I1098)),1,0))</f>
        <v/>
      </c>
      <c r="AC1098">
        <f>IF($AB1098=1,SUM($AB$3:$AB1098),"")</f>
        <v/>
      </c>
    </row>
    <row r="1099">
      <c r="A1099" s="20" t="n"/>
      <c r="B1099" s="20" t="n"/>
      <c r="C1099" s="20" t="n"/>
      <c r="D1099" s="20" t="n"/>
      <c r="E1099" s="20" t="n"/>
      <c r="F1099" s="20" t="n"/>
      <c r="G1099" s="20" t="n"/>
      <c r="H1099" s="20" t="n"/>
      <c r="I1099" s="20" t="n"/>
      <c r="J1099" s="20">
        <f>IFERROR(INDEX(CONFIGURACOES!$G$37:$G$300,MATCH($I1099,CONFIGURACOES!$B$37:$B$300,0)),"")</f>
        <v/>
      </c>
      <c r="K1099" s="20">
        <f>IFERROR(INDEX(CONFIGURACOES!$H$37:$H$300,MATCH($I1099,CONFIGURACOES!$B$37:$B$300,0)),"")</f>
        <v/>
      </c>
      <c r="L1099" s="20" t="n"/>
      <c r="M1099" s="20">
        <f>IFERROR(INDEX(CONFIGURACOES!$I$37:$I$300,MATCH($I1099,CONFIGURACOES!$B$37:$B$300,0)),"")</f>
        <v/>
      </c>
      <c r="N1099" s="21" t="n"/>
      <c r="O1099" s="21" t="n"/>
      <c r="P1099" s="21" t="n"/>
      <c r="Q1099" s="21" t="n"/>
      <c r="R1099" s="21">
        <f>IF($N1099="","",$N1099*IF($Q1099="",1,$Q1099)*IF($P1099="",1,$P1099)*IF($O1099="",1,$O1099))</f>
        <v/>
      </c>
      <c r="S1099" s="22">
        <f>IFERROR(INDEX(CONFIGURACOES!$J$37:$J$300,MATCH($I1099,CONFIGURACOES!$B$37:$B$300,0)),"")</f>
        <v/>
      </c>
      <c r="T1099" s="22">
        <f>IF(OR($R1099="",$S1099=""),"",$R1099*$S1099)</f>
        <v/>
      </c>
      <c r="U1099" s="20" t="n"/>
      <c r="V1099" s="20" t="n"/>
      <c r="W1099" s="20" t="n"/>
      <c r="X1099">
        <f>IF($A1099="","",$A1099&amp;"|"&amp;$C1099&amp;"|"&amp;$I1099)</f>
        <v/>
      </c>
      <c r="Y1099">
        <f>IF(AND($A1099=RELATORIO_MEDICAO!$C$5,$C1099=RELATORIO_MEDICAO!$F$5,$A1099&lt;&gt;""),COUNTIFS($A$3:$A1099,RELATORIO_MEDICAO!$C$5,$C$3:$C1099,RELATORIO_MEDICAO!$F$5),"")</f>
        <v/>
      </c>
      <c r="Z1099">
        <f>IF(OR($A1099="",PESQUISA!$C$4=""),0,IF(OR(ISNUMBER(SEARCH(PESQUISA!$C$4,$G1099)),ISNUMBER(SEARCH(PESQUISA!$C$4,$K1099)),ISNUMBER(SEARCH(PESQUISA!$C$4,$L1099))),1,0))</f>
        <v/>
      </c>
      <c r="AA1099">
        <f>IF($Z1099=1,SUM($Z$3:$Z1099),"")</f>
        <v/>
      </c>
      <c r="AB1099">
        <f>IF(OR($A1099="",PESQUISA!$C$50=""),0,IF(ISNUMBER(SEARCH(PESQUISA!$C$50,$I1099)),1,0))</f>
        <v/>
      </c>
      <c r="AC1099">
        <f>IF($AB1099=1,SUM($AB$3:$AB1099),"")</f>
        <v/>
      </c>
    </row>
    <row r="1100">
      <c r="A1100" s="20" t="n"/>
      <c r="B1100" s="20" t="n"/>
      <c r="C1100" s="20" t="n"/>
      <c r="D1100" s="20" t="n"/>
      <c r="E1100" s="20" t="n"/>
      <c r="F1100" s="20" t="n"/>
      <c r="G1100" s="20" t="n"/>
      <c r="H1100" s="20" t="n"/>
      <c r="I1100" s="20" t="n"/>
      <c r="J1100" s="20">
        <f>IFERROR(INDEX(CONFIGURACOES!$G$37:$G$300,MATCH($I1100,CONFIGURACOES!$B$37:$B$300,0)),"")</f>
        <v/>
      </c>
      <c r="K1100" s="20">
        <f>IFERROR(INDEX(CONFIGURACOES!$H$37:$H$300,MATCH($I1100,CONFIGURACOES!$B$37:$B$300,0)),"")</f>
        <v/>
      </c>
      <c r="L1100" s="20" t="n"/>
      <c r="M1100" s="20">
        <f>IFERROR(INDEX(CONFIGURACOES!$I$37:$I$300,MATCH($I1100,CONFIGURACOES!$B$37:$B$300,0)),"")</f>
        <v/>
      </c>
      <c r="N1100" s="21" t="n"/>
      <c r="O1100" s="21" t="n"/>
      <c r="P1100" s="21" t="n"/>
      <c r="Q1100" s="21" t="n"/>
      <c r="R1100" s="21">
        <f>IF($N1100="","",$N1100*IF($Q1100="",1,$Q1100)*IF($P1100="",1,$P1100)*IF($O1100="",1,$O1100))</f>
        <v/>
      </c>
      <c r="S1100" s="22">
        <f>IFERROR(INDEX(CONFIGURACOES!$J$37:$J$300,MATCH($I1100,CONFIGURACOES!$B$37:$B$300,0)),"")</f>
        <v/>
      </c>
      <c r="T1100" s="22">
        <f>IF(OR($R1100="",$S1100=""),"",$R1100*$S1100)</f>
        <v/>
      </c>
      <c r="U1100" s="20" t="n"/>
      <c r="V1100" s="20" t="n"/>
      <c r="W1100" s="20" t="n"/>
      <c r="X1100">
        <f>IF($A1100="","",$A1100&amp;"|"&amp;$C1100&amp;"|"&amp;$I1100)</f>
        <v/>
      </c>
      <c r="Y1100">
        <f>IF(AND($A1100=RELATORIO_MEDICAO!$C$5,$C1100=RELATORIO_MEDICAO!$F$5,$A1100&lt;&gt;""),COUNTIFS($A$3:$A1100,RELATORIO_MEDICAO!$C$5,$C$3:$C1100,RELATORIO_MEDICAO!$F$5),"")</f>
        <v/>
      </c>
      <c r="Z1100">
        <f>IF(OR($A1100="",PESQUISA!$C$4=""),0,IF(OR(ISNUMBER(SEARCH(PESQUISA!$C$4,$G1100)),ISNUMBER(SEARCH(PESQUISA!$C$4,$K1100)),ISNUMBER(SEARCH(PESQUISA!$C$4,$L1100))),1,0))</f>
        <v/>
      </c>
      <c r="AA1100">
        <f>IF($Z1100=1,SUM($Z$3:$Z1100),"")</f>
        <v/>
      </c>
      <c r="AB1100">
        <f>IF(OR($A1100="",PESQUISA!$C$50=""),0,IF(ISNUMBER(SEARCH(PESQUISA!$C$50,$I1100)),1,0))</f>
        <v/>
      </c>
      <c r="AC1100">
        <f>IF($AB1100=1,SUM($AB$3:$AB1100),"")</f>
        <v/>
      </c>
    </row>
    <row r="1101">
      <c r="A1101" s="20" t="n"/>
      <c r="B1101" s="20" t="n"/>
      <c r="C1101" s="20" t="n"/>
      <c r="D1101" s="20" t="n"/>
      <c r="E1101" s="20" t="n"/>
      <c r="F1101" s="20" t="n"/>
      <c r="G1101" s="20" t="n"/>
      <c r="H1101" s="20" t="n"/>
      <c r="I1101" s="20" t="n"/>
      <c r="J1101" s="20">
        <f>IFERROR(INDEX(CONFIGURACOES!$G$37:$G$300,MATCH($I1101,CONFIGURACOES!$B$37:$B$300,0)),"")</f>
        <v/>
      </c>
      <c r="K1101" s="20">
        <f>IFERROR(INDEX(CONFIGURACOES!$H$37:$H$300,MATCH($I1101,CONFIGURACOES!$B$37:$B$300,0)),"")</f>
        <v/>
      </c>
      <c r="L1101" s="20" t="n"/>
      <c r="M1101" s="20">
        <f>IFERROR(INDEX(CONFIGURACOES!$I$37:$I$300,MATCH($I1101,CONFIGURACOES!$B$37:$B$300,0)),"")</f>
        <v/>
      </c>
      <c r="N1101" s="21" t="n"/>
      <c r="O1101" s="21" t="n"/>
      <c r="P1101" s="21" t="n"/>
      <c r="Q1101" s="21" t="n"/>
      <c r="R1101" s="21">
        <f>IF($N1101="","",$N1101*IF($Q1101="",1,$Q1101)*IF($P1101="",1,$P1101)*IF($O1101="",1,$O1101))</f>
        <v/>
      </c>
      <c r="S1101" s="22">
        <f>IFERROR(INDEX(CONFIGURACOES!$J$37:$J$300,MATCH($I1101,CONFIGURACOES!$B$37:$B$300,0)),"")</f>
        <v/>
      </c>
      <c r="T1101" s="22">
        <f>IF(OR($R1101="",$S1101=""),"",$R1101*$S1101)</f>
        <v/>
      </c>
      <c r="U1101" s="20" t="n"/>
      <c r="V1101" s="20" t="n"/>
      <c r="W1101" s="20" t="n"/>
      <c r="X1101">
        <f>IF($A1101="","",$A1101&amp;"|"&amp;$C1101&amp;"|"&amp;$I1101)</f>
        <v/>
      </c>
      <c r="Y1101">
        <f>IF(AND($A1101=RELATORIO_MEDICAO!$C$5,$C1101=RELATORIO_MEDICAO!$F$5,$A1101&lt;&gt;""),COUNTIFS($A$3:$A1101,RELATORIO_MEDICAO!$C$5,$C$3:$C1101,RELATORIO_MEDICAO!$F$5),"")</f>
        <v/>
      </c>
      <c r="Z1101">
        <f>IF(OR($A1101="",PESQUISA!$C$4=""),0,IF(OR(ISNUMBER(SEARCH(PESQUISA!$C$4,$G1101)),ISNUMBER(SEARCH(PESQUISA!$C$4,$K1101)),ISNUMBER(SEARCH(PESQUISA!$C$4,$L1101))),1,0))</f>
        <v/>
      </c>
      <c r="AA1101">
        <f>IF($Z1101=1,SUM($Z$3:$Z1101),"")</f>
        <v/>
      </c>
      <c r="AB1101">
        <f>IF(OR($A1101="",PESQUISA!$C$50=""),0,IF(ISNUMBER(SEARCH(PESQUISA!$C$50,$I1101)),1,0))</f>
        <v/>
      </c>
      <c r="AC1101">
        <f>IF($AB1101=1,SUM($AB$3:$AB1101),"")</f>
        <v/>
      </c>
    </row>
    <row r="1102">
      <c r="A1102" s="20" t="n"/>
      <c r="B1102" s="20" t="n"/>
      <c r="C1102" s="20" t="n"/>
      <c r="D1102" s="20" t="n"/>
      <c r="E1102" s="20" t="n"/>
      <c r="F1102" s="20" t="n"/>
      <c r="G1102" s="20" t="n"/>
      <c r="H1102" s="20" t="n"/>
      <c r="I1102" s="20" t="n"/>
      <c r="J1102" s="20">
        <f>IFERROR(INDEX(CONFIGURACOES!$G$37:$G$300,MATCH($I1102,CONFIGURACOES!$B$37:$B$300,0)),"")</f>
        <v/>
      </c>
      <c r="K1102" s="20">
        <f>IFERROR(INDEX(CONFIGURACOES!$H$37:$H$300,MATCH($I1102,CONFIGURACOES!$B$37:$B$300,0)),"")</f>
        <v/>
      </c>
      <c r="L1102" s="20" t="n"/>
      <c r="M1102" s="20">
        <f>IFERROR(INDEX(CONFIGURACOES!$I$37:$I$300,MATCH($I1102,CONFIGURACOES!$B$37:$B$300,0)),"")</f>
        <v/>
      </c>
      <c r="N1102" s="21" t="n"/>
      <c r="O1102" s="21" t="n"/>
      <c r="P1102" s="21" t="n"/>
      <c r="Q1102" s="21" t="n"/>
      <c r="R1102" s="21">
        <f>IF($N1102="","",$N1102*IF($Q1102="",1,$Q1102)*IF($P1102="",1,$P1102)*IF($O1102="",1,$O1102))</f>
        <v/>
      </c>
      <c r="S1102" s="22">
        <f>IFERROR(INDEX(CONFIGURACOES!$J$37:$J$300,MATCH($I1102,CONFIGURACOES!$B$37:$B$300,0)),"")</f>
        <v/>
      </c>
      <c r="T1102" s="22">
        <f>IF(OR($R1102="",$S1102=""),"",$R1102*$S1102)</f>
        <v/>
      </c>
      <c r="U1102" s="20" t="n"/>
      <c r="V1102" s="20" t="n"/>
      <c r="W1102" s="20" t="n"/>
      <c r="X1102">
        <f>IF($A1102="","",$A1102&amp;"|"&amp;$C1102&amp;"|"&amp;$I1102)</f>
        <v/>
      </c>
      <c r="Y1102">
        <f>IF(AND($A1102=RELATORIO_MEDICAO!$C$5,$C1102=RELATORIO_MEDICAO!$F$5,$A1102&lt;&gt;""),COUNTIFS($A$3:$A1102,RELATORIO_MEDICAO!$C$5,$C$3:$C1102,RELATORIO_MEDICAO!$F$5),"")</f>
        <v/>
      </c>
      <c r="Z1102">
        <f>IF(OR($A1102="",PESQUISA!$C$4=""),0,IF(OR(ISNUMBER(SEARCH(PESQUISA!$C$4,$G1102)),ISNUMBER(SEARCH(PESQUISA!$C$4,$K1102)),ISNUMBER(SEARCH(PESQUISA!$C$4,$L1102))),1,0))</f>
        <v/>
      </c>
      <c r="AA1102">
        <f>IF($Z1102=1,SUM($Z$3:$Z1102),"")</f>
        <v/>
      </c>
      <c r="AB1102">
        <f>IF(OR($A1102="",PESQUISA!$C$50=""),0,IF(ISNUMBER(SEARCH(PESQUISA!$C$50,$I1102)),1,0))</f>
        <v/>
      </c>
      <c r="AC1102">
        <f>IF($AB1102=1,SUM($AB$3:$AB1102),"")</f>
        <v/>
      </c>
    </row>
    <row r="1103">
      <c r="A1103" s="20" t="n"/>
      <c r="B1103" s="20" t="n"/>
      <c r="C1103" s="20" t="n"/>
      <c r="D1103" s="20" t="n"/>
      <c r="E1103" s="20" t="n"/>
      <c r="F1103" s="20" t="n"/>
      <c r="G1103" s="20" t="n"/>
      <c r="H1103" s="20" t="n"/>
      <c r="I1103" s="20" t="n"/>
      <c r="J1103" s="20">
        <f>IFERROR(INDEX(CONFIGURACOES!$G$37:$G$300,MATCH($I1103,CONFIGURACOES!$B$37:$B$300,0)),"")</f>
        <v/>
      </c>
      <c r="K1103" s="20">
        <f>IFERROR(INDEX(CONFIGURACOES!$H$37:$H$300,MATCH($I1103,CONFIGURACOES!$B$37:$B$300,0)),"")</f>
        <v/>
      </c>
      <c r="L1103" s="20" t="n"/>
      <c r="M1103" s="20">
        <f>IFERROR(INDEX(CONFIGURACOES!$I$37:$I$300,MATCH($I1103,CONFIGURACOES!$B$37:$B$300,0)),"")</f>
        <v/>
      </c>
      <c r="N1103" s="21" t="n"/>
      <c r="O1103" s="21" t="n"/>
      <c r="P1103" s="21" t="n"/>
      <c r="Q1103" s="21" t="n"/>
      <c r="R1103" s="21">
        <f>IF($N1103="","",$N1103*IF($Q1103="",1,$Q1103)*IF($P1103="",1,$P1103)*IF($O1103="",1,$O1103))</f>
        <v/>
      </c>
      <c r="S1103" s="22">
        <f>IFERROR(INDEX(CONFIGURACOES!$J$37:$J$300,MATCH($I1103,CONFIGURACOES!$B$37:$B$300,0)),"")</f>
        <v/>
      </c>
      <c r="T1103" s="22">
        <f>IF(OR($R1103="",$S1103=""),"",$R1103*$S1103)</f>
        <v/>
      </c>
      <c r="U1103" s="20" t="n"/>
      <c r="V1103" s="20" t="n"/>
      <c r="W1103" s="20" t="n"/>
      <c r="X1103">
        <f>IF($A1103="","",$A1103&amp;"|"&amp;$C1103&amp;"|"&amp;$I1103)</f>
        <v/>
      </c>
      <c r="Y1103">
        <f>IF(AND($A1103=RELATORIO_MEDICAO!$C$5,$C1103=RELATORIO_MEDICAO!$F$5,$A1103&lt;&gt;""),COUNTIFS($A$3:$A1103,RELATORIO_MEDICAO!$C$5,$C$3:$C1103,RELATORIO_MEDICAO!$F$5),"")</f>
        <v/>
      </c>
      <c r="Z1103">
        <f>IF(OR($A1103="",PESQUISA!$C$4=""),0,IF(OR(ISNUMBER(SEARCH(PESQUISA!$C$4,$G1103)),ISNUMBER(SEARCH(PESQUISA!$C$4,$K1103)),ISNUMBER(SEARCH(PESQUISA!$C$4,$L1103))),1,0))</f>
        <v/>
      </c>
      <c r="AA1103">
        <f>IF($Z1103=1,SUM($Z$3:$Z1103),"")</f>
        <v/>
      </c>
      <c r="AB1103">
        <f>IF(OR($A1103="",PESQUISA!$C$50=""),0,IF(ISNUMBER(SEARCH(PESQUISA!$C$50,$I1103)),1,0))</f>
        <v/>
      </c>
      <c r="AC1103">
        <f>IF($AB1103=1,SUM($AB$3:$AB1103),"")</f>
        <v/>
      </c>
    </row>
    <row r="1104">
      <c r="A1104" s="20" t="n"/>
      <c r="B1104" s="20" t="n"/>
      <c r="C1104" s="20" t="n"/>
      <c r="D1104" s="20" t="n"/>
      <c r="E1104" s="20" t="n"/>
      <c r="F1104" s="20" t="n"/>
      <c r="G1104" s="20" t="n"/>
      <c r="H1104" s="20" t="n"/>
      <c r="I1104" s="20" t="n"/>
      <c r="J1104" s="20">
        <f>IFERROR(INDEX(CONFIGURACOES!$G$37:$G$300,MATCH($I1104,CONFIGURACOES!$B$37:$B$300,0)),"")</f>
        <v/>
      </c>
      <c r="K1104" s="20">
        <f>IFERROR(INDEX(CONFIGURACOES!$H$37:$H$300,MATCH($I1104,CONFIGURACOES!$B$37:$B$300,0)),"")</f>
        <v/>
      </c>
      <c r="L1104" s="20" t="n"/>
      <c r="M1104" s="20">
        <f>IFERROR(INDEX(CONFIGURACOES!$I$37:$I$300,MATCH($I1104,CONFIGURACOES!$B$37:$B$300,0)),"")</f>
        <v/>
      </c>
      <c r="N1104" s="21" t="n"/>
      <c r="O1104" s="21" t="n"/>
      <c r="P1104" s="21" t="n"/>
      <c r="Q1104" s="21" t="n"/>
      <c r="R1104" s="21">
        <f>IF($N1104="","",$N1104*IF($Q1104="",1,$Q1104)*IF($P1104="",1,$P1104)*IF($O1104="",1,$O1104))</f>
        <v/>
      </c>
      <c r="S1104" s="22">
        <f>IFERROR(INDEX(CONFIGURACOES!$J$37:$J$300,MATCH($I1104,CONFIGURACOES!$B$37:$B$300,0)),"")</f>
        <v/>
      </c>
      <c r="T1104" s="22">
        <f>IF(OR($R1104="",$S1104=""),"",$R1104*$S1104)</f>
        <v/>
      </c>
      <c r="U1104" s="20" t="n"/>
      <c r="V1104" s="20" t="n"/>
      <c r="W1104" s="20" t="n"/>
      <c r="X1104">
        <f>IF($A1104="","",$A1104&amp;"|"&amp;$C1104&amp;"|"&amp;$I1104)</f>
        <v/>
      </c>
      <c r="Y1104">
        <f>IF(AND($A1104=RELATORIO_MEDICAO!$C$5,$C1104=RELATORIO_MEDICAO!$F$5,$A1104&lt;&gt;""),COUNTIFS($A$3:$A1104,RELATORIO_MEDICAO!$C$5,$C$3:$C1104,RELATORIO_MEDICAO!$F$5),"")</f>
        <v/>
      </c>
      <c r="Z1104">
        <f>IF(OR($A1104="",PESQUISA!$C$4=""),0,IF(OR(ISNUMBER(SEARCH(PESQUISA!$C$4,$G1104)),ISNUMBER(SEARCH(PESQUISA!$C$4,$K1104)),ISNUMBER(SEARCH(PESQUISA!$C$4,$L1104))),1,0))</f>
        <v/>
      </c>
      <c r="AA1104">
        <f>IF($Z1104=1,SUM($Z$3:$Z1104),"")</f>
        <v/>
      </c>
      <c r="AB1104">
        <f>IF(OR($A1104="",PESQUISA!$C$50=""),0,IF(ISNUMBER(SEARCH(PESQUISA!$C$50,$I1104)),1,0))</f>
        <v/>
      </c>
      <c r="AC1104">
        <f>IF($AB1104=1,SUM($AB$3:$AB1104),"")</f>
        <v/>
      </c>
    </row>
    <row r="1105">
      <c r="A1105" s="20" t="n"/>
      <c r="B1105" s="20" t="n"/>
      <c r="C1105" s="20" t="n"/>
      <c r="D1105" s="20" t="n"/>
      <c r="E1105" s="20" t="n"/>
      <c r="F1105" s="20" t="n"/>
      <c r="G1105" s="20" t="n"/>
      <c r="H1105" s="20" t="n"/>
      <c r="I1105" s="20" t="n"/>
      <c r="J1105" s="20">
        <f>IFERROR(INDEX(CONFIGURACOES!$G$37:$G$300,MATCH($I1105,CONFIGURACOES!$B$37:$B$300,0)),"")</f>
        <v/>
      </c>
      <c r="K1105" s="20">
        <f>IFERROR(INDEX(CONFIGURACOES!$H$37:$H$300,MATCH($I1105,CONFIGURACOES!$B$37:$B$300,0)),"")</f>
        <v/>
      </c>
      <c r="L1105" s="20" t="n"/>
      <c r="M1105" s="20">
        <f>IFERROR(INDEX(CONFIGURACOES!$I$37:$I$300,MATCH($I1105,CONFIGURACOES!$B$37:$B$300,0)),"")</f>
        <v/>
      </c>
      <c r="N1105" s="21" t="n"/>
      <c r="O1105" s="21" t="n"/>
      <c r="P1105" s="21" t="n"/>
      <c r="Q1105" s="21" t="n"/>
      <c r="R1105" s="21">
        <f>IF($N1105="","",$N1105*IF($Q1105="",1,$Q1105)*IF($P1105="",1,$P1105)*IF($O1105="",1,$O1105))</f>
        <v/>
      </c>
      <c r="S1105" s="22">
        <f>IFERROR(INDEX(CONFIGURACOES!$J$37:$J$300,MATCH($I1105,CONFIGURACOES!$B$37:$B$300,0)),"")</f>
        <v/>
      </c>
      <c r="T1105" s="22">
        <f>IF(OR($R1105="",$S1105=""),"",$R1105*$S1105)</f>
        <v/>
      </c>
      <c r="U1105" s="20" t="n"/>
      <c r="V1105" s="20" t="n"/>
      <c r="W1105" s="20" t="n"/>
      <c r="X1105">
        <f>IF($A1105="","",$A1105&amp;"|"&amp;$C1105&amp;"|"&amp;$I1105)</f>
        <v/>
      </c>
      <c r="Y1105">
        <f>IF(AND($A1105=RELATORIO_MEDICAO!$C$5,$C1105=RELATORIO_MEDICAO!$F$5,$A1105&lt;&gt;""),COUNTIFS($A$3:$A1105,RELATORIO_MEDICAO!$C$5,$C$3:$C1105,RELATORIO_MEDICAO!$F$5),"")</f>
        <v/>
      </c>
      <c r="Z1105">
        <f>IF(OR($A1105="",PESQUISA!$C$4=""),0,IF(OR(ISNUMBER(SEARCH(PESQUISA!$C$4,$G1105)),ISNUMBER(SEARCH(PESQUISA!$C$4,$K1105)),ISNUMBER(SEARCH(PESQUISA!$C$4,$L1105))),1,0))</f>
        <v/>
      </c>
      <c r="AA1105">
        <f>IF($Z1105=1,SUM($Z$3:$Z1105),"")</f>
        <v/>
      </c>
      <c r="AB1105">
        <f>IF(OR($A1105="",PESQUISA!$C$50=""),0,IF(ISNUMBER(SEARCH(PESQUISA!$C$50,$I1105)),1,0))</f>
        <v/>
      </c>
      <c r="AC1105">
        <f>IF($AB1105=1,SUM($AB$3:$AB1105),"")</f>
        <v/>
      </c>
    </row>
    <row r="1106">
      <c r="A1106" s="20" t="n"/>
      <c r="B1106" s="20" t="n"/>
      <c r="C1106" s="20" t="n"/>
      <c r="D1106" s="20" t="n"/>
      <c r="E1106" s="20" t="n"/>
      <c r="F1106" s="20" t="n"/>
      <c r="G1106" s="20" t="n"/>
      <c r="H1106" s="20" t="n"/>
      <c r="I1106" s="20" t="n"/>
      <c r="J1106" s="20">
        <f>IFERROR(INDEX(CONFIGURACOES!$G$37:$G$300,MATCH($I1106,CONFIGURACOES!$B$37:$B$300,0)),"")</f>
        <v/>
      </c>
      <c r="K1106" s="20">
        <f>IFERROR(INDEX(CONFIGURACOES!$H$37:$H$300,MATCH($I1106,CONFIGURACOES!$B$37:$B$300,0)),"")</f>
        <v/>
      </c>
      <c r="L1106" s="20" t="n"/>
      <c r="M1106" s="20">
        <f>IFERROR(INDEX(CONFIGURACOES!$I$37:$I$300,MATCH($I1106,CONFIGURACOES!$B$37:$B$300,0)),"")</f>
        <v/>
      </c>
      <c r="N1106" s="21" t="n"/>
      <c r="O1106" s="21" t="n"/>
      <c r="P1106" s="21" t="n"/>
      <c r="Q1106" s="21" t="n"/>
      <c r="R1106" s="21">
        <f>IF($N1106="","",$N1106*IF($Q1106="",1,$Q1106)*IF($P1106="",1,$P1106)*IF($O1106="",1,$O1106))</f>
        <v/>
      </c>
      <c r="S1106" s="22">
        <f>IFERROR(INDEX(CONFIGURACOES!$J$37:$J$300,MATCH($I1106,CONFIGURACOES!$B$37:$B$300,0)),"")</f>
        <v/>
      </c>
      <c r="T1106" s="22">
        <f>IF(OR($R1106="",$S1106=""),"",$R1106*$S1106)</f>
        <v/>
      </c>
      <c r="U1106" s="20" t="n"/>
      <c r="V1106" s="20" t="n"/>
      <c r="W1106" s="20" t="n"/>
      <c r="X1106">
        <f>IF($A1106="","",$A1106&amp;"|"&amp;$C1106&amp;"|"&amp;$I1106)</f>
        <v/>
      </c>
      <c r="Y1106">
        <f>IF(AND($A1106=RELATORIO_MEDICAO!$C$5,$C1106=RELATORIO_MEDICAO!$F$5,$A1106&lt;&gt;""),COUNTIFS($A$3:$A1106,RELATORIO_MEDICAO!$C$5,$C$3:$C1106,RELATORIO_MEDICAO!$F$5),"")</f>
        <v/>
      </c>
      <c r="Z1106">
        <f>IF(OR($A1106="",PESQUISA!$C$4=""),0,IF(OR(ISNUMBER(SEARCH(PESQUISA!$C$4,$G1106)),ISNUMBER(SEARCH(PESQUISA!$C$4,$K1106)),ISNUMBER(SEARCH(PESQUISA!$C$4,$L1106))),1,0))</f>
        <v/>
      </c>
      <c r="AA1106">
        <f>IF($Z1106=1,SUM($Z$3:$Z1106),"")</f>
        <v/>
      </c>
      <c r="AB1106">
        <f>IF(OR($A1106="",PESQUISA!$C$50=""),0,IF(ISNUMBER(SEARCH(PESQUISA!$C$50,$I1106)),1,0))</f>
        <v/>
      </c>
      <c r="AC1106">
        <f>IF($AB1106=1,SUM($AB$3:$AB1106),"")</f>
        <v/>
      </c>
    </row>
    <row r="1107">
      <c r="A1107" s="20" t="n"/>
      <c r="B1107" s="20" t="n"/>
      <c r="C1107" s="20" t="n"/>
      <c r="D1107" s="20" t="n"/>
      <c r="E1107" s="20" t="n"/>
      <c r="F1107" s="20" t="n"/>
      <c r="G1107" s="20" t="n"/>
      <c r="H1107" s="20" t="n"/>
      <c r="I1107" s="20" t="n"/>
      <c r="J1107" s="20">
        <f>IFERROR(INDEX(CONFIGURACOES!$G$37:$G$300,MATCH($I1107,CONFIGURACOES!$B$37:$B$300,0)),"")</f>
        <v/>
      </c>
      <c r="K1107" s="20">
        <f>IFERROR(INDEX(CONFIGURACOES!$H$37:$H$300,MATCH($I1107,CONFIGURACOES!$B$37:$B$300,0)),"")</f>
        <v/>
      </c>
      <c r="L1107" s="20" t="n"/>
      <c r="M1107" s="20">
        <f>IFERROR(INDEX(CONFIGURACOES!$I$37:$I$300,MATCH($I1107,CONFIGURACOES!$B$37:$B$300,0)),"")</f>
        <v/>
      </c>
      <c r="N1107" s="21" t="n"/>
      <c r="O1107" s="21" t="n"/>
      <c r="P1107" s="21" t="n"/>
      <c r="Q1107" s="21" t="n"/>
      <c r="R1107" s="21">
        <f>IF($N1107="","",$N1107*IF($Q1107="",1,$Q1107)*IF($P1107="",1,$P1107)*IF($O1107="",1,$O1107))</f>
        <v/>
      </c>
      <c r="S1107" s="22">
        <f>IFERROR(INDEX(CONFIGURACOES!$J$37:$J$300,MATCH($I1107,CONFIGURACOES!$B$37:$B$300,0)),"")</f>
        <v/>
      </c>
      <c r="T1107" s="22">
        <f>IF(OR($R1107="",$S1107=""),"",$R1107*$S1107)</f>
        <v/>
      </c>
      <c r="U1107" s="20" t="n"/>
      <c r="V1107" s="20" t="n"/>
      <c r="W1107" s="20" t="n"/>
      <c r="X1107">
        <f>IF($A1107="","",$A1107&amp;"|"&amp;$C1107&amp;"|"&amp;$I1107)</f>
        <v/>
      </c>
      <c r="Y1107">
        <f>IF(AND($A1107=RELATORIO_MEDICAO!$C$5,$C1107=RELATORIO_MEDICAO!$F$5,$A1107&lt;&gt;""),COUNTIFS($A$3:$A1107,RELATORIO_MEDICAO!$C$5,$C$3:$C1107,RELATORIO_MEDICAO!$F$5),"")</f>
        <v/>
      </c>
      <c r="Z1107">
        <f>IF(OR($A1107="",PESQUISA!$C$4=""),0,IF(OR(ISNUMBER(SEARCH(PESQUISA!$C$4,$G1107)),ISNUMBER(SEARCH(PESQUISA!$C$4,$K1107)),ISNUMBER(SEARCH(PESQUISA!$C$4,$L1107))),1,0))</f>
        <v/>
      </c>
      <c r="AA1107">
        <f>IF($Z1107=1,SUM($Z$3:$Z1107),"")</f>
        <v/>
      </c>
      <c r="AB1107">
        <f>IF(OR($A1107="",PESQUISA!$C$50=""),0,IF(ISNUMBER(SEARCH(PESQUISA!$C$50,$I1107)),1,0))</f>
        <v/>
      </c>
      <c r="AC1107">
        <f>IF($AB1107=1,SUM($AB$3:$AB1107),"")</f>
        <v/>
      </c>
    </row>
    <row r="1108">
      <c r="A1108" s="20" t="n"/>
      <c r="B1108" s="20" t="n"/>
      <c r="C1108" s="20" t="n"/>
      <c r="D1108" s="20" t="n"/>
      <c r="E1108" s="20" t="n"/>
      <c r="F1108" s="20" t="n"/>
      <c r="G1108" s="20" t="n"/>
      <c r="H1108" s="20" t="n"/>
      <c r="I1108" s="20" t="n"/>
      <c r="J1108" s="20">
        <f>IFERROR(INDEX(CONFIGURACOES!$G$37:$G$300,MATCH($I1108,CONFIGURACOES!$B$37:$B$300,0)),"")</f>
        <v/>
      </c>
      <c r="K1108" s="20">
        <f>IFERROR(INDEX(CONFIGURACOES!$H$37:$H$300,MATCH($I1108,CONFIGURACOES!$B$37:$B$300,0)),"")</f>
        <v/>
      </c>
      <c r="L1108" s="20" t="n"/>
      <c r="M1108" s="20">
        <f>IFERROR(INDEX(CONFIGURACOES!$I$37:$I$300,MATCH($I1108,CONFIGURACOES!$B$37:$B$300,0)),"")</f>
        <v/>
      </c>
      <c r="N1108" s="21" t="n"/>
      <c r="O1108" s="21" t="n"/>
      <c r="P1108" s="21" t="n"/>
      <c r="Q1108" s="21" t="n"/>
      <c r="R1108" s="21">
        <f>IF($N1108="","",$N1108*IF($Q1108="",1,$Q1108)*IF($P1108="",1,$P1108)*IF($O1108="",1,$O1108))</f>
        <v/>
      </c>
      <c r="S1108" s="22">
        <f>IFERROR(INDEX(CONFIGURACOES!$J$37:$J$300,MATCH($I1108,CONFIGURACOES!$B$37:$B$300,0)),"")</f>
        <v/>
      </c>
      <c r="T1108" s="22">
        <f>IF(OR($R1108="",$S1108=""),"",$R1108*$S1108)</f>
        <v/>
      </c>
      <c r="U1108" s="20" t="n"/>
      <c r="V1108" s="20" t="n"/>
      <c r="W1108" s="20" t="n"/>
      <c r="X1108">
        <f>IF($A1108="","",$A1108&amp;"|"&amp;$C1108&amp;"|"&amp;$I1108)</f>
        <v/>
      </c>
      <c r="Y1108">
        <f>IF(AND($A1108=RELATORIO_MEDICAO!$C$5,$C1108=RELATORIO_MEDICAO!$F$5,$A1108&lt;&gt;""),COUNTIFS($A$3:$A1108,RELATORIO_MEDICAO!$C$5,$C$3:$C1108,RELATORIO_MEDICAO!$F$5),"")</f>
        <v/>
      </c>
      <c r="Z1108">
        <f>IF(OR($A1108="",PESQUISA!$C$4=""),0,IF(OR(ISNUMBER(SEARCH(PESQUISA!$C$4,$G1108)),ISNUMBER(SEARCH(PESQUISA!$C$4,$K1108)),ISNUMBER(SEARCH(PESQUISA!$C$4,$L1108))),1,0))</f>
        <v/>
      </c>
      <c r="AA1108">
        <f>IF($Z1108=1,SUM($Z$3:$Z1108),"")</f>
        <v/>
      </c>
      <c r="AB1108">
        <f>IF(OR($A1108="",PESQUISA!$C$50=""),0,IF(ISNUMBER(SEARCH(PESQUISA!$C$50,$I1108)),1,0))</f>
        <v/>
      </c>
      <c r="AC1108">
        <f>IF($AB1108=1,SUM($AB$3:$AB1108),"")</f>
        <v/>
      </c>
    </row>
    <row r="1109">
      <c r="A1109" s="20" t="n"/>
      <c r="B1109" s="20" t="n"/>
      <c r="C1109" s="20" t="n"/>
      <c r="D1109" s="20" t="n"/>
      <c r="E1109" s="20" t="n"/>
      <c r="F1109" s="20" t="n"/>
      <c r="G1109" s="20" t="n"/>
      <c r="H1109" s="20" t="n"/>
      <c r="I1109" s="20" t="n"/>
      <c r="J1109" s="20">
        <f>IFERROR(INDEX(CONFIGURACOES!$G$37:$G$300,MATCH($I1109,CONFIGURACOES!$B$37:$B$300,0)),"")</f>
        <v/>
      </c>
      <c r="K1109" s="20">
        <f>IFERROR(INDEX(CONFIGURACOES!$H$37:$H$300,MATCH($I1109,CONFIGURACOES!$B$37:$B$300,0)),"")</f>
        <v/>
      </c>
      <c r="L1109" s="20" t="n"/>
      <c r="M1109" s="20">
        <f>IFERROR(INDEX(CONFIGURACOES!$I$37:$I$300,MATCH($I1109,CONFIGURACOES!$B$37:$B$300,0)),"")</f>
        <v/>
      </c>
      <c r="N1109" s="21" t="n"/>
      <c r="O1109" s="21" t="n"/>
      <c r="P1109" s="21" t="n"/>
      <c r="Q1109" s="21" t="n"/>
      <c r="R1109" s="21">
        <f>IF($N1109="","",$N1109*IF($Q1109="",1,$Q1109)*IF($P1109="",1,$P1109)*IF($O1109="",1,$O1109))</f>
        <v/>
      </c>
      <c r="S1109" s="22">
        <f>IFERROR(INDEX(CONFIGURACOES!$J$37:$J$300,MATCH($I1109,CONFIGURACOES!$B$37:$B$300,0)),"")</f>
        <v/>
      </c>
      <c r="T1109" s="22">
        <f>IF(OR($R1109="",$S1109=""),"",$R1109*$S1109)</f>
        <v/>
      </c>
      <c r="U1109" s="20" t="n"/>
      <c r="V1109" s="20" t="n"/>
      <c r="W1109" s="20" t="n"/>
      <c r="X1109">
        <f>IF($A1109="","",$A1109&amp;"|"&amp;$C1109&amp;"|"&amp;$I1109)</f>
        <v/>
      </c>
      <c r="Y1109">
        <f>IF(AND($A1109=RELATORIO_MEDICAO!$C$5,$C1109=RELATORIO_MEDICAO!$F$5,$A1109&lt;&gt;""),COUNTIFS($A$3:$A1109,RELATORIO_MEDICAO!$C$5,$C$3:$C1109,RELATORIO_MEDICAO!$F$5),"")</f>
        <v/>
      </c>
      <c r="Z1109">
        <f>IF(OR($A1109="",PESQUISA!$C$4=""),0,IF(OR(ISNUMBER(SEARCH(PESQUISA!$C$4,$G1109)),ISNUMBER(SEARCH(PESQUISA!$C$4,$K1109)),ISNUMBER(SEARCH(PESQUISA!$C$4,$L1109))),1,0))</f>
        <v/>
      </c>
      <c r="AA1109">
        <f>IF($Z1109=1,SUM($Z$3:$Z1109),"")</f>
        <v/>
      </c>
      <c r="AB1109">
        <f>IF(OR($A1109="",PESQUISA!$C$50=""),0,IF(ISNUMBER(SEARCH(PESQUISA!$C$50,$I1109)),1,0))</f>
        <v/>
      </c>
      <c r="AC1109">
        <f>IF($AB1109=1,SUM($AB$3:$AB1109),"")</f>
        <v/>
      </c>
    </row>
    <row r="1110">
      <c r="A1110" s="20" t="n"/>
      <c r="B1110" s="20" t="n"/>
      <c r="C1110" s="20" t="n"/>
      <c r="D1110" s="20" t="n"/>
      <c r="E1110" s="20" t="n"/>
      <c r="F1110" s="20" t="n"/>
      <c r="G1110" s="20" t="n"/>
      <c r="H1110" s="20" t="n"/>
      <c r="I1110" s="20" t="n"/>
      <c r="J1110" s="20">
        <f>IFERROR(INDEX(CONFIGURACOES!$G$37:$G$300,MATCH($I1110,CONFIGURACOES!$B$37:$B$300,0)),"")</f>
        <v/>
      </c>
      <c r="K1110" s="20">
        <f>IFERROR(INDEX(CONFIGURACOES!$H$37:$H$300,MATCH($I1110,CONFIGURACOES!$B$37:$B$300,0)),"")</f>
        <v/>
      </c>
      <c r="L1110" s="20" t="n"/>
      <c r="M1110" s="20">
        <f>IFERROR(INDEX(CONFIGURACOES!$I$37:$I$300,MATCH($I1110,CONFIGURACOES!$B$37:$B$300,0)),"")</f>
        <v/>
      </c>
      <c r="N1110" s="21" t="n"/>
      <c r="O1110" s="21" t="n"/>
      <c r="P1110" s="21" t="n"/>
      <c r="Q1110" s="21" t="n"/>
      <c r="R1110" s="21">
        <f>IF($N1110="","",$N1110*IF($Q1110="",1,$Q1110)*IF($P1110="",1,$P1110)*IF($O1110="",1,$O1110))</f>
        <v/>
      </c>
      <c r="S1110" s="22">
        <f>IFERROR(INDEX(CONFIGURACOES!$J$37:$J$300,MATCH($I1110,CONFIGURACOES!$B$37:$B$300,0)),"")</f>
        <v/>
      </c>
      <c r="T1110" s="22">
        <f>IF(OR($R1110="",$S1110=""),"",$R1110*$S1110)</f>
        <v/>
      </c>
      <c r="U1110" s="20" t="n"/>
      <c r="V1110" s="20" t="n"/>
      <c r="W1110" s="20" t="n"/>
      <c r="X1110">
        <f>IF($A1110="","",$A1110&amp;"|"&amp;$C1110&amp;"|"&amp;$I1110)</f>
        <v/>
      </c>
      <c r="Y1110">
        <f>IF(AND($A1110=RELATORIO_MEDICAO!$C$5,$C1110=RELATORIO_MEDICAO!$F$5,$A1110&lt;&gt;""),COUNTIFS($A$3:$A1110,RELATORIO_MEDICAO!$C$5,$C$3:$C1110,RELATORIO_MEDICAO!$F$5),"")</f>
        <v/>
      </c>
      <c r="Z1110">
        <f>IF(OR($A1110="",PESQUISA!$C$4=""),0,IF(OR(ISNUMBER(SEARCH(PESQUISA!$C$4,$G1110)),ISNUMBER(SEARCH(PESQUISA!$C$4,$K1110)),ISNUMBER(SEARCH(PESQUISA!$C$4,$L1110))),1,0))</f>
        <v/>
      </c>
      <c r="AA1110">
        <f>IF($Z1110=1,SUM($Z$3:$Z1110),"")</f>
        <v/>
      </c>
      <c r="AB1110">
        <f>IF(OR($A1110="",PESQUISA!$C$50=""),0,IF(ISNUMBER(SEARCH(PESQUISA!$C$50,$I1110)),1,0))</f>
        <v/>
      </c>
      <c r="AC1110">
        <f>IF($AB1110=1,SUM($AB$3:$AB1110),"")</f>
        <v/>
      </c>
    </row>
    <row r="1111">
      <c r="A1111" s="20" t="n"/>
      <c r="B1111" s="20" t="n"/>
      <c r="C1111" s="20" t="n"/>
      <c r="D1111" s="20" t="n"/>
      <c r="E1111" s="20" t="n"/>
      <c r="F1111" s="20" t="n"/>
      <c r="G1111" s="20" t="n"/>
      <c r="H1111" s="20" t="n"/>
      <c r="I1111" s="20" t="n"/>
      <c r="J1111" s="20">
        <f>IFERROR(INDEX(CONFIGURACOES!$G$37:$G$300,MATCH($I1111,CONFIGURACOES!$B$37:$B$300,0)),"")</f>
        <v/>
      </c>
      <c r="K1111" s="20">
        <f>IFERROR(INDEX(CONFIGURACOES!$H$37:$H$300,MATCH($I1111,CONFIGURACOES!$B$37:$B$300,0)),"")</f>
        <v/>
      </c>
      <c r="L1111" s="20" t="n"/>
      <c r="M1111" s="20">
        <f>IFERROR(INDEX(CONFIGURACOES!$I$37:$I$300,MATCH($I1111,CONFIGURACOES!$B$37:$B$300,0)),"")</f>
        <v/>
      </c>
      <c r="N1111" s="21" t="n"/>
      <c r="O1111" s="21" t="n"/>
      <c r="P1111" s="21" t="n"/>
      <c r="Q1111" s="21" t="n"/>
      <c r="R1111" s="21">
        <f>IF($N1111="","",$N1111*IF($Q1111="",1,$Q1111)*IF($P1111="",1,$P1111)*IF($O1111="",1,$O1111))</f>
        <v/>
      </c>
      <c r="S1111" s="22">
        <f>IFERROR(INDEX(CONFIGURACOES!$J$37:$J$300,MATCH($I1111,CONFIGURACOES!$B$37:$B$300,0)),"")</f>
        <v/>
      </c>
      <c r="T1111" s="22">
        <f>IF(OR($R1111="",$S1111=""),"",$R1111*$S1111)</f>
        <v/>
      </c>
      <c r="U1111" s="20" t="n"/>
      <c r="V1111" s="20" t="n"/>
      <c r="W1111" s="20" t="n"/>
      <c r="X1111">
        <f>IF($A1111="","",$A1111&amp;"|"&amp;$C1111&amp;"|"&amp;$I1111)</f>
        <v/>
      </c>
      <c r="Y1111">
        <f>IF(AND($A1111=RELATORIO_MEDICAO!$C$5,$C1111=RELATORIO_MEDICAO!$F$5,$A1111&lt;&gt;""),COUNTIFS($A$3:$A1111,RELATORIO_MEDICAO!$C$5,$C$3:$C1111,RELATORIO_MEDICAO!$F$5),"")</f>
        <v/>
      </c>
      <c r="Z1111">
        <f>IF(OR($A1111="",PESQUISA!$C$4=""),0,IF(OR(ISNUMBER(SEARCH(PESQUISA!$C$4,$G1111)),ISNUMBER(SEARCH(PESQUISA!$C$4,$K1111)),ISNUMBER(SEARCH(PESQUISA!$C$4,$L1111))),1,0))</f>
        <v/>
      </c>
      <c r="AA1111">
        <f>IF($Z1111=1,SUM($Z$3:$Z1111),"")</f>
        <v/>
      </c>
      <c r="AB1111">
        <f>IF(OR($A1111="",PESQUISA!$C$50=""),0,IF(ISNUMBER(SEARCH(PESQUISA!$C$50,$I1111)),1,0))</f>
        <v/>
      </c>
      <c r="AC1111">
        <f>IF($AB1111=1,SUM($AB$3:$AB1111),"")</f>
        <v/>
      </c>
    </row>
    <row r="1112">
      <c r="A1112" s="20" t="n"/>
      <c r="B1112" s="20" t="n"/>
      <c r="C1112" s="20" t="n"/>
      <c r="D1112" s="20" t="n"/>
      <c r="E1112" s="20" t="n"/>
      <c r="F1112" s="20" t="n"/>
      <c r="G1112" s="20" t="n"/>
      <c r="H1112" s="20" t="n"/>
      <c r="I1112" s="20" t="n"/>
      <c r="J1112" s="20">
        <f>IFERROR(INDEX(CONFIGURACOES!$G$37:$G$300,MATCH($I1112,CONFIGURACOES!$B$37:$B$300,0)),"")</f>
        <v/>
      </c>
      <c r="K1112" s="20">
        <f>IFERROR(INDEX(CONFIGURACOES!$H$37:$H$300,MATCH($I1112,CONFIGURACOES!$B$37:$B$300,0)),"")</f>
        <v/>
      </c>
      <c r="L1112" s="20" t="n"/>
      <c r="M1112" s="20">
        <f>IFERROR(INDEX(CONFIGURACOES!$I$37:$I$300,MATCH($I1112,CONFIGURACOES!$B$37:$B$300,0)),"")</f>
        <v/>
      </c>
      <c r="N1112" s="21" t="n"/>
      <c r="O1112" s="21" t="n"/>
      <c r="P1112" s="21" t="n"/>
      <c r="Q1112" s="21" t="n"/>
      <c r="R1112" s="21">
        <f>IF($N1112="","",$N1112*IF($Q1112="",1,$Q1112)*IF($P1112="",1,$P1112)*IF($O1112="",1,$O1112))</f>
        <v/>
      </c>
      <c r="S1112" s="22">
        <f>IFERROR(INDEX(CONFIGURACOES!$J$37:$J$300,MATCH($I1112,CONFIGURACOES!$B$37:$B$300,0)),"")</f>
        <v/>
      </c>
      <c r="T1112" s="22">
        <f>IF(OR($R1112="",$S1112=""),"",$R1112*$S1112)</f>
        <v/>
      </c>
      <c r="U1112" s="20" t="n"/>
      <c r="V1112" s="20" t="n"/>
      <c r="W1112" s="20" t="n"/>
      <c r="X1112">
        <f>IF($A1112="","",$A1112&amp;"|"&amp;$C1112&amp;"|"&amp;$I1112)</f>
        <v/>
      </c>
      <c r="Y1112">
        <f>IF(AND($A1112=RELATORIO_MEDICAO!$C$5,$C1112=RELATORIO_MEDICAO!$F$5,$A1112&lt;&gt;""),COUNTIFS($A$3:$A1112,RELATORIO_MEDICAO!$C$5,$C$3:$C1112,RELATORIO_MEDICAO!$F$5),"")</f>
        <v/>
      </c>
      <c r="Z1112">
        <f>IF(OR($A1112="",PESQUISA!$C$4=""),0,IF(OR(ISNUMBER(SEARCH(PESQUISA!$C$4,$G1112)),ISNUMBER(SEARCH(PESQUISA!$C$4,$K1112)),ISNUMBER(SEARCH(PESQUISA!$C$4,$L1112))),1,0))</f>
        <v/>
      </c>
      <c r="AA1112">
        <f>IF($Z1112=1,SUM($Z$3:$Z1112),"")</f>
        <v/>
      </c>
      <c r="AB1112">
        <f>IF(OR($A1112="",PESQUISA!$C$50=""),0,IF(ISNUMBER(SEARCH(PESQUISA!$C$50,$I1112)),1,0))</f>
        <v/>
      </c>
      <c r="AC1112">
        <f>IF($AB1112=1,SUM($AB$3:$AB1112),"")</f>
        <v/>
      </c>
    </row>
    <row r="1113">
      <c r="A1113" s="20" t="n"/>
      <c r="B1113" s="20" t="n"/>
      <c r="C1113" s="20" t="n"/>
      <c r="D1113" s="20" t="n"/>
      <c r="E1113" s="20" t="n"/>
      <c r="F1113" s="20" t="n"/>
      <c r="G1113" s="20" t="n"/>
      <c r="H1113" s="20" t="n"/>
      <c r="I1113" s="20" t="n"/>
      <c r="J1113" s="20">
        <f>IFERROR(INDEX(CONFIGURACOES!$G$37:$G$300,MATCH($I1113,CONFIGURACOES!$B$37:$B$300,0)),"")</f>
        <v/>
      </c>
      <c r="K1113" s="20">
        <f>IFERROR(INDEX(CONFIGURACOES!$H$37:$H$300,MATCH($I1113,CONFIGURACOES!$B$37:$B$300,0)),"")</f>
        <v/>
      </c>
      <c r="L1113" s="20" t="n"/>
      <c r="M1113" s="20">
        <f>IFERROR(INDEX(CONFIGURACOES!$I$37:$I$300,MATCH($I1113,CONFIGURACOES!$B$37:$B$300,0)),"")</f>
        <v/>
      </c>
      <c r="N1113" s="21" t="n"/>
      <c r="O1113" s="21" t="n"/>
      <c r="P1113" s="21" t="n"/>
      <c r="Q1113" s="21" t="n"/>
      <c r="R1113" s="21">
        <f>IF($N1113="","",$N1113*IF($Q1113="",1,$Q1113)*IF($P1113="",1,$P1113)*IF($O1113="",1,$O1113))</f>
        <v/>
      </c>
      <c r="S1113" s="22">
        <f>IFERROR(INDEX(CONFIGURACOES!$J$37:$J$300,MATCH($I1113,CONFIGURACOES!$B$37:$B$300,0)),"")</f>
        <v/>
      </c>
      <c r="T1113" s="22">
        <f>IF(OR($R1113="",$S1113=""),"",$R1113*$S1113)</f>
        <v/>
      </c>
      <c r="U1113" s="20" t="n"/>
      <c r="V1113" s="20" t="n"/>
      <c r="W1113" s="20" t="n"/>
      <c r="X1113">
        <f>IF($A1113="","",$A1113&amp;"|"&amp;$C1113&amp;"|"&amp;$I1113)</f>
        <v/>
      </c>
      <c r="Y1113">
        <f>IF(AND($A1113=RELATORIO_MEDICAO!$C$5,$C1113=RELATORIO_MEDICAO!$F$5,$A1113&lt;&gt;""),COUNTIFS($A$3:$A1113,RELATORIO_MEDICAO!$C$5,$C$3:$C1113,RELATORIO_MEDICAO!$F$5),"")</f>
        <v/>
      </c>
      <c r="Z1113">
        <f>IF(OR($A1113="",PESQUISA!$C$4=""),0,IF(OR(ISNUMBER(SEARCH(PESQUISA!$C$4,$G1113)),ISNUMBER(SEARCH(PESQUISA!$C$4,$K1113)),ISNUMBER(SEARCH(PESQUISA!$C$4,$L1113))),1,0))</f>
        <v/>
      </c>
      <c r="AA1113">
        <f>IF($Z1113=1,SUM($Z$3:$Z1113),"")</f>
        <v/>
      </c>
      <c r="AB1113">
        <f>IF(OR($A1113="",PESQUISA!$C$50=""),0,IF(ISNUMBER(SEARCH(PESQUISA!$C$50,$I1113)),1,0))</f>
        <v/>
      </c>
      <c r="AC1113">
        <f>IF($AB1113=1,SUM($AB$3:$AB1113),"")</f>
        <v/>
      </c>
    </row>
    <row r="1114">
      <c r="A1114" s="20" t="n"/>
      <c r="B1114" s="20" t="n"/>
      <c r="C1114" s="20" t="n"/>
      <c r="D1114" s="20" t="n"/>
      <c r="E1114" s="20" t="n"/>
      <c r="F1114" s="20" t="n"/>
      <c r="G1114" s="20" t="n"/>
      <c r="H1114" s="20" t="n"/>
      <c r="I1114" s="20" t="n"/>
      <c r="J1114" s="20">
        <f>IFERROR(INDEX(CONFIGURACOES!$G$37:$G$300,MATCH($I1114,CONFIGURACOES!$B$37:$B$300,0)),"")</f>
        <v/>
      </c>
      <c r="K1114" s="20">
        <f>IFERROR(INDEX(CONFIGURACOES!$H$37:$H$300,MATCH($I1114,CONFIGURACOES!$B$37:$B$300,0)),"")</f>
        <v/>
      </c>
      <c r="L1114" s="20" t="n"/>
      <c r="M1114" s="20">
        <f>IFERROR(INDEX(CONFIGURACOES!$I$37:$I$300,MATCH($I1114,CONFIGURACOES!$B$37:$B$300,0)),"")</f>
        <v/>
      </c>
      <c r="N1114" s="21" t="n"/>
      <c r="O1114" s="21" t="n"/>
      <c r="P1114" s="21" t="n"/>
      <c r="Q1114" s="21" t="n"/>
      <c r="R1114" s="21">
        <f>IF($N1114="","",$N1114*IF($Q1114="",1,$Q1114)*IF($P1114="",1,$P1114)*IF($O1114="",1,$O1114))</f>
        <v/>
      </c>
      <c r="S1114" s="22">
        <f>IFERROR(INDEX(CONFIGURACOES!$J$37:$J$300,MATCH($I1114,CONFIGURACOES!$B$37:$B$300,0)),"")</f>
        <v/>
      </c>
      <c r="T1114" s="22">
        <f>IF(OR($R1114="",$S1114=""),"",$R1114*$S1114)</f>
        <v/>
      </c>
      <c r="U1114" s="20" t="n"/>
      <c r="V1114" s="20" t="n"/>
      <c r="W1114" s="20" t="n"/>
      <c r="X1114">
        <f>IF($A1114="","",$A1114&amp;"|"&amp;$C1114&amp;"|"&amp;$I1114)</f>
        <v/>
      </c>
      <c r="Y1114">
        <f>IF(AND($A1114=RELATORIO_MEDICAO!$C$5,$C1114=RELATORIO_MEDICAO!$F$5,$A1114&lt;&gt;""),COUNTIFS($A$3:$A1114,RELATORIO_MEDICAO!$C$5,$C$3:$C1114,RELATORIO_MEDICAO!$F$5),"")</f>
        <v/>
      </c>
      <c r="Z1114">
        <f>IF(OR($A1114="",PESQUISA!$C$4=""),0,IF(OR(ISNUMBER(SEARCH(PESQUISA!$C$4,$G1114)),ISNUMBER(SEARCH(PESQUISA!$C$4,$K1114)),ISNUMBER(SEARCH(PESQUISA!$C$4,$L1114))),1,0))</f>
        <v/>
      </c>
      <c r="AA1114">
        <f>IF($Z1114=1,SUM($Z$3:$Z1114),"")</f>
        <v/>
      </c>
      <c r="AB1114">
        <f>IF(OR($A1114="",PESQUISA!$C$50=""),0,IF(ISNUMBER(SEARCH(PESQUISA!$C$50,$I1114)),1,0))</f>
        <v/>
      </c>
      <c r="AC1114">
        <f>IF($AB1114=1,SUM($AB$3:$AB1114),"")</f>
        <v/>
      </c>
    </row>
    <row r="1115">
      <c r="A1115" s="20" t="n"/>
      <c r="B1115" s="20" t="n"/>
      <c r="C1115" s="20" t="n"/>
      <c r="D1115" s="20" t="n"/>
      <c r="E1115" s="20" t="n"/>
      <c r="F1115" s="20" t="n"/>
      <c r="G1115" s="20" t="n"/>
      <c r="H1115" s="20" t="n"/>
      <c r="I1115" s="20" t="n"/>
      <c r="J1115" s="20">
        <f>IFERROR(INDEX(CONFIGURACOES!$G$37:$G$300,MATCH($I1115,CONFIGURACOES!$B$37:$B$300,0)),"")</f>
        <v/>
      </c>
      <c r="K1115" s="20">
        <f>IFERROR(INDEX(CONFIGURACOES!$H$37:$H$300,MATCH($I1115,CONFIGURACOES!$B$37:$B$300,0)),"")</f>
        <v/>
      </c>
      <c r="L1115" s="20" t="n"/>
      <c r="M1115" s="20">
        <f>IFERROR(INDEX(CONFIGURACOES!$I$37:$I$300,MATCH($I1115,CONFIGURACOES!$B$37:$B$300,0)),"")</f>
        <v/>
      </c>
      <c r="N1115" s="21" t="n"/>
      <c r="O1115" s="21" t="n"/>
      <c r="P1115" s="21" t="n"/>
      <c r="Q1115" s="21" t="n"/>
      <c r="R1115" s="21">
        <f>IF($N1115="","",$N1115*IF($Q1115="",1,$Q1115)*IF($P1115="",1,$P1115)*IF($O1115="",1,$O1115))</f>
        <v/>
      </c>
      <c r="S1115" s="22">
        <f>IFERROR(INDEX(CONFIGURACOES!$J$37:$J$300,MATCH($I1115,CONFIGURACOES!$B$37:$B$300,0)),"")</f>
        <v/>
      </c>
      <c r="T1115" s="22">
        <f>IF(OR($R1115="",$S1115=""),"",$R1115*$S1115)</f>
        <v/>
      </c>
      <c r="U1115" s="20" t="n"/>
      <c r="V1115" s="20" t="n"/>
      <c r="W1115" s="20" t="n"/>
      <c r="X1115">
        <f>IF($A1115="","",$A1115&amp;"|"&amp;$C1115&amp;"|"&amp;$I1115)</f>
        <v/>
      </c>
      <c r="Y1115">
        <f>IF(AND($A1115=RELATORIO_MEDICAO!$C$5,$C1115=RELATORIO_MEDICAO!$F$5,$A1115&lt;&gt;""),COUNTIFS($A$3:$A1115,RELATORIO_MEDICAO!$C$5,$C$3:$C1115,RELATORIO_MEDICAO!$F$5),"")</f>
        <v/>
      </c>
      <c r="Z1115">
        <f>IF(OR($A1115="",PESQUISA!$C$4=""),0,IF(OR(ISNUMBER(SEARCH(PESQUISA!$C$4,$G1115)),ISNUMBER(SEARCH(PESQUISA!$C$4,$K1115)),ISNUMBER(SEARCH(PESQUISA!$C$4,$L1115))),1,0))</f>
        <v/>
      </c>
      <c r="AA1115">
        <f>IF($Z1115=1,SUM($Z$3:$Z1115),"")</f>
        <v/>
      </c>
      <c r="AB1115">
        <f>IF(OR($A1115="",PESQUISA!$C$50=""),0,IF(ISNUMBER(SEARCH(PESQUISA!$C$50,$I1115)),1,0))</f>
        <v/>
      </c>
      <c r="AC1115">
        <f>IF($AB1115=1,SUM($AB$3:$AB1115),"")</f>
        <v/>
      </c>
    </row>
    <row r="1116">
      <c r="A1116" s="20" t="n"/>
      <c r="B1116" s="20" t="n"/>
      <c r="C1116" s="20" t="n"/>
      <c r="D1116" s="20" t="n"/>
      <c r="E1116" s="20" t="n"/>
      <c r="F1116" s="20" t="n"/>
      <c r="G1116" s="20" t="n"/>
      <c r="H1116" s="20" t="n"/>
      <c r="I1116" s="20" t="n"/>
      <c r="J1116" s="20">
        <f>IFERROR(INDEX(CONFIGURACOES!$G$37:$G$300,MATCH($I1116,CONFIGURACOES!$B$37:$B$300,0)),"")</f>
        <v/>
      </c>
      <c r="K1116" s="20">
        <f>IFERROR(INDEX(CONFIGURACOES!$H$37:$H$300,MATCH($I1116,CONFIGURACOES!$B$37:$B$300,0)),"")</f>
        <v/>
      </c>
      <c r="L1116" s="20" t="n"/>
      <c r="M1116" s="20">
        <f>IFERROR(INDEX(CONFIGURACOES!$I$37:$I$300,MATCH($I1116,CONFIGURACOES!$B$37:$B$300,0)),"")</f>
        <v/>
      </c>
      <c r="N1116" s="21" t="n"/>
      <c r="O1116" s="21" t="n"/>
      <c r="P1116" s="21" t="n"/>
      <c r="Q1116" s="21" t="n"/>
      <c r="R1116" s="21">
        <f>IF($N1116="","",$N1116*IF($Q1116="",1,$Q1116)*IF($P1116="",1,$P1116)*IF($O1116="",1,$O1116))</f>
        <v/>
      </c>
      <c r="S1116" s="22">
        <f>IFERROR(INDEX(CONFIGURACOES!$J$37:$J$300,MATCH($I1116,CONFIGURACOES!$B$37:$B$300,0)),"")</f>
        <v/>
      </c>
      <c r="T1116" s="22">
        <f>IF(OR($R1116="",$S1116=""),"",$R1116*$S1116)</f>
        <v/>
      </c>
      <c r="U1116" s="20" t="n"/>
      <c r="V1116" s="20" t="n"/>
      <c r="W1116" s="20" t="n"/>
      <c r="X1116">
        <f>IF($A1116="","",$A1116&amp;"|"&amp;$C1116&amp;"|"&amp;$I1116)</f>
        <v/>
      </c>
      <c r="Y1116">
        <f>IF(AND($A1116=RELATORIO_MEDICAO!$C$5,$C1116=RELATORIO_MEDICAO!$F$5,$A1116&lt;&gt;""),COUNTIFS($A$3:$A1116,RELATORIO_MEDICAO!$C$5,$C$3:$C1116,RELATORIO_MEDICAO!$F$5),"")</f>
        <v/>
      </c>
      <c r="Z1116">
        <f>IF(OR($A1116="",PESQUISA!$C$4=""),0,IF(OR(ISNUMBER(SEARCH(PESQUISA!$C$4,$G1116)),ISNUMBER(SEARCH(PESQUISA!$C$4,$K1116)),ISNUMBER(SEARCH(PESQUISA!$C$4,$L1116))),1,0))</f>
        <v/>
      </c>
      <c r="AA1116">
        <f>IF($Z1116=1,SUM($Z$3:$Z1116),"")</f>
        <v/>
      </c>
      <c r="AB1116">
        <f>IF(OR($A1116="",PESQUISA!$C$50=""),0,IF(ISNUMBER(SEARCH(PESQUISA!$C$50,$I1116)),1,0))</f>
        <v/>
      </c>
      <c r="AC1116">
        <f>IF($AB1116=1,SUM($AB$3:$AB1116),"")</f>
        <v/>
      </c>
    </row>
    <row r="1117">
      <c r="A1117" s="20" t="n"/>
      <c r="B1117" s="20" t="n"/>
      <c r="C1117" s="20" t="n"/>
      <c r="D1117" s="20" t="n"/>
      <c r="E1117" s="20" t="n"/>
      <c r="F1117" s="20" t="n"/>
      <c r="G1117" s="20" t="n"/>
      <c r="H1117" s="20" t="n"/>
      <c r="I1117" s="20" t="n"/>
      <c r="J1117" s="20">
        <f>IFERROR(INDEX(CONFIGURACOES!$G$37:$G$300,MATCH($I1117,CONFIGURACOES!$B$37:$B$300,0)),"")</f>
        <v/>
      </c>
      <c r="K1117" s="20">
        <f>IFERROR(INDEX(CONFIGURACOES!$H$37:$H$300,MATCH($I1117,CONFIGURACOES!$B$37:$B$300,0)),"")</f>
        <v/>
      </c>
      <c r="L1117" s="20" t="n"/>
      <c r="M1117" s="20">
        <f>IFERROR(INDEX(CONFIGURACOES!$I$37:$I$300,MATCH($I1117,CONFIGURACOES!$B$37:$B$300,0)),"")</f>
        <v/>
      </c>
      <c r="N1117" s="21" t="n"/>
      <c r="O1117" s="21" t="n"/>
      <c r="P1117" s="21" t="n"/>
      <c r="Q1117" s="21" t="n"/>
      <c r="R1117" s="21">
        <f>IF($N1117="","",$N1117*IF($Q1117="",1,$Q1117)*IF($P1117="",1,$P1117)*IF($O1117="",1,$O1117))</f>
        <v/>
      </c>
      <c r="S1117" s="22">
        <f>IFERROR(INDEX(CONFIGURACOES!$J$37:$J$300,MATCH($I1117,CONFIGURACOES!$B$37:$B$300,0)),"")</f>
        <v/>
      </c>
      <c r="T1117" s="22">
        <f>IF(OR($R1117="",$S1117=""),"",$R1117*$S1117)</f>
        <v/>
      </c>
      <c r="U1117" s="20" t="n"/>
      <c r="V1117" s="20" t="n"/>
      <c r="W1117" s="20" t="n"/>
      <c r="X1117">
        <f>IF($A1117="","",$A1117&amp;"|"&amp;$C1117&amp;"|"&amp;$I1117)</f>
        <v/>
      </c>
      <c r="Y1117">
        <f>IF(AND($A1117=RELATORIO_MEDICAO!$C$5,$C1117=RELATORIO_MEDICAO!$F$5,$A1117&lt;&gt;""),COUNTIFS($A$3:$A1117,RELATORIO_MEDICAO!$C$5,$C$3:$C1117,RELATORIO_MEDICAO!$F$5),"")</f>
        <v/>
      </c>
      <c r="Z1117">
        <f>IF(OR($A1117="",PESQUISA!$C$4=""),0,IF(OR(ISNUMBER(SEARCH(PESQUISA!$C$4,$G1117)),ISNUMBER(SEARCH(PESQUISA!$C$4,$K1117)),ISNUMBER(SEARCH(PESQUISA!$C$4,$L1117))),1,0))</f>
        <v/>
      </c>
      <c r="AA1117">
        <f>IF($Z1117=1,SUM($Z$3:$Z1117),"")</f>
        <v/>
      </c>
      <c r="AB1117">
        <f>IF(OR($A1117="",PESQUISA!$C$50=""),0,IF(ISNUMBER(SEARCH(PESQUISA!$C$50,$I1117)),1,0))</f>
        <v/>
      </c>
      <c r="AC1117">
        <f>IF($AB1117=1,SUM($AB$3:$AB1117),"")</f>
        <v/>
      </c>
    </row>
    <row r="1118">
      <c r="A1118" s="20" t="n"/>
      <c r="B1118" s="20" t="n"/>
      <c r="C1118" s="20" t="n"/>
      <c r="D1118" s="20" t="n"/>
      <c r="E1118" s="20" t="n"/>
      <c r="F1118" s="20" t="n"/>
      <c r="G1118" s="20" t="n"/>
      <c r="H1118" s="20" t="n"/>
      <c r="I1118" s="20" t="n"/>
      <c r="J1118" s="20">
        <f>IFERROR(INDEX(CONFIGURACOES!$G$37:$G$300,MATCH($I1118,CONFIGURACOES!$B$37:$B$300,0)),"")</f>
        <v/>
      </c>
      <c r="K1118" s="20">
        <f>IFERROR(INDEX(CONFIGURACOES!$H$37:$H$300,MATCH($I1118,CONFIGURACOES!$B$37:$B$300,0)),"")</f>
        <v/>
      </c>
      <c r="L1118" s="20" t="n"/>
      <c r="M1118" s="20">
        <f>IFERROR(INDEX(CONFIGURACOES!$I$37:$I$300,MATCH($I1118,CONFIGURACOES!$B$37:$B$300,0)),"")</f>
        <v/>
      </c>
      <c r="N1118" s="21" t="n"/>
      <c r="O1118" s="21" t="n"/>
      <c r="P1118" s="21" t="n"/>
      <c r="Q1118" s="21" t="n"/>
      <c r="R1118" s="21">
        <f>IF($N1118="","",$N1118*IF($Q1118="",1,$Q1118)*IF($P1118="",1,$P1118)*IF($O1118="",1,$O1118))</f>
        <v/>
      </c>
      <c r="S1118" s="22">
        <f>IFERROR(INDEX(CONFIGURACOES!$J$37:$J$300,MATCH($I1118,CONFIGURACOES!$B$37:$B$300,0)),"")</f>
        <v/>
      </c>
      <c r="T1118" s="22">
        <f>IF(OR($R1118="",$S1118=""),"",$R1118*$S1118)</f>
        <v/>
      </c>
      <c r="U1118" s="20" t="n"/>
      <c r="V1118" s="20" t="n"/>
      <c r="W1118" s="20" t="n"/>
      <c r="X1118">
        <f>IF($A1118="","",$A1118&amp;"|"&amp;$C1118&amp;"|"&amp;$I1118)</f>
        <v/>
      </c>
      <c r="Y1118">
        <f>IF(AND($A1118=RELATORIO_MEDICAO!$C$5,$C1118=RELATORIO_MEDICAO!$F$5,$A1118&lt;&gt;""),COUNTIFS($A$3:$A1118,RELATORIO_MEDICAO!$C$5,$C$3:$C1118,RELATORIO_MEDICAO!$F$5),"")</f>
        <v/>
      </c>
      <c r="Z1118">
        <f>IF(OR($A1118="",PESQUISA!$C$4=""),0,IF(OR(ISNUMBER(SEARCH(PESQUISA!$C$4,$G1118)),ISNUMBER(SEARCH(PESQUISA!$C$4,$K1118)),ISNUMBER(SEARCH(PESQUISA!$C$4,$L1118))),1,0))</f>
        <v/>
      </c>
      <c r="AA1118">
        <f>IF($Z1118=1,SUM($Z$3:$Z1118),"")</f>
        <v/>
      </c>
      <c r="AB1118">
        <f>IF(OR($A1118="",PESQUISA!$C$50=""),0,IF(ISNUMBER(SEARCH(PESQUISA!$C$50,$I1118)),1,0))</f>
        <v/>
      </c>
      <c r="AC1118">
        <f>IF($AB1118=1,SUM($AB$3:$AB1118),"")</f>
        <v/>
      </c>
    </row>
    <row r="1119">
      <c r="A1119" s="20" t="n"/>
      <c r="B1119" s="20" t="n"/>
      <c r="C1119" s="20" t="n"/>
      <c r="D1119" s="20" t="n"/>
      <c r="E1119" s="20" t="n"/>
      <c r="F1119" s="20" t="n"/>
      <c r="G1119" s="20" t="n"/>
      <c r="H1119" s="20" t="n"/>
      <c r="I1119" s="20" t="n"/>
      <c r="J1119" s="20">
        <f>IFERROR(INDEX(CONFIGURACOES!$G$37:$G$300,MATCH($I1119,CONFIGURACOES!$B$37:$B$300,0)),"")</f>
        <v/>
      </c>
      <c r="K1119" s="20">
        <f>IFERROR(INDEX(CONFIGURACOES!$H$37:$H$300,MATCH($I1119,CONFIGURACOES!$B$37:$B$300,0)),"")</f>
        <v/>
      </c>
      <c r="L1119" s="20" t="n"/>
      <c r="M1119" s="20">
        <f>IFERROR(INDEX(CONFIGURACOES!$I$37:$I$300,MATCH($I1119,CONFIGURACOES!$B$37:$B$300,0)),"")</f>
        <v/>
      </c>
      <c r="N1119" s="21" t="n"/>
      <c r="O1119" s="21" t="n"/>
      <c r="P1119" s="21" t="n"/>
      <c r="Q1119" s="21" t="n"/>
      <c r="R1119" s="21">
        <f>IF($N1119="","",$N1119*IF($Q1119="",1,$Q1119)*IF($P1119="",1,$P1119)*IF($O1119="",1,$O1119))</f>
        <v/>
      </c>
      <c r="S1119" s="22">
        <f>IFERROR(INDEX(CONFIGURACOES!$J$37:$J$300,MATCH($I1119,CONFIGURACOES!$B$37:$B$300,0)),"")</f>
        <v/>
      </c>
      <c r="T1119" s="22">
        <f>IF(OR($R1119="",$S1119=""),"",$R1119*$S1119)</f>
        <v/>
      </c>
      <c r="U1119" s="20" t="n"/>
      <c r="V1119" s="20" t="n"/>
      <c r="W1119" s="20" t="n"/>
      <c r="X1119">
        <f>IF($A1119="","",$A1119&amp;"|"&amp;$C1119&amp;"|"&amp;$I1119)</f>
        <v/>
      </c>
      <c r="Y1119">
        <f>IF(AND($A1119=RELATORIO_MEDICAO!$C$5,$C1119=RELATORIO_MEDICAO!$F$5,$A1119&lt;&gt;""),COUNTIFS($A$3:$A1119,RELATORIO_MEDICAO!$C$5,$C$3:$C1119,RELATORIO_MEDICAO!$F$5),"")</f>
        <v/>
      </c>
      <c r="Z1119">
        <f>IF(OR($A1119="",PESQUISA!$C$4=""),0,IF(OR(ISNUMBER(SEARCH(PESQUISA!$C$4,$G1119)),ISNUMBER(SEARCH(PESQUISA!$C$4,$K1119)),ISNUMBER(SEARCH(PESQUISA!$C$4,$L1119))),1,0))</f>
        <v/>
      </c>
      <c r="AA1119">
        <f>IF($Z1119=1,SUM($Z$3:$Z1119),"")</f>
        <v/>
      </c>
      <c r="AB1119">
        <f>IF(OR($A1119="",PESQUISA!$C$50=""),0,IF(ISNUMBER(SEARCH(PESQUISA!$C$50,$I1119)),1,0))</f>
        <v/>
      </c>
      <c r="AC1119">
        <f>IF($AB1119=1,SUM($AB$3:$AB1119),"")</f>
        <v/>
      </c>
    </row>
    <row r="1120">
      <c r="A1120" s="20" t="n"/>
      <c r="B1120" s="20" t="n"/>
      <c r="C1120" s="20" t="n"/>
      <c r="D1120" s="20" t="n"/>
      <c r="E1120" s="20" t="n"/>
      <c r="F1120" s="20" t="n"/>
      <c r="G1120" s="20" t="n"/>
      <c r="H1120" s="20" t="n"/>
      <c r="I1120" s="20" t="n"/>
      <c r="J1120" s="20">
        <f>IFERROR(INDEX(CONFIGURACOES!$G$37:$G$300,MATCH($I1120,CONFIGURACOES!$B$37:$B$300,0)),"")</f>
        <v/>
      </c>
      <c r="K1120" s="20">
        <f>IFERROR(INDEX(CONFIGURACOES!$H$37:$H$300,MATCH($I1120,CONFIGURACOES!$B$37:$B$300,0)),"")</f>
        <v/>
      </c>
      <c r="L1120" s="20" t="n"/>
      <c r="M1120" s="20">
        <f>IFERROR(INDEX(CONFIGURACOES!$I$37:$I$300,MATCH($I1120,CONFIGURACOES!$B$37:$B$300,0)),"")</f>
        <v/>
      </c>
      <c r="N1120" s="21" t="n"/>
      <c r="O1120" s="21" t="n"/>
      <c r="P1120" s="21" t="n"/>
      <c r="Q1120" s="21" t="n"/>
      <c r="R1120" s="21">
        <f>IF($N1120="","",$N1120*IF($Q1120="",1,$Q1120)*IF($P1120="",1,$P1120)*IF($O1120="",1,$O1120))</f>
        <v/>
      </c>
      <c r="S1120" s="22">
        <f>IFERROR(INDEX(CONFIGURACOES!$J$37:$J$300,MATCH($I1120,CONFIGURACOES!$B$37:$B$300,0)),"")</f>
        <v/>
      </c>
      <c r="T1120" s="22">
        <f>IF(OR($R1120="",$S1120=""),"",$R1120*$S1120)</f>
        <v/>
      </c>
      <c r="U1120" s="20" t="n"/>
      <c r="V1120" s="20" t="n"/>
      <c r="W1120" s="20" t="n"/>
      <c r="X1120">
        <f>IF($A1120="","",$A1120&amp;"|"&amp;$C1120&amp;"|"&amp;$I1120)</f>
        <v/>
      </c>
      <c r="Y1120">
        <f>IF(AND($A1120=RELATORIO_MEDICAO!$C$5,$C1120=RELATORIO_MEDICAO!$F$5,$A1120&lt;&gt;""),COUNTIFS($A$3:$A1120,RELATORIO_MEDICAO!$C$5,$C$3:$C1120,RELATORIO_MEDICAO!$F$5),"")</f>
        <v/>
      </c>
      <c r="Z1120">
        <f>IF(OR($A1120="",PESQUISA!$C$4=""),0,IF(OR(ISNUMBER(SEARCH(PESQUISA!$C$4,$G1120)),ISNUMBER(SEARCH(PESQUISA!$C$4,$K1120)),ISNUMBER(SEARCH(PESQUISA!$C$4,$L1120))),1,0))</f>
        <v/>
      </c>
      <c r="AA1120">
        <f>IF($Z1120=1,SUM($Z$3:$Z1120),"")</f>
        <v/>
      </c>
      <c r="AB1120">
        <f>IF(OR($A1120="",PESQUISA!$C$50=""),0,IF(ISNUMBER(SEARCH(PESQUISA!$C$50,$I1120)),1,0))</f>
        <v/>
      </c>
      <c r="AC1120">
        <f>IF($AB1120=1,SUM($AB$3:$AB1120),"")</f>
        <v/>
      </c>
    </row>
    <row r="1121">
      <c r="A1121" s="20" t="n"/>
      <c r="B1121" s="20" t="n"/>
      <c r="C1121" s="20" t="n"/>
      <c r="D1121" s="20" t="n"/>
      <c r="E1121" s="20" t="n"/>
      <c r="F1121" s="20" t="n"/>
      <c r="G1121" s="20" t="n"/>
      <c r="H1121" s="20" t="n"/>
      <c r="I1121" s="20" t="n"/>
      <c r="J1121" s="20">
        <f>IFERROR(INDEX(CONFIGURACOES!$G$37:$G$300,MATCH($I1121,CONFIGURACOES!$B$37:$B$300,0)),"")</f>
        <v/>
      </c>
      <c r="K1121" s="20">
        <f>IFERROR(INDEX(CONFIGURACOES!$H$37:$H$300,MATCH($I1121,CONFIGURACOES!$B$37:$B$300,0)),"")</f>
        <v/>
      </c>
      <c r="L1121" s="20" t="n"/>
      <c r="M1121" s="20">
        <f>IFERROR(INDEX(CONFIGURACOES!$I$37:$I$300,MATCH($I1121,CONFIGURACOES!$B$37:$B$300,0)),"")</f>
        <v/>
      </c>
      <c r="N1121" s="21" t="n"/>
      <c r="O1121" s="21" t="n"/>
      <c r="P1121" s="21" t="n"/>
      <c r="Q1121" s="21" t="n"/>
      <c r="R1121" s="21">
        <f>IF($N1121="","",$N1121*IF($Q1121="",1,$Q1121)*IF($P1121="",1,$P1121)*IF($O1121="",1,$O1121))</f>
        <v/>
      </c>
      <c r="S1121" s="22">
        <f>IFERROR(INDEX(CONFIGURACOES!$J$37:$J$300,MATCH($I1121,CONFIGURACOES!$B$37:$B$300,0)),"")</f>
        <v/>
      </c>
      <c r="T1121" s="22">
        <f>IF(OR($R1121="",$S1121=""),"",$R1121*$S1121)</f>
        <v/>
      </c>
      <c r="U1121" s="20" t="n"/>
      <c r="V1121" s="20" t="n"/>
      <c r="W1121" s="20" t="n"/>
      <c r="X1121">
        <f>IF($A1121="","",$A1121&amp;"|"&amp;$C1121&amp;"|"&amp;$I1121)</f>
        <v/>
      </c>
      <c r="Y1121">
        <f>IF(AND($A1121=RELATORIO_MEDICAO!$C$5,$C1121=RELATORIO_MEDICAO!$F$5,$A1121&lt;&gt;""),COUNTIFS($A$3:$A1121,RELATORIO_MEDICAO!$C$5,$C$3:$C1121,RELATORIO_MEDICAO!$F$5),"")</f>
        <v/>
      </c>
      <c r="Z1121">
        <f>IF(OR($A1121="",PESQUISA!$C$4=""),0,IF(OR(ISNUMBER(SEARCH(PESQUISA!$C$4,$G1121)),ISNUMBER(SEARCH(PESQUISA!$C$4,$K1121)),ISNUMBER(SEARCH(PESQUISA!$C$4,$L1121))),1,0))</f>
        <v/>
      </c>
      <c r="AA1121">
        <f>IF($Z1121=1,SUM($Z$3:$Z1121),"")</f>
        <v/>
      </c>
      <c r="AB1121">
        <f>IF(OR($A1121="",PESQUISA!$C$50=""),0,IF(ISNUMBER(SEARCH(PESQUISA!$C$50,$I1121)),1,0))</f>
        <v/>
      </c>
      <c r="AC1121">
        <f>IF($AB1121=1,SUM($AB$3:$AB1121),"")</f>
        <v/>
      </c>
    </row>
    <row r="1122">
      <c r="A1122" s="20" t="n"/>
      <c r="B1122" s="20" t="n"/>
      <c r="C1122" s="20" t="n"/>
      <c r="D1122" s="20" t="n"/>
      <c r="E1122" s="20" t="n"/>
      <c r="F1122" s="20" t="n"/>
      <c r="G1122" s="20" t="n"/>
      <c r="H1122" s="20" t="n"/>
      <c r="I1122" s="20" t="n"/>
      <c r="J1122" s="20">
        <f>IFERROR(INDEX(CONFIGURACOES!$G$37:$G$300,MATCH($I1122,CONFIGURACOES!$B$37:$B$300,0)),"")</f>
        <v/>
      </c>
      <c r="K1122" s="20">
        <f>IFERROR(INDEX(CONFIGURACOES!$H$37:$H$300,MATCH($I1122,CONFIGURACOES!$B$37:$B$300,0)),"")</f>
        <v/>
      </c>
      <c r="L1122" s="20" t="n"/>
      <c r="M1122" s="20">
        <f>IFERROR(INDEX(CONFIGURACOES!$I$37:$I$300,MATCH($I1122,CONFIGURACOES!$B$37:$B$300,0)),"")</f>
        <v/>
      </c>
      <c r="N1122" s="21" t="n"/>
      <c r="O1122" s="21" t="n"/>
      <c r="P1122" s="21" t="n"/>
      <c r="Q1122" s="21" t="n"/>
      <c r="R1122" s="21">
        <f>IF($N1122="","",$N1122*IF($Q1122="",1,$Q1122)*IF($P1122="",1,$P1122)*IF($O1122="",1,$O1122))</f>
        <v/>
      </c>
      <c r="S1122" s="22">
        <f>IFERROR(INDEX(CONFIGURACOES!$J$37:$J$300,MATCH($I1122,CONFIGURACOES!$B$37:$B$300,0)),"")</f>
        <v/>
      </c>
      <c r="T1122" s="22">
        <f>IF(OR($R1122="",$S1122=""),"",$R1122*$S1122)</f>
        <v/>
      </c>
      <c r="U1122" s="20" t="n"/>
      <c r="V1122" s="20" t="n"/>
      <c r="W1122" s="20" t="n"/>
      <c r="X1122">
        <f>IF($A1122="","",$A1122&amp;"|"&amp;$C1122&amp;"|"&amp;$I1122)</f>
        <v/>
      </c>
      <c r="Y1122">
        <f>IF(AND($A1122=RELATORIO_MEDICAO!$C$5,$C1122=RELATORIO_MEDICAO!$F$5,$A1122&lt;&gt;""),COUNTIFS($A$3:$A1122,RELATORIO_MEDICAO!$C$5,$C$3:$C1122,RELATORIO_MEDICAO!$F$5),"")</f>
        <v/>
      </c>
      <c r="Z1122">
        <f>IF(OR($A1122="",PESQUISA!$C$4=""),0,IF(OR(ISNUMBER(SEARCH(PESQUISA!$C$4,$G1122)),ISNUMBER(SEARCH(PESQUISA!$C$4,$K1122)),ISNUMBER(SEARCH(PESQUISA!$C$4,$L1122))),1,0))</f>
        <v/>
      </c>
      <c r="AA1122">
        <f>IF($Z1122=1,SUM($Z$3:$Z1122),"")</f>
        <v/>
      </c>
      <c r="AB1122">
        <f>IF(OR($A1122="",PESQUISA!$C$50=""),0,IF(ISNUMBER(SEARCH(PESQUISA!$C$50,$I1122)),1,0))</f>
        <v/>
      </c>
      <c r="AC1122">
        <f>IF($AB1122=1,SUM($AB$3:$AB1122),"")</f>
        <v/>
      </c>
    </row>
    <row r="1123">
      <c r="A1123" s="20" t="n"/>
      <c r="B1123" s="20" t="n"/>
      <c r="C1123" s="20" t="n"/>
      <c r="D1123" s="20" t="n"/>
      <c r="E1123" s="20" t="n"/>
      <c r="F1123" s="20" t="n"/>
      <c r="G1123" s="20" t="n"/>
      <c r="H1123" s="20" t="n"/>
      <c r="I1123" s="20" t="n"/>
      <c r="J1123" s="20">
        <f>IFERROR(INDEX(CONFIGURACOES!$G$37:$G$300,MATCH($I1123,CONFIGURACOES!$B$37:$B$300,0)),"")</f>
        <v/>
      </c>
      <c r="K1123" s="20">
        <f>IFERROR(INDEX(CONFIGURACOES!$H$37:$H$300,MATCH($I1123,CONFIGURACOES!$B$37:$B$300,0)),"")</f>
        <v/>
      </c>
      <c r="L1123" s="20" t="n"/>
      <c r="M1123" s="20">
        <f>IFERROR(INDEX(CONFIGURACOES!$I$37:$I$300,MATCH($I1123,CONFIGURACOES!$B$37:$B$300,0)),"")</f>
        <v/>
      </c>
      <c r="N1123" s="21" t="n"/>
      <c r="O1123" s="21" t="n"/>
      <c r="P1123" s="21" t="n"/>
      <c r="Q1123" s="21" t="n"/>
      <c r="R1123" s="21">
        <f>IF($N1123="","",$N1123*IF($Q1123="",1,$Q1123)*IF($P1123="",1,$P1123)*IF($O1123="",1,$O1123))</f>
        <v/>
      </c>
      <c r="S1123" s="22">
        <f>IFERROR(INDEX(CONFIGURACOES!$J$37:$J$300,MATCH($I1123,CONFIGURACOES!$B$37:$B$300,0)),"")</f>
        <v/>
      </c>
      <c r="T1123" s="22">
        <f>IF(OR($R1123="",$S1123=""),"",$R1123*$S1123)</f>
        <v/>
      </c>
      <c r="U1123" s="20" t="n"/>
      <c r="V1123" s="20" t="n"/>
      <c r="W1123" s="20" t="n"/>
      <c r="X1123">
        <f>IF($A1123="","",$A1123&amp;"|"&amp;$C1123&amp;"|"&amp;$I1123)</f>
        <v/>
      </c>
      <c r="Y1123">
        <f>IF(AND($A1123=RELATORIO_MEDICAO!$C$5,$C1123=RELATORIO_MEDICAO!$F$5,$A1123&lt;&gt;""),COUNTIFS($A$3:$A1123,RELATORIO_MEDICAO!$C$5,$C$3:$C1123,RELATORIO_MEDICAO!$F$5),"")</f>
        <v/>
      </c>
      <c r="Z1123">
        <f>IF(OR($A1123="",PESQUISA!$C$4=""),0,IF(OR(ISNUMBER(SEARCH(PESQUISA!$C$4,$G1123)),ISNUMBER(SEARCH(PESQUISA!$C$4,$K1123)),ISNUMBER(SEARCH(PESQUISA!$C$4,$L1123))),1,0))</f>
        <v/>
      </c>
      <c r="AA1123">
        <f>IF($Z1123=1,SUM($Z$3:$Z1123),"")</f>
        <v/>
      </c>
      <c r="AB1123">
        <f>IF(OR($A1123="",PESQUISA!$C$50=""),0,IF(ISNUMBER(SEARCH(PESQUISA!$C$50,$I1123)),1,0))</f>
        <v/>
      </c>
      <c r="AC1123">
        <f>IF($AB1123=1,SUM($AB$3:$AB1123),"")</f>
        <v/>
      </c>
    </row>
    <row r="1124">
      <c r="A1124" s="20" t="n"/>
      <c r="B1124" s="20" t="n"/>
      <c r="C1124" s="20" t="n"/>
      <c r="D1124" s="20" t="n"/>
      <c r="E1124" s="20" t="n"/>
      <c r="F1124" s="20" t="n"/>
      <c r="G1124" s="20" t="n"/>
      <c r="H1124" s="20" t="n"/>
      <c r="I1124" s="20" t="n"/>
      <c r="J1124" s="20">
        <f>IFERROR(INDEX(CONFIGURACOES!$G$37:$G$300,MATCH($I1124,CONFIGURACOES!$B$37:$B$300,0)),"")</f>
        <v/>
      </c>
      <c r="K1124" s="20">
        <f>IFERROR(INDEX(CONFIGURACOES!$H$37:$H$300,MATCH($I1124,CONFIGURACOES!$B$37:$B$300,0)),"")</f>
        <v/>
      </c>
      <c r="L1124" s="20" t="n"/>
      <c r="M1124" s="20">
        <f>IFERROR(INDEX(CONFIGURACOES!$I$37:$I$300,MATCH($I1124,CONFIGURACOES!$B$37:$B$300,0)),"")</f>
        <v/>
      </c>
      <c r="N1124" s="21" t="n"/>
      <c r="O1124" s="21" t="n"/>
      <c r="P1124" s="21" t="n"/>
      <c r="Q1124" s="21" t="n"/>
      <c r="R1124" s="21">
        <f>IF($N1124="","",$N1124*IF($Q1124="",1,$Q1124)*IF($P1124="",1,$P1124)*IF($O1124="",1,$O1124))</f>
        <v/>
      </c>
      <c r="S1124" s="22">
        <f>IFERROR(INDEX(CONFIGURACOES!$J$37:$J$300,MATCH($I1124,CONFIGURACOES!$B$37:$B$300,0)),"")</f>
        <v/>
      </c>
      <c r="T1124" s="22">
        <f>IF(OR($R1124="",$S1124=""),"",$R1124*$S1124)</f>
        <v/>
      </c>
      <c r="U1124" s="20" t="n"/>
      <c r="V1124" s="20" t="n"/>
      <c r="W1124" s="20" t="n"/>
      <c r="X1124">
        <f>IF($A1124="","",$A1124&amp;"|"&amp;$C1124&amp;"|"&amp;$I1124)</f>
        <v/>
      </c>
      <c r="Y1124">
        <f>IF(AND($A1124=RELATORIO_MEDICAO!$C$5,$C1124=RELATORIO_MEDICAO!$F$5,$A1124&lt;&gt;""),COUNTIFS($A$3:$A1124,RELATORIO_MEDICAO!$C$5,$C$3:$C1124,RELATORIO_MEDICAO!$F$5),"")</f>
        <v/>
      </c>
      <c r="Z1124">
        <f>IF(OR($A1124="",PESQUISA!$C$4=""),0,IF(OR(ISNUMBER(SEARCH(PESQUISA!$C$4,$G1124)),ISNUMBER(SEARCH(PESQUISA!$C$4,$K1124)),ISNUMBER(SEARCH(PESQUISA!$C$4,$L1124))),1,0))</f>
        <v/>
      </c>
      <c r="AA1124">
        <f>IF($Z1124=1,SUM($Z$3:$Z1124),"")</f>
        <v/>
      </c>
      <c r="AB1124">
        <f>IF(OR($A1124="",PESQUISA!$C$50=""),0,IF(ISNUMBER(SEARCH(PESQUISA!$C$50,$I1124)),1,0))</f>
        <v/>
      </c>
      <c r="AC1124">
        <f>IF($AB1124=1,SUM($AB$3:$AB1124),"")</f>
        <v/>
      </c>
    </row>
    <row r="1125">
      <c r="A1125" s="20" t="n"/>
      <c r="B1125" s="20" t="n"/>
      <c r="C1125" s="20" t="n"/>
      <c r="D1125" s="20" t="n"/>
      <c r="E1125" s="20" t="n"/>
      <c r="F1125" s="20" t="n"/>
      <c r="G1125" s="20" t="n"/>
      <c r="H1125" s="20" t="n"/>
      <c r="I1125" s="20" t="n"/>
      <c r="J1125" s="20">
        <f>IFERROR(INDEX(CONFIGURACOES!$G$37:$G$300,MATCH($I1125,CONFIGURACOES!$B$37:$B$300,0)),"")</f>
        <v/>
      </c>
      <c r="K1125" s="20">
        <f>IFERROR(INDEX(CONFIGURACOES!$H$37:$H$300,MATCH($I1125,CONFIGURACOES!$B$37:$B$300,0)),"")</f>
        <v/>
      </c>
      <c r="L1125" s="20" t="n"/>
      <c r="M1125" s="20">
        <f>IFERROR(INDEX(CONFIGURACOES!$I$37:$I$300,MATCH($I1125,CONFIGURACOES!$B$37:$B$300,0)),"")</f>
        <v/>
      </c>
      <c r="N1125" s="21" t="n"/>
      <c r="O1125" s="21" t="n"/>
      <c r="P1125" s="21" t="n"/>
      <c r="Q1125" s="21" t="n"/>
      <c r="R1125" s="21">
        <f>IF($N1125="","",$N1125*IF($Q1125="",1,$Q1125)*IF($P1125="",1,$P1125)*IF($O1125="",1,$O1125))</f>
        <v/>
      </c>
      <c r="S1125" s="22">
        <f>IFERROR(INDEX(CONFIGURACOES!$J$37:$J$300,MATCH($I1125,CONFIGURACOES!$B$37:$B$300,0)),"")</f>
        <v/>
      </c>
      <c r="T1125" s="22">
        <f>IF(OR($R1125="",$S1125=""),"",$R1125*$S1125)</f>
        <v/>
      </c>
      <c r="U1125" s="20" t="n"/>
      <c r="V1125" s="20" t="n"/>
      <c r="W1125" s="20" t="n"/>
      <c r="X1125">
        <f>IF($A1125="","",$A1125&amp;"|"&amp;$C1125&amp;"|"&amp;$I1125)</f>
        <v/>
      </c>
      <c r="Y1125">
        <f>IF(AND($A1125=RELATORIO_MEDICAO!$C$5,$C1125=RELATORIO_MEDICAO!$F$5,$A1125&lt;&gt;""),COUNTIFS($A$3:$A1125,RELATORIO_MEDICAO!$C$5,$C$3:$C1125,RELATORIO_MEDICAO!$F$5),"")</f>
        <v/>
      </c>
      <c r="Z1125">
        <f>IF(OR($A1125="",PESQUISA!$C$4=""),0,IF(OR(ISNUMBER(SEARCH(PESQUISA!$C$4,$G1125)),ISNUMBER(SEARCH(PESQUISA!$C$4,$K1125)),ISNUMBER(SEARCH(PESQUISA!$C$4,$L1125))),1,0))</f>
        <v/>
      </c>
      <c r="AA1125">
        <f>IF($Z1125=1,SUM($Z$3:$Z1125),"")</f>
        <v/>
      </c>
      <c r="AB1125">
        <f>IF(OR($A1125="",PESQUISA!$C$50=""),0,IF(ISNUMBER(SEARCH(PESQUISA!$C$50,$I1125)),1,0))</f>
        <v/>
      </c>
      <c r="AC1125">
        <f>IF($AB1125=1,SUM($AB$3:$AB1125),"")</f>
        <v/>
      </c>
    </row>
    <row r="1126">
      <c r="A1126" s="20" t="n"/>
      <c r="B1126" s="20" t="n"/>
      <c r="C1126" s="20" t="n"/>
      <c r="D1126" s="20" t="n"/>
      <c r="E1126" s="20" t="n"/>
      <c r="F1126" s="20" t="n"/>
      <c r="G1126" s="20" t="n"/>
      <c r="H1126" s="20" t="n"/>
      <c r="I1126" s="20" t="n"/>
      <c r="J1126" s="20">
        <f>IFERROR(INDEX(CONFIGURACOES!$G$37:$G$300,MATCH($I1126,CONFIGURACOES!$B$37:$B$300,0)),"")</f>
        <v/>
      </c>
      <c r="K1126" s="20">
        <f>IFERROR(INDEX(CONFIGURACOES!$H$37:$H$300,MATCH($I1126,CONFIGURACOES!$B$37:$B$300,0)),"")</f>
        <v/>
      </c>
      <c r="L1126" s="20" t="n"/>
      <c r="M1126" s="20">
        <f>IFERROR(INDEX(CONFIGURACOES!$I$37:$I$300,MATCH($I1126,CONFIGURACOES!$B$37:$B$300,0)),"")</f>
        <v/>
      </c>
      <c r="N1126" s="21" t="n"/>
      <c r="O1126" s="21" t="n"/>
      <c r="P1126" s="21" t="n"/>
      <c r="Q1126" s="21" t="n"/>
      <c r="R1126" s="21">
        <f>IF($N1126="","",$N1126*IF($Q1126="",1,$Q1126)*IF($P1126="",1,$P1126)*IF($O1126="",1,$O1126))</f>
        <v/>
      </c>
      <c r="S1126" s="22">
        <f>IFERROR(INDEX(CONFIGURACOES!$J$37:$J$300,MATCH($I1126,CONFIGURACOES!$B$37:$B$300,0)),"")</f>
        <v/>
      </c>
      <c r="T1126" s="22">
        <f>IF(OR($R1126="",$S1126=""),"",$R1126*$S1126)</f>
        <v/>
      </c>
      <c r="U1126" s="20" t="n"/>
      <c r="V1126" s="20" t="n"/>
      <c r="W1126" s="20" t="n"/>
      <c r="X1126">
        <f>IF($A1126="","",$A1126&amp;"|"&amp;$C1126&amp;"|"&amp;$I1126)</f>
        <v/>
      </c>
      <c r="Y1126">
        <f>IF(AND($A1126=RELATORIO_MEDICAO!$C$5,$C1126=RELATORIO_MEDICAO!$F$5,$A1126&lt;&gt;""),COUNTIFS($A$3:$A1126,RELATORIO_MEDICAO!$C$5,$C$3:$C1126,RELATORIO_MEDICAO!$F$5),"")</f>
        <v/>
      </c>
      <c r="Z1126">
        <f>IF(OR($A1126="",PESQUISA!$C$4=""),0,IF(OR(ISNUMBER(SEARCH(PESQUISA!$C$4,$G1126)),ISNUMBER(SEARCH(PESQUISA!$C$4,$K1126)),ISNUMBER(SEARCH(PESQUISA!$C$4,$L1126))),1,0))</f>
        <v/>
      </c>
      <c r="AA1126">
        <f>IF($Z1126=1,SUM($Z$3:$Z1126),"")</f>
        <v/>
      </c>
      <c r="AB1126">
        <f>IF(OR($A1126="",PESQUISA!$C$50=""),0,IF(ISNUMBER(SEARCH(PESQUISA!$C$50,$I1126)),1,0))</f>
        <v/>
      </c>
      <c r="AC1126">
        <f>IF($AB1126=1,SUM($AB$3:$AB1126),"")</f>
        <v/>
      </c>
    </row>
    <row r="1127">
      <c r="A1127" s="20" t="n"/>
      <c r="B1127" s="20" t="n"/>
      <c r="C1127" s="20" t="n"/>
      <c r="D1127" s="20" t="n"/>
      <c r="E1127" s="20" t="n"/>
      <c r="F1127" s="20" t="n"/>
      <c r="G1127" s="20" t="n"/>
      <c r="H1127" s="20" t="n"/>
      <c r="I1127" s="20" t="n"/>
      <c r="J1127" s="20">
        <f>IFERROR(INDEX(CONFIGURACOES!$G$37:$G$300,MATCH($I1127,CONFIGURACOES!$B$37:$B$300,0)),"")</f>
        <v/>
      </c>
      <c r="K1127" s="20">
        <f>IFERROR(INDEX(CONFIGURACOES!$H$37:$H$300,MATCH($I1127,CONFIGURACOES!$B$37:$B$300,0)),"")</f>
        <v/>
      </c>
      <c r="L1127" s="20" t="n"/>
      <c r="M1127" s="20">
        <f>IFERROR(INDEX(CONFIGURACOES!$I$37:$I$300,MATCH($I1127,CONFIGURACOES!$B$37:$B$300,0)),"")</f>
        <v/>
      </c>
      <c r="N1127" s="21" t="n"/>
      <c r="O1127" s="21" t="n"/>
      <c r="P1127" s="21" t="n"/>
      <c r="Q1127" s="21" t="n"/>
      <c r="R1127" s="21">
        <f>IF($N1127="","",$N1127*IF($Q1127="",1,$Q1127)*IF($P1127="",1,$P1127)*IF($O1127="",1,$O1127))</f>
        <v/>
      </c>
      <c r="S1127" s="22">
        <f>IFERROR(INDEX(CONFIGURACOES!$J$37:$J$300,MATCH($I1127,CONFIGURACOES!$B$37:$B$300,0)),"")</f>
        <v/>
      </c>
      <c r="T1127" s="22">
        <f>IF(OR($R1127="",$S1127=""),"",$R1127*$S1127)</f>
        <v/>
      </c>
      <c r="U1127" s="20" t="n"/>
      <c r="V1127" s="20" t="n"/>
      <c r="W1127" s="20" t="n"/>
      <c r="X1127">
        <f>IF($A1127="","",$A1127&amp;"|"&amp;$C1127&amp;"|"&amp;$I1127)</f>
        <v/>
      </c>
      <c r="Y1127">
        <f>IF(AND($A1127=RELATORIO_MEDICAO!$C$5,$C1127=RELATORIO_MEDICAO!$F$5,$A1127&lt;&gt;""),COUNTIFS($A$3:$A1127,RELATORIO_MEDICAO!$C$5,$C$3:$C1127,RELATORIO_MEDICAO!$F$5),"")</f>
        <v/>
      </c>
      <c r="Z1127">
        <f>IF(OR($A1127="",PESQUISA!$C$4=""),0,IF(OR(ISNUMBER(SEARCH(PESQUISA!$C$4,$G1127)),ISNUMBER(SEARCH(PESQUISA!$C$4,$K1127)),ISNUMBER(SEARCH(PESQUISA!$C$4,$L1127))),1,0))</f>
        <v/>
      </c>
      <c r="AA1127">
        <f>IF($Z1127=1,SUM($Z$3:$Z1127),"")</f>
        <v/>
      </c>
      <c r="AB1127">
        <f>IF(OR($A1127="",PESQUISA!$C$50=""),0,IF(ISNUMBER(SEARCH(PESQUISA!$C$50,$I1127)),1,0))</f>
        <v/>
      </c>
      <c r="AC1127">
        <f>IF($AB1127=1,SUM($AB$3:$AB1127),"")</f>
        <v/>
      </c>
    </row>
    <row r="1128">
      <c r="A1128" s="20" t="n"/>
      <c r="B1128" s="20" t="n"/>
      <c r="C1128" s="20" t="n"/>
      <c r="D1128" s="20" t="n"/>
      <c r="E1128" s="20" t="n"/>
      <c r="F1128" s="20" t="n"/>
      <c r="G1128" s="20" t="n"/>
      <c r="H1128" s="20" t="n"/>
      <c r="I1128" s="20" t="n"/>
      <c r="J1128" s="20">
        <f>IFERROR(INDEX(CONFIGURACOES!$G$37:$G$300,MATCH($I1128,CONFIGURACOES!$B$37:$B$300,0)),"")</f>
        <v/>
      </c>
      <c r="K1128" s="20">
        <f>IFERROR(INDEX(CONFIGURACOES!$H$37:$H$300,MATCH($I1128,CONFIGURACOES!$B$37:$B$300,0)),"")</f>
        <v/>
      </c>
      <c r="L1128" s="20" t="n"/>
      <c r="M1128" s="20">
        <f>IFERROR(INDEX(CONFIGURACOES!$I$37:$I$300,MATCH($I1128,CONFIGURACOES!$B$37:$B$300,0)),"")</f>
        <v/>
      </c>
      <c r="N1128" s="21" t="n"/>
      <c r="O1128" s="21" t="n"/>
      <c r="P1128" s="21" t="n"/>
      <c r="Q1128" s="21" t="n"/>
      <c r="R1128" s="21">
        <f>IF($N1128="","",$N1128*IF($Q1128="",1,$Q1128)*IF($P1128="",1,$P1128)*IF($O1128="",1,$O1128))</f>
        <v/>
      </c>
      <c r="S1128" s="22">
        <f>IFERROR(INDEX(CONFIGURACOES!$J$37:$J$300,MATCH($I1128,CONFIGURACOES!$B$37:$B$300,0)),"")</f>
        <v/>
      </c>
      <c r="T1128" s="22">
        <f>IF(OR($R1128="",$S1128=""),"",$R1128*$S1128)</f>
        <v/>
      </c>
      <c r="U1128" s="20" t="n"/>
      <c r="V1128" s="20" t="n"/>
      <c r="W1128" s="20" t="n"/>
      <c r="X1128">
        <f>IF($A1128="","",$A1128&amp;"|"&amp;$C1128&amp;"|"&amp;$I1128)</f>
        <v/>
      </c>
      <c r="Y1128">
        <f>IF(AND($A1128=RELATORIO_MEDICAO!$C$5,$C1128=RELATORIO_MEDICAO!$F$5,$A1128&lt;&gt;""),COUNTIFS($A$3:$A1128,RELATORIO_MEDICAO!$C$5,$C$3:$C1128,RELATORIO_MEDICAO!$F$5),"")</f>
        <v/>
      </c>
      <c r="Z1128">
        <f>IF(OR($A1128="",PESQUISA!$C$4=""),0,IF(OR(ISNUMBER(SEARCH(PESQUISA!$C$4,$G1128)),ISNUMBER(SEARCH(PESQUISA!$C$4,$K1128)),ISNUMBER(SEARCH(PESQUISA!$C$4,$L1128))),1,0))</f>
        <v/>
      </c>
      <c r="AA1128">
        <f>IF($Z1128=1,SUM($Z$3:$Z1128),"")</f>
        <v/>
      </c>
      <c r="AB1128">
        <f>IF(OR($A1128="",PESQUISA!$C$50=""),0,IF(ISNUMBER(SEARCH(PESQUISA!$C$50,$I1128)),1,0))</f>
        <v/>
      </c>
      <c r="AC1128">
        <f>IF($AB1128=1,SUM($AB$3:$AB1128),"")</f>
        <v/>
      </c>
    </row>
    <row r="1129">
      <c r="A1129" s="20" t="n"/>
      <c r="B1129" s="20" t="n"/>
      <c r="C1129" s="20" t="n"/>
      <c r="D1129" s="20" t="n"/>
      <c r="E1129" s="20" t="n"/>
      <c r="F1129" s="20" t="n"/>
      <c r="G1129" s="20" t="n"/>
      <c r="H1129" s="20" t="n"/>
      <c r="I1129" s="20" t="n"/>
      <c r="J1129" s="20">
        <f>IFERROR(INDEX(CONFIGURACOES!$G$37:$G$300,MATCH($I1129,CONFIGURACOES!$B$37:$B$300,0)),"")</f>
        <v/>
      </c>
      <c r="K1129" s="20">
        <f>IFERROR(INDEX(CONFIGURACOES!$H$37:$H$300,MATCH($I1129,CONFIGURACOES!$B$37:$B$300,0)),"")</f>
        <v/>
      </c>
      <c r="L1129" s="20" t="n"/>
      <c r="M1129" s="20">
        <f>IFERROR(INDEX(CONFIGURACOES!$I$37:$I$300,MATCH($I1129,CONFIGURACOES!$B$37:$B$300,0)),"")</f>
        <v/>
      </c>
      <c r="N1129" s="21" t="n"/>
      <c r="O1129" s="21" t="n"/>
      <c r="P1129" s="21" t="n"/>
      <c r="Q1129" s="21" t="n"/>
      <c r="R1129" s="21">
        <f>IF($N1129="","",$N1129*IF($Q1129="",1,$Q1129)*IF($P1129="",1,$P1129)*IF($O1129="",1,$O1129))</f>
        <v/>
      </c>
      <c r="S1129" s="22">
        <f>IFERROR(INDEX(CONFIGURACOES!$J$37:$J$300,MATCH($I1129,CONFIGURACOES!$B$37:$B$300,0)),"")</f>
        <v/>
      </c>
      <c r="T1129" s="22">
        <f>IF(OR($R1129="",$S1129=""),"",$R1129*$S1129)</f>
        <v/>
      </c>
      <c r="U1129" s="20" t="n"/>
      <c r="V1129" s="20" t="n"/>
      <c r="W1129" s="20" t="n"/>
      <c r="X1129">
        <f>IF($A1129="","",$A1129&amp;"|"&amp;$C1129&amp;"|"&amp;$I1129)</f>
        <v/>
      </c>
      <c r="Y1129">
        <f>IF(AND($A1129=RELATORIO_MEDICAO!$C$5,$C1129=RELATORIO_MEDICAO!$F$5,$A1129&lt;&gt;""),COUNTIFS($A$3:$A1129,RELATORIO_MEDICAO!$C$5,$C$3:$C1129,RELATORIO_MEDICAO!$F$5),"")</f>
        <v/>
      </c>
      <c r="Z1129">
        <f>IF(OR($A1129="",PESQUISA!$C$4=""),0,IF(OR(ISNUMBER(SEARCH(PESQUISA!$C$4,$G1129)),ISNUMBER(SEARCH(PESQUISA!$C$4,$K1129)),ISNUMBER(SEARCH(PESQUISA!$C$4,$L1129))),1,0))</f>
        <v/>
      </c>
      <c r="AA1129">
        <f>IF($Z1129=1,SUM($Z$3:$Z1129),"")</f>
        <v/>
      </c>
      <c r="AB1129">
        <f>IF(OR($A1129="",PESQUISA!$C$50=""),0,IF(ISNUMBER(SEARCH(PESQUISA!$C$50,$I1129)),1,0))</f>
        <v/>
      </c>
      <c r="AC1129">
        <f>IF($AB1129=1,SUM($AB$3:$AB1129),"")</f>
        <v/>
      </c>
    </row>
    <row r="1130">
      <c r="A1130" s="20" t="n"/>
      <c r="B1130" s="20" t="n"/>
      <c r="C1130" s="20" t="n"/>
      <c r="D1130" s="20" t="n"/>
      <c r="E1130" s="20" t="n"/>
      <c r="F1130" s="20" t="n"/>
      <c r="G1130" s="20" t="n"/>
      <c r="H1130" s="20" t="n"/>
      <c r="I1130" s="20" t="n"/>
      <c r="J1130" s="20">
        <f>IFERROR(INDEX(CONFIGURACOES!$G$37:$G$300,MATCH($I1130,CONFIGURACOES!$B$37:$B$300,0)),"")</f>
        <v/>
      </c>
      <c r="K1130" s="20">
        <f>IFERROR(INDEX(CONFIGURACOES!$H$37:$H$300,MATCH($I1130,CONFIGURACOES!$B$37:$B$300,0)),"")</f>
        <v/>
      </c>
      <c r="L1130" s="20" t="n"/>
      <c r="M1130" s="20">
        <f>IFERROR(INDEX(CONFIGURACOES!$I$37:$I$300,MATCH($I1130,CONFIGURACOES!$B$37:$B$300,0)),"")</f>
        <v/>
      </c>
      <c r="N1130" s="21" t="n"/>
      <c r="O1130" s="21" t="n"/>
      <c r="P1130" s="21" t="n"/>
      <c r="Q1130" s="21" t="n"/>
      <c r="R1130" s="21">
        <f>IF($N1130="","",$N1130*IF($Q1130="",1,$Q1130)*IF($P1130="",1,$P1130)*IF($O1130="",1,$O1130))</f>
        <v/>
      </c>
      <c r="S1130" s="22">
        <f>IFERROR(INDEX(CONFIGURACOES!$J$37:$J$300,MATCH($I1130,CONFIGURACOES!$B$37:$B$300,0)),"")</f>
        <v/>
      </c>
      <c r="T1130" s="22">
        <f>IF(OR($R1130="",$S1130=""),"",$R1130*$S1130)</f>
        <v/>
      </c>
      <c r="U1130" s="20" t="n"/>
      <c r="V1130" s="20" t="n"/>
      <c r="W1130" s="20" t="n"/>
      <c r="X1130">
        <f>IF($A1130="","",$A1130&amp;"|"&amp;$C1130&amp;"|"&amp;$I1130)</f>
        <v/>
      </c>
      <c r="Y1130">
        <f>IF(AND($A1130=RELATORIO_MEDICAO!$C$5,$C1130=RELATORIO_MEDICAO!$F$5,$A1130&lt;&gt;""),COUNTIFS($A$3:$A1130,RELATORIO_MEDICAO!$C$5,$C$3:$C1130,RELATORIO_MEDICAO!$F$5),"")</f>
        <v/>
      </c>
      <c r="Z1130">
        <f>IF(OR($A1130="",PESQUISA!$C$4=""),0,IF(OR(ISNUMBER(SEARCH(PESQUISA!$C$4,$G1130)),ISNUMBER(SEARCH(PESQUISA!$C$4,$K1130)),ISNUMBER(SEARCH(PESQUISA!$C$4,$L1130))),1,0))</f>
        <v/>
      </c>
      <c r="AA1130">
        <f>IF($Z1130=1,SUM($Z$3:$Z1130),"")</f>
        <v/>
      </c>
      <c r="AB1130">
        <f>IF(OR($A1130="",PESQUISA!$C$50=""),0,IF(ISNUMBER(SEARCH(PESQUISA!$C$50,$I1130)),1,0))</f>
        <v/>
      </c>
      <c r="AC1130">
        <f>IF($AB1130=1,SUM($AB$3:$AB1130),"")</f>
        <v/>
      </c>
    </row>
    <row r="1131">
      <c r="A1131" s="20" t="n"/>
      <c r="B1131" s="20" t="n"/>
      <c r="C1131" s="20" t="n"/>
      <c r="D1131" s="20" t="n"/>
      <c r="E1131" s="20" t="n"/>
      <c r="F1131" s="20" t="n"/>
      <c r="G1131" s="20" t="n"/>
      <c r="H1131" s="20" t="n"/>
      <c r="I1131" s="20" t="n"/>
      <c r="J1131" s="20">
        <f>IFERROR(INDEX(CONFIGURACOES!$G$37:$G$300,MATCH($I1131,CONFIGURACOES!$B$37:$B$300,0)),"")</f>
        <v/>
      </c>
      <c r="K1131" s="20">
        <f>IFERROR(INDEX(CONFIGURACOES!$H$37:$H$300,MATCH($I1131,CONFIGURACOES!$B$37:$B$300,0)),"")</f>
        <v/>
      </c>
      <c r="L1131" s="20" t="n"/>
      <c r="M1131" s="20">
        <f>IFERROR(INDEX(CONFIGURACOES!$I$37:$I$300,MATCH($I1131,CONFIGURACOES!$B$37:$B$300,0)),"")</f>
        <v/>
      </c>
      <c r="N1131" s="21" t="n"/>
      <c r="O1131" s="21" t="n"/>
      <c r="P1131" s="21" t="n"/>
      <c r="Q1131" s="21" t="n"/>
      <c r="R1131" s="21">
        <f>IF($N1131="","",$N1131*IF($Q1131="",1,$Q1131)*IF($P1131="",1,$P1131)*IF($O1131="",1,$O1131))</f>
        <v/>
      </c>
      <c r="S1131" s="22">
        <f>IFERROR(INDEX(CONFIGURACOES!$J$37:$J$300,MATCH($I1131,CONFIGURACOES!$B$37:$B$300,0)),"")</f>
        <v/>
      </c>
      <c r="T1131" s="22">
        <f>IF(OR($R1131="",$S1131=""),"",$R1131*$S1131)</f>
        <v/>
      </c>
      <c r="U1131" s="20" t="n"/>
      <c r="V1131" s="20" t="n"/>
      <c r="W1131" s="20" t="n"/>
      <c r="X1131">
        <f>IF($A1131="","",$A1131&amp;"|"&amp;$C1131&amp;"|"&amp;$I1131)</f>
        <v/>
      </c>
      <c r="Y1131">
        <f>IF(AND($A1131=RELATORIO_MEDICAO!$C$5,$C1131=RELATORIO_MEDICAO!$F$5,$A1131&lt;&gt;""),COUNTIFS($A$3:$A1131,RELATORIO_MEDICAO!$C$5,$C$3:$C1131,RELATORIO_MEDICAO!$F$5),"")</f>
        <v/>
      </c>
      <c r="Z1131">
        <f>IF(OR($A1131="",PESQUISA!$C$4=""),0,IF(OR(ISNUMBER(SEARCH(PESQUISA!$C$4,$G1131)),ISNUMBER(SEARCH(PESQUISA!$C$4,$K1131)),ISNUMBER(SEARCH(PESQUISA!$C$4,$L1131))),1,0))</f>
        <v/>
      </c>
      <c r="AA1131">
        <f>IF($Z1131=1,SUM($Z$3:$Z1131),"")</f>
        <v/>
      </c>
      <c r="AB1131">
        <f>IF(OR($A1131="",PESQUISA!$C$50=""),0,IF(ISNUMBER(SEARCH(PESQUISA!$C$50,$I1131)),1,0))</f>
        <v/>
      </c>
      <c r="AC1131">
        <f>IF($AB1131=1,SUM($AB$3:$AB1131),"")</f>
        <v/>
      </c>
    </row>
    <row r="1132">
      <c r="A1132" s="20" t="n"/>
      <c r="B1132" s="20" t="n"/>
      <c r="C1132" s="20" t="n"/>
      <c r="D1132" s="20" t="n"/>
      <c r="E1132" s="20" t="n"/>
      <c r="F1132" s="20" t="n"/>
      <c r="G1132" s="20" t="n"/>
      <c r="H1132" s="20" t="n"/>
      <c r="I1132" s="20" t="n"/>
      <c r="J1132" s="20">
        <f>IFERROR(INDEX(CONFIGURACOES!$G$37:$G$300,MATCH($I1132,CONFIGURACOES!$B$37:$B$300,0)),"")</f>
        <v/>
      </c>
      <c r="K1132" s="20">
        <f>IFERROR(INDEX(CONFIGURACOES!$H$37:$H$300,MATCH($I1132,CONFIGURACOES!$B$37:$B$300,0)),"")</f>
        <v/>
      </c>
      <c r="L1132" s="20" t="n"/>
      <c r="M1132" s="20">
        <f>IFERROR(INDEX(CONFIGURACOES!$I$37:$I$300,MATCH($I1132,CONFIGURACOES!$B$37:$B$300,0)),"")</f>
        <v/>
      </c>
      <c r="N1132" s="21" t="n"/>
      <c r="O1132" s="21" t="n"/>
      <c r="P1132" s="21" t="n"/>
      <c r="Q1132" s="21" t="n"/>
      <c r="R1132" s="21">
        <f>IF($N1132="","",$N1132*IF($Q1132="",1,$Q1132)*IF($P1132="",1,$P1132)*IF($O1132="",1,$O1132))</f>
        <v/>
      </c>
      <c r="S1132" s="22">
        <f>IFERROR(INDEX(CONFIGURACOES!$J$37:$J$300,MATCH($I1132,CONFIGURACOES!$B$37:$B$300,0)),"")</f>
        <v/>
      </c>
      <c r="T1132" s="22">
        <f>IF(OR($R1132="",$S1132=""),"",$R1132*$S1132)</f>
        <v/>
      </c>
      <c r="U1132" s="20" t="n"/>
      <c r="V1132" s="20" t="n"/>
      <c r="W1132" s="20" t="n"/>
      <c r="X1132">
        <f>IF($A1132="","",$A1132&amp;"|"&amp;$C1132&amp;"|"&amp;$I1132)</f>
        <v/>
      </c>
      <c r="Y1132">
        <f>IF(AND($A1132=RELATORIO_MEDICAO!$C$5,$C1132=RELATORIO_MEDICAO!$F$5,$A1132&lt;&gt;""),COUNTIFS($A$3:$A1132,RELATORIO_MEDICAO!$C$5,$C$3:$C1132,RELATORIO_MEDICAO!$F$5),"")</f>
        <v/>
      </c>
      <c r="Z1132">
        <f>IF(OR($A1132="",PESQUISA!$C$4=""),0,IF(OR(ISNUMBER(SEARCH(PESQUISA!$C$4,$G1132)),ISNUMBER(SEARCH(PESQUISA!$C$4,$K1132)),ISNUMBER(SEARCH(PESQUISA!$C$4,$L1132))),1,0))</f>
        <v/>
      </c>
      <c r="AA1132">
        <f>IF($Z1132=1,SUM($Z$3:$Z1132),"")</f>
        <v/>
      </c>
      <c r="AB1132">
        <f>IF(OR($A1132="",PESQUISA!$C$50=""),0,IF(ISNUMBER(SEARCH(PESQUISA!$C$50,$I1132)),1,0))</f>
        <v/>
      </c>
      <c r="AC1132">
        <f>IF($AB1132=1,SUM($AB$3:$AB1132),"")</f>
        <v/>
      </c>
    </row>
    <row r="1133">
      <c r="A1133" s="20" t="n"/>
      <c r="B1133" s="20" t="n"/>
      <c r="C1133" s="20" t="n"/>
      <c r="D1133" s="20" t="n"/>
      <c r="E1133" s="20" t="n"/>
      <c r="F1133" s="20" t="n"/>
      <c r="G1133" s="20" t="n"/>
      <c r="H1133" s="20" t="n"/>
      <c r="I1133" s="20" t="n"/>
      <c r="J1133" s="20">
        <f>IFERROR(INDEX(CONFIGURACOES!$G$37:$G$300,MATCH($I1133,CONFIGURACOES!$B$37:$B$300,0)),"")</f>
        <v/>
      </c>
      <c r="K1133" s="20">
        <f>IFERROR(INDEX(CONFIGURACOES!$H$37:$H$300,MATCH($I1133,CONFIGURACOES!$B$37:$B$300,0)),"")</f>
        <v/>
      </c>
      <c r="L1133" s="20" t="n"/>
      <c r="M1133" s="20">
        <f>IFERROR(INDEX(CONFIGURACOES!$I$37:$I$300,MATCH($I1133,CONFIGURACOES!$B$37:$B$300,0)),"")</f>
        <v/>
      </c>
      <c r="N1133" s="21" t="n"/>
      <c r="O1133" s="21" t="n"/>
      <c r="P1133" s="21" t="n"/>
      <c r="Q1133" s="21" t="n"/>
      <c r="R1133" s="21">
        <f>IF($N1133="","",$N1133*IF($Q1133="",1,$Q1133)*IF($P1133="",1,$P1133)*IF($O1133="",1,$O1133))</f>
        <v/>
      </c>
      <c r="S1133" s="22">
        <f>IFERROR(INDEX(CONFIGURACOES!$J$37:$J$300,MATCH($I1133,CONFIGURACOES!$B$37:$B$300,0)),"")</f>
        <v/>
      </c>
      <c r="T1133" s="22">
        <f>IF(OR($R1133="",$S1133=""),"",$R1133*$S1133)</f>
        <v/>
      </c>
      <c r="U1133" s="20" t="n"/>
      <c r="V1133" s="20" t="n"/>
      <c r="W1133" s="20" t="n"/>
      <c r="X1133">
        <f>IF($A1133="","",$A1133&amp;"|"&amp;$C1133&amp;"|"&amp;$I1133)</f>
        <v/>
      </c>
      <c r="Y1133">
        <f>IF(AND($A1133=RELATORIO_MEDICAO!$C$5,$C1133=RELATORIO_MEDICAO!$F$5,$A1133&lt;&gt;""),COUNTIFS($A$3:$A1133,RELATORIO_MEDICAO!$C$5,$C$3:$C1133,RELATORIO_MEDICAO!$F$5),"")</f>
        <v/>
      </c>
      <c r="Z1133">
        <f>IF(OR($A1133="",PESQUISA!$C$4=""),0,IF(OR(ISNUMBER(SEARCH(PESQUISA!$C$4,$G1133)),ISNUMBER(SEARCH(PESQUISA!$C$4,$K1133)),ISNUMBER(SEARCH(PESQUISA!$C$4,$L1133))),1,0))</f>
        <v/>
      </c>
      <c r="AA1133">
        <f>IF($Z1133=1,SUM($Z$3:$Z1133),"")</f>
        <v/>
      </c>
      <c r="AB1133">
        <f>IF(OR($A1133="",PESQUISA!$C$50=""),0,IF(ISNUMBER(SEARCH(PESQUISA!$C$50,$I1133)),1,0))</f>
        <v/>
      </c>
      <c r="AC1133">
        <f>IF($AB1133=1,SUM($AB$3:$AB1133),"")</f>
        <v/>
      </c>
    </row>
    <row r="1134">
      <c r="A1134" s="20" t="n"/>
      <c r="B1134" s="20" t="n"/>
      <c r="C1134" s="20" t="n"/>
      <c r="D1134" s="20" t="n"/>
      <c r="E1134" s="20" t="n"/>
      <c r="F1134" s="20" t="n"/>
      <c r="G1134" s="20" t="n"/>
      <c r="H1134" s="20" t="n"/>
      <c r="I1134" s="20" t="n"/>
      <c r="J1134" s="20">
        <f>IFERROR(INDEX(CONFIGURACOES!$G$37:$G$300,MATCH($I1134,CONFIGURACOES!$B$37:$B$300,0)),"")</f>
        <v/>
      </c>
      <c r="K1134" s="20">
        <f>IFERROR(INDEX(CONFIGURACOES!$H$37:$H$300,MATCH($I1134,CONFIGURACOES!$B$37:$B$300,0)),"")</f>
        <v/>
      </c>
      <c r="L1134" s="20" t="n"/>
      <c r="M1134" s="20">
        <f>IFERROR(INDEX(CONFIGURACOES!$I$37:$I$300,MATCH($I1134,CONFIGURACOES!$B$37:$B$300,0)),"")</f>
        <v/>
      </c>
      <c r="N1134" s="21" t="n"/>
      <c r="O1134" s="21" t="n"/>
      <c r="P1134" s="21" t="n"/>
      <c r="Q1134" s="21" t="n"/>
      <c r="R1134" s="21">
        <f>IF($N1134="","",$N1134*IF($Q1134="",1,$Q1134)*IF($P1134="",1,$P1134)*IF($O1134="",1,$O1134))</f>
        <v/>
      </c>
      <c r="S1134" s="22">
        <f>IFERROR(INDEX(CONFIGURACOES!$J$37:$J$300,MATCH($I1134,CONFIGURACOES!$B$37:$B$300,0)),"")</f>
        <v/>
      </c>
      <c r="T1134" s="22">
        <f>IF(OR($R1134="",$S1134=""),"",$R1134*$S1134)</f>
        <v/>
      </c>
      <c r="U1134" s="20" t="n"/>
      <c r="V1134" s="20" t="n"/>
      <c r="W1134" s="20" t="n"/>
      <c r="X1134">
        <f>IF($A1134="","",$A1134&amp;"|"&amp;$C1134&amp;"|"&amp;$I1134)</f>
        <v/>
      </c>
      <c r="Y1134">
        <f>IF(AND($A1134=RELATORIO_MEDICAO!$C$5,$C1134=RELATORIO_MEDICAO!$F$5,$A1134&lt;&gt;""),COUNTIFS($A$3:$A1134,RELATORIO_MEDICAO!$C$5,$C$3:$C1134,RELATORIO_MEDICAO!$F$5),"")</f>
        <v/>
      </c>
      <c r="Z1134">
        <f>IF(OR($A1134="",PESQUISA!$C$4=""),0,IF(OR(ISNUMBER(SEARCH(PESQUISA!$C$4,$G1134)),ISNUMBER(SEARCH(PESQUISA!$C$4,$K1134)),ISNUMBER(SEARCH(PESQUISA!$C$4,$L1134))),1,0))</f>
        <v/>
      </c>
      <c r="AA1134">
        <f>IF($Z1134=1,SUM($Z$3:$Z1134),"")</f>
        <v/>
      </c>
      <c r="AB1134">
        <f>IF(OR($A1134="",PESQUISA!$C$50=""),0,IF(ISNUMBER(SEARCH(PESQUISA!$C$50,$I1134)),1,0))</f>
        <v/>
      </c>
      <c r="AC1134">
        <f>IF($AB1134=1,SUM($AB$3:$AB1134),"")</f>
        <v/>
      </c>
    </row>
    <row r="1135">
      <c r="A1135" s="20" t="n"/>
      <c r="B1135" s="20" t="n"/>
      <c r="C1135" s="20" t="n"/>
      <c r="D1135" s="20" t="n"/>
      <c r="E1135" s="20" t="n"/>
      <c r="F1135" s="20" t="n"/>
      <c r="G1135" s="20" t="n"/>
      <c r="H1135" s="20" t="n"/>
      <c r="I1135" s="20" t="n"/>
      <c r="J1135" s="20">
        <f>IFERROR(INDEX(CONFIGURACOES!$G$37:$G$300,MATCH($I1135,CONFIGURACOES!$B$37:$B$300,0)),"")</f>
        <v/>
      </c>
      <c r="K1135" s="20">
        <f>IFERROR(INDEX(CONFIGURACOES!$H$37:$H$300,MATCH($I1135,CONFIGURACOES!$B$37:$B$300,0)),"")</f>
        <v/>
      </c>
      <c r="L1135" s="20" t="n"/>
      <c r="M1135" s="20">
        <f>IFERROR(INDEX(CONFIGURACOES!$I$37:$I$300,MATCH($I1135,CONFIGURACOES!$B$37:$B$300,0)),"")</f>
        <v/>
      </c>
      <c r="N1135" s="21" t="n"/>
      <c r="O1135" s="21" t="n"/>
      <c r="P1135" s="21" t="n"/>
      <c r="Q1135" s="21" t="n"/>
      <c r="R1135" s="21">
        <f>IF($N1135="","",$N1135*IF($Q1135="",1,$Q1135)*IF($P1135="",1,$P1135)*IF($O1135="",1,$O1135))</f>
        <v/>
      </c>
      <c r="S1135" s="22">
        <f>IFERROR(INDEX(CONFIGURACOES!$J$37:$J$300,MATCH($I1135,CONFIGURACOES!$B$37:$B$300,0)),"")</f>
        <v/>
      </c>
      <c r="T1135" s="22">
        <f>IF(OR($R1135="",$S1135=""),"",$R1135*$S1135)</f>
        <v/>
      </c>
      <c r="U1135" s="20" t="n"/>
      <c r="V1135" s="20" t="n"/>
      <c r="W1135" s="20" t="n"/>
      <c r="X1135">
        <f>IF($A1135="","",$A1135&amp;"|"&amp;$C1135&amp;"|"&amp;$I1135)</f>
        <v/>
      </c>
      <c r="Y1135">
        <f>IF(AND($A1135=RELATORIO_MEDICAO!$C$5,$C1135=RELATORIO_MEDICAO!$F$5,$A1135&lt;&gt;""),COUNTIFS($A$3:$A1135,RELATORIO_MEDICAO!$C$5,$C$3:$C1135,RELATORIO_MEDICAO!$F$5),"")</f>
        <v/>
      </c>
      <c r="Z1135">
        <f>IF(OR($A1135="",PESQUISA!$C$4=""),0,IF(OR(ISNUMBER(SEARCH(PESQUISA!$C$4,$G1135)),ISNUMBER(SEARCH(PESQUISA!$C$4,$K1135)),ISNUMBER(SEARCH(PESQUISA!$C$4,$L1135))),1,0))</f>
        <v/>
      </c>
      <c r="AA1135">
        <f>IF($Z1135=1,SUM($Z$3:$Z1135),"")</f>
        <v/>
      </c>
      <c r="AB1135">
        <f>IF(OR($A1135="",PESQUISA!$C$50=""),0,IF(ISNUMBER(SEARCH(PESQUISA!$C$50,$I1135)),1,0))</f>
        <v/>
      </c>
      <c r="AC1135">
        <f>IF($AB1135=1,SUM($AB$3:$AB1135),"")</f>
        <v/>
      </c>
    </row>
    <row r="1136">
      <c r="A1136" s="20" t="n"/>
      <c r="B1136" s="20" t="n"/>
      <c r="C1136" s="20" t="n"/>
      <c r="D1136" s="20" t="n"/>
      <c r="E1136" s="20" t="n"/>
      <c r="F1136" s="20" t="n"/>
      <c r="G1136" s="20" t="n"/>
      <c r="H1136" s="20" t="n"/>
      <c r="I1136" s="20" t="n"/>
      <c r="J1136" s="20">
        <f>IFERROR(INDEX(CONFIGURACOES!$G$37:$G$300,MATCH($I1136,CONFIGURACOES!$B$37:$B$300,0)),"")</f>
        <v/>
      </c>
      <c r="K1136" s="20">
        <f>IFERROR(INDEX(CONFIGURACOES!$H$37:$H$300,MATCH($I1136,CONFIGURACOES!$B$37:$B$300,0)),"")</f>
        <v/>
      </c>
      <c r="L1136" s="20" t="n"/>
      <c r="M1136" s="20">
        <f>IFERROR(INDEX(CONFIGURACOES!$I$37:$I$300,MATCH($I1136,CONFIGURACOES!$B$37:$B$300,0)),"")</f>
        <v/>
      </c>
      <c r="N1136" s="21" t="n"/>
      <c r="O1136" s="21" t="n"/>
      <c r="P1136" s="21" t="n"/>
      <c r="Q1136" s="21" t="n"/>
      <c r="R1136" s="21">
        <f>IF($N1136="","",$N1136*IF($Q1136="",1,$Q1136)*IF($P1136="",1,$P1136)*IF($O1136="",1,$O1136))</f>
        <v/>
      </c>
      <c r="S1136" s="22">
        <f>IFERROR(INDEX(CONFIGURACOES!$J$37:$J$300,MATCH($I1136,CONFIGURACOES!$B$37:$B$300,0)),"")</f>
        <v/>
      </c>
      <c r="T1136" s="22">
        <f>IF(OR($R1136="",$S1136=""),"",$R1136*$S1136)</f>
        <v/>
      </c>
      <c r="U1136" s="20" t="n"/>
      <c r="V1136" s="20" t="n"/>
      <c r="W1136" s="20" t="n"/>
      <c r="X1136">
        <f>IF($A1136="","",$A1136&amp;"|"&amp;$C1136&amp;"|"&amp;$I1136)</f>
        <v/>
      </c>
      <c r="Y1136">
        <f>IF(AND($A1136=RELATORIO_MEDICAO!$C$5,$C1136=RELATORIO_MEDICAO!$F$5,$A1136&lt;&gt;""),COUNTIFS($A$3:$A1136,RELATORIO_MEDICAO!$C$5,$C$3:$C1136,RELATORIO_MEDICAO!$F$5),"")</f>
        <v/>
      </c>
      <c r="Z1136">
        <f>IF(OR($A1136="",PESQUISA!$C$4=""),0,IF(OR(ISNUMBER(SEARCH(PESQUISA!$C$4,$G1136)),ISNUMBER(SEARCH(PESQUISA!$C$4,$K1136)),ISNUMBER(SEARCH(PESQUISA!$C$4,$L1136))),1,0))</f>
        <v/>
      </c>
      <c r="AA1136">
        <f>IF($Z1136=1,SUM($Z$3:$Z1136),"")</f>
        <v/>
      </c>
      <c r="AB1136">
        <f>IF(OR($A1136="",PESQUISA!$C$50=""),0,IF(ISNUMBER(SEARCH(PESQUISA!$C$50,$I1136)),1,0))</f>
        <v/>
      </c>
      <c r="AC1136">
        <f>IF($AB1136=1,SUM($AB$3:$AB1136),"")</f>
        <v/>
      </c>
    </row>
    <row r="1137">
      <c r="A1137" s="20" t="n"/>
      <c r="B1137" s="20" t="n"/>
      <c r="C1137" s="20" t="n"/>
      <c r="D1137" s="20" t="n"/>
      <c r="E1137" s="20" t="n"/>
      <c r="F1137" s="20" t="n"/>
      <c r="G1137" s="20" t="n"/>
      <c r="H1137" s="20" t="n"/>
      <c r="I1137" s="20" t="n"/>
      <c r="J1137" s="20">
        <f>IFERROR(INDEX(CONFIGURACOES!$G$37:$G$300,MATCH($I1137,CONFIGURACOES!$B$37:$B$300,0)),"")</f>
        <v/>
      </c>
      <c r="K1137" s="20">
        <f>IFERROR(INDEX(CONFIGURACOES!$H$37:$H$300,MATCH($I1137,CONFIGURACOES!$B$37:$B$300,0)),"")</f>
        <v/>
      </c>
      <c r="L1137" s="20" t="n"/>
      <c r="M1137" s="20">
        <f>IFERROR(INDEX(CONFIGURACOES!$I$37:$I$300,MATCH($I1137,CONFIGURACOES!$B$37:$B$300,0)),"")</f>
        <v/>
      </c>
      <c r="N1137" s="21" t="n"/>
      <c r="O1137" s="21" t="n"/>
      <c r="P1137" s="21" t="n"/>
      <c r="Q1137" s="21" t="n"/>
      <c r="R1137" s="21">
        <f>IF($N1137="","",$N1137*IF($Q1137="",1,$Q1137)*IF($P1137="",1,$P1137)*IF($O1137="",1,$O1137))</f>
        <v/>
      </c>
      <c r="S1137" s="22">
        <f>IFERROR(INDEX(CONFIGURACOES!$J$37:$J$300,MATCH($I1137,CONFIGURACOES!$B$37:$B$300,0)),"")</f>
        <v/>
      </c>
      <c r="T1137" s="22">
        <f>IF(OR($R1137="",$S1137=""),"",$R1137*$S1137)</f>
        <v/>
      </c>
      <c r="U1137" s="20" t="n"/>
      <c r="V1137" s="20" t="n"/>
      <c r="W1137" s="20" t="n"/>
      <c r="X1137">
        <f>IF($A1137="","",$A1137&amp;"|"&amp;$C1137&amp;"|"&amp;$I1137)</f>
        <v/>
      </c>
      <c r="Y1137">
        <f>IF(AND($A1137=RELATORIO_MEDICAO!$C$5,$C1137=RELATORIO_MEDICAO!$F$5,$A1137&lt;&gt;""),COUNTIFS($A$3:$A1137,RELATORIO_MEDICAO!$C$5,$C$3:$C1137,RELATORIO_MEDICAO!$F$5),"")</f>
        <v/>
      </c>
      <c r="Z1137">
        <f>IF(OR($A1137="",PESQUISA!$C$4=""),0,IF(OR(ISNUMBER(SEARCH(PESQUISA!$C$4,$G1137)),ISNUMBER(SEARCH(PESQUISA!$C$4,$K1137)),ISNUMBER(SEARCH(PESQUISA!$C$4,$L1137))),1,0))</f>
        <v/>
      </c>
      <c r="AA1137">
        <f>IF($Z1137=1,SUM($Z$3:$Z1137),"")</f>
        <v/>
      </c>
      <c r="AB1137">
        <f>IF(OR($A1137="",PESQUISA!$C$50=""),0,IF(ISNUMBER(SEARCH(PESQUISA!$C$50,$I1137)),1,0))</f>
        <v/>
      </c>
      <c r="AC1137">
        <f>IF($AB1137=1,SUM($AB$3:$AB1137),"")</f>
        <v/>
      </c>
    </row>
    <row r="1138">
      <c r="A1138" s="20" t="n"/>
      <c r="B1138" s="20" t="n"/>
      <c r="C1138" s="20" t="n"/>
      <c r="D1138" s="20" t="n"/>
      <c r="E1138" s="20" t="n"/>
      <c r="F1138" s="20" t="n"/>
      <c r="G1138" s="20" t="n"/>
      <c r="H1138" s="20" t="n"/>
      <c r="I1138" s="20" t="n"/>
      <c r="J1138" s="20">
        <f>IFERROR(INDEX(CONFIGURACOES!$G$37:$G$300,MATCH($I1138,CONFIGURACOES!$B$37:$B$300,0)),"")</f>
        <v/>
      </c>
      <c r="K1138" s="20">
        <f>IFERROR(INDEX(CONFIGURACOES!$H$37:$H$300,MATCH($I1138,CONFIGURACOES!$B$37:$B$300,0)),"")</f>
        <v/>
      </c>
      <c r="L1138" s="20" t="n"/>
      <c r="M1138" s="20">
        <f>IFERROR(INDEX(CONFIGURACOES!$I$37:$I$300,MATCH($I1138,CONFIGURACOES!$B$37:$B$300,0)),"")</f>
        <v/>
      </c>
      <c r="N1138" s="21" t="n"/>
      <c r="O1138" s="21" t="n"/>
      <c r="P1138" s="21" t="n"/>
      <c r="Q1138" s="21" t="n"/>
      <c r="R1138" s="21">
        <f>IF($N1138="","",$N1138*IF($Q1138="",1,$Q1138)*IF($P1138="",1,$P1138)*IF($O1138="",1,$O1138))</f>
        <v/>
      </c>
      <c r="S1138" s="22">
        <f>IFERROR(INDEX(CONFIGURACOES!$J$37:$J$300,MATCH($I1138,CONFIGURACOES!$B$37:$B$300,0)),"")</f>
        <v/>
      </c>
      <c r="T1138" s="22">
        <f>IF(OR($R1138="",$S1138=""),"",$R1138*$S1138)</f>
        <v/>
      </c>
      <c r="U1138" s="20" t="n"/>
      <c r="V1138" s="20" t="n"/>
      <c r="W1138" s="20" t="n"/>
      <c r="X1138">
        <f>IF($A1138="","",$A1138&amp;"|"&amp;$C1138&amp;"|"&amp;$I1138)</f>
        <v/>
      </c>
      <c r="Y1138">
        <f>IF(AND($A1138=RELATORIO_MEDICAO!$C$5,$C1138=RELATORIO_MEDICAO!$F$5,$A1138&lt;&gt;""),COUNTIFS($A$3:$A1138,RELATORIO_MEDICAO!$C$5,$C$3:$C1138,RELATORIO_MEDICAO!$F$5),"")</f>
        <v/>
      </c>
      <c r="Z1138">
        <f>IF(OR($A1138="",PESQUISA!$C$4=""),0,IF(OR(ISNUMBER(SEARCH(PESQUISA!$C$4,$G1138)),ISNUMBER(SEARCH(PESQUISA!$C$4,$K1138)),ISNUMBER(SEARCH(PESQUISA!$C$4,$L1138))),1,0))</f>
        <v/>
      </c>
      <c r="AA1138">
        <f>IF($Z1138=1,SUM($Z$3:$Z1138),"")</f>
        <v/>
      </c>
      <c r="AB1138">
        <f>IF(OR($A1138="",PESQUISA!$C$50=""),0,IF(ISNUMBER(SEARCH(PESQUISA!$C$50,$I1138)),1,0))</f>
        <v/>
      </c>
      <c r="AC1138">
        <f>IF($AB1138=1,SUM($AB$3:$AB1138),"")</f>
        <v/>
      </c>
    </row>
    <row r="1139">
      <c r="A1139" s="20" t="n"/>
      <c r="B1139" s="20" t="n"/>
      <c r="C1139" s="20" t="n"/>
      <c r="D1139" s="20" t="n"/>
      <c r="E1139" s="20" t="n"/>
      <c r="F1139" s="20" t="n"/>
      <c r="G1139" s="20" t="n"/>
      <c r="H1139" s="20" t="n"/>
      <c r="I1139" s="20" t="n"/>
      <c r="J1139" s="20">
        <f>IFERROR(INDEX(CONFIGURACOES!$G$37:$G$300,MATCH($I1139,CONFIGURACOES!$B$37:$B$300,0)),"")</f>
        <v/>
      </c>
      <c r="K1139" s="20">
        <f>IFERROR(INDEX(CONFIGURACOES!$H$37:$H$300,MATCH($I1139,CONFIGURACOES!$B$37:$B$300,0)),"")</f>
        <v/>
      </c>
      <c r="L1139" s="20" t="n"/>
      <c r="M1139" s="20">
        <f>IFERROR(INDEX(CONFIGURACOES!$I$37:$I$300,MATCH($I1139,CONFIGURACOES!$B$37:$B$300,0)),"")</f>
        <v/>
      </c>
      <c r="N1139" s="21" t="n"/>
      <c r="O1139" s="21" t="n"/>
      <c r="P1139" s="21" t="n"/>
      <c r="Q1139" s="21" t="n"/>
      <c r="R1139" s="21">
        <f>IF($N1139="","",$N1139*IF($Q1139="",1,$Q1139)*IF($P1139="",1,$P1139)*IF($O1139="",1,$O1139))</f>
        <v/>
      </c>
      <c r="S1139" s="22">
        <f>IFERROR(INDEX(CONFIGURACOES!$J$37:$J$300,MATCH($I1139,CONFIGURACOES!$B$37:$B$300,0)),"")</f>
        <v/>
      </c>
      <c r="T1139" s="22">
        <f>IF(OR($R1139="",$S1139=""),"",$R1139*$S1139)</f>
        <v/>
      </c>
      <c r="U1139" s="20" t="n"/>
      <c r="V1139" s="20" t="n"/>
      <c r="W1139" s="20" t="n"/>
      <c r="X1139">
        <f>IF($A1139="","",$A1139&amp;"|"&amp;$C1139&amp;"|"&amp;$I1139)</f>
        <v/>
      </c>
      <c r="Y1139">
        <f>IF(AND($A1139=RELATORIO_MEDICAO!$C$5,$C1139=RELATORIO_MEDICAO!$F$5,$A1139&lt;&gt;""),COUNTIFS($A$3:$A1139,RELATORIO_MEDICAO!$C$5,$C$3:$C1139,RELATORIO_MEDICAO!$F$5),"")</f>
        <v/>
      </c>
      <c r="Z1139">
        <f>IF(OR($A1139="",PESQUISA!$C$4=""),0,IF(OR(ISNUMBER(SEARCH(PESQUISA!$C$4,$G1139)),ISNUMBER(SEARCH(PESQUISA!$C$4,$K1139)),ISNUMBER(SEARCH(PESQUISA!$C$4,$L1139))),1,0))</f>
        <v/>
      </c>
      <c r="AA1139">
        <f>IF($Z1139=1,SUM($Z$3:$Z1139),"")</f>
        <v/>
      </c>
      <c r="AB1139">
        <f>IF(OR($A1139="",PESQUISA!$C$50=""),0,IF(ISNUMBER(SEARCH(PESQUISA!$C$50,$I1139)),1,0))</f>
        <v/>
      </c>
      <c r="AC1139">
        <f>IF($AB1139=1,SUM($AB$3:$AB1139),"")</f>
        <v/>
      </c>
    </row>
    <row r="1140">
      <c r="A1140" s="20" t="n"/>
      <c r="B1140" s="20" t="n"/>
      <c r="C1140" s="20" t="n"/>
      <c r="D1140" s="20" t="n"/>
      <c r="E1140" s="20" t="n"/>
      <c r="F1140" s="20" t="n"/>
      <c r="G1140" s="20" t="n"/>
      <c r="H1140" s="20" t="n"/>
      <c r="I1140" s="20" t="n"/>
      <c r="J1140" s="20">
        <f>IFERROR(INDEX(CONFIGURACOES!$G$37:$G$300,MATCH($I1140,CONFIGURACOES!$B$37:$B$300,0)),"")</f>
        <v/>
      </c>
      <c r="K1140" s="20">
        <f>IFERROR(INDEX(CONFIGURACOES!$H$37:$H$300,MATCH($I1140,CONFIGURACOES!$B$37:$B$300,0)),"")</f>
        <v/>
      </c>
      <c r="L1140" s="20" t="n"/>
      <c r="M1140" s="20">
        <f>IFERROR(INDEX(CONFIGURACOES!$I$37:$I$300,MATCH($I1140,CONFIGURACOES!$B$37:$B$300,0)),"")</f>
        <v/>
      </c>
      <c r="N1140" s="21" t="n"/>
      <c r="O1140" s="21" t="n"/>
      <c r="P1140" s="21" t="n"/>
      <c r="Q1140" s="21" t="n"/>
      <c r="R1140" s="21">
        <f>IF($N1140="","",$N1140*IF($Q1140="",1,$Q1140)*IF($P1140="",1,$P1140)*IF($O1140="",1,$O1140))</f>
        <v/>
      </c>
      <c r="S1140" s="22">
        <f>IFERROR(INDEX(CONFIGURACOES!$J$37:$J$300,MATCH($I1140,CONFIGURACOES!$B$37:$B$300,0)),"")</f>
        <v/>
      </c>
      <c r="T1140" s="22">
        <f>IF(OR($R1140="",$S1140=""),"",$R1140*$S1140)</f>
        <v/>
      </c>
      <c r="U1140" s="20" t="n"/>
      <c r="V1140" s="20" t="n"/>
      <c r="W1140" s="20" t="n"/>
      <c r="X1140">
        <f>IF($A1140="","",$A1140&amp;"|"&amp;$C1140&amp;"|"&amp;$I1140)</f>
        <v/>
      </c>
      <c r="Y1140">
        <f>IF(AND($A1140=RELATORIO_MEDICAO!$C$5,$C1140=RELATORIO_MEDICAO!$F$5,$A1140&lt;&gt;""),COUNTIFS($A$3:$A1140,RELATORIO_MEDICAO!$C$5,$C$3:$C1140,RELATORIO_MEDICAO!$F$5),"")</f>
        <v/>
      </c>
      <c r="Z1140">
        <f>IF(OR($A1140="",PESQUISA!$C$4=""),0,IF(OR(ISNUMBER(SEARCH(PESQUISA!$C$4,$G1140)),ISNUMBER(SEARCH(PESQUISA!$C$4,$K1140)),ISNUMBER(SEARCH(PESQUISA!$C$4,$L1140))),1,0))</f>
        <v/>
      </c>
      <c r="AA1140">
        <f>IF($Z1140=1,SUM($Z$3:$Z1140),"")</f>
        <v/>
      </c>
      <c r="AB1140">
        <f>IF(OR($A1140="",PESQUISA!$C$50=""),0,IF(ISNUMBER(SEARCH(PESQUISA!$C$50,$I1140)),1,0))</f>
        <v/>
      </c>
      <c r="AC1140">
        <f>IF($AB1140=1,SUM($AB$3:$AB1140),"")</f>
        <v/>
      </c>
    </row>
    <row r="1141">
      <c r="A1141" s="20" t="n"/>
      <c r="B1141" s="20" t="n"/>
      <c r="C1141" s="20" t="n"/>
      <c r="D1141" s="20" t="n"/>
      <c r="E1141" s="20" t="n"/>
      <c r="F1141" s="20" t="n"/>
      <c r="G1141" s="20" t="n"/>
      <c r="H1141" s="20" t="n"/>
      <c r="I1141" s="20" t="n"/>
      <c r="J1141" s="20">
        <f>IFERROR(INDEX(CONFIGURACOES!$G$37:$G$300,MATCH($I1141,CONFIGURACOES!$B$37:$B$300,0)),"")</f>
        <v/>
      </c>
      <c r="K1141" s="20">
        <f>IFERROR(INDEX(CONFIGURACOES!$H$37:$H$300,MATCH($I1141,CONFIGURACOES!$B$37:$B$300,0)),"")</f>
        <v/>
      </c>
      <c r="L1141" s="20" t="n"/>
      <c r="M1141" s="20">
        <f>IFERROR(INDEX(CONFIGURACOES!$I$37:$I$300,MATCH($I1141,CONFIGURACOES!$B$37:$B$300,0)),"")</f>
        <v/>
      </c>
      <c r="N1141" s="21" t="n"/>
      <c r="O1141" s="21" t="n"/>
      <c r="P1141" s="21" t="n"/>
      <c r="Q1141" s="21" t="n"/>
      <c r="R1141" s="21">
        <f>IF($N1141="","",$N1141*IF($Q1141="",1,$Q1141)*IF($P1141="",1,$P1141)*IF($O1141="",1,$O1141))</f>
        <v/>
      </c>
      <c r="S1141" s="22">
        <f>IFERROR(INDEX(CONFIGURACOES!$J$37:$J$300,MATCH($I1141,CONFIGURACOES!$B$37:$B$300,0)),"")</f>
        <v/>
      </c>
      <c r="T1141" s="22">
        <f>IF(OR($R1141="",$S1141=""),"",$R1141*$S1141)</f>
        <v/>
      </c>
      <c r="U1141" s="20" t="n"/>
      <c r="V1141" s="20" t="n"/>
      <c r="W1141" s="20" t="n"/>
      <c r="X1141">
        <f>IF($A1141="","",$A1141&amp;"|"&amp;$C1141&amp;"|"&amp;$I1141)</f>
        <v/>
      </c>
      <c r="Y1141">
        <f>IF(AND($A1141=RELATORIO_MEDICAO!$C$5,$C1141=RELATORIO_MEDICAO!$F$5,$A1141&lt;&gt;""),COUNTIFS($A$3:$A1141,RELATORIO_MEDICAO!$C$5,$C$3:$C1141,RELATORIO_MEDICAO!$F$5),"")</f>
        <v/>
      </c>
      <c r="Z1141">
        <f>IF(OR($A1141="",PESQUISA!$C$4=""),0,IF(OR(ISNUMBER(SEARCH(PESQUISA!$C$4,$G1141)),ISNUMBER(SEARCH(PESQUISA!$C$4,$K1141)),ISNUMBER(SEARCH(PESQUISA!$C$4,$L1141))),1,0))</f>
        <v/>
      </c>
      <c r="AA1141">
        <f>IF($Z1141=1,SUM($Z$3:$Z1141),"")</f>
        <v/>
      </c>
      <c r="AB1141">
        <f>IF(OR($A1141="",PESQUISA!$C$50=""),0,IF(ISNUMBER(SEARCH(PESQUISA!$C$50,$I1141)),1,0))</f>
        <v/>
      </c>
      <c r="AC1141">
        <f>IF($AB1141=1,SUM($AB$3:$AB1141),"")</f>
        <v/>
      </c>
    </row>
    <row r="1142">
      <c r="A1142" s="20" t="n"/>
      <c r="B1142" s="20" t="n"/>
      <c r="C1142" s="20" t="n"/>
      <c r="D1142" s="20" t="n"/>
      <c r="E1142" s="20" t="n"/>
      <c r="F1142" s="20" t="n"/>
      <c r="G1142" s="20" t="n"/>
      <c r="H1142" s="20" t="n"/>
      <c r="I1142" s="20" t="n"/>
      <c r="J1142" s="20">
        <f>IFERROR(INDEX(CONFIGURACOES!$G$37:$G$300,MATCH($I1142,CONFIGURACOES!$B$37:$B$300,0)),"")</f>
        <v/>
      </c>
      <c r="K1142" s="20">
        <f>IFERROR(INDEX(CONFIGURACOES!$H$37:$H$300,MATCH($I1142,CONFIGURACOES!$B$37:$B$300,0)),"")</f>
        <v/>
      </c>
      <c r="L1142" s="20" t="n"/>
      <c r="M1142" s="20">
        <f>IFERROR(INDEX(CONFIGURACOES!$I$37:$I$300,MATCH($I1142,CONFIGURACOES!$B$37:$B$300,0)),"")</f>
        <v/>
      </c>
      <c r="N1142" s="21" t="n"/>
      <c r="O1142" s="21" t="n"/>
      <c r="P1142" s="21" t="n"/>
      <c r="Q1142" s="21" t="n"/>
      <c r="R1142" s="21">
        <f>IF($N1142="","",$N1142*IF($Q1142="",1,$Q1142)*IF($P1142="",1,$P1142)*IF($O1142="",1,$O1142))</f>
        <v/>
      </c>
      <c r="S1142" s="22">
        <f>IFERROR(INDEX(CONFIGURACOES!$J$37:$J$300,MATCH($I1142,CONFIGURACOES!$B$37:$B$300,0)),"")</f>
        <v/>
      </c>
      <c r="T1142" s="22">
        <f>IF(OR($R1142="",$S1142=""),"",$R1142*$S1142)</f>
        <v/>
      </c>
      <c r="U1142" s="20" t="n"/>
      <c r="V1142" s="20" t="n"/>
      <c r="W1142" s="20" t="n"/>
      <c r="X1142">
        <f>IF($A1142="","",$A1142&amp;"|"&amp;$C1142&amp;"|"&amp;$I1142)</f>
        <v/>
      </c>
      <c r="Y1142">
        <f>IF(AND($A1142=RELATORIO_MEDICAO!$C$5,$C1142=RELATORIO_MEDICAO!$F$5,$A1142&lt;&gt;""),COUNTIFS($A$3:$A1142,RELATORIO_MEDICAO!$C$5,$C$3:$C1142,RELATORIO_MEDICAO!$F$5),"")</f>
        <v/>
      </c>
      <c r="Z1142">
        <f>IF(OR($A1142="",PESQUISA!$C$4=""),0,IF(OR(ISNUMBER(SEARCH(PESQUISA!$C$4,$G1142)),ISNUMBER(SEARCH(PESQUISA!$C$4,$K1142)),ISNUMBER(SEARCH(PESQUISA!$C$4,$L1142))),1,0))</f>
        <v/>
      </c>
      <c r="AA1142">
        <f>IF($Z1142=1,SUM($Z$3:$Z1142),"")</f>
        <v/>
      </c>
      <c r="AB1142">
        <f>IF(OR($A1142="",PESQUISA!$C$50=""),0,IF(ISNUMBER(SEARCH(PESQUISA!$C$50,$I1142)),1,0))</f>
        <v/>
      </c>
      <c r="AC1142">
        <f>IF($AB1142=1,SUM($AB$3:$AB1142),"")</f>
        <v/>
      </c>
    </row>
    <row r="1143">
      <c r="A1143" s="20" t="n"/>
      <c r="B1143" s="20" t="n"/>
      <c r="C1143" s="20" t="n"/>
      <c r="D1143" s="20" t="n"/>
      <c r="E1143" s="20" t="n"/>
      <c r="F1143" s="20" t="n"/>
      <c r="G1143" s="20" t="n"/>
      <c r="H1143" s="20" t="n"/>
      <c r="I1143" s="20" t="n"/>
      <c r="J1143" s="20">
        <f>IFERROR(INDEX(CONFIGURACOES!$G$37:$G$300,MATCH($I1143,CONFIGURACOES!$B$37:$B$300,0)),"")</f>
        <v/>
      </c>
      <c r="K1143" s="20">
        <f>IFERROR(INDEX(CONFIGURACOES!$H$37:$H$300,MATCH($I1143,CONFIGURACOES!$B$37:$B$300,0)),"")</f>
        <v/>
      </c>
      <c r="L1143" s="20" t="n"/>
      <c r="M1143" s="20">
        <f>IFERROR(INDEX(CONFIGURACOES!$I$37:$I$300,MATCH($I1143,CONFIGURACOES!$B$37:$B$300,0)),"")</f>
        <v/>
      </c>
      <c r="N1143" s="21" t="n"/>
      <c r="O1143" s="21" t="n"/>
      <c r="P1143" s="21" t="n"/>
      <c r="Q1143" s="21" t="n"/>
      <c r="R1143" s="21">
        <f>IF($N1143="","",$N1143*IF($Q1143="",1,$Q1143)*IF($P1143="",1,$P1143)*IF($O1143="",1,$O1143))</f>
        <v/>
      </c>
      <c r="S1143" s="22">
        <f>IFERROR(INDEX(CONFIGURACOES!$J$37:$J$300,MATCH($I1143,CONFIGURACOES!$B$37:$B$300,0)),"")</f>
        <v/>
      </c>
      <c r="T1143" s="22">
        <f>IF(OR($R1143="",$S1143=""),"",$R1143*$S1143)</f>
        <v/>
      </c>
      <c r="U1143" s="20" t="n"/>
      <c r="V1143" s="20" t="n"/>
      <c r="W1143" s="20" t="n"/>
      <c r="X1143">
        <f>IF($A1143="","",$A1143&amp;"|"&amp;$C1143&amp;"|"&amp;$I1143)</f>
        <v/>
      </c>
      <c r="Y1143">
        <f>IF(AND($A1143=RELATORIO_MEDICAO!$C$5,$C1143=RELATORIO_MEDICAO!$F$5,$A1143&lt;&gt;""),COUNTIFS($A$3:$A1143,RELATORIO_MEDICAO!$C$5,$C$3:$C1143,RELATORIO_MEDICAO!$F$5),"")</f>
        <v/>
      </c>
      <c r="Z1143">
        <f>IF(OR($A1143="",PESQUISA!$C$4=""),0,IF(OR(ISNUMBER(SEARCH(PESQUISA!$C$4,$G1143)),ISNUMBER(SEARCH(PESQUISA!$C$4,$K1143)),ISNUMBER(SEARCH(PESQUISA!$C$4,$L1143))),1,0))</f>
        <v/>
      </c>
      <c r="AA1143">
        <f>IF($Z1143=1,SUM($Z$3:$Z1143),"")</f>
        <v/>
      </c>
      <c r="AB1143">
        <f>IF(OR($A1143="",PESQUISA!$C$50=""),0,IF(ISNUMBER(SEARCH(PESQUISA!$C$50,$I1143)),1,0))</f>
        <v/>
      </c>
      <c r="AC1143">
        <f>IF($AB1143=1,SUM($AB$3:$AB1143),"")</f>
        <v/>
      </c>
    </row>
    <row r="1144">
      <c r="A1144" s="20" t="n"/>
      <c r="B1144" s="20" t="n"/>
      <c r="C1144" s="20" t="n"/>
      <c r="D1144" s="20" t="n"/>
      <c r="E1144" s="20" t="n"/>
      <c r="F1144" s="20" t="n"/>
      <c r="G1144" s="20" t="n"/>
      <c r="H1144" s="20" t="n"/>
      <c r="I1144" s="20" t="n"/>
      <c r="J1144" s="20">
        <f>IFERROR(INDEX(CONFIGURACOES!$G$37:$G$300,MATCH($I1144,CONFIGURACOES!$B$37:$B$300,0)),"")</f>
        <v/>
      </c>
      <c r="K1144" s="20">
        <f>IFERROR(INDEX(CONFIGURACOES!$H$37:$H$300,MATCH($I1144,CONFIGURACOES!$B$37:$B$300,0)),"")</f>
        <v/>
      </c>
      <c r="L1144" s="20" t="n"/>
      <c r="M1144" s="20">
        <f>IFERROR(INDEX(CONFIGURACOES!$I$37:$I$300,MATCH($I1144,CONFIGURACOES!$B$37:$B$300,0)),"")</f>
        <v/>
      </c>
      <c r="N1144" s="21" t="n"/>
      <c r="O1144" s="21" t="n"/>
      <c r="P1144" s="21" t="n"/>
      <c r="Q1144" s="21" t="n"/>
      <c r="R1144" s="21">
        <f>IF($N1144="","",$N1144*IF($Q1144="",1,$Q1144)*IF($P1144="",1,$P1144)*IF($O1144="",1,$O1144))</f>
        <v/>
      </c>
      <c r="S1144" s="22">
        <f>IFERROR(INDEX(CONFIGURACOES!$J$37:$J$300,MATCH($I1144,CONFIGURACOES!$B$37:$B$300,0)),"")</f>
        <v/>
      </c>
      <c r="T1144" s="22">
        <f>IF(OR($R1144="",$S1144=""),"",$R1144*$S1144)</f>
        <v/>
      </c>
      <c r="U1144" s="20" t="n"/>
      <c r="V1144" s="20" t="n"/>
      <c r="W1144" s="20" t="n"/>
      <c r="X1144">
        <f>IF($A1144="","",$A1144&amp;"|"&amp;$C1144&amp;"|"&amp;$I1144)</f>
        <v/>
      </c>
      <c r="Y1144">
        <f>IF(AND($A1144=RELATORIO_MEDICAO!$C$5,$C1144=RELATORIO_MEDICAO!$F$5,$A1144&lt;&gt;""),COUNTIFS($A$3:$A1144,RELATORIO_MEDICAO!$C$5,$C$3:$C1144,RELATORIO_MEDICAO!$F$5),"")</f>
        <v/>
      </c>
      <c r="Z1144">
        <f>IF(OR($A1144="",PESQUISA!$C$4=""),0,IF(OR(ISNUMBER(SEARCH(PESQUISA!$C$4,$G1144)),ISNUMBER(SEARCH(PESQUISA!$C$4,$K1144)),ISNUMBER(SEARCH(PESQUISA!$C$4,$L1144))),1,0))</f>
        <v/>
      </c>
      <c r="AA1144">
        <f>IF($Z1144=1,SUM($Z$3:$Z1144),"")</f>
        <v/>
      </c>
      <c r="AB1144">
        <f>IF(OR($A1144="",PESQUISA!$C$50=""),0,IF(ISNUMBER(SEARCH(PESQUISA!$C$50,$I1144)),1,0))</f>
        <v/>
      </c>
      <c r="AC1144">
        <f>IF($AB1144=1,SUM($AB$3:$AB1144),"")</f>
        <v/>
      </c>
    </row>
    <row r="1145">
      <c r="A1145" s="20" t="n"/>
      <c r="B1145" s="20" t="n"/>
      <c r="C1145" s="20" t="n"/>
      <c r="D1145" s="20" t="n"/>
      <c r="E1145" s="20" t="n"/>
      <c r="F1145" s="20" t="n"/>
      <c r="G1145" s="20" t="n"/>
      <c r="H1145" s="20" t="n"/>
      <c r="I1145" s="20" t="n"/>
      <c r="J1145" s="20">
        <f>IFERROR(INDEX(CONFIGURACOES!$G$37:$G$300,MATCH($I1145,CONFIGURACOES!$B$37:$B$300,0)),"")</f>
        <v/>
      </c>
      <c r="K1145" s="20">
        <f>IFERROR(INDEX(CONFIGURACOES!$H$37:$H$300,MATCH($I1145,CONFIGURACOES!$B$37:$B$300,0)),"")</f>
        <v/>
      </c>
      <c r="L1145" s="20" t="n"/>
      <c r="M1145" s="20">
        <f>IFERROR(INDEX(CONFIGURACOES!$I$37:$I$300,MATCH($I1145,CONFIGURACOES!$B$37:$B$300,0)),"")</f>
        <v/>
      </c>
      <c r="N1145" s="21" t="n"/>
      <c r="O1145" s="21" t="n"/>
      <c r="P1145" s="21" t="n"/>
      <c r="Q1145" s="21" t="n"/>
      <c r="R1145" s="21">
        <f>IF($N1145="","",$N1145*IF($Q1145="",1,$Q1145)*IF($P1145="",1,$P1145)*IF($O1145="",1,$O1145))</f>
        <v/>
      </c>
      <c r="S1145" s="22">
        <f>IFERROR(INDEX(CONFIGURACOES!$J$37:$J$300,MATCH($I1145,CONFIGURACOES!$B$37:$B$300,0)),"")</f>
        <v/>
      </c>
      <c r="T1145" s="22">
        <f>IF(OR($R1145="",$S1145=""),"",$R1145*$S1145)</f>
        <v/>
      </c>
      <c r="U1145" s="20" t="n"/>
      <c r="V1145" s="20" t="n"/>
      <c r="W1145" s="20" t="n"/>
      <c r="X1145">
        <f>IF($A1145="","",$A1145&amp;"|"&amp;$C1145&amp;"|"&amp;$I1145)</f>
        <v/>
      </c>
      <c r="Y1145">
        <f>IF(AND($A1145=RELATORIO_MEDICAO!$C$5,$C1145=RELATORIO_MEDICAO!$F$5,$A1145&lt;&gt;""),COUNTIFS($A$3:$A1145,RELATORIO_MEDICAO!$C$5,$C$3:$C1145,RELATORIO_MEDICAO!$F$5),"")</f>
        <v/>
      </c>
      <c r="Z1145">
        <f>IF(OR($A1145="",PESQUISA!$C$4=""),0,IF(OR(ISNUMBER(SEARCH(PESQUISA!$C$4,$G1145)),ISNUMBER(SEARCH(PESQUISA!$C$4,$K1145)),ISNUMBER(SEARCH(PESQUISA!$C$4,$L1145))),1,0))</f>
        <v/>
      </c>
      <c r="AA1145">
        <f>IF($Z1145=1,SUM($Z$3:$Z1145),"")</f>
        <v/>
      </c>
      <c r="AB1145">
        <f>IF(OR($A1145="",PESQUISA!$C$50=""),0,IF(ISNUMBER(SEARCH(PESQUISA!$C$50,$I1145)),1,0))</f>
        <v/>
      </c>
      <c r="AC1145">
        <f>IF($AB1145=1,SUM($AB$3:$AB1145),"")</f>
        <v/>
      </c>
    </row>
    <row r="1146">
      <c r="A1146" s="20" t="n"/>
      <c r="B1146" s="20" t="n"/>
      <c r="C1146" s="20" t="n"/>
      <c r="D1146" s="20" t="n"/>
      <c r="E1146" s="20" t="n"/>
      <c r="F1146" s="20" t="n"/>
      <c r="G1146" s="20" t="n"/>
      <c r="H1146" s="20" t="n"/>
      <c r="I1146" s="20" t="n"/>
      <c r="J1146" s="20">
        <f>IFERROR(INDEX(CONFIGURACOES!$G$37:$G$300,MATCH($I1146,CONFIGURACOES!$B$37:$B$300,0)),"")</f>
        <v/>
      </c>
      <c r="K1146" s="20">
        <f>IFERROR(INDEX(CONFIGURACOES!$H$37:$H$300,MATCH($I1146,CONFIGURACOES!$B$37:$B$300,0)),"")</f>
        <v/>
      </c>
      <c r="L1146" s="20" t="n"/>
      <c r="M1146" s="20">
        <f>IFERROR(INDEX(CONFIGURACOES!$I$37:$I$300,MATCH($I1146,CONFIGURACOES!$B$37:$B$300,0)),"")</f>
        <v/>
      </c>
      <c r="N1146" s="21" t="n"/>
      <c r="O1146" s="21" t="n"/>
      <c r="P1146" s="21" t="n"/>
      <c r="Q1146" s="21" t="n"/>
      <c r="R1146" s="21">
        <f>IF($N1146="","",$N1146*IF($Q1146="",1,$Q1146)*IF($P1146="",1,$P1146)*IF($O1146="",1,$O1146))</f>
        <v/>
      </c>
      <c r="S1146" s="22">
        <f>IFERROR(INDEX(CONFIGURACOES!$J$37:$J$300,MATCH($I1146,CONFIGURACOES!$B$37:$B$300,0)),"")</f>
        <v/>
      </c>
      <c r="T1146" s="22">
        <f>IF(OR($R1146="",$S1146=""),"",$R1146*$S1146)</f>
        <v/>
      </c>
      <c r="U1146" s="20" t="n"/>
      <c r="V1146" s="20" t="n"/>
      <c r="W1146" s="20" t="n"/>
      <c r="X1146">
        <f>IF($A1146="","",$A1146&amp;"|"&amp;$C1146&amp;"|"&amp;$I1146)</f>
        <v/>
      </c>
      <c r="Y1146">
        <f>IF(AND($A1146=RELATORIO_MEDICAO!$C$5,$C1146=RELATORIO_MEDICAO!$F$5,$A1146&lt;&gt;""),COUNTIFS($A$3:$A1146,RELATORIO_MEDICAO!$C$5,$C$3:$C1146,RELATORIO_MEDICAO!$F$5),"")</f>
        <v/>
      </c>
      <c r="Z1146">
        <f>IF(OR($A1146="",PESQUISA!$C$4=""),0,IF(OR(ISNUMBER(SEARCH(PESQUISA!$C$4,$G1146)),ISNUMBER(SEARCH(PESQUISA!$C$4,$K1146)),ISNUMBER(SEARCH(PESQUISA!$C$4,$L1146))),1,0))</f>
        <v/>
      </c>
      <c r="AA1146">
        <f>IF($Z1146=1,SUM($Z$3:$Z1146),"")</f>
        <v/>
      </c>
      <c r="AB1146">
        <f>IF(OR($A1146="",PESQUISA!$C$50=""),0,IF(ISNUMBER(SEARCH(PESQUISA!$C$50,$I1146)),1,0))</f>
        <v/>
      </c>
      <c r="AC1146">
        <f>IF($AB1146=1,SUM($AB$3:$AB1146),"")</f>
        <v/>
      </c>
    </row>
    <row r="1147">
      <c r="A1147" s="20" t="n"/>
      <c r="B1147" s="20" t="n"/>
      <c r="C1147" s="20" t="n"/>
      <c r="D1147" s="20" t="n"/>
      <c r="E1147" s="20" t="n"/>
      <c r="F1147" s="20" t="n"/>
      <c r="G1147" s="20" t="n"/>
      <c r="H1147" s="20" t="n"/>
      <c r="I1147" s="20" t="n"/>
      <c r="J1147" s="20">
        <f>IFERROR(INDEX(CONFIGURACOES!$G$37:$G$300,MATCH($I1147,CONFIGURACOES!$B$37:$B$300,0)),"")</f>
        <v/>
      </c>
      <c r="K1147" s="20">
        <f>IFERROR(INDEX(CONFIGURACOES!$H$37:$H$300,MATCH($I1147,CONFIGURACOES!$B$37:$B$300,0)),"")</f>
        <v/>
      </c>
      <c r="L1147" s="20" t="n"/>
      <c r="M1147" s="20">
        <f>IFERROR(INDEX(CONFIGURACOES!$I$37:$I$300,MATCH($I1147,CONFIGURACOES!$B$37:$B$300,0)),"")</f>
        <v/>
      </c>
      <c r="N1147" s="21" t="n"/>
      <c r="O1147" s="21" t="n"/>
      <c r="P1147" s="21" t="n"/>
      <c r="Q1147" s="21" t="n"/>
      <c r="R1147" s="21">
        <f>IF($N1147="","",$N1147*IF($Q1147="",1,$Q1147)*IF($P1147="",1,$P1147)*IF($O1147="",1,$O1147))</f>
        <v/>
      </c>
      <c r="S1147" s="22">
        <f>IFERROR(INDEX(CONFIGURACOES!$J$37:$J$300,MATCH($I1147,CONFIGURACOES!$B$37:$B$300,0)),"")</f>
        <v/>
      </c>
      <c r="T1147" s="22">
        <f>IF(OR($R1147="",$S1147=""),"",$R1147*$S1147)</f>
        <v/>
      </c>
      <c r="U1147" s="20" t="n"/>
      <c r="V1147" s="20" t="n"/>
      <c r="W1147" s="20" t="n"/>
      <c r="X1147">
        <f>IF($A1147="","",$A1147&amp;"|"&amp;$C1147&amp;"|"&amp;$I1147)</f>
        <v/>
      </c>
      <c r="Y1147">
        <f>IF(AND($A1147=RELATORIO_MEDICAO!$C$5,$C1147=RELATORIO_MEDICAO!$F$5,$A1147&lt;&gt;""),COUNTIFS($A$3:$A1147,RELATORIO_MEDICAO!$C$5,$C$3:$C1147,RELATORIO_MEDICAO!$F$5),"")</f>
        <v/>
      </c>
      <c r="Z1147">
        <f>IF(OR($A1147="",PESQUISA!$C$4=""),0,IF(OR(ISNUMBER(SEARCH(PESQUISA!$C$4,$G1147)),ISNUMBER(SEARCH(PESQUISA!$C$4,$K1147)),ISNUMBER(SEARCH(PESQUISA!$C$4,$L1147))),1,0))</f>
        <v/>
      </c>
      <c r="AA1147">
        <f>IF($Z1147=1,SUM($Z$3:$Z1147),"")</f>
        <v/>
      </c>
      <c r="AB1147">
        <f>IF(OR($A1147="",PESQUISA!$C$50=""),0,IF(ISNUMBER(SEARCH(PESQUISA!$C$50,$I1147)),1,0))</f>
        <v/>
      </c>
      <c r="AC1147">
        <f>IF($AB1147=1,SUM($AB$3:$AB1147),"")</f>
        <v/>
      </c>
    </row>
    <row r="1148">
      <c r="A1148" s="20" t="n"/>
      <c r="B1148" s="20" t="n"/>
      <c r="C1148" s="20" t="n"/>
      <c r="D1148" s="20" t="n"/>
      <c r="E1148" s="20" t="n"/>
      <c r="F1148" s="20" t="n"/>
      <c r="G1148" s="20" t="n"/>
      <c r="H1148" s="20" t="n"/>
      <c r="I1148" s="20" t="n"/>
      <c r="J1148" s="20">
        <f>IFERROR(INDEX(CONFIGURACOES!$G$37:$G$300,MATCH($I1148,CONFIGURACOES!$B$37:$B$300,0)),"")</f>
        <v/>
      </c>
      <c r="K1148" s="20">
        <f>IFERROR(INDEX(CONFIGURACOES!$H$37:$H$300,MATCH($I1148,CONFIGURACOES!$B$37:$B$300,0)),"")</f>
        <v/>
      </c>
      <c r="L1148" s="20" t="n"/>
      <c r="M1148" s="20">
        <f>IFERROR(INDEX(CONFIGURACOES!$I$37:$I$300,MATCH($I1148,CONFIGURACOES!$B$37:$B$300,0)),"")</f>
        <v/>
      </c>
      <c r="N1148" s="21" t="n"/>
      <c r="O1148" s="21" t="n"/>
      <c r="P1148" s="21" t="n"/>
      <c r="Q1148" s="21" t="n"/>
      <c r="R1148" s="21">
        <f>IF($N1148="","",$N1148*IF($Q1148="",1,$Q1148)*IF($P1148="",1,$P1148)*IF($O1148="",1,$O1148))</f>
        <v/>
      </c>
      <c r="S1148" s="22">
        <f>IFERROR(INDEX(CONFIGURACOES!$J$37:$J$300,MATCH($I1148,CONFIGURACOES!$B$37:$B$300,0)),"")</f>
        <v/>
      </c>
      <c r="T1148" s="22">
        <f>IF(OR($R1148="",$S1148=""),"",$R1148*$S1148)</f>
        <v/>
      </c>
      <c r="U1148" s="20" t="n"/>
      <c r="V1148" s="20" t="n"/>
      <c r="W1148" s="20" t="n"/>
      <c r="X1148">
        <f>IF($A1148="","",$A1148&amp;"|"&amp;$C1148&amp;"|"&amp;$I1148)</f>
        <v/>
      </c>
      <c r="Y1148">
        <f>IF(AND($A1148=RELATORIO_MEDICAO!$C$5,$C1148=RELATORIO_MEDICAO!$F$5,$A1148&lt;&gt;""),COUNTIFS($A$3:$A1148,RELATORIO_MEDICAO!$C$5,$C$3:$C1148,RELATORIO_MEDICAO!$F$5),"")</f>
        <v/>
      </c>
      <c r="Z1148">
        <f>IF(OR($A1148="",PESQUISA!$C$4=""),0,IF(OR(ISNUMBER(SEARCH(PESQUISA!$C$4,$G1148)),ISNUMBER(SEARCH(PESQUISA!$C$4,$K1148)),ISNUMBER(SEARCH(PESQUISA!$C$4,$L1148))),1,0))</f>
        <v/>
      </c>
      <c r="AA1148">
        <f>IF($Z1148=1,SUM($Z$3:$Z1148),"")</f>
        <v/>
      </c>
      <c r="AB1148">
        <f>IF(OR($A1148="",PESQUISA!$C$50=""),0,IF(ISNUMBER(SEARCH(PESQUISA!$C$50,$I1148)),1,0))</f>
        <v/>
      </c>
      <c r="AC1148">
        <f>IF($AB1148=1,SUM($AB$3:$AB1148),"")</f>
        <v/>
      </c>
    </row>
    <row r="1149">
      <c r="A1149" s="20" t="n"/>
      <c r="B1149" s="20" t="n"/>
      <c r="C1149" s="20" t="n"/>
      <c r="D1149" s="20" t="n"/>
      <c r="E1149" s="20" t="n"/>
      <c r="F1149" s="20" t="n"/>
      <c r="G1149" s="20" t="n"/>
      <c r="H1149" s="20" t="n"/>
      <c r="I1149" s="20" t="n"/>
      <c r="J1149" s="20">
        <f>IFERROR(INDEX(CONFIGURACOES!$G$37:$G$300,MATCH($I1149,CONFIGURACOES!$B$37:$B$300,0)),"")</f>
        <v/>
      </c>
      <c r="K1149" s="20">
        <f>IFERROR(INDEX(CONFIGURACOES!$H$37:$H$300,MATCH($I1149,CONFIGURACOES!$B$37:$B$300,0)),"")</f>
        <v/>
      </c>
      <c r="L1149" s="20" t="n"/>
      <c r="M1149" s="20">
        <f>IFERROR(INDEX(CONFIGURACOES!$I$37:$I$300,MATCH($I1149,CONFIGURACOES!$B$37:$B$300,0)),"")</f>
        <v/>
      </c>
      <c r="N1149" s="21" t="n"/>
      <c r="O1149" s="21" t="n"/>
      <c r="P1149" s="21" t="n"/>
      <c r="Q1149" s="21" t="n"/>
      <c r="R1149" s="21">
        <f>IF($N1149="","",$N1149*IF($Q1149="",1,$Q1149)*IF($P1149="",1,$P1149)*IF($O1149="",1,$O1149))</f>
        <v/>
      </c>
      <c r="S1149" s="22">
        <f>IFERROR(INDEX(CONFIGURACOES!$J$37:$J$300,MATCH($I1149,CONFIGURACOES!$B$37:$B$300,0)),"")</f>
        <v/>
      </c>
      <c r="T1149" s="22">
        <f>IF(OR($R1149="",$S1149=""),"",$R1149*$S1149)</f>
        <v/>
      </c>
      <c r="U1149" s="20" t="n"/>
      <c r="V1149" s="20" t="n"/>
      <c r="W1149" s="20" t="n"/>
      <c r="X1149">
        <f>IF($A1149="","",$A1149&amp;"|"&amp;$C1149&amp;"|"&amp;$I1149)</f>
        <v/>
      </c>
      <c r="Y1149">
        <f>IF(AND($A1149=RELATORIO_MEDICAO!$C$5,$C1149=RELATORIO_MEDICAO!$F$5,$A1149&lt;&gt;""),COUNTIFS($A$3:$A1149,RELATORIO_MEDICAO!$C$5,$C$3:$C1149,RELATORIO_MEDICAO!$F$5),"")</f>
        <v/>
      </c>
      <c r="Z1149">
        <f>IF(OR($A1149="",PESQUISA!$C$4=""),0,IF(OR(ISNUMBER(SEARCH(PESQUISA!$C$4,$G1149)),ISNUMBER(SEARCH(PESQUISA!$C$4,$K1149)),ISNUMBER(SEARCH(PESQUISA!$C$4,$L1149))),1,0))</f>
        <v/>
      </c>
      <c r="AA1149">
        <f>IF($Z1149=1,SUM($Z$3:$Z1149),"")</f>
        <v/>
      </c>
      <c r="AB1149">
        <f>IF(OR($A1149="",PESQUISA!$C$50=""),0,IF(ISNUMBER(SEARCH(PESQUISA!$C$50,$I1149)),1,0))</f>
        <v/>
      </c>
      <c r="AC1149">
        <f>IF($AB1149=1,SUM($AB$3:$AB1149),"")</f>
        <v/>
      </c>
    </row>
    <row r="1150">
      <c r="A1150" s="20" t="n"/>
      <c r="B1150" s="20" t="n"/>
      <c r="C1150" s="20" t="n"/>
      <c r="D1150" s="20" t="n"/>
      <c r="E1150" s="20" t="n"/>
      <c r="F1150" s="20" t="n"/>
      <c r="G1150" s="20" t="n"/>
      <c r="H1150" s="20" t="n"/>
      <c r="I1150" s="20" t="n"/>
      <c r="J1150" s="20">
        <f>IFERROR(INDEX(CONFIGURACOES!$G$37:$G$300,MATCH($I1150,CONFIGURACOES!$B$37:$B$300,0)),"")</f>
        <v/>
      </c>
      <c r="K1150" s="20">
        <f>IFERROR(INDEX(CONFIGURACOES!$H$37:$H$300,MATCH($I1150,CONFIGURACOES!$B$37:$B$300,0)),"")</f>
        <v/>
      </c>
      <c r="L1150" s="20" t="n"/>
      <c r="M1150" s="20">
        <f>IFERROR(INDEX(CONFIGURACOES!$I$37:$I$300,MATCH($I1150,CONFIGURACOES!$B$37:$B$300,0)),"")</f>
        <v/>
      </c>
      <c r="N1150" s="21" t="n"/>
      <c r="O1150" s="21" t="n"/>
      <c r="P1150" s="21" t="n"/>
      <c r="Q1150" s="21" t="n"/>
      <c r="R1150" s="21">
        <f>IF($N1150="","",$N1150*IF($Q1150="",1,$Q1150)*IF($P1150="",1,$P1150)*IF($O1150="",1,$O1150))</f>
        <v/>
      </c>
      <c r="S1150" s="22">
        <f>IFERROR(INDEX(CONFIGURACOES!$J$37:$J$300,MATCH($I1150,CONFIGURACOES!$B$37:$B$300,0)),"")</f>
        <v/>
      </c>
      <c r="T1150" s="22">
        <f>IF(OR($R1150="",$S1150=""),"",$R1150*$S1150)</f>
        <v/>
      </c>
      <c r="U1150" s="20" t="n"/>
      <c r="V1150" s="20" t="n"/>
      <c r="W1150" s="20" t="n"/>
      <c r="X1150">
        <f>IF($A1150="","",$A1150&amp;"|"&amp;$C1150&amp;"|"&amp;$I1150)</f>
        <v/>
      </c>
      <c r="Y1150">
        <f>IF(AND($A1150=RELATORIO_MEDICAO!$C$5,$C1150=RELATORIO_MEDICAO!$F$5,$A1150&lt;&gt;""),COUNTIFS($A$3:$A1150,RELATORIO_MEDICAO!$C$5,$C$3:$C1150,RELATORIO_MEDICAO!$F$5),"")</f>
        <v/>
      </c>
      <c r="Z1150">
        <f>IF(OR($A1150="",PESQUISA!$C$4=""),0,IF(OR(ISNUMBER(SEARCH(PESQUISA!$C$4,$G1150)),ISNUMBER(SEARCH(PESQUISA!$C$4,$K1150)),ISNUMBER(SEARCH(PESQUISA!$C$4,$L1150))),1,0))</f>
        <v/>
      </c>
      <c r="AA1150">
        <f>IF($Z1150=1,SUM($Z$3:$Z1150),"")</f>
        <v/>
      </c>
      <c r="AB1150">
        <f>IF(OR($A1150="",PESQUISA!$C$50=""),0,IF(ISNUMBER(SEARCH(PESQUISA!$C$50,$I1150)),1,0))</f>
        <v/>
      </c>
      <c r="AC1150">
        <f>IF($AB1150=1,SUM($AB$3:$AB1150),"")</f>
        <v/>
      </c>
    </row>
    <row r="1151">
      <c r="A1151" s="20" t="n"/>
      <c r="B1151" s="20" t="n"/>
      <c r="C1151" s="20" t="n"/>
      <c r="D1151" s="20" t="n"/>
      <c r="E1151" s="20" t="n"/>
      <c r="F1151" s="20" t="n"/>
      <c r="G1151" s="20" t="n"/>
      <c r="H1151" s="20" t="n"/>
      <c r="I1151" s="20" t="n"/>
      <c r="J1151" s="20">
        <f>IFERROR(INDEX(CONFIGURACOES!$G$37:$G$300,MATCH($I1151,CONFIGURACOES!$B$37:$B$300,0)),"")</f>
        <v/>
      </c>
      <c r="K1151" s="20">
        <f>IFERROR(INDEX(CONFIGURACOES!$H$37:$H$300,MATCH($I1151,CONFIGURACOES!$B$37:$B$300,0)),"")</f>
        <v/>
      </c>
      <c r="L1151" s="20" t="n"/>
      <c r="M1151" s="20">
        <f>IFERROR(INDEX(CONFIGURACOES!$I$37:$I$300,MATCH($I1151,CONFIGURACOES!$B$37:$B$300,0)),"")</f>
        <v/>
      </c>
      <c r="N1151" s="21" t="n"/>
      <c r="O1151" s="21" t="n"/>
      <c r="P1151" s="21" t="n"/>
      <c r="Q1151" s="21" t="n"/>
      <c r="R1151" s="21">
        <f>IF($N1151="","",$N1151*IF($Q1151="",1,$Q1151)*IF($P1151="",1,$P1151)*IF($O1151="",1,$O1151))</f>
        <v/>
      </c>
      <c r="S1151" s="22">
        <f>IFERROR(INDEX(CONFIGURACOES!$J$37:$J$300,MATCH($I1151,CONFIGURACOES!$B$37:$B$300,0)),"")</f>
        <v/>
      </c>
      <c r="T1151" s="22">
        <f>IF(OR($R1151="",$S1151=""),"",$R1151*$S1151)</f>
        <v/>
      </c>
      <c r="U1151" s="20" t="n"/>
      <c r="V1151" s="20" t="n"/>
      <c r="W1151" s="20" t="n"/>
      <c r="X1151">
        <f>IF($A1151="","",$A1151&amp;"|"&amp;$C1151&amp;"|"&amp;$I1151)</f>
        <v/>
      </c>
      <c r="Y1151">
        <f>IF(AND($A1151=RELATORIO_MEDICAO!$C$5,$C1151=RELATORIO_MEDICAO!$F$5,$A1151&lt;&gt;""),COUNTIFS($A$3:$A1151,RELATORIO_MEDICAO!$C$5,$C$3:$C1151,RELATORIO_MEDICAO!$F$5),"")</f>
        <v/>
      </c>
      <c r="Z1151">
        <f>IF(OR($A1151="",PESQUISA!$C$4=""),0,IF(OR(ISNUMBER(SEARCH(PESQUISA!$C$4,$G1151)),ISNUMBER(SEARCH(PESQUISA!$C$4,$K1151)),ISNUMBER(SEARCH(PESQUISA!$C$4,$L1151))),1,0))</f>
        <v/>
      </c>
      <c r="AA1151">
        <f>IF($Z1151=1,SUM($Z$3:$Z1151),"")</f>
        <v/>
      </c>
      <c r="AB1151">
        <f>IF(OR($A1151="",PESQUISA!$C$50=""),0,IF(ISNUMBER(SEARCH(PESQUISA!$C$50,$I1151)),1,0))</f>
        <v/>
      </c>
      <c r="AC1151">
        <f>IF($AB1151=1,SUM($AB$3:$AB1151),"")</f>
        <v/>
      </c>
    </row>
    <row r="1152">
      <c r="A1152" s="20" t="n"/>
      <c r="B1152" s="20" t="n"/>
      <c r="C1152" s="20" t="n"/>
      <c r="D1152" s="20" t="n"/>
      <c r="E1152" s="20" t="n"/>
      <c r="F1152" s="20" t="n"/>
      <c r="G1152" s="20" t="n"/>
      <c r="H1152" s="20" t="n"/>
      <c r="I1152" s="20" t="n"/>
      <c r="J1152" s="20">
        <f>IFERROR(INDEX(CONFIGURACOES!$G$37:$G$300,MATCH($I1152,CONFIGURACOES!$B$37:$B$300,0)),"")</f>
        <v/>
      </c>
      <c r="K1152" s="20">
        <f>IFERROR(INDEX(CONFIGURACOES!$H$37:$H$300,MATCH($I1152,CONFIGURACOES!$B$37:$B$300,0)),"")</f>
        <v/>
      </c>
      <c r="L1152" s="20" t="n"/>
      <c r="M1152" s="20">
        <f>IFERROR(INDEX(CONFIGURACOES!$I$37:$I$300,MATCH($I1152,CONFIGURACOES!$B$37:$B$300,0)),"")</f>
        <v/>
      </c>
      <c r="N1152" s="21" t="n"/>
      <c r="O1152" s="21" t="n"/>
      <c r="P1152" s="21" t="n"/>
      <c r="Q1152" s="21" t="n"/>
      <c r="R1152" s="21">
        <f>IF($N1152="","",$N1152*IF($Q1152="",1,$Q1152)*IF($P1152="",1,$P1152)*IF($O1152="",1,$O1152))</f>
        <v/>
      </c>
      <c r="S1152" s="22">
        <f>IFERROR(INDEX(CONFIGURACOES!$J$37:$J$300,MATCH($I1152,CONFIGURACOES!$B$37:$B$300,0)),"")</f>
        <v/>
      </c>
      <c r="T1152" s="22">
        <f>IF(OR($R1152="",$S1152=""),"",$R1152*$S1152)</f>
        <v/>
      </c>
      <c r="U1152" s="20" t="n"/>
      <c r="V1152" s="20" t="n"/>
      <c r="W1152" s="20" t="n"/>
      <c r="X1152">
        <f>IF($A1152="","",$A1152&amp;"|"&amp;$C1152&amp;"|"&amp;$I1152)</f>
        <v/>
      </c>
      <c r="Y1152">
        <f>IF(AND($A1152=RELATORIO_MEDICAO!$C$5,$C1152=RELATORIO_MEDICAO!$F$5,$A1152&lt;&gt;""),COUNTIFS($A$3:$A1152,RELATORIO_MEDICAO!$C$5,$C$3:$C1152,RELATORIO_MEDICAO!$F$5),"")</f>
        <v/>
      </c>
      <c r="Z1152">
        <f>IF(OR($A1152="",PESQUISA!$C$4=""),0,IF(OR(ISNUMBER(SEARCH(PESQUISA!$C$4,$G1152)),ISNUMBER(SEARCH(PESQUISA!$C$4,$K1152)),ISNUMBER(SEARCH(PESQUISA!$C$4,$L1152))),1,0))</f>
        <v/>
      </c>
      <c r="AA1152">
        <f>IF($Z1152=1,SUM($Z$3:$Z1152),"")</f>
        <v/>
      </c>
      <c r="AB1152">
        <f>IF(OR($A1152="",PESQUISA!$C$50=""),0,IF(ISNUMBER(SEARCH(PESQUISA!$C$50,$I1152)),1,0))</f>
        <v/>
      </c>
      <c r="AC1152">
        <f>IF($AB1152=1,SUM($AB$3:$AB1152),"")</f>
        <v/>
      </c>
    </row>
    <row r="1153">
      <c r="A1153" s="20" t="n"/>
      <c r="B1153" s="20" t="n"/>
      <c r="C1153" s="20" t="n"/>
      <c r="D1153" s="20" t="n"/>
      <c r="E1153" s="20" t="n"/>
      <c r="F1153" s="20" t="n"/>
      <c r="G1153" s="20" t="n"/>
      <c r="H1153" s="20" t="n"/>
      <c r="I1153" s="20" t="n"/>
      <c r="J1153" s="20">
        <f>IFERROR(INDEX(CONFIGURACOES!$G$37:$G$300,MATCH($I1153,CONFIGURACOES!$B$37:$B$300,0)),"")</f>
        <v/>
      </c>
      <c r="K1153" s="20">
        <f>IFERROR(INDEX(CONFIGURACOES!$H$37:$H$300,MATCH($I1153,CONFIGURACOES!$B$37:$B$300,0)),"")</f>
        <v/>
      </c>
      <c r="L1153" s="20" t="n"/>
      <c r="M1153" s="20">
        <f>IFERROR(INDEX(CONFIGURACOES!$I$37:$I$300,MATCH($I1153,CONFIGURACOES!$B$37:$B$300,0)),"")</f>
        <v/>
      </c>
      <c r="N1153" s="21" t="n"/>
      <c r="O1153" s="21" t="n"/>
      <c r="P1153" s="21" t="n"/>
      <c r="Q1153" s="21" t="n"/>
      <c r="R1153" s="21">
        <f>IF($N1153="","",$N1153*IF($Q1153="",1,$Q1153)*IF($P1153="",1,$P1153)*IF($O1153="",1,$O1153))</f>
        <v/>
      </c>
      <c r="S1153" s="22">
        <f>IFERROR(INDEX(CONFIGURACOES!$J$37:$J$300,MATCH($I1153,CONFIGURACOES!$B$37:$B$300,0)),"")</f>
        <v/>
      </c>
      <c r="T1153" s="22">
        <f>IF(OR($R1153="",$S1153=""),"",$R1153*$S1153)</f>
        <v/>
      </c>
      <c r="U1153" s="20" t="n"/>
      <c r="V1153" s="20" t="n"/>
      <c r="W1153" s="20" t="n"/>
      <c r="X1153">
        <f>IF($A1153="","",$A1153&amp;"|"&amp;$C1153&amp;"|"&amp;$I1153)</f>
        <v/>
      </c>
      <c r="Y1153">
        <f>IF(AND($A1153=RELATORIO_MEDICAO!$C$5,$C1153=RELATORIO_MEDICAO!$F$5,$A1153&lt;&gt;""),COUNTIFS($A$3:$A1153,RELATORIO_MEDICAO!$C$5,$C$3:$C1153,RELATORIO_MEDICAO!$F$5),"")</f>
        <v/>
      </c>
      <c r="Z1153">
        <f>IF(OR($A1153="",PESQUISA!$C$4=""),0,IF(OR(ISNUMBER(SEARCH(PESQUISA!$C$4,$G1153)),ISNUMBER(SEARCH(PESQUISA!$C$4,$K1153)),ISNUMBER(SEARCH(PESQUISA!$C$4,$L1153))),1,0))</f>
        <v/>
      </c>
      <c r="AA1153">
        <f>IF($Z1153=1,SUM($Z$3:$Z1153),"")</f>
        <v/>
      </c>
      <c r="AB1153">
        <f>IF(OR($A1153="",PESQUISA!$C$50=""),0,IF(ISNUMBER(SEARCH(PESQUISA!$C$50,$I1153)),1,0))</f>
        <v/>
      </c>
      <c r="AC1153">
        <f>IF($AB1153=1,SUM($AB$3:$AB1153),"")</f>
        <v/>
      </c>
    </row>
    <row r="1154">
      <c r="A1154" s="20" t="n"/>
      <c r="B1154" s="20" t="n"/>
      <c r="C1154" s="20" t="n"/>
      <c r="D1154" s="20" t="n"/>
      <c r="E1154" s="20" t="n"/>
      <c r="F1154" s="20" t="n"/>
      <c r="G1154" s="20" t="n"/>
      <c r="H1154" s="20" t="n"/>
      <c r="I1154" s="20" t="n"/>
      <c r="J1154" s="20">
        <f>IFERROR(INDEX(CONFIGURACOES!$G$37:$G$300,MATCH($I1154,CONFIGURACOES!$B$37:$B$300,0)),"")</f>
        <v/>
      </c>
      <c r="K1154" s="20">
        <f>IFERROR(INDEX(CONFIGURACOES!$H$37:$H$300,MATCH($I1154,CONFIGURACOES!$B$37:$B$300,0)),"")</f>
        <v/>
      </c>
      <c r="L1154" s="20" t="n"/>
      <c r="M1154" s="20">
        <f>IFERROR(INDEX(CONFIGURACOES!$I$37:$I$300,MATCH($I1154,CONFIGURACOES!$B$37:$B$300,0)),"")</f>
        <v/>
      </c>
      <c r="N1154" s="21" t="n"/>
      <c r="O1154" s="21" t="n"/>
      <c r="P1154" s="21" t="n"/>
      <c r="Q1154" s="21" t="n"/>
      <c r="R1154" s="21">
        <f>IF($N1154="","",$N1154*IF($Q1154="",1,$Q1154)*IF($P1154="",1,$P1154)*IF($O1154="",1,$O1154))</f>
        <v/>
      </c>
      <c r="S1154" s="22">
        <f>IFERROR(INDEX(CONFIGURACOES!$J$37:$J$300,MATCH($I1154,CONFIGURACOES!$B$37:$B$300,0)),"")</f>
        <v/>
      </c>
      <c r="T1154" s="22">
        <f>IF(OR($R1154="",$S1154=""),"",$R1154*$S1154)</f>
        <v/>
      </c>
      <c r="U1154" s="20" t="n"/>
      <c r="V1154" s="20" t="n"/>
      <c r="W1154" s="20" t="n"/>
      <c r="X1154">
        <f>IF($A1154="","",$A1154&amp;"|"&amp;$C1154&amp;"|"&amp;$I1154)</f>
        <v/>
      </c>
      <c r="Y1154">
        <f>IF(AND($A1154=RELATORIO_MEDICAO!$C$5,$C1154=RELATORIO_MEDICAO!$F$5,$A1154&lt;&gt;""),COUNTIFS($A$3:$A1154,RELATORIO_MEDICAO!$C$5,$C$3:$C1154,RELATORIO_MEDICAO!$F$5),"")</f>
        <v/>
      </c>
      <c r="Z1154">
        <f>IF(OR($A1154="",PESQUISA!$C$4=""),0,IF(OR(ISNUMBER(SEARCH(PESQUISA!$C$4,$G1154)),ISNUMBER(SEARCH(PESQUISA!$C$4,$K1154)),ISNUMBER(SEARCH(PESQUISA!$C$4,$L1154))),1,0))</f>
        <v/>
      </c>
      <c r="AA1154">
        <f>IF($Z1154=1,SUM($Z$3:$Z1154),"")</f>
        <v/>
      </c>
      <c r="AB1154">
        <f>IF(OR($A1154="",PESQUISA!$C$50=""),0,IF(ISNUMBER(SEARCH(PESQUISA!$C$50,$I1154)),1,0))</f>
        <v/>
      </c>
      <c r="AC1154">
        <f>IF($AB1154=1,SUM($AB$3:$AB1154),"")</f>
        <v/>
      </c>
    </row>
    <row r="1155">
      <c r="A1155" s="20" t="n"/>
      <c r="B1155" s="20" t="n"/>
      <c r="C1155" s="20" t="n"/>
      <c r="D1155" s="20" t="n"/>
      <c r="E1155" s="20" t="n"/>
      <c r="F1155" s="20" t="n"/>
      <c r="G1155" s="20" t="n"/>
      <c r="H1155" s="20" t="n"/>
      <c r="I1155" s="20" t="n"/>
      <c r="J1155" s="20">
        <f>IFERROR(INDEX(CONFIGURACOES!$G$37:$G$300,MATCH($I1155,CONFIGURACOES!$B$37:$B$300,0)),"")</f>
        <v/>
      </c>
      <c r="K1155" s="20">
        <f>IFERROR(INDEX(CONFIGURACOES!$H$37:$H$300,MATCH($I1155,CONFIGURACOES!$B$37:$B$300,0)),"")</f>
        <v/>
      </c>
      <c r="L1155" s="20" t="n"/>
      <c r="M1155" s="20">
        <f>IFERROR(INDEX(CONFIGURACOES!$I$37:$I$300,MATCH($I1155,CONFIGURACOES!$B$37:$B$300,0)),"")</f>
        <v/>
      </c>
      <c r="N1155" s="21" t="n"/>
      <c r="O1155" s="21" t="n"/>
      <c r="P1155" s="21" t="n"/>
      <c r="Q1155" s="21" t="n"/>
      <c r="R1155" s="21">
        <f>IF($N1155="","",$N1155*IF($Q1155="",1,$Q1155)*IF($P1155="",1,$P1155)*IF($O1155="",1,$O1155))</f>
        <v/>
      </c>
      <c r="S1155" s="22">
        <f>IFERROR(INDEX(CONFIGURACOES!$J$37:$J$300,MATCH($I1155,CONFIGURACOES!$B$37:$B$300,0)),"")</f>
        <v/>
      </c>
      <c r="T1155" s="22">
        <f>IF(OR($R1155="",$S1155=""),"",$R1155*$S1155)</f>
        <v/>
      </c>
      <c r="U1155" s="20" t="n"/>
      <c r="V1155" s="20" t="n"/>
      <c r="W1155" s="20" t="n"/>
      <c r="X1155">
        <f>IF($A1155="","",$A1155&amp;"|"&amp;$C1155&amp;"|"&amp;$I1155)</f>
        <v/>
      </c>
      <c r="Y1155">
        <f>IF(AND($A1155=RELATORIO_MEDICAO!$C$5,$C1155=RELATORIO_MEDICAO!$F$5,$A1155&lt;&gt;""),COUNTIFS($A$3:$A1155,RELATORIO_MEDICAO!$C$5,$C$3:$C1155,RELATORIO_MEDICAO!$F$5),"")</f>
        <v/>
      </c>
      <c r="Z1155">
        <f>IF(OR($A1155="",PESQUISA!$C$4=""),0,IF(OR(ISNUMBER(SEARCH(PESQUISA!$C$4,$G1155)),ISNUMBER(SEARCH(PESQUISA!$C$4,$K1155)),ISNUMBER(SEARCH(PESQUISA!$C$4,$L1155))),1,0))</f>
        <v/>
      </c>
      <c r="AA1155">
        <f>IF($Z1155=1,SUM($Z$3:$Z1155),"")</f>
        <v/>
      </c>
      <c r="AB1155">
        <f>IF(OR($A1155="",PESQUISA!$C$50=""),0,IF(ISNUMBER(SEARCH(PESQUISA!$C$50,$I1155)),1,0))</f>
        <v/>
      </c>
      <c r="AC1155">
        <f>IF($AB1155=1,SUM($AB$3:$AB1155),"")</f>
        <v/>
      </c>
    </row>
    <row r="1156">
      <c r="A1156" s="20" t="n"/>
      <c r="B1156" s="20" t="n"/>
      <c r="C1156" s="20" t="n"/>
      <c r="D1156" s="20" t="n"/>
      <c r="E1156" s="20" t="n"/>
      <c r="F1156" s="20" t="n"/>
      <c r="G1156" s="20" t="n"/>
      <c r="H1156" s="20" t="n"/>
      <c r="I1156" s="20" t="n"/>
      <c r="J1156" s="20">
        <f>IFERROR(INDEX(CONFIGURACOES!$G$37:$G$300,MATCH($I1156,CONFIGURACOES!$B$37:$B$300,0)),"")</f>
        <v/>
      </c>
      <c r="K1156" s="20">
        <f>IFERROR(INDEX(CONFIGURACOES!$H$37:$H$300,MATCH($I1156,CONFIGURACOES!$B$37:$B$300,0)),"")</f>
        <v/>
      </c>
      <c r="L1156" s="20" t="n"/>
      <c r="M1156" s="20">
        <f>IFERROR(INDEX(CONFIGURACOES!$I$37:$I$300,MATCH($I1156,CONFIGURACOES!$B$37:$B$300,0)),"")</f>
        <v/>
      </c>
      <c r="N1156" s="21" t="n"/>
      <c r="O1156" s="21" t="n"/>
      <c r="P1156" s="21" t="n"/>
      <c r="Q1156" s="21" t="n"/>
      <c r="R1156" s="21">
        <f>IF($N1156="","",$N1156*IF($Q1156="",1,$Q1156)*IF($P1156="",1,$P1156)*IF($O1156="",1,$O1156))</f>
        <v/>
      </c>
      <c r="S1156" s="22">
        <f>IFERROR(INDEX(CONFIGURACOES!$J$37:$J$300,MATCH($I1156,CONFIGURACOES!$B$37:$B$300,0)),"")</f>
        <v/>
      </c>
      <c r="T1156" s="22">
        <f>IF(OR($R1156="",$S1156=""),"",$R1156*$S1156)</f>
        <v/>
      </c>
      <c r="U1156" s="20" t="n"/>
      <c r="V1156" s="20" t="n"/>
      <c r="W1156" s="20" t="n"/>
      <c r="X1156">
        <f>IF($A1156="","",$A1156&amp;"|"&amp;$C1156&amp;"|"&amp;$I1156)</f>
        <v/>
      </c>
      <c r="Y1156">
        <f>IF(AND($A1156=RELATORIO_MEDICAO!$C$5,$C1156=RELATORIO_MEDICAO!$F$5,$A1156&lt;&gt;""),COUNTIFS($A$3:$A1156,RELATORIO_MEDICAO!$C$5,$C$3:$C1156,RELATORIO_MEDICAO!$F$5),"")</f>
        <v/>
      </c>
      <c r="Z1156">
        <f>IF(OR($A1156="",PESQUISA!$C$4=""),0,IF(OR(ISNUMBER(SEARCH(PESQUISA!$C$4,$G1156)),ISNUMBER(SEARCH(PESQUISA!$C$4,$K1156)),ISNUMBER(SEARCH(PESQUISA!$C$4,$L1156))),1,0))</f>
        <v/>
      </c>
      <c r="AA1156">
        <f>IF($Z1156=1,SUM($Z$3:$Z1156),"")</f>
        <v/>
      </c>
      <c r="AB1156">
        <f>IF(OR($A1156="",PESQUISA!$C$50=""),0,IF(ISNUMBER(SEARCH(PESQUISA!$C$50,$I1156)),1,0))</f>
        <v/>
      </c>
      <c r="AC1156">
        <f>IF($AB1156=1,SUM($AB$3:$AB1156),"")</f>
        <v/>
      </c>
    </row>
    <row r="1157">
      <c r="A1157" s="20" t="n"/>
      <c r="B1157" s="20" t="n"/>
      <c r="C1157" s="20" t="n"/>
      <c r="D1157" s="20" t="n"/>
      <c r="E1157" s="20" t="n"/>
      <c r="F1157" s="20" t="n"/>
      <c r="G1157" s="20" t="n"/>
      <c r="H1157" s="20" t="n"/>
      <c r="I1157" s="20" t="n"/>
      <c r="J1157" s="20">
        <f>IFERROR(INDEX(CONFIGURACOES!$G$37:$G$300,MATCH($I1157,CONFIGURACOES!$B$37:$B$300,0)),"")</f>
        <v/>
      </c>
      <c r="K1157" s="20">
        <f>IFERROR(INDEX(CONFIGURACOES!$H$37:$H$300,MATCH($I1157,CONFIGURACOES!$B$37:$B$300,0)),"")</f>
        <v/>
      </c>
      <c r="L1157" s="20" t="n"/>
      <c r="M1157" s="20">
        <f>IFERROR(INDEX(CONFIGURACOES!$I$37:$I$300,MATCH($I1157,CONFIGURACOES!$B$37:$B$300,0)),"")</f>
        <v/>
      </c>
      <c r="N1157" s="21" t="n"/>
      <c r="O1157" s="21" t="n"/>
      <c r="P1157" s="21" t="n"/>
      <c r="Q1157" s="21" t="n"/>
      <c r="R1157" s="21">
        <f>IF($N1157="","",$N1157*IF($Q1157="",1,$Q1157)*IF($P1157="",1,$P1157)*IF($O1157="",1,$O1157))</f>
        <v/>
      </c>
      <c r="S1157" s="22">
        <f>IFERROR(INDEX(CONFIGURACOES!$J$37:$J$300,MATCH($I1157,CONFIGURACOES!$B$37:$B$300,0)),"")</f>
        <v/>
      </c>
      <c r="T1157" s="22">
        <f>IF(OR($R1157="",$S1157=""),"",$R1157*$S1157)</f>
        <v/>
      </c>
      <c r="U1157" s="20" t="n"/>
      <c r="V1157" s="20" t="n"/>
      <c r="W1157" s="20" t="n"/>
      <c r="X1157">
        <f>IF($A1157="","",$A1157&amp;"|"&amp;$C1157&amp;"|"&amp;$I1157)</f>
        <v/>
      </c>
      <c r="Y1157">
        <f>IF(AND($A1157=RELATORIO_MEDICAO!$C$5,$C1157=RELATORIO_MEDICAO!$F$5,$A1157&lt;&gt;""),COUNTIFS($A$3:$A1157,RELATORIO_MEDICAO!$C$5,$C$3:$C1157,RELATORIO_MEDICAO!$F$5),"")</f>
        <v/>
      </c>
      <c r="Z1157">
        <f>IF(OR($A1157="",PESQUISA!$C$4=""),0,IF(OR(ISNUMBER(SEARCH(PESQUISA!$C$4,$G1157)),ISNUMBER(SEARCH(PESQUISA!$C$4,$K1157)),ISNUMBER(SEARCH(PESQUISA!$C$4,$L1157))),1,0))</f>
        <v/>
      </c>
      <c r="AA1157">
        <f>IF($Z1157=1,SUM($Z$3:$Z1157),"")</f>
        <v/>
      </c>
      <c r="AB1157">
        <f>IF(OR($A1157="",PESQUISA!$C$50=""),0,IF(ISNUMBER(SEARCH(PESQUISA!$C$50,$I1157)),1,0))</f>
        <v/>
      </c>
      <c r="AC1157">
        <f>IF($AB1157=1,SUM($AB$3:$AB1157),"")</f>
        <v/>
      </c>
    </row>
    <row r="1158">
      <c r="A1158" s="20" t="n"/>
      <c r="B1158" s="20" t="n"/>
      <c r="C1158" s="20" t="n"/>
      <c r="D1158" s="20" t="n"/>
      <c r="E1158" s="20" t="n"/>
      <c r="F1158" s="20" t="n"/>
      <c r="G1158" s="20" t="n"/>
      <c r="H1158" s="20" t="n"/>
      <c r="I1158" s="20" t="n"/>
      <c r="J1158" s="20">
        <f>IFERROR(INDEX(CONFIGURACOES!$G$37:$G$300,MATCH($I1158,CONFIGURACOES!$B$37:$B$300,0)),"")</f>
        <v/>
      </c>
      <c r="K1158" s="20">
        <f>IFERROR(INDEX(CONFIGURACOES!$H$37:$H$300,MATCH($I1158,CONFIGURACOES!$B$37:$B$300,0)),"")</f>
        <v/>
      </c>
      <c r="L1158" s="20" t="n"/>
      <c r="M1158" s="20">
        <f>IFERROR(INDEX(CONFIGURACOES!$I$37:$I$300,MATCH($I1158,CONFIGURACOES!$B$37:$B$300,0)),"")</f>
        <v/>
      </c>
      <c r="N1158" s="21" t="n"/>
      <c r="O1158" s="21" t="n"/>
      <c r="P1158" s="21" t="n"/>
      <c r="Q1158" s="21" t="n"/>
      <c r="R1158" s="21">
        <f>IF($N1158="","",$N1158*IF($Q1158="",1,$Q1158)*IF($P1158="",1,$P1158)*IF($O1158="",1,$O1158))</f>
        <v/>
      </c>
      <c r="S1158" s="22">
        <f>IFERROR(INDEX(CONFIGURACOES!$J$37:$J$300,MATCH($I1158,CONFIGURACOES!$B$37:$B$300,0)),"")</f>
        <v/>
      </c>
      <c r="T1158" s="22">
        <f>IF(OR($R1158="",$S1158=""),"",$R1158*$S1158)</f>
        <v/>
      </c>
      <c r="U1158" s="20" t="n"/>
      <c r="V1158" s="20" t="n"/>
      <c r="W1158" s="20" t="n"/>
      <c r="X1158">
        <f>IF($A1158="","",$A1158&amp;"|"&amp;$C1158&amp;"|"&amp;$I1158)</f>
        <v/>
      </c>
      <c r="Y1158">
        <f>IF(AND($A1158=RELATORIO_MEDICAO!$C$5,$C1158=RELATORIO_MEDICAO!$F$5,$A1158&lt;&gt;""),COUNTIFS($A$3:$A1158,RELATORIO_MEDICAO!$C$5,$C$3:$C1158,RELATORIO_MEDICAO!$F$5),"")</f>
        <v/>
      </c>
      <c r="Z1158">
        <f>IF(OR($A1158="",PESQUISA!$C$4=""),0,IF(OR(ISNUMBER(SEARCH(PESQUISA!$C$4,$G1158)),ISNUMBER(SEARCH(PESQUISA!$C$4,$K1158)),ISNUMBER(SEARCH(PESQUISA!$C$4,$L1158))),1,0))</f>
        <v/>
      </c>
      <c r="AA1158">
        <f>IF($Z1158=1,SUM($Z$3:$Z1158),"")</f>
        <v/>
      </c>
      <c r="AB1158">
        <f>IF(OR($A1158="",PESQUISA!$C$50=""),0,IF(ISNUMBER(SEARCH(PESQUISA!$C$50,$I1158)),1,0))</f>
        <v/>
      </c>
      <c r="AC1158">
        <f>IF($AB1158=1,SUM($AB$3:$AB1158),"")</f>
        <v/>
      </c>
    </row>
    <row r="1159">
      <c r="A1159" s="20" t="n"/>
      <c r="B1159" s="20" t="n"/>
      <c r="C1159" s="20" t="n"/>
      <c r="D1159" s="20" t="n"/>
      <c r="E1159" s="20" t="n"/>
      <c r="F1159" s="20" t="n"/>
      <c r="G1159" s="20" t="n"/>
      <c r="H1159" s="20" t="n"/>
      <c r="I1159" s="20" t="n"/>
      <c r="J1159" s="20">
        <f>IFERROR(INDEX(CONFIGURACOES!$G$37:$G$300,MATCH($I1159,CONFIGURACOES!$B$37:$B$300,0)),"")</f>
        <v/>
      </c>
      <c r="K1159" s="20">
        <f>IFERROR(INDEX(CONFIGURACOES!$H$37:$H$300,MATCH($I1159,CONFIGURACOES!$B$37:$B$300,0)),"")</f>
        <v/>
      </c>
      <c r="L1159" s="20" t="n"/>
      <c r="M1159" s="20">
        <f>IFERROR(INDEX(CONFIGURACOES!$I$37:$I$300,MATCH($I1159,CONFIGURACOES!$B$37:$B$300,0)),"")</f>
        <v/>
      </c>
      <c r="N1159" s="21" t="n"/>
      <c r="O1159" s="21" t="n"/>
      <c r="P1159" s="21" t="n"/>
      <c r="Q1159" s="21" t="n"/>
      <c r="R1159" s="21">
        <f>IF($N1159="","",$N1159*IF($Q1159="",1,$Q1159)*IF($P1159="",1,$P1159)*IF($O1159="",1,$O1159))</f>
        <v/>
      </c>
      <c r="S1159" s="22">
        <f>IFERROR(INDEX(CONFIGURACOES!$J$37:$J$300,MATCH($I1159,CONFIGURACOES!$B$37:$B$300,0)),"")</f>
        <v/>
      </c>
      <c r="T1159" s="22">
        <f>IF(OR($R1159="",$S1159=""),"",$R1159*$S1159)</f>
        <v/>
      </c>
      <c r="U1159" s="20" t="n"/>
      <c r="V1159" s="20" t="n"/>
      <c r="W1159" s="20" t="n"/>
      <c r="X1159">
        <f>IF($A1159="","",$A1159&amp;"|"&amp;$C1159&amp;"|"&amp;$I1159)</f>
        <v/>
      </c>
      <c r="Y1159">
        <f>IF(AND($A1159=RELATORIO_MEDICAO!$C$5,$C1159=RELATORIO_MEDICAO!$F$5,$A1159&lt;&gt;""),COUNTIFS($A$3:$A1159,RELATORIO_MEDICAO!$C$5,$C$3:$C1159,RELATORIO_MEDICAO!$F$5),"")</f>
        <v/>
      </c>
      <c r="Z1159">
        <f>IF(OR($A1159="",PESQUISA!$C$4=""),0,IF(OR(ISNUMBER(SEARCH(PESQUISA!$C$4,$G1159)),ISNUMBER(SEARCH(PESQUISA!$C$4,$K1159)),ISNUMBER(SEARCH(PESQUISA!$C$4,$L1159))),1,0))</f>
        <v/>
      </c>
      <c r="AA1159">
        <f>IF($Z1159=1,SUM($Z$3:$Z1159),"")</f>
        <v/>
      </c>
      <c r="AB1159">
        <f>IF(OR($A1159="",PESQUISA!$C$50=""),0,IF(ISNUMBER(SEARCH(PESQUISA!$C$50,$I1159)),1,0))</f>
        <v/>
      </c>
      <c r="AC1159">
        <f>IF($AB1159=1,SUM($AB$3:$AB1159),"")</f>
        <v/>
      </c>
    </row>
    <row r="1160">
      <c r="A1160" s="20" t="n"/>
      <c r="B1160" s="20" t="n"/>
      <c r="C1160" s="20" t="n"/>
      <c r="D1160" s="20" t="n"/>
      <c r="E1160" s="20" t="n"/>
      <c r="F1160" s="20" t="n"/>
      <c r="G1160" s="20" t="n"/>
      <c r="H1160" s="20" t="n"/>
      <c r="I1160" s="20" t="n"/>
      <c r="J1160" s="20">
        <f>IFERROR(INDEX(CONFIGURACOES!$G$37:$G$300,MATCH($I1160,CONFIGURACOES!$B$37:$B$300,0)),"")</f>
        <v/>
      </c>
      <c r="K1160" s="20">
        <f>IFERROR(INDEX(CONFIGURACOES!$H$37:$H$300,MATCH($I1160,CONFIGURACOES!$B$37:$B$300,0)),"")</f>
        <v/>
      </c>
      <c r="L1160" s="20" t="n"/>
      <c r="M1160" s="20">
        <f>IFERROR(INDEX(CONFIGURACOES!$I$37:$I$300,MATCH($I1160,CONFIGURACOES!$B$37:$B$300,0)),"")</f>
        <v/>
      </c>
      <c r="N1160" s="21" t="n"/>
      <c r="O1160" s="21" t="n"/>
      <c r="P1160" s="21" t="n"/>
      <c r="Q1160" s="21" t="n"/>
      <c r="R1160" s="21">
        <f>IF($N1160="","",$N1160*IF($Q1160="",1,$Q1160)*IF($P1160="",1,$P1160)*IF($O1160="",1,$O1160))</f>
        <v/>
      </c>
      <c r="S1160" s="22">
        <f>IFERROR(INDEX(CONFIGURACOES!$J$37:$J$300,MATCH($I1160,CONFIGURACOES!$B$37:$B$300,0)),"")</f>
        <v/>
      </c>
      <c r="T1160" s="22">
        <f>IF(OR($R1160="",$S1160=""),"",$R1160*$S1160)</f>
        <v/>
      </c>
      <c r="U1160" s="20" t="n"/>
      <c r="V1160" s="20" t="n"/>
      <c r="W1160" s="20" t="n"/>
      <c r="X1160">
        <f>IF($A1160="","",$A1160&amp;"|"&amp;$C1160&amp;"|"&amp;$I1160)</f>
        <v/>
      </c>
      <c r="Y1160">
        <f>IF(AND($A1160=RELATORIO_MEDICAO!$C$5,$C1160=RELATORIO_MEDICAO!$F$5,$A1160&lt;&gt;""),COUNTIFS($A$3:$A1160,RELATORIO_MEDICAO!$C$5,$C$3:$C1160,RELATORIO_MEDICAO!$F$5),"")</f>
        <v/>
      </c>
      <c r="Z1160">
        <f>IF(OR($A1160="",PESQUISA!$C$4=""),0,IF(OR(ISNUMBER(SEARCH(PESQUISA!$C$4,$G1160)),ISNUMBER(SEARCH(PESQUISA!$C$4,$K1160)),ISNUMBER(SEARCH(PESQUISA!$C$4,$L1160))),1,0))</f>
        <v/>
      </c>
      <c r="AA1160">
        <f>IF($Z1160=1,SUM($Z$3:$Z1160),"")</f>
        <v/>
      </c>
      <c r="AB1160">
        <f>IF(OR($A1160="",PESQUISA!$C$50=""),0,IF(ISNUMBER(SEARCH(PESQUISA!$C$50,$I1160)),1,0))</f>
        <v/>
      </c>
      <c r="AC1160">
        <f>IF($AB1160=1,SUM($AB$3:$AB1160),"")</f>
        <v/>
      </c>
    </row>
    <row r="1161">
      <c r="A1161" s="20" t="n"/>
      <c r="B1161" s="20" t="n"/>
      <c r="C1161" s="20" t="n"/>
      <c r="D1161" s="20" t="n"/>
      <c r="E1161" s="20" t="n"/>
      <c r="F1161" s="20" t="n"/>
      <c r="G1161" s="20" t="n"/>
      <c r="H1161" s="20" t="n"/>
      <c r="I1161" s="20" t="n"/>
      <c r="J1161" s="20">
        <f>IFERROR(INDEX(CONFIGURACOES!$G$37:$G$300,MATCH($I1161,CONFIGURACOES!$B$37:$B$300,0)),"")</f>
        <v/>
      </c>
      <c r="K1161" s="20">
        <f>IFERROR(INDEX(CONFIGURACOES!$H$37:$H$300,MATCH($I1161,CONFIGURACOES!$B$37:$B$300,0)),"")</f>
        <v/>
      </c>
      <c r="L1161" s="20" t="n"/>
      <c r="M1161" s="20">
        <f>IFERROR(INDEX(CONFIGURACOES!$I$37:$I$300,MATCH($I1161,CONFIGURACOES!$B$37:$B$300,0)),"")</f>
        <v/>
      </c>
      <c r="N1161" s="21" t="n"/>
      <c r="O1161" s="21" t="n"/>
      <c r="P1161" s="21" t="n"/>
      <c r="Q1161" s="21" t="n"/>
      <c r="R1161" s="21">
        <f>IF($N1161="","",$N1161*IF($Q1161="",1,$Q1161)*IF($P1161="",1,$P1161)*IF($O1161="",1,$O1161))</f>
        <v/>
      </c>
      <c r="S1161" s="22">
        <f>IFERROR(INDEX(CONFIGURACOES!$J$37:$J$300,MATCH($I1161,CONFIGURACOES!$B$37:$B$300,0)),"")</f>
        <v/>
      </c>
      <c r="T1161" s="22">
        <f>IF(OR($R1161="",$S1161=""),"",$R1161*$S1161)</f>
        <v/>
      </c>
      <c r="U1161" s="20" t="n"/>
      <c r="V1161" s="20" t="n"/>
      <c r="W1161" s="20" t="n"/>
      <c r="X1161">
        <f>IF($A1161="","",$A1161&amp;"|"&amp;$C1161&amp;"|"&amp;$I1161)</f>
        <v/>
      </c>
      <c r="Y1161">
        <f>IF(AND($A1161=RELATORIO_MEDICAO!$C$5,$C1161=RELATORIO_MEDICAO!$F$5,$A1161&lt;&gt;""),COUNTIFS($A$3:$A1161,RELATORIO_MEDICAO!$C$5,$C$3:$C1161,RELATORIO_MEDICAO!$F$5),"")</f>
        <v/>
      </c>
      <c r="Z1161">
        <f>IF(OR($A1161="",PESQUISA!$C$4=""),0,IF(OR(ISNUMBER(SEARCH(PESQUISA!$C$4,$G1161)),ISNUMBER(SEARCH(PESQUISA!$C$4,$K1161)),ISNUMBER(SEARCH(PESQUISA!$C$4,$L1161))),1,0))</f>
        <v/>
      </c>
      <c r="AA1161">
        <f>IF($Z1161=1,SUM($Z$3:$Z1161),"")</f>
        <v/>
      </c>
      <c r="AB1161">
        <f>IF(OR($A1161="",PESQUISA!$C$50=""),0,IF(ISNUMBER(SEARCH(PESQUISA!$C$50,$I1161)),1,0))</f>
        <v/>
      </c>
      <c r="AC1161">
        <f>IF($AB1161=1,SUM($AB$3:$AB1161),"")</f>
        <v/>
      </c>
    </row>
    <row r="1162">
      <c r="A1162" s="20" t="n"/>
      <c r="B1162" s="20" t="n"/>
      <c r="C1162" s="20" t="n"/>
      <c r="D1162" s="20" t="n"/>
      <c r="E1162" s="20" t="n"/>
      <c r="F1162" s="20" t="n"/>
      <c r="G1162" s="20" t="n"/>
      <c r="H1162" s="20" t="n"/>
      <c r="I1162" s="20" t="n"/>
      <c r="J1162" s="20">
        <f>IFERROR(INDEX(CONFIGURACOES!$G$37:$G$300,MATCH($I1162,CONFIGURACOES!$B$37:$B$300,0)),"")</f>
        <v/>
      </c>
      <c r="K1162" s="20">
        <f>IFERROR(INDEX(CONFIGURACOES!$H$37:$H$300,MATCH($I1162,CONFIGURACOES!$B$37:$B$300,0)),"")</f>
        <v/>
      </c>
      <c r="L1162" s="20" t="n"/>
      <c r="M1162" s="20">
        <f>IFERROR(INDEX(CONFIGURACOES!$I$37:$I$300,MATCH($I1162,CONFIGURACOES!$B$37:$B$300,0)),"")</f>
        <v/>
      </c>
      <c r="N1162" s="21" t="n"/>
      <c r="O1162" s="21" t="n"/>
      <c r="P1162" s="21" t="n"/>
      <c r="Q1162" s="21" t="n"/>
      <c r="R1162" s="21">
        <f>IF($N1162="","",$N1162*IF($Q1162="",1,$Q1162)*IF($P1162="",1,$P1162)*IF($O1162="",1,$O1162))</f>
        <v/>
      </c>
      <c r="S1162" s="22">
        <f>IFERROR(INDEX(CONFIGURACOES!$J$37:$J$300,MATCH($I1162,CONFIGURACOES!$B$37:$B$300,0)),"")</f>
        <v/>
      </c>
      <c r="T1162" s="22">
        <f>IF(OR($R1162="",$S1162=""),"",$R1162*$S1162)</f>
        <v/>
      </c>
      <c r="U1162" s="20" t="n"/>
      <c r="V1162" s="20" t="n"/>
      <c r="W1162" s="20" t="n"/>
      <c r="X1162">
        <f>IF($A1162="","",$A1162&amp;"|"&amp;$C1162&amp;"|"&amp;$I1162)</f>
        <v/>
      </c>
      <c r="Y1162">
        <f>IF(AND($A1162=RELATORIO_MEDICAO!$C$5,$C1162=RELATORIO_MEDICAO!$F$5,$A1162&lt;&gt;""),COUNTIFS($A$3:$A1162,RELATORIO_MEDICAO!$C$5,$C$3:$C1162,RELATORIO_MEDICAO!$F$5),"")</f>
        <v/>
      </c>
      <c r="Z1162">
        <f>IF(OR($A1162="",PESQUISA!$C$4=""),0,IF(OR(ISNUMBER(SEARCH(PESQUISA!$C$4,$G1162)),ISNUMBER(SEARCH(PESQUISA!$C$4,$K1162)),ISNUMBER(SEARCH(PESQUISA!$C$4,$L1162))),1,0))</f>
        <v/>
      </c>
      <c r="AA1162">
        <f>IF($Z1162=1,SUM($Z$3:$Z1162),"")</f>
        <v/>
      </c>
      <c r="AB1162">
        <f>IF(OR($A1162="",PESQUISA!$C$50=""),0,IF(ISNUMBER(SEARCH(PESQUISA!$C$50,$I1162)),1,0))</f>
        <v/>
      </c>
      <c r="AC1162">
        <f>IF($AB1162=1,SUM($AB$3:$AB1162),"")</f>
        <v/>
      </c>
    </row>
    <row r="1163">
      <c r="A1163" s="20" t="n"/>
      <c r="B1163" s="20" t="n"/>
      <c r="C1163" s="20" t="n"/>
      <c r="D1163" s="20" t="n"/>
      <c r="E1163" s="20" t="n"/>
      <c r="F1163" s="20" t="n"/>
      <c r="G1163" s="20" t="n"/>
      <c r="H1163" s="20" t="n"/>
      <c r="I1163" s="20" t="n"/>
      <c r="J1163" s="20">
        <f>IFERROR(INDEX(CONFIGURACOES!$G$37:$G$300,MATCH($I1163,CONFIGURACOES!$B$37:$B$300,0)),"")</f>
        <v/>
      </c>
      <c r="K1163" s="20">
        <f>IFERROR(INDEX(CONFIGURACOES!$H$37:$H$300,MATCH($I1163,CONFIGURACOES!$B$37:$B$300,0)),"")</f>
        <v/>
      </c>
      <c r="L1163" s="20" t="n"/>
      <c r="M1163" s="20">
        <f>IFERROR(INDEX(CONFIGURACOES!$I$37:$I$300,MATCH($I1163,CONFIGURACOES!$B$37:$B$300,0)),"")</f>
        <v/>
      </c>
      <c r="N1163" s="21" t="n"/>
      <c r="O1163" s="21" t="n"/>
      <c r="P1163" s="21" t="n"/>
      <c r="Q1163" s="21" t="n"/>
      <c r="R1163" s="21">
        <f>IF($N1163="","",$N1163*IF($Q1163="",1,$Q1163)*IF($P1163="",1,$P1163)*IF($O1163="",1,$O1163))</f>
        <v/>
      </c>
      <c r="S1163" s="22">
        <f>IFERROR(INDEX(CONFIGURACOES!$J$37:$J$300,MATCH($I1163,CONFIGURACOES!$B$37:$B$300,0)),"")</f>
        <v/>
      </c>
      <c r="T1163" s="22">
        <f>IF(OR($R1163="",$S1163=""),"",$R1163*$S1163)</f>
        <v/>
      </c>
      <c r="U1163" s="20" t="n"/>
      <c r="V1163" s="20" t="n"/>
      <c r="W1163" s="20" t="n"/>
      <c r="X1163">
        <f>IF($A1163="","",$A1163&amp;"|"&amp;$C1163&amp;"|"&amp;$I1163)</f>
        <v/>
      </c>
      <c r="Y1163">
        <f>IF(AND($A1163=RELATORIO_MEDICAO!$C$5,$C1163=RELATORIO_MEDICAO!$F$5,$A1163&lt;&gt;""),COUNTIFS($A$3:$A1163,RELATORIO_MEDICAO!$C$5,$C$3:$C1163,RELATORIO_MEDICAO!$F$5),"")</f>
        <v/>
      </c>
      <c r="Z1163">
        <f>IF(OR($A1163="",PESQUISA!$C$4=""),0,IF(OR(ISNUMBER(SEARCH(PESQUISA!$C$4,$G1163)),ISNUMBER(SEARCH(PESQUISA!$C$4,$K1163)),ISNUMBER(SEARCH(PESQUISA!$C$4,$L1163))),1,0))</f>
        <v/>
      </c>
      <c r="AA1163">
        <f>IF($Z1163=1,SUM($Z$3:$Z1163),"")</f>
        <v/>
      </c>
      <c r="AB1163">
        <f>IF(OR($A1163="",PESQUISA!$C$50=""),0,IF(ISNUMBER(SEARCH(PESQUISA!$C$50,$I1163)),1,0))</f>
        <v/>
      </c>
      <c r="AC1163">
        <f>IF($AB1163=1,SUM($AB$3:$AB1163),"")</f>
        <v/>
      </c>
    </row>
    <row r="1164">
      <c r="A1164" s="20" t="n"/>
      <c r="B1164" s="20" t="n"/>
      <c r="C1164" s="20" t="n"/>
      <c r="D1164" s="20" t="n"/>
      <c r="E1164" s="20" t="n"/>
      <c r="F1164" s="20" t="n"/>
      <c r="G1164" s="20" t="n"/>
      <c r="H1164" s="20" t="n"/>
      <c r="I1164" s="20" t="n"/>
      <c r="J1164" s="20">
        <f>IFERROR(INDEX(CONFIGURACOES!$G$37:$G$300,MATCH($I1164,CONFIGURACOES!$B$37:$B$300,0)),"")</f>
        <v/>
      </c>
      <c r="K1164" s="20">
        <f>IFERROR(INDEX(CONFIGURACOES!$H$37:$H$300,MATCH($I1164,CONFIGURACOES!$B$37:$B$300,0)),"")</f>
        <v/>
      </c>
      <c r="L1164" s="20" t="n"/>
      <c r="M1164" s="20">
        <f>IFERROR(INDEX(CONFIGURACOES!$I$37:$I$300,MATCH($I1164,CONFIGURACOES!$B$37:$B$300,0)),"")</f>
        <v/>
      </c>
      <c r="N1164" s="21" t="n"/>
      <c r="O1164" s="21" t="n"/>
      <c r="P1164" s="21" t="n"/>
      <c r="Q1164" s="21" t="n"/>
      <c r="R1164" s="21">
        <f>IF($N1164="","",$N1164*IF($Q1164="",1,$Q1164)*IF($P1164="",1,$P1164)*IF($O1164="",1,$O1164))</f>
        <v/>
      </c>
      <c r="S1164" s="22">
        <f>IFERROR(INDEX(CONFIGURACOES!$J$37:$J$300,MATCH($I1164,CONFIGURACOES!$B$37:$B$300,0)),"")</f>
        <v/>
      </c>
      <c r="T1164" s="22">
        <f>IF(OR($R1164="",$S1164=""),"",$R1164*$S1164)</f>
        <v/>
      </c>
      <c r="U1164" s="20" t="n"/>
      <c r="V1164" s="20" t="n"/>
      <c r="W1164" s="20" t="n"/>
      <c r="X1164">
        <f>IF($A1164="","",$A1164&amp;"|"&amp;$C1164&amp;"|"&amp;$I1164)</f>
        <v/>
      </c>
      <c r="Y1164">
        <f>IF(AND($A1164=RELATORIO_MEDICAO!$C$5,$C1164=RELATORIO_MEDICAO!$F$5,$A1164&lt;&gt;""),COUNTIFS($A$3:$A1164,RELATORIO_MEDICAO!$C$5,$C$3:$C1164,RELATORIO_MEDICAO!$F$5),"")</f>
        <v/>
      </c>
      <c r="Z1164">
        <f>IF(OR($A1164="",PESQUISA!$C$4=""),0,IF(OR(ISNUMBER(SEARCH(PESQUISA!$C$4,$G1164)),ISNUMBER(SEARCH(PESQUISA!$C$4,$K1164)),ISNUMBER(SEARCH(PESQUISA!$C$4,$L1164))),1,0))</f>
        <v/>
      </c>
      <c r="AA1164">
        <f>IF($Z1164=1,SUM($Z$3:$Z1164),"")</f>
        <v/>
      </c>
      <c r="AB1164">
        <f>IF(OR($A1164="",PESQUISA!$C$50=""),0,IF(ISNUMBER(SEARCH(PESQUISA!$C$50,$I1164)),1,0))</f>
        <v/>
      </c>
      <c r="AC1164">
        <f>IF($AB1164=1,SUM($AB$3:$AB1164),"")</f>
        <v/>
      </c>
    </row>
    <row r="1165">
      <c r="A1165" s="20" t="n"/>
      <c r="B1165" s="20" t="n"/>
      <c r="C1165" s="20" t="n"/>
      <c r="D1165" s="20" t="n"/>
      <c r="E1165" s="20" t="n"/>
      <c r="F1165" s="20" t="n"/>
      <c r="G1165" s="20" t="n"/>
      <c r="H1165" s="20" t="n"/>
      <c r="I1165" s="20" t="n"/>
      <c r="J1165" s="20">
        <f>IFERROR(INDEX(CONFIGURACOES!$G$37:$G$300,MATCH($I1165,CONFIGURACOES!$B$37:$B$300,0)),"")</f>
        <v/>
      </c>
      <c r="K1165" s="20">
        <f>IFERROR(INDEX(CONFIGURACOES!$H$37:$H$300,MATCH($I1165,CONFIGURACOES!$B$37:$B$300,0)),"")</f>
        <v/>
      </c>
      <c r="L1165" s="20" t="n"/>
      <c r="M1165" s="20">
        <f>IFERROR(INDEX(CONFIGURACOES!$I$37:$I$300,MATCH($I1165,CONFIGURACOES!$B$37:$B$300,0)),"")</f>
        <v/>
      </c>
      <c r="N1165" s="21" t="n"/>
      <c r="O1165" s="21" t="n"/>
      <c r="P1165" s="21" t="n"/>
      <c r="Q1165" s="21" t="n"/>
      <c r="R1165" s="21">
        <f>IF($N1165="","",$N1165*IF($Q1165="",1,$Q1165)*IF($P1165="",1,$P1165)*IF($O1165="",1,$O1165))</f>
        <v/>
      </c>
      <c r="S1165" s="22">
        <f>IFERROR(INDEX(CONFIGURACOES!$J$37:$J$300,MATCH($I1165,CONFIGURACOES!$B$37:$B$300,0)),"")</f>
        <v/>
      </c>
      <c r="T1165" s="22">
        <f>IF(OR($R1165="",$S1165=""),"",$R1165*$S1165)</f>
        <v/>
      </c>
      <c r="U1165" s="20" t="n"/>
      <c r="V1165" s="20" t="n"/>
      <c r="W1165" s="20" t="n"/>
      <c r="X1165">
        <f>IF($A1165="","",$A1165&amp;"|"&amp;$C1165&amp;"|"&amp;$I1165)</f>
        <v/>
      </c>
      <c r="Y1165">
        <f>IF(AND($A1165=RELATORIO_MEDICAO!$C$5,$C1165=RELATORIO_MEDICAO!$F$5,$A1165&lt;&gt;""),COUNTIFS($A$3:$A1165,RELATORIO_MEDICAO!$C$5,$C$3:$C1165,RELATORIO_MEDICAO!$F$5),"")</f>
        <v/>
      </c>
      <c r="Z1165">
        <f>IF(OR($A1165="",PESQUISA!$C$4=""),0,IF(OR(ISNUMBER(SEARCH(PESQUISA!$C$4,$G1165)),ISNUMBER(SEARCH(PESQUISA!$C$4,$K1165)),ISNUMBER(SEARCH(PESQUISA!$C$4,$L1165))),1,0))</f>
        <v/>
      </c>
      <c r="AA1165">
        <f>IF($Z1165=1,SUM($Z$3:$Z1165),"")</f>
        <v/>
      </c>
      <c r="AB1165">
        <f>IF(OR($A1165="",PESQUISA!$C$50=""),0,IF(ISNUMBER(SEARCH(PESQUISA!$C$50,$I1165)),1,0))</f>
        <v/>
      </c>
      <c r="AC1165">
        <f>IF($AB1165=1,SUM($AB$3:$AB1165),"")</f>
        <v/>
      </c>
    </row>
    <row r="1166">
      <c r="A1166" s="20" t="n"/>
      <c r="B1166" s="20" t="n"/>
      <c r="C1166" s="20" t="n"/>
      <c r="D1166" s="20" t="n"/>
      <c r="E1166" s="20" t="n"/>
      <c r="F1166" s="20" t="n"/>
      <c r="G1166" s="20" t="n"/>
      <c r="H1166" s="20" t="n"/>
      <c r="I1166" s="20" t="n"/>
      <c r="J1166" s="20">
        <f>IFERROR(INDEX(CONFIGURACOES!$G$37:$G$300,MATCH($I1166,CONFIGURACOES!$B$37:$B$300,0)),"")</f>
        <v/>
      </c>
      <c r="K1166" s="20">
        <f>IFERROR(INDEX(CONFIGURACOES!$H$37:$H$300,MATCH($I1166,CONFIGURACOES!$B$37:$B$300,0)),"")</f>
        <v/>
      </c>
      <c r="L1166" s="20" t="n"/>
      <c r="M1166" s="20">
        <f>IFERROR(INDEX(CONFIGURACOES!$I$37:$I$300,MATCH($I1166,CONFIGURACOES!$B$37:$B$300,0)),"")</f>
        <v/>
      </c>
      <c r="N1166" s="21" t="n"/>
      <c r="O1166" s="21" t="n"/>
      <c r="P1166" s="21" t="n"/>
      <c r="Q1166" s="21" t="n"/>
      <c r="R1166" s="21">
        <f>IF($N1166="","",$N1166*IF($Q1166="",1,$Q1166)*IF($P1166="",1,$P1166)*IF($O1166="",1,$O1166))</f>
        <v/>
      </c>
      <c r="S1166" s="22">
        <f>IFERROR(INDEX(CONFIGURACOES!$J$37:$J$300,MATCH($I1166,CONFIGURACOES!$B$37:$B$300,0)),"")</f>
        <v/>
      </c>
      <c r="T1166" s="22">
        <f>IF(OR($R1166="",$S1166=""),"",$R1166*$S1166)</f>
        <v/>
      </c>
      <c r="U1166" s="20" t="n"/>
      <c r="V1166" s="20" t="n"/>
      <c r="W1166" s="20" t="n"/>
      <c r="X1166">
        <f>IF($A1166="","",$A1166&amp;"|"&amp;$C1166&amp;"|"&amp;$I1166)</f>
        <v/>
      </c>
      <c r="Y1166">
        <f>IF(AND($A1166=RELATORIO_MEDICAO!$C$5,$C1166=RELATORIO_MEDICAO!$F$5,$A1166&lt;&gt;""),COUNTIFS($A$3:$A1166,RELATORIO_MEDICAO!$C$5,$C$3:$C1166,RELATORIO_MEDICAO!$F$5),"")</f>
        <v/>
      </c>
      <c r="Z1166">
        <f>IF(OR($A1166="",PESQUISA!$C$4=""),0,IF(OR(ISNUMBER(SEARCH(PESQUISA!$C$4,$G1166)),ISNUMBER(SEARCH(PESQUISA!$C$4,$K1166)),ISNUMBER(SEARCH(PESQUISA!$C$4,$L1166))),1,0))</f>
        <v/>
      </c>
      <c r="AA1166">
        <f>IF($Z1166=1,SUM($Z$3:$Z1166),"")</f>
        <v/>
      </c>
      <c r="AB1166">
        <f>IF(OR($A1166="",PESQUISA!$C$50=""),0,IF(ISNUMBER(SEARCH(PESQUISA!$C$50,$I1166)),1,0))</f>
        <v/>
      </c>
      <c r="AC1166">
        <f>IF($AB1166=1,SUM($AB$3:$AB1166),"")</f>
        <v/>
      </c>
    </row>
    <row r="1167">
      <c r="A1167" s="20" t="n"/>
      <c r="B1167" s="20" t="n"/>
      <c r="C1167" s="20" t="n"/>
      <c r="D1167" s="20" t="n"/>
      <c r="E1167" s="20" t="n"/>
      <c r="F1167" s="20" t="n"/>
      <c r="G1167" s="20" t="n"/>
      <c r="H1167" s="20" t="n"/>
      <c r="I1167" s="20" t="n"/>
      <c r="J1167" s="20">
        <f>IFERROR(INDEX(CONFIGURACOES!$G$37:$G$300,MATCH($I1167,CONFIGURACOES!$B$37:$B$300,0)),"")</f>
        <v/>
      </c>
      <c r="K1167" s="20">
        <f>IFERROR(INDEX(CONFIGURACOES!$H$37:$H$300,MATCH($I1167,CONFIGURACOES!$B$37:$B$300,0)),"")</f>
        <v/>
      </c>
      <c r="L1167" s="20" t="n"/>
      <c r="M1167" s="20">
        <f>IFERROR(INDEX(CONFIGURACOES!$I$37:$I$300,MATCH($I1167,CONFIGURACOES!$B$37:$B$300,0)),"")</f>
        <v/>
      </c>
      <c r="N1167" s="21" t="n"/>
      <c r="O1167" s="21" t="n"/>
      <c r="P1167" s="21" t="n"/>
      <c r="Q1167" s="21" t="n"/>
      <c r="R1167" s="21">
        <f>IF($N1167="","",$N1167*IF($Q1167="",1,$Q1167)*IF($P1167="",1,$P1167)*IF($O1167="",1,$O1167))</f>
        <v/>
      </c>
      <c r="S1167" s="22">
        <f>IFERROR(INDEX(CONFIGURACOES!$J$37:$J$300,MATCH($I1167,CONFIGURACOES!$B$37:$B$300,0)),"")</f>
        <v/>
      </c>
      <c r="T1167" s="22">
        <f>IF(OR($R1167="",$S1167=""),"",$R1167*$S1167)</f>
        <v/>
      </c>
      <c r="U1167" s="20" t="n"/>
      <c r="V1167" s="20" t="n"/>
      <c r="W1167" s="20" t="n"/>
      <c r="X1167">
        <f>IF($A1167="","",$A1167&amp;"|"&amp;$C1167&amp;"|"&amp;$I1167)</f>
        <v/>
      </c>
      <c r="Y1167">
        <f>IF(AND($A1167=RELATORIO_MEDICAO!$C$5,$C1167=RELATORIO_MEDICAO!$F$5,$A1167&lt;&gt;""),COUNTIFS($A$3:$A1167,RELATORIO_MEDICAO!$C$5,$C$3:$C1167,RELATORIO_MEDICAO!$F$5),"")</f>
        <v/>
      </c>
      <c r="Z1167">
        <f>IF(OR($A1167="",PESQUISA!$C$4=""),0,IF(OR(ISNUMBER(SEARCH(PESQUISA!$C$4,$G1167)),ISNUMBER(SEARCH(PESQUISA!$C$4,$K1167)),ISNUMBER(SEARCH(PESQUISA!$C$4,$L1167))),1,0))</f>
        <v/>
      </c>
      <c r="AA1167">
        <f>IF($Z1167=1,SUM($Z$3:$Z1167),"")</f>
        <v/>
      </c>
      <c r="AB1167">
        <f>IF(OR($A1167="",PESQUISA!$C$50=""),0,IF(ISNUMBER(SEARCH(PESQUISA!$C$50,$I1167)),1,0))</f>
        <v/>
      </c>
      <c r="AC1167">
        <f>IF($AB1167=1,SUM($AB$3:$AB1167),"")</f>
        <v/>
      </c>
    </row>
    <row r="1168">
      <c r="A1168" s="20" t="n"/>
      <c r="B1168" s="20" t="n"/>
      <c r="C1168" s="20" t="n"/>
      <c r="D1168" s="20" t="n"/>
      <c r="E1168" s="20" t="n"/>
      <c r="F1168" s="20" t="n"/>
      <c r="G1168" s="20" t="n"/>
      <c r="H1168" s="20" t="n"/>
      <c r="I1168" s="20" t="n"/>
      <c r="J1168" s="20">
        <f>IFERROR(INDEX(CONFIGURACOES!$G$37:$G$300,MATCH($I1168,CONFIGURACOES!$B$37:$B$300,0)),"")</f>
        <v/>
      </c>
      <c r="K1168" s="20">
        <f>IFERROR(INDEX(CONFIGURACOES!$H$37:$H$300,MATCH($I1168,CONFIGURACOES!$B$37:$B$300,0)),"")</f>
        <v/>
      </c>
      <c r="L1168" s="20" t="n"/>
      <c r="M1168" s="20">
        <f>IFERROR(INDEX(CONFIGURACOES!$I$37:$I$300,MATCH($I1168,CONFIGURACOES!$B$37:$B$300,0)),"")</f>
        <v/>
      </c>
      <c r="N1168" s="21" t="n"/>
      <c r="O1168" s="21" t="n"/>
      <c r="P1168" s="21" t="n"/>
      <c r="Q1168" s="21" t="n"/>
      <c r="R1168" s="21">
        <f>IF($N1168="","",$N1168*IF($Q1168="",1,$Q1168)*IF($P1168="",1,$P1168)*IF($O1168="",1,$O1168))</f>
        <v/>
      </c>
      <c r="S1168" s="22">
        <f>IFERROR(INDEX(CONFIGURACOES!$J$37:$J$300,MATCH($I1168,CONFIGURACOES!$B$37:$B$300,0)),"")</f>
        <v/>
      </c>
      <c r="T1168" s="22">
        <f>IF(OR($R1168="",$S1168=""),"",$R1168*$S1168)</f>
        <v/>
      </c>
      <c r="U1168" s="20" t="n"/>
      <c r="V1168" s="20" t="n"/>
      <c r="W1168" s="20" t="n"/>
      <c r="X1168">
        <f>IF($A1168="","",$A1168&amp;"|"&amp;$C1168&amp;"|"&amp;$I1168)</f>
        <v/>
      </c>
      <c r="Y1168">
        <f>IF(AND($A1168=RELATORIO_MEDICAO!$C$5,$C1168=RELATORIO_MEDICAO!$F$5,$A1168&lt;&gt;""),COUNTIFS($A$3:$A1168,RELATORIO_MEDICAO!$C$5,$C$3:$C1168,RELATORIO_MEDICAO!$F$5),"")</f>
        <v/>
      </c>
      <c r="Z1168">
        <f>IF(OR($A1168="",PESQUISA!$C$4=""),0,IF(OR(ISNUMBER(SEARCH(PESQUISA!$C$4,$G1168)),ISNUMBER(SEARCH(PESQUISA!$C$4,$K1168)),ISNUMBER(SEARCH(PESQUISA!$C$4,$L1168))),1,0))</f>
        <v/>
      </c>
      <c r="AA1168">
        <f>IF($Z1168=1,SUM($Z$3:$Z1168),"")</f>
        <v/>
      </c>
      <c r="AB1168">
        <f>IF(OR($A1168="",PESQUISA!$C$50=""),0,IF(ISNUMBER(SEARCH(PESQUISA!$C$50,$I1168)),1,0))</f>
        <v/>
      </c>
      <c r="AC1168">
        <f>IF($AB1168=1,SUM($AB$3:$AB1168),"")</f>
        <v/>
      </c>
    </row>
    <row r="1169">
      <c r="A1169" s="20" t="n"/>
      <c r="B1169" s="20" t="n"/>
      <c r="C1169" s="20" t="n"/>
      <c r="D1169" s="20" t="n"/>
      <c r="E1169" s="20" t="n"/>
      <c r="F1169" s="20" t="n"/>
      <c r="G1169" s="20" t="n"/>
      <c r="H1169" s="20" t="n"/>
      <c r="I1169" s="20" t="n"/>
      <c r="J1169" s="20">
        <f>IFERROR(INDEX(CONFIGURACOES!$G$37:$G$300,MATCH($I1169,CONFIGURACOES!$B$37:$B$300,0)),"")</f>
        <v/>
      </c>
      <c r="K1169" s="20">
        <f>IFERROR(INDEX(CONFIGURACOES!$H$37:$H$300,MATCH($I1169,CONFIGURACOES!$B$37:$B$300,0)),"")</f>
        <v/>
      </c>
      <c r="L1169" s="20" t="n"/>
      <c r="M1169" s="20">
        <f>IFERROR(INDEX(CONFIGURACOES!$I$37:$I$300,MATCH($I1169,CONFIGURACOES!$B$37:$B$300,0)),"")</f>
        <v/>
      </c>
      <c r="N1169" s="21" t="n"/>
      <c r="O1169" s="21" t="n"/>
      <c r="P1169" s="21" t="n"/>
      <c r="Q1169" s="21" t="n"/>
      <c r="R1169" s="21">
        <f>IF($N1169="","",$N1169*IF($Q1169="",1,$Q1169)*IF($P1169="",1,$P1169)*IF($O1169="",1,$O1169))</f>
        <v/>
      </c>
      <c r="S1169" s="22">
        <f>IFERROR(INDEX(CONFIGURACOES!$J$37:$J$300,MATCH($I1169,CONFIGURACOES!$B$37:$B$300,0)),"")</f>
        <v/>
      </c>
      <c r="T1169" s="22">
        <f>IF(OR($R1169="",$S1169=""),"",$R1169*$S1169)</f>
        <v/>
      </c>
      <c r="U1169" s="20" t="n"/>
      <c r="V1169" s="20" t="n"/>
      <c r="W1169" s="20" t="n"/>
      <c r="X1169">
        <f>IF($A1169="","",$A1169&amp;"|"&amp;$C1169&amp;"|"&amp;$I1169)</f>
        <v/>
      </c>
      <c r="Y1169">
        <f>IF(AND($A1169=RELATORIO_MEDICAO!$C$5,$C1169=RELATORIO_MEDICAO!$F$5,$A1169&lt;&gt;""),COUNTIFS($A$3:$A1169,RELATORIO_MEDICAO!$C$5,$C$3:$C1169,RELATORIO_MEDICAO!$F$5),"")</f>
        <v/>
      </c>
      <c r="Z1169">
        <f>IF(OR($A1169="",PESQUISA!$C$4=""),0,IF(OR(ISNUMBER(SEARCH(PESQUISA!$C$4,$G1169)),ISNUMBER(SEARCH(PESQUISA!$C$4,$K1169)),ISNUMBER(SEARCH(PESQUISA!$C$4,$L1169))),1,0))</f>
        <v/>
      </c>
      <c r="AA1169">
        <f>IF($Z1169=1,SUM($Z$3:$Z1169),"")</f>
        <v/>
      </c>
      <c r="AB1169">
        <f>IF(OR($A1169="",PESQUISA!$C$50=""),0,IF(ISNUMBER(SEARCH(PESQUISA!$C$50,$I1169)),1,0))</f>
        <v/>
      </c>
      <c r="AC1169">
        <f>IF($AB1169=1,SUM($AB$3:$AB1169),"")</f>
        <v/>
      </c>
    </row>
    <row r="1170">
      <c r="A1170" s="20" t="n"/>
      <c r="B1170" s="20" t="n"/>
      <c r="C1170" s="20" t="n"/>
      <c r="D1170" s="20" t="n"/>
      <c r="E1170" s="20" t="n"/>
      <c r="F1170" s="20" t="n"/>
      <c r="G1170" s="20" t="n"/>
      <c r="H1170" s="20" t="n"/>
      <c r="I1170" s="20" t="n"/>
      <c r="J1170" s="20">
        <f>IFERROR(INDEX(CONFIGURACOES!$G$37:$G$300,MATCH($I1170,CONFIGURACOES!$B$37:$B$300,0)),"")</f>
        <v/>
      </c>
      <c r="K1170" s="20">
        <f>IFERROR(INDEX(CONFIGURACOES!$H$37:$H$300,MATCH($I1170,CONFIGURACOES!$B$37:$B$300,0)),"")</f>
        <v/>
      </c>
      <c r="L1170" s="20" t="n"/>
      <c r="M1170" s="20">
        <f>IFERROR(INDEX(CONFIGURACOES!$I$37:$I$300,MATCH($I1170,CONFIGURACOES!$B$37:$B$300,0)),"")</f>
        <v/>
      </c>
      <c r="N1170" s="21" t="n"/>
      <c r="O1170" s="21" t="n"/>
      <c r="P1170" s="21" t="n"/>
      <c r="Q1170" s="21" t="n"/>
      <c r="R1170" s="21">
        <f>IF($N1170="","",$N1170*IF($Q1170="",1,$Q1170)*IF($P1170="",1,$P1170)*IF($O1170="",1,$O1170))</f>
        <v/>
      </c>
      <c r="S1170" s="22">
        <f>IFERROR(INDEX(CONFIGURACOES!$J$37:$J$300,MATCH($I1170,CONFIGURACOES!$B$37:$B$300,0)),"")</f>
        <v/>
      </c>
      <c r="T1170" s="22">
        <f>IF(OR($R1170="",$S1170=""),"",$R1170*$S1170)</f>
        <v/>
      </c>
      <c r="U1170" s="20" t="n"/>
      <c r="V1170" s="20" t="n"/>
      <c r="W1170" s="20" t="n"/>
      <c r="X1170">
        <f>IF($A1170="","",$A1170&amp;"|"&amp;$C1170&amp;"|"&amp;$I1170)</f>
        <v/>
      </c>
      <c r="Y1170">
        <f>IF(AND($A1170=RELATORIO_MEDICAO!$C$5,$C1170=RELATORIO_MEDICAO!$F$5,$A1170&lt;&gt;""),COUNTIFS($A$3:$A1170,RELATORIO_MEDICAO!$C$5,$C$3:$C1170,RELATORIO_MEDICAO!$F$5),"")</f>
        <v/>
      </c>
      <c r="Z1170">
        <f>IF(OR($A1170="",PESQUISA!$C$4=""),0,IF(OR(ISNUMBER(SEARCH(PESQUISA!$C$4,$G1170)),ISNUMBER(SEARCH(PESQUISA!$C$4,$K1170)),ISNUMBER(SEARCH(PESQUISA!$C$4,$L1170))),1,0))</f>
        <v/>
      </c>
      <c r="AA1170">
        <f>IF($Z1170=1,SUM($Z$3:$Z1170),"")</f>
        <v/>
      </c>
      <c r="AB1170">
        <f>IF(OR($A1170="",PESQUISA!$C$50=""),0,IF(ISNUMBER(SEARCH(PESQUISA!$C$50,$I1170)),1,0))</f>
        <v/>
      </c>
      <c r="AC1170">
        <f>IF($AB1170=1,SUM($AB$3:$AB1170),"")</f>
        <v/>
      </c>
    </row>
    <row r="1171">
      <c r="A1171" s="20" t="n"/>
      <c r="B1171" s="20" t="n"/>
      <c r="C1171" s="20" t="n"/>
      <c r="D1171" s="20" t="n"/>
      <c r="E1171" s="20" t="n"/>
      <c r="F1171" s="20" t="n"/>
      <c r="G1171" s="20" t="n"/>
      <c r="H1171" s="20" t="n"/>
      <c r="I1171" s="20" t="n"/>
      <c r="J1171" s="20">
        <f>IFERROR(INDEX(CONFIGURACOES!$G$37:$G$300,MATCH($I1171,CONFIGURACOES!$B$37:$B$300,0)),"")</f>
        <v/>
      </c>
      <c r="K1171" s="20">
        <f>IFERROR(INDEX(CONFIGURACOES!$H$37:$H$300,MATCH($I1171,CONFIGURACOES!$B$37:$B$300,0)),"")</f>
        <v/>
      </c>
      <c r="L1171" s="20" t="n"/>
      <c r="M1171" s="20">
        <f>IFERROR(INDEX(CONFIGURACOES!$I$37:$I$300,MATCH($I1171,CONFIGURACOES!$B$37:$B$300,0)),"")</f>
        <v/>
      </c>
      <c r="N1171" s="21" t="n"/>
      <c r="O1171" s="21" t="n"/>
      <c r="P1171" s="21" t="n"/>
      <c r="Q1171" s="21" t="n"/>
      <c r="R1171" s="21">
        <f>IF($N1171="","",$N1171*IF($Q1171="",1,$Q1171)*IF($P1171="",1,$P1171)*IF($O1171="",1,$O1171))</f>
        <v/>
      </c>
      <c r="S1171" s="22">
        <f>IFERROR(INDEX(CONFIGURACOES!$J$37:$J$300,MATCH($I1171,CONFIGURACOES!$B$37:$B$300,0)),"")</f>
        <v/>
      </c>
      <c r="T1171" s="22">
        <f>IF(OR($R1171="",$S1171=""),"",$R1171*$S1171)</f>
        <v/>
      </c>
      <c r="U1171" s="20" t="n"/>
      <c r="V1171" s="20" t="n"/>
      <c r="W1171" s="20" t="n"/>
      <c r="X1171">
        <f>IF($A1171="","",$A1171&amp;"|"&amp;$C1171&amp;"|"&amp;$I1171)</f>
        <v/>
      </c>
      <c r="Y1171">
        <f>IF(AND($A1171=RELATORIO_MEDICAO!$C$5,$C1171=RELATORIO_MEDICAO!$F$5,$A1171&lt;&gt;""),COUNTIFS($A$3:$A1171,RELATORIO_MEDICAO!$C$5,$C$3:$C1171,RELATORIO_MEDICAO!$F$5),"")</f>
        <v/>
      </c>
      <c r="Z1171">
        <f>IF(OR($A1171="",PESQUISA!$C$4=""),0,IF(OR(ISNUMBER(SEARCH(PESQUISA!$C$4,$G1171)),ISNUMBER(SEARCH(PESQUISA!$C$4,$K1171)),ISNUMBER(SEARCH(PESQUISA!$C$4,$L1171))),1,0))</f>
        <v/>
      </c>
      <c r="AA1171">
        <f>IF($Z1171=1,SUM($Z$3:$Z1171),"")</f>
        <v/>
      </c>
      <c r="AB1171">
        <f>IF(OR($A1171="",PESQUISA!$C$50=""),0,IF(ISNUMBER(SEARCH(PESQUISA!$C$50,$I1171)),1,0))</f>
        <v/>
      </c>
      <c r="AC1171">
        <f>IF($AB1171=1,SUM($AB$3:$AB1171),"")</f>
        <v/>
      </c>
    </row>
    <row r="1172">
      <c r="A1172" s="20" t="n"/>
      <c r="B1172" s="20" t="n"/>
      <c r="C1172" s="20" t="n"/>
      <c r="D1172" s="20" t="n"/>
      <c r="E1172" s="20" t="n"/>
      <c r="F1172" s="20" t="n"/>
      <c r="G1172" s="20" t="n"/>
      <c r="H1172" s="20" t="n"/>
      <c r="I1172" s="20" t="n"/>
      <c r="J1172" s="20">
        <f>IFERROR(INDEX(CONFIGURACOES!$G$37:$G$300,MATCH($I1172,CONFIGURACOES!$B$37:$B$300,0)),"")</f>
        <v/>
      </c>
      <c r="K1172" s="20">
        <f>IFERROR(INDEX(CONFIGURACOES!$H$37:$H$300,MATCH($I1172,CONFIGURACOES!$B$37:$B$300,0)),"")</f>
        <v/>
      </c>
      <c r="L1172" s="20" t="n"/>
      <c r="M1172" s="20">
        <f>IFERROR(INDEX(CONFIGURACOES!$I$37:$I$300,MATCH($I1172,CONFIGURACOES!$B$37:$B$300,0)),"")</f>
        <v/>
      </c>
      <c r="N1172" s="21" t="n"/>
      <c r="O1172" s="21" t="n"/>
      <c r="P1172" s="21" t="n"/>
      <c r="Q1172" s="21" t="n"/>
      <c r="R1172" s="21">
        <f>IF($N1172="","",$N1172*IF($Q1172="",1,$Q1172)*IF($P1172="",1,$P1172)*IF($O1172="",1,$O1172))</f>
        <v/>
      </c>
      <c r="S1172" s="22">
        <f>IFERROR(INDEX(CONFIGURACOES!$J$37:$J$300,MATCH($I1172,CONFIGURACOES!$B$37:$B$300,0)),"")</f>
        <v/>
      </c>
      <c r="T1172" s="22">
        <f>IF(OR($R1172="",$S1172=""),"",$R1172*$S1172)</f>
        <v/>
      </c>
      <c r="U1172" s="20" t="n"/>
      <c r="V1172" s="20" t="n"/>
      <c r="W1172" s="20" t="n"/>
      <c r="X1172">
        <f>IF($A1172="","",$A1172&amp;"|"&amp;$C1172&amp;"|"&amp;$I1172)</f>
        <v/>
      </c>
      <c r="Y1172">
        <f>IF(AND($A1172=RELATORIO_MEDICAO!$C$5,$C1172=RELATORIO_MEDICAO!$F$5,$A1172&lt;&gt;""),COUNTIFS($A$3:$A1172,RELATORIO_MEDICAO!$C$5,$C$3:$C1172,RELATORIO_MEDICAO!$F$5),"")</f>
        <v/>
      </c>
      <c r="Z1172">
        <f>IF(OR($A1172="",PESQUISA!$C$4=""),0,IF(OR(ISNUMBER(SEARCH(PESQUISA!$C$4,$G1172)),ISNUMBER(SEARCH(PESQUISA!$C$4,$K1172)),ISNUMBER(SEARCH(PESQUISA!$C$4,$L1172))),1,0))</f>
        <v/>
      </c>
      <c r="AA1172">
        <f>IF($Z1172=1,SUM($Z$3:$Z1172),"")</f>
        <v/>
      </c>
      <c r="AB1172">
        <f>IF(OR($A1172="",PESQUISA!$C$50=""),0,IF(ISNUMBER(SEARCH(PESQUISA!$C$50,$I1172)),1,0))</f>
        <v/>
      </c>
      <c r="AC1172">
        <f>IF($AB1172=1,SUM($AB$3:$AB1172),"")</f>
        <v/>
      </c>
    </row>
    <row r="1173">
      <c r="A1173" s="20" t="n"/>
      <c r="B1173" s="20" t="n"/>
      <c r="C1173" s="20" t="n"/>
      <c r="D1173" s="20" t="n"/>
      <c r="E1173" s="20" t="n"/>
      <c r="F1173" s="20" t="n"/>
      <c r="G1173" s="20" t="n"/>
      <c r="H1173" s="20" t="n"/>
      <c r="I1173" s="20" t="n"/>
      <c r="J1173" s="20">
        <f>IFERROR(INDEX(CONFIGURACOES!$G$37:$G$300,MATCH($I1173,CONFIGURACOES!$B$37:$B$300,0)),"")</f>
        <v/>
      </c>
      <c r="K1173" s="20">
        <f>IFERROR(INDEX(CONFIGURACOES!$H$37:$H$300,MATCH($I1173,CONFIGURACOES!$B$37:$B$300,0)),"")</f>
        <v/>
      </c>
      <c r="L1173" s="20" t="n"/>
      <c r="M1173" s="20">
        <f>IFERROR(INDEX(CONFIGURACOES!$I$37:$I$300,MATCH($I1173,CONFIGURACOES!$B$37:$B$300,0)),"")</f>
        <v/>
      </c>
      <c r="N1173" s="21" t="n"/>
      <c r="O1173" s="21" t="n"/>
      <c r="P1173" s="21" t="n"/>
      <c r="Q1173" s="21" t="n"/>
      <c r="R1173" s="21">
        <f>IF($N1173="","",$N1173*IF($Q1173="",1,$Q1173)*IF($P1173="",1,$P1173)*IF($O1173="",1,$O1173))</f>
        <v/>
      </c>
      <c r="S1173" s="22">
        <f>IFERROR(INDEX(CONFIGURACOES!$J$37:$J$300,MATCH($I1173,CONFIGURACOES!$B$37:$B$300,0)),"")</f>
        <v/>
      </c>
      <c r="T1173" s="22">
        <f>IF(OR($R1173="",$S1173=""),"",$R1173*$S1173)</f>
        <v/>
      </c>
      <c r="U1173" s="20" t="n"/>
      <c r="V1173" s="20" t="n"/>
      <c r="W1173" s="20" t="n"/>
      <c r="X1173">
        <f>IF($A1173="","",$A1173&amp;"|"&amp;$C1173&amp;"|"&amp;$I1173)</f>
        <v/>
      </c>
      <c r="Y1173">
        <f>IF(AND($A1173=RELATORIO_MEDICAO!$C$5,$C1173=RELATORIO_MEDICAO!$F$5,$A1173&lt;&gt;""),COUNTIFS($A$3:$A1173,RELATORIO_MEDICAO!$C$5,$C$3:$C1173,RELATORIO_MEDICAO!$F$5),"")</f>
        <v/>
      </c>
      <c r="Z1173">
        <f>IF(OR($A1173="",PESQUISA!$C$4=""),0,IF(OR(ISNUMBER(SEARCH(PESQUISA!$C$4,$G1173)),ISNUMBER(SEARCH(PESQUISA!$C$4,$K1173)),ISNUMBER(SEARCH(PESQUISA!$C$4,$L1173))),1,0))</f>
        <v/>
      </c>
      <c r="AA1173">
        <f>IF($Z1173=1,SUM($Z$3:$Z1173),"")</f>
        <v/>
      </c>
      <c r="AB1173">
        <f>IF(OR($A1173="",PESQUISA!$C$50=""),0,IF(ISNUMBER(SEARCH(PESQUISA!$C$50,$I1173)),1,0))</f>
        <v/>
      </c>
      <c r="AC1173">
        <f>IF($AB1173=1,SUM($AB$3:$AB1173),"")</f>
        <v/>
      </c>
    </row>
    <row r="1174">
      <c r="A1174" s="20" t="n"/>
      <c r="B1174" s="20" t="n"/>
      <c r="C1174" s="20" t="n"/>
      <c r="D1174" s="20" t="n"/>
      <c r="E1174" s="20" t="n"/>
      <c r="F1174" s="20" t="n"/>
      <c r="G1174" s="20" t="n"/>
      <c r="H1174" s="20" t="n"/>
      <c r="I1174" s="20" t="n"/>
      <c r="J1174" s="20">
        <f>IFERROR(INDEX(CONFIGURACOES!$G$37:$G$300,MATCH($I1174,CONFIGURACOES!$B$37:$B$300,0)),"")</f>
        <v/>
      </c>
      <c r="K1174" s="20">
        <f>IFERROR(INDEX(CONFIGURACOES!$H$37:$H$300,MATCH($I1174,CONFIGURACOES!$B$37:$B$300,0)),"")</f>
        <v/>
      </c>
      <c r="L1174" s="20" t="n"/>
      <c r="M1174" s="20">
        <f>IFERROR(INDEX(CONFIGURACOES!$I$37:$I$300,MATCH($I1174,CONFIGURACOES!$B$37:$B$300,0)),"")</f>
        <v/>
      </c>
      <c r="N1174" s="21" t="n"/>
      <c r="O1174" s="21" t="n"/>
      <c r="P1174" s="21" t="n"/>
      <c r="Q1174" s="21" t="n"/>
      <c r="R1174" s="21">
        <f>IF($N1174="","",$N1174*IF($Q1174="",1,$Q1174)*IF($P1174="",1,$P1174)*IF($O1174="",1,$O1174))</f>
        <v/>
      </c>
      <c r="S1174" s="22">
        <f>IFERROR(INDEX(CONFIGURACOES!$J$37:$J$300,MATCH($I1174,CONFIGURACOES!$B$37:$B$300,0)),"")</f>
        <v/>
      </c>
      <c r="T1174" s="22">
        <f>IF(OR($R1174="",$S1174=""),"",$R1174*$S1174)</f>
        <v/>
      </c>
      <c r="U1174" s="20" t="n"/>
      <c r="V1174" s="20" t="n"/>
      <c r="W1174" s="20" t="n"/>
      <c r="X1174">
        <f>IF($A1174="","",$A1174&amp;"|"&amp;$C1174&amp;"|"&amp;$I1174)</f>
        <v/>
      </c>
      <c r="Y1174">
        <f>IF(AND($A1174=RELATORIO_MEDICAO!$C$5,$C1174=RELATORIO_MEDICAO!$F$5,$A1174&lt;&gt;""),COUNTIFS($A$3:$A1174,RELATORIO_MEDICAO!$C$5,$C$3:$C1174,RELATORIO_MEDICAO!$F$5),"")</f>
        <v/>
      </c>
      <c r="Z1174">
        <f>IF(OR($A1174="",PESQUISA!$C$4=""),0,IF(OR(ISNUMBER(SEARCH(PESQUISA!$C$4,$G1174)),ISNUMBER(SEARCH(PESQUISA!$C$4,$K1174)),ISNUMBER(SEARCH(PESQUISA!$C$4,$L1174))),1,0))</f>
        <v/>
      </c>
      <c r="AA1174">
        <f>IF($Z1174=1,SUM($Z$3:$Z1174),"")</f>
        <v/>
      </c>
      <c r="AB1174">
        <f>IF(OR($A1174="",PESQUISA!$C$50=""),0,IF(ISNUMBER(SEARCH(PESQUISA!$C$50,$I1174)),1,0))</f>
        <v/>
      </c>
      <c r="AC1174">
        <f>IF($AB1174=1,SUM($AB$3:$AB1174),"")</f>
        <v/>
      </c>
    </row>
    <row r="1175">
      <c r="A1175" s="20" t="n"/>
      <c r="B1175" s="20" t="n"/>
      <c r="C1175" s="20" t="n"/>
      <c r="D1175" s="20" t="n"/>
      <c r="E1175" s="20" t="n"/>
      <c r="F1175" s="20" t="n"/>
      <c r="G1175" s="20" t="n"/>
      <c r="H1175" s="20" t="n"/>
      <c r="I1175" s="20" t="n"/>
      <c r="J1175" s="20">
        <f>IFERROR(INDEX(CONFIGURACOES!$G$37:$G$300,MATCH($I1175,CONFIGURACOES!$B$37:$B$300,0)),"")</f>
        <v/>
      </c>
      <c r="K1175" s="20">
        <f>IFERROR(INDEX(CONFIGURACOES!$H$37:$H$300,MATCH($I1175,CONFIGURACOES!$B$37:$B$300,0)),"")</f>
        <v/>
      </c>
      <c r="L1175" s="20" t="n"/>
      <c r="M1175" s="20">
        <f>IFERROR(INDEX(CONFIGURACOES!$I$37:$I$300,MATCH($I1175,CONFIGURACOES!$B$37:$B$300,0)),"")</f>
        <v/>
      </c>
      <c r="N1175" s="21" t="n"/>
      <c r="O1175" s="21" t="n"/>
      <c r="P1175" s="21" t="n"/>
      <c r="Q1175" s="21" t="n"/>
      <c r="R1175" s="21">
        <f>IF($N1175="","",$N1175*IF($Q1175="",1,$Q1175)*IF($P1175="",1,$P1175)*IF($O1175="",1,$O1175))</f>
        <v/>
      </c>
      <c r="S1175" s="22">
        <f>IFERROR(INDEX(CONFIGURACOES!$J$37:$J$300,MATCH($I1175,CONFIGURACOES!$B$37:$B$300,0)),"")</f>
        <v/>
      </c>
      <c r="T1175" s="22">
        <f>IF(OR($R1175="",$S1175=""),"",$R1175*$S1175)</f>
        <v/>
      </c>
      <c r="U1175" s="20" t="n"/>
      <c r="V1175" s="20" t="n"/>
      <c r="W1175" s="20" t="n"/>
      <c r="X1175">
        <f>IF($A1175="","",$A1175&amp;"|"&amp;$C1175&amp;"|"&amp;$I1175)</f>
        <v/>
      </c>
      <c r="Y1175">
        <f>IF(AND($A1175=RELATORIO_MEDICAO!$C$5,$C1175=RELATORIO_MEDICAO!$F$5,$A1175&lt;&gt;""),COUNTIFS($A$3:$A1175,RELATORIO_MEDICAO!$C$5,$C$3:$C1175,RELATORIO_MEDICAO!$F$5),"")</f>
        <v/>
      </c>
      <c r="Z1175">
        <f>IF(OR($A1175="",PESQUISA!$C$4=""),0,IF(OR(ISNUMBER(SEARCH(PESQUISA!$C$4,$G1175)),ISNUMBER(SEARCH(PESQUISA!$C$4,$K1175)),ISNUMBER(SEARCH(PESQUISA!$C$4,$L1175))),1,0))</f>
        <v/>
      </c>
      <c r="AA1175">
        <f>IF($Z1175=1,SUM($Z$3:$Z1175),"")</f>
        <v/>
      </c>
      <c r="AB1175">
        <f>IF(OR($A1175="",PESQUISA!$C$50=""),0,IF(ISNUMBER(SEARCH(PESQUISA!$C$50,$I1175)),1,0))</f>
        <v/>
      </c>
      <c r="AC1175">
        <f>IF($AB1175=1,SUM($AB$3:$AB1175),"")</f>
        <v/>
      </c>
    </row>
    <row r="1176">
      <c r="A1176" s="20" t="n"/>
      <c r="B1176" s="20" t="n"/>
      <c r="C1176" s="20" t="n"/>
      <c r="D1176" s="20" t="n"/>
      <c r="E1176" s="20" t="n"/>
      <c r="F1176" s="20" t="n"/>
      <c r="G1176" s="20" t="n"/>
      <c r="H1176" s="20" t="n"/>
      <c r="I1176" s="20" t="n"/>
      <c r="J1176" s="20">
        <f>IFERROR(INDEX(CONFIGURACOES!$G$37:$G$300,MATCH($I1176,CONFIGURACOES!$B$37:$B$300,0)),"")</f>
        <v/>
      </c>
      <c r="K1176" s="20">
        <f>IFERROR(INDEX(CONFIGURACOES!$H$37:$H$300,MATCH($I1176,CONFIGURACOES!$B$37:$B$300,0)),"")</f>
        <v/>
      </c>
      <c r="L1176" s="20" t="n"/>
      <c r="M1176" s="20">
        <f>IFERROR(INDEX(CONFIGURACOES!$I$37:$I$300,MATCH($I1176,CONFIGURACOES!$B$37:$B$300,0)),"")</f>
        <v/>
      </c>
      <c r="N1176" s="21" t="n"/>
      <c r="O1176" s="21" t="n"/>
      <c r="P1176" s="21" t="n"/>
      <c r="Q1176" s="21" t="n"/>
      <c r="R1176" s="21">
        <f>IF($N1176="","",$N1176*IF($Q1176="",1,$Q1176)*IF($P1176="",1,$P1176)*IF($O1176="",1,$O1176))</f>
        <v/>
      </c>
      <c r="S1176" s="22">
        <f>IFERROR(INDEX(CONFIGURACOES!$J$37:$J$300,MATCH($I1176,CONFIGURACOES!$B$37:$B$300,0)),"")</f>
        <v/>
      </c>
      <c r="T1176" s="22">
        <f>IF(OR($R1176="",$S1176=""),"",$R1176*$S1176)</f>
        <v/>
      </c>
      <c r="U1176" s="20" t="n"/>
      <c r="V1176" s="20" t="n"/>
      <c r="W1176" s="20" t="n"/>
      <c r="X1176">
        <f>IF($A1176="","",$A1176&amp;"|"&amp;$C1176&amp;"|"&amp;$I1176)</f>
        <v/>
      </c>
      <c r="Y1176">
        <f>IF(AND($A1176=RELATORIO_MEDICAO!$C$5,$C1176=RELATORIO_MEDICAO!$F$5,$A1176&lt;&gt;""),COUNTIFS($A$3:$A1176,RELATORIO_MEDICAO!$C$5,$C$3:$C1176,RELATORIO_MEDICAO!$F$5),"")</f>
        <v/>
      </c>
      <c r="Z1176">
        <f>IF(OR($A1176="",PESQUISA!$C$4=""),0,IF(OR(ISNUMBER(SEARCH(PESQUISA!$C$4,$G1176)),ISNUMBER(SEARCH(PESQUISA!$C$4,$K1176)),ISNUMBER(SEARCH(PESQUISA!$C$4,$L1176))),1,0))</f>
        <v/>
      </c>
      <c r="AA1176">
        <f>IF($Z1176=1,SUM($Z$3:$Z1176),"")</f>
        <v/>
      </c>
      <c r="AB1176">
        <f>IF(OR($A1176="",PESQUISA!$C$50=""),0,IF(ISNUMBER(SEARCH(PESQUISA!$C$50,$I1176)),1,0))</f>
        <v/>
      </c>
      <c r="AC1176">
        <f>IF($AB1176=1,SUM($AB$3:$AB1176),"")</f>
        <v/>
      </c>
    </row>
    <row r="1177">
      <c r="A1177" s="20" t="n"/>
      <c r="B1177" s="20" t="n"/>
      <c r="C1177" s="20" t="n"/>
      <c r="D1177" s="20" t="n"/>
      <c r="E1177" s="20" t="n"/>
      <c r="F1177" s="20" t="n"/>
      <c r="G1177" s="20" t="n"/>
      <c r="H1177" s="20" t="n"/>
      <c r="I1177" s="20" t="n"/>
      <c r="J1177" s="20">
        <f>IFERROR(INDEX(CONFIGURACOES!$G$37:$G$300,MATCH($I1177,CONFIGURACOES!$B$37:$B$300,0)),"")</f>
        <v/>
      </c>
      <c r="K1177" s="20">
        <f>IFERROR(INDEX(CONFIGURACOES!$H$37:$H$300,MATCH($I1177,CONFIGURACOES!$B$37:$B$300,0)),"")</f>
        <v/>
      </c>
      <c r="L1177" s="20" t="n"/>
      <c r="M1177" s="20">
        <f>IFERROR(INDEX(CONFIGURACOES!$I$37:$I$300,MATCH($I1177,CONFIGURACOES!$B$37:$B$300,0)),"")</f>
        <v/>
      </c>
      <c r="N1177" s="21" t="n"/>
      <c r="O1177" s="21" t="n"/>
      <c r="P1177" s="21" t="n"/>
      <c r="Q1177" s="21" t="n"/>
      <c r="R1177" s="21">
        <f>IF($N1177="","",$N1177*IF($Q1177="",1,$Q1177)*IF($P1177="",1,$P1177)*IF($O1177="",1,$O1177))</f>
        <v/>
      </c>
      <c r="S1177" s="22">
        <f>IFERROR(INDEX(CONFIGURACOES!$J$37:$J$300,MATCH($I1177,CONFIGURACOES!$B$37:$B$300,0)),"")</f>
        <v/>
      </c>
      <c r="T1177" s="22">
        <f>IF(OR($R1177="",$S1177=""),"",$R1177*$S1177)</f>
        <v/>
      </c>
      <c r="U1177" s="20" t="n"/>
      <c r="V1177" s="20" t="n"/>
      <c r="W1177" s="20" t="n"/>
      <c r="X1177">
        <f>IF($A1177="","",$A1177&amp;"|"&amp;$C1177&amp;"|"&amp;$I1177)</f>
        <v/>
      </c>
      <c r="Y1177">
        <f>IF(AND($A1177=RELATORIO_MEDICAO!$C$5,$C1177=RELATORIO_MEDICAO!$F$5,$A1177&lt;&gt;""),COUNTIFS($A$3:$A1177,RELATORIO_MEDICAO!$C$5,$C$3:$C1177,RELATORIO_MEDICAO!$F$5),"")</f>
        <v/>
      </c>
      <c r="Z1177">
        <f>IF(OR($A1177="",PESQUISA!$C$4=""),0,IF(OR(ISNUMBER(SEARCH(PESQUISA!$C$4,$G1177)),ISNUMBER(SEARCH(PESQUISA!$C$4,$K1177)),ISNUMBER(SEARCH(PESQUISA!$C$4,$L1177))),1,0))</f>
        <v/>
      </c>
      <c r="AA1177">
        <f>IF($Z1177=1,SUM($Z$3:$Z1177),"")</f>
        <v/>
      </c>
      <c r="AB1177">
        <f>IF(OR($A1177="",PESQUISA!$C$50=""),0,IF(ISNUMBER(SEARCH(PESQUISA!$C$50,$I1177)),1,0))</f>
        <v/>
      </c>
      <c r="AC1177">
        <f>IF($AB1177=1,SUM($AB$3:$AB1177),"")</f>
        <v/>
      </c>
    </row>
    <row r="1178">
      <c r="A1178" s="20" t="n"/>
      <c r="B1178" s="20" t="n"/>
      <c r="C1178" s="20" t="n"/>
      <c r="D1178" s="20" t="n"/>
      <c r="E1178" s="20" t="n"/>
      <c r="F1178" s="20" t="n"/>
      <c r="G1178" s="20" t="n"/>
      <c r="H1178" s="20" t="n"/>
      <c r="I1178" s="20" t="n"/>
      <c r="J1178" s="20">
        <f>IFERROR(INDEX(CONFIGURACOES!$G$37:$G$300,MATCH($I1178,CONFIGURACOES!$B$37:$B$300,0)),"")</f>
        <v/>
      </c>
      <c r="K1178" s="20">
        <f>IFERROR(INDEX(CONFIGURACOES!$H$37:$H$300,MATCH($I1178,CONFIGURACOES!$B$37:$B$300,0)),"")</f>
        <v/>
      </c>
      <c r="L1178" s="20" t="n"/>
      <c r="M1178" s="20">
        <f>IFERROR(INDEX(CONFIGURACOES!$I$37:$I$300,MATCH($I1178,CONFIGURACOES!$B$37:$B$300,0)),"")</f>
        <v/>
      </c>
      <c r="N1178" s="21" t="n"/>
      <c r="O1178" s="21" t="n"/>
      <c r="P1178" s="21" t="n"/>
      <c r="Q1178" s="21" t="n"/>
      <c r="R1178" s="21">
        <f>IF($N1178="","",$N1178*IF($Q1178="",1,$Q1178)*IF($P1178="",1,$P1178)*IF($O1178="",1,$O1178))</f>
        <v/>
      </c>
      <c r="S1178" s="22">
        <f>IFERROR(INDEX(CONFIGURACOES!$J$37:$J$300,MATCH($I1178,CONFIGURACOES!$B$37:$B$300,0)),"")</f>
        <v/>
      </c>
      <c r="T1178" s="22">
        <f>IF(OR($R1178="",$S1178=""),"",$R1178*$S1178)</f>
        <v/>
      </c>
      <c r="U1178" s="20" t="n"/>
      <c r="V1178" s="20" t="n"/>
      <c r="W1178" s="20" t="n"/>
      <c r="X1178">
        <f>IF($A1178="","",$A1178&amp;"|"&amp;$C1178&amp;"|"&amp;$I1178)</f>
        <v/>
      </c>
      <c r="Y1178">
        <f>IF(AND($A1178=RELATORIO_MEDICAO!$C$5,$C1178=RELATORIO_MEDICAO!$F$5,$A1178&lt;&gt;""),COUNTIFS($A$3:$A1178,RELATORIO_MEDICAO!$C$5,$C$3:$C1178,RELATORIO_MEDICAO!$F$5),"")</f>
        <v/>
      </c>
      <c r="Z1178">
        <f>IF(OR($A1178="",PESQUISA!$C$4=""),0,IF(OR(ISNUMBER(SEARCH(PESQUISA!$C$4,$G1178)),ISNUMBER(SEARCH(PESQUISA!$C$4,$K1178)),ISNUMBER(SEARCH(PESQUISA!$C$4,$L1178))),1,0))</f>
        <v/>
      </c>
      <c r="AA1178">
        <f>IF($Z1178=1,SUM($Z$3:$Z1178),"")</f>
        <v/>
      </c>
      <c r="AB1178">
        <f>IF(OR($A1178="",PESQUISA!$C$50=""),0,IF(ISNUMBER(SEARCH(PESQUISA!$C$50,$I1178)),1,0))</f>
        <v/>
      </c>
      <c r="AC1178">
        <f>IF($AB1178=1,SUM($AB$3:$AB1178),"")</f>
        <v/>
      </c>
    </row>
    <row r="1179">
      <c r="A1179" s="20" t="n"/>
      <c r="B1179" s="20" t="n"/>
      <c r="C1179" s="20" t="n"/>
      <c r="D1179" s="20" t="n"/>
      <c r="E1179" s="20" t="n"/>
      <c r="F1179" s="20" t="n"/>
      <c r="G1179" s="20" t="n"/>
      <c r="H1179" s="20" t="n"/>
      <c r="I1179" s="20" t="n"/>
      <c r="J1179" s="20">
        <f>IFERROR(INDEX(CONFIGURACOES!$G$37:$G$300,MATCH($I1179,CONFIGURACOES!$B$37:$B$300,0)),"")</f>
        <v/>
      </c>
      <c r="K1179" s="20">
        <f>IFERROR(INDEX(CONFIGURACOES!$H$37:$H$300,MATCH($I1179,CONFIGURACOES!$B$37:$B$300,0)),"")</f>
        <v/>
      </c>
      <c r="L1179" s="20" t="n"/>
      <c r="M1179" s="20">
        <f>IFERROR(INDEX(CONFIGURACOES!$I$37:$I$300,MATCH($I1179,CONFIGURACOES!$B$37:$B$300,0)),"")</f>
        <v/>
      </c>
      <c r="N1179" s="21" t="n"/>
      <c r="O1179" s="21" t="n"/>
      <c r="P1179" s="21" t="n"/>
      <c r="Q1179" s="21" t="n"/>
      <c r="R1179" s="21">
        <f>IF($N1179="","",$N1179*IF($Q1179="",1,$Q1179)*IF($P1179="",1,$P1179)*IF($O1179="",1,$O1179))</f>
        <v/>
      </c>
      <c r="S1179" s="22">
        <f>IFERROR(INDEX(CONFIGURACOES!$J$37:$J$300,MATCH($I1179,CONFIGURACOES!$B$37:$B$300,0)),"")</f>
        <v/>
      </c>
      <c r="T1179" s="22">
        <f>IF(OR($R1179="",$S1179=""),"",$R1179*$S1179)</f>
        <v/>
      </c>
      <c r="U1179" s="20" t="n"/>
      <c r="V1179" s="20" t="n"/>
      <c r="W1179" s="20" t="n"/>
      <c r="X1179">
        <f>IF($A1179="","",$A1179&amp;"|"&amp;$C1179&amp;"|"&amp;$I1179)</f>
        <v/>
      </c>
      <c r="Y1179">
        <f>IF(AND($A1179=RELATORIO_MEDICAO!$C$5,$C1179=RELATORIO_MEDICAO!$F$5,$A1179&lt;&gt;""),COUNTIFS($A$3:$A1179,RELATORIO_MEDICAO!$C$5,$C$3:$C1179,RELATORIO_MEDICAO!$F$5),"")</f>
        <v/>
      </c>
      <c r="Z1179">
        <f>IF(OR($A1179="",PESQUISA!$C$4=""),0,IF(OR(ISNUMBER(SEARCH(PESQUISA!$C$4,$G1179)),ISNUMBER(SEARCH(PESQUISA!$C$4,$K1179)),ISNUMBER(SEARCH(PESQUISA!$C$4,$L1179))),1,0))</f>
        <v/>
      </c>
      <c r="AA1179">
        <f>IF($Z1179=1,SUM($Z$3:$Z1179),"")</f>
        <v/>
      </c>
      <c r="AB1179">
        <f>IF(OR($A1179="",PESQUISA!$C$50=""),0,IF(ISNUMBER(SEARCH(PESQUISA!$C$50,$I1179)),1,0))</f>
        <v/>
      </c>
      <c r="AC1179">
        <f>IF($AB1179=1,SUM($AB$3:$AB1179),"")</f>
        <v/>
      </c>
    </row>
    <row r="1180">
      <c r="A1180" s="20" t="n"/>
      <c r="B1180" s="20" t="n"/>
      <c r="C1180" s="20" t="n"/>
      <c r="D1180" s="20" t="n"/>
      <c r="E1180" s="20" t="n"/>
      <c r="F1180" s="20" t="n"/>
      <c r="G1180" s="20" t="n"/>
      <c r="H1180" s="20" t="n"/>
      <c r="I1180" s="20" t="n"/>
      <c r="J1180" s="20">
        <f>IFERROR(INDEX(CONFIGURACOES!$G$37:$G$300,MATCH($I1180,CONFIGURACOES!$B$37:$B$300,0)),"")</f>
        <v/>
      </c>
      <c r="K1180" s="20">
        <f>IFERROR(INDEX(CONFIGURACOES!$H$37:$H$300,MATCH($I1180,CONFIGURACOES!$B$37:$B$300,0)),"")</f>
        <v/>
      </c>
      <c r="L1180" s="20" t="n"/>
      <c r="M1180" s="20">
        <f>IFERROR(INDEX(CONFIGURACOES!$I$37:$I$300,MATCH($I1180,CONFIGURACOES!$B$37:$B$300,0)),"")</f>
        <v/>
      </c>
      <c r="N1180" s="21" t="n"/>
      <c r="O1180" s="21" t="n"/>
      <c r="P1180" s="21" t="n"/>
      <c r="Q1180" s="21" t="n"/>
      <c r="R1180" s="21">
        <f>IF($N1180="","",$N1180*IF($Q1180="",1,$Q1180)*IF($P1180="",1,$P1180)*IF($O1180="",1,$O1180))</f>
        <v/>
      </c>
      <c r="S1180" s="22">
        <f>IFERROR(INDEX(CONFIGURACOES!$J$37:$J$300,MATCH($I1180,CONFIGURACOES!$B$37:$B$300,0)),"")</f>
        <v/>
      </c>
      <c r="T1180" s="22">
        <f>IF(OR($R1180="",$S1180=""),"",$R1180*$S1180)</f>
        <v/>
      </c>
      <c r="U1180" s="20" t="n"/>
      <c r="V1180" s="20" t="n"/>
      <c r="W1180" s="20" t="n"/>
      <c r="X1180">
        <f>IF($A1180="","",$A1180&amp;"|"&amp;$C1180&amp;"|"&amp;$I1180)</f>
        <v/>
      </c>
      <c r="Y1180">
        <f>IF(AND($A1180=RELATORIO_MEDICAO!$C$5,$C1180=RELATORIO_MEDICAO!$F$5,$A1180&lt;&gt;""),COUNTIFS($A$3:$A1180,RELATORIO_MEDICAO!$C$5,$C$3:$C1180,RELATORIO_MEDICAO!$F$5),"")</f>
        <v/>
      </c>
      <c r="Z1180">
        <f>IF(OR($A1180="",PESQUISA!$C$4=""),0,IF(OR(ISNUMBER(SEARCH(PESQUISA!$C$4,$G1180)),ISNUMBER(SEARCH(PESQUISA!$C$4,$K1180)),ISNUMBER(SEARCH(PESQUISA!$C$4,$L1180))),1,0))</f>
        <v/>
      </c>
      <c r="AA1180">
        <f>IF($Z1180=1,SUM($Z$3:$Z1180),"")</f>
        <v/>
      </c>
      <c r="AB1180">
        <f>IF(OR($A1180="",PESQUISA!$C$50=""),0,IF(ISNUMBER(SEARCH(PESQUISA!$C$50,$I1180)),1,0))</f>
        <v/>
      </c>
      <c r="AC1180">
        <f>IF($AB1180=1,SUM($AB$3:$AB1180),"")</f>
        <v/>
      </c>
    </row>
    <row r="1181">
      <c r="A1181" s="20" t="n"/>
      <c r="B1181" s="20" t="n"/>
      <c r="C1181" s="20" t="n"/>
      <c r="D1181" s="20" t="n"/>
      <c r="E1181" s="20" t="n"/>
      <c r="F1181" s="20" t="n"/>
      <c r="G1181" s="20" t="n"/>
      <c r="H1181" s="20" t="n"/>
      <c r="I1181" s="20" t="n"/>
      <c r="J1181" s="20">
        <f>IFERROR(INDEX(CONFIGURACOES!$G$37:$G$300,MATCH($I1181,CONFIGURACOES!$B$37:$B$300,0)),"")</f>
        <v/>
      </c>
      <c r="K1181" s="20">
        <f>IFERROR(INDEX(CONFIGURACOES!$H$37:$H$300,MATCH($I1181,CONFIGURACOES!$B$37:$B$300,0)),"")</f>
        <v/>
      </c>
      <c r="L1181" s="20" t="n"/>
      <c r="M1181" s="20">
        <f>IFERROR(INDEX(CONFIGURACOES!$I$37:$I$300,MATCH($I1181,CONFIGURACOES!$B$37:$B$300,0)),"")</f>
        <v/>
      </c>
      <c r="N1181" s="21" t="n"/>
      <c r="O1181" s="21" t="n"/>
      <c r="P1181" s="21" t="n"/>
      <c r="Q1181" s="21" t="n"/>
      <c r="R1181" s="21">
        <f>IF($N1181="","",$N1181*IF($Q1181="",1,$Q1181)*IF($P1181="",1,$P1181)*IF($O1181="",1,$O1181))</f>
        <v/>
      </c>
      <c r="S1181" s="22">
        <f>IFERROR(INDEX(CONFIGURACOES!$J$37:$J$300,MATCH($I1181,CONFIGURACOES!$B$37:$B$300,0)),"")</f>
        <v/>
      </c>
      <c r="T1181" s="22">
        <f>IF(OR($R1181="",$S1181=""),"",$R1181*$S1181)</f>
        <v/>
      </c>
      <c r="U1181" s="20" t="n"/>
      <c r="V1181" s="20" t="n"/>
      <c r="W1181" s="20" t="n"/>
      <c r="X1181">
        <f>IF($A1181="","",$A1181&amp;"|"&amp;$C1181&amp;"|"&amp;$I1181)</f>
        <v/>
      </c>
      <c r="Y1181">
        <f>IF(AND($A1181=RELATORIO_MEDICAO!$C$5,$C1181=RELATORIO_MEDICAO!$F$5,$A1181&lt;&gt;""),COUNTIFS($A$3:$A1181,RELATORIO_MEDICAO!$C$5,$C$3:$C1181,RELATORIO_MEDICAO!$F$5),"")</f>
        <v/>
      </c>
      <c r="Z1181">
        <f>IF(OR($A1181="",PESQUISA!$C$4=""),0,IF(OR(ISNUMBER(SEARCH(PESQUISA!$C$4,$G1181)),ISNUMBER(SEARCH(PESQUISA!$C$4,$K1181)),ISNUMBER(SEARCH(PESQUISA!$C$4,$L1181))),1,0))</f>
        <v/>
      </c>
      <c r="AA1181">
        <f>IF($Z1181=1,SUM($Z$3:$Z1181),"")</f>
        <v/>
      </c>
      <c r="AB1181">
        <f>IF(OR($A1181="",PESQUISA!$C$50=""),0,IF(ISNUMBER(SEARCH(PESQUISA!$C$50,$I1181)),1,0))</f>
        <v/>
      </c>
      <c r="AC1181">
        <f>IF($AB1181=1,SUM($AB$3:$AB1181),"")</f>
        <v/>
      </c>
    </row>
    <row r="1182">
      <c r="A1182" s="20" t="n"/>
      <c r="B1182" s="20" t="n"/>
      <c r="C1182" s="20" t="n"/>
      <c r="D1182" s="20" t="n"/>
      <c r="E1182" s="20" t="n"/>
      <c r="F1182" s="20" t="n"/>
      <c r="G1182" s="20" t="n"/>
      <c r="H1182" s="20" t="n"/>
      <c r="I1182" s="20" t="n"/>
      <c r="J1182" s="20">
        <f>IFERROR(INDEX(CONFIGURACOES!$G$37:$G$300,MATCH($I1182,CONFIGURACOES!$B$37:$B$300,0)),"")</f>
        <v/>
      </c>
      <c r="K1182" s="20">
        <f>IFERROR(INDEX(CONFIGURACOES!$H$37:$H$300,MATCH($I1182,CONFIGURACOES!$B$37:$B$300,0)),"")</f>
        <v/>
      </c>
      <c r="L1182" s="20" t="n"/>
      <c r="M1182" s="20">
        <f>IFERROR(INDEX(CONFIGURACOES!$I$37:$I$300,MATCH($I1182,CONFIGURACOES!$B$37:$B$300,0)),"")</f>
        <v/>
      </c>
      <c r="N1182" s="21" t="n"/>
      <c r="O1182" s="21" t="n"/>
      <c r="P1182" s="21" t="n"/>
      <c r="Q1182" s="21" t="n"/>
      <c r="R1182" s="21">
        <f>IF($N1182="","",$N1182*IF($Q1182="",1,$Q1182)*IF($P1182="",1,$P1182)*IF($O1182="",1,$O1182))</f>
        <v/>
      </c>
      <c r="S1182" s="22">
        <f>IFERROR(INDEX(CONFIGURACOES!$J$37:$J$300,MATCH($I1182,CONFIGURACOES!$B$37:$B$300,0)),"")</f>
        <v/>
      </c>
      <c r="T1182" s="22">
        <f>IF(OR($R1182="",$S1182=""),"",$R1182*$S1182)</f>
        <v/>
      </c>
      <c r="U1182" s="20" t="n"/>
      <c r="V1182" s="20" t="n"/>
      <c r="W1182" s="20" t="n"/>
      <c r="X1182">
        <f>IF($A1182="","",$A1182&amp;"|"&amp;$C1182&amp;"|"&amp;$I1182)</f>
        <v/>
      </c>
      <c r="Y1182">
        <f>IF(AND($A1182=RELATORIO_MEDICAO!$C$5,$C1182=RELATORIO_MEDICAO!$F$5,$A1182&lt;&gt;""),COUNTIFS($A$3:$A1182,RELATORIO_MEDICAO!$C$5,$C$3:$C1182,RELATORIO_MEDICAO!$F$5),"")</f>
        <v/>
      </c>
      <c r="Z1182">
        <f>IF(OR($A1182="",PESQUISA!$C$4=""),0,IF(OR(ISNUMBER(SEARCH(PESQUISA!$C$4,$G1182)),ISNUMBER(SEARCH(PESQUISA!$C$4,$K1182)),ISNUMBER(SEARCH(PESQUISA!$C$4,$L1182))),1,0))</f>
        <v/>
      </c>
      <c r="AA1182">
        <f>IF($Z1182=1,SUM($Z$3:$Z1182),"")</f>
        <v/>
      </c>
      <c r="AB1182">
        <f>IF(OR($A1182="",PESQUISA!$C$50=""),0,IF(ISNUMBER(SEARCH(PESQUISA!$C$50,$I1182)),1,0))</f>
        <v/>
      </c>
      <c r="AC1182">
        <f>IF($AB1182=1,SUM($AB$3:$AB1182),"")</f>
        <v/>
      </c>
    </row>
    <row r="1183">
      <c r="A1183" s="20" t="n"/>
      <c r="B1183" s="20" t="n"/>
      <c r="C1183" s="20" t="n"/>
      <c r="D1183" s="20" t="n"/>
      <c r="E1183" s="20" t="n"/>
      <c r="F1183" s="20" t="n"/>
      <c r="G1183" s="20" t="n"/>
      <c r="H1183" s="20" t="n"/>
      <c r="I1183" s="20" t="n"/>
      <c r="J1183" s="20">
        <f>IFERROR(INDEX(CONFIGURACOES!$G$37:$G$300,MATCH($I1183,CONFIGURACOES!$B$37:$B$300,0)),"")</f>
        <v/>
      </c>
      <c r="K1183" s="20">
        <f>IFERROR(INDEX(CONFIGURACOES!$H$37:$H$300,MATCH($I1183,CONFIGURACOES!$B$37:$B$300,0)),"")</f>
        <v/>
      </c>
      <c r="L1183" s="20" t="n"/>
      <c r="M1183" s="20">
        <f>IFERROR(INDEX(CONFIGURACOES!$I$37:$I$300,MATCH($I1183,CONFIGURACOES!$B$37:$B$300,0)),"")</f>
        <v/>
      </c>
      <c r="N1183" s="21" t="n"/>
      <c r="O1183" s="21" t="n"/>
      <c r="P1183" s="21" t="n"/>
      <c r="Q1183" s="21" t="n"/>
      <c r="R1183" s="21">
        <f>IF($N1183="","",$N1183*IF($Q1183="",1,$Q1183)*IF($P1183="",1,$P1183)*IF($O1183="",1,$O1183))</f>
        <v/>
      </c>
      <c r="S1183" s="22">
        <f>IFERROR(INDEX(CONFIGURACOES!$J$37:$J$300,MATCH($I1183,CONFIGURACOES!$B$37:$B$300,0)),"")</f>
        <v/>
      </c>
      <c r="T1183" s="22">
        <f>IF(OR($R1183="",$S1183=""),"",$R1183*$S1183)</f>
        <v/>
      </c>
      <c r="U1183" s="20" t="n"/>
      <c r="V1183" s="20" t="n"/>
      <c r="W1183" s="20" t="n"/>
      <c r="X1183">
        <f>IF($A1183="","",$A1183&amp;"|"&amp;$C1183&amp;"|"&amp;$I1183)</f>
        <v/>
      </c>
      <c r="Y1183">
        <f>IF(AND($A1183=RELATORIO_MEDICAO!$C$5,$C1183=RELATORIO_MEDICAO!$F$5,$A1183&lt;&gt;""),COUNTIFS($A$3:$A1183,RELATORIO_MEDICAO!$C$5,$C$3:$C1183,RELATORIO_MEDICAO!$F$5),"")</f>
        <v/>
      </c>
      <c r="Z1183">
        <f>IF(OR($A1183="",PESQUISA!$C$4=""),0,IF(OR(ISNUMBER(SEARCH(PESQUISA!$C$4,$G1183)),ISNUMBER(SEARCH(PESQUISA!$C$4,$K1183)),ISNUMBER(SEARCH(PESQUISA!$C$4,$L1183))),1,0))</f>
        <v/>
      </c>
      <c r="AA1183">
        <f>IF($Z1183=1,SUM($Z$3:$Z1183),"")</f>
        <v/>
      </c>
      <c r="AB1183">
        <f>IF(OR($A1183="",PESQUISA!$C$50=""),0,IF(ISNUMBER(SEARCH(PESQUISA!$C$50,$I1183)),1,0))</f>
        <v/>
      </c>
      <c r="AC1183">
        <f>IF($AB1183=1,SUM($AB$3:$AB1183),"")</f>
        <v/>
      </c>
    </row>
    <row r="1184">
      <c r="A1184" s="20" t="n"/>
      <c r="B1184" s="20" t="n"/>
      <c r="C1184" s="20" t="n"/>
      <c r="D1184" s="20" t="n"/>
      <c r="E1184" s="20" t="n"/>
      <c r="F1184" s="20" t="n"/>
      <c r="G1184" s="20" t="n"/>
      <c r="H1184" s="20" t="n"/>
      <c r="I1184" s="20" t="n"/>
      <c r="J1184" s="20">
        <f>IFERROR(INDEX(CONFIGURACOES!$G$37:$G$300,MATCH($I1184,CONFIGURACOES!$B$37:$B$300,0)),"")</f>
        <v/>
      </c>
      <c r="K1184" s="20">
        <f>IFERROR(INDEX(CONFIGURACOES!$H$37:$H$300,MATCH($I1184,CONFIGURACOES!$B$37:$B$300,0)),"")</f>
        <v/>
      </c>
      <c r="L1184" s="20" t="n"/>
      <c r="M1184" s="20">
        <f>IFERROR(INDEX(CONFIGURACOES!$I$37:$I$300,MATCH($I1184,CONFIGURACOES!$B$37:$B$300,0)),"")</f>
        <v/>
      </c>
      <c r="N1184" s="21" t="n"/>
      <c r="O1184" s="21" t="n"/>
      <c r="P1184" s="21" t="n"/>
      <c r="Q1184" s="21" t="n"/>
      <c r="R1184" s="21">
        <f>IF($N1184="","",$N1184*IF($Q1184="",1,$Q1184)*IF($P1184="",1,$P1184)*IF($O1184="",1,$O1184))</f>
        <v/>
      </c>
      <c r="S1184" s="22">
        <f>IFERROR(INDEX(CONFIGURACOES!$J$37:$J$300,MATCH($I1184,CONFIGURACOES!$B$37:$B$300,0)),"")</f>
        <v/>
      </c>
      <c r="T1184" s="22">
        <f>IF(OR($R1184="",$S1184=""),"",$R1184*$S1184)</f>
        <v/>
      </c>
      <c r="U1184" s="20" t="n"/>
      <c r="V1184" s="20" t="n"/>
      <c r="W1184" s="20" t="n"/>
      <c r="X1184">
        <f>IF($A1184="","",$A1184&amp;"|"&amp;$C1184&amp;"|"&amp;$I1184)</f>
        <v/>
      </c>
      <c r="Y1184">
        <f>IF(AND($A1184=RELATORIO_MEDICAO!$C$5,$C1184=RELATORIO_MEDICAO!$F$5,$A1184&lt;&gt;""),COUNTIFS($A$3:$A1184,RELATORIO_MEDICAO!$C$5,$C$3:$C1184,RELATORIO_MEDICAO!$F$5),"")</f>
        <v/>
      </c>
      <c r="Z1184">
        <f>IF(OR($A1184="",PESQUISA!$C$4=""),0,IF(OR(ISNUMBER(SEARCH(PESQUISA!$C$4,$G1184)),ISNUMBER(SEARCH(PESQUISA!$C$4,$K1184)),ISNUMBER(SEARCH(PESQUISA!$C$4,$L1184))),1,0))</f>
        <v/>
      </c>
      <c r="AA1184">
        <f>IF($Z1184=1,SUM($Z$3:$Z1184),"")</f>
        <v/>
      </c>
      <c r="AB1184">
        <f>IF(OR($A1184="",PESQUISA!$C$50=""),0,IF(ISNUMBER(SEARCH(PESQUISA!$C$50,$I1184)),1,0))</f>
        <v/>
      </c>
      <c r="AC1184">
        <f>IF($AB1184=1,SUM($AB$3:$AB1184),"")</f>
        <v/>
      </c>
    </row>
    <row r="1185">
      <c r="A1185" s="20" t="n"/>
      <c r="B1185" s="20" t="n"/>
      <c r="C1185" s="20" t="n"/>
      <c r="D1185" s="20" t="n"/>
      <c r="E1185" s="20" t="n"/>
      <c r="F1185" s="20" t="n"/>
      <c r="G1185" s="20" t="n"/>
      <c r="H1185" s="20" t="n"/>
      <c r="I1185" s="20" t="n"/>
      <c r="J1185" s="20">
        <f>IFERROR(INDEX(CONFIGURACOES!$G$37:$G$300,MATCH($I1185,CONFIGURACOES!$B$37:$B$300,0)),"")</f>
        <v/>
      </c>
      <c r="K1185" s="20">
        <f>IFERROR(INDEX(CONFIGURACOES!$H$37:$H$300,MATCH($I1185,CONFIGURACOES!$B$37:$B$300,0)),"")</f>
        <v/>
      </c>
      <c r="L1185" s="20" t="n"/>
      <c r="M1185" s="20">
        <f>IFERROR(INDEX(CONFIGURACOES!$I$37:$I$300,MATCH($I1185,CONFIGURACOES!$B$37:$B$300,0)),"")</f>
        <v/>
      </c>
      <c r="N1185" s="21" t="n"/>
      <c r="O1185" s="21" t="n"/>
      <c r="P1185" s="21" t="n"/>
      <c r="Q1185" s="21" t="n"/>
      <c r="R1185" s="21">
        <f>IF($N1185="","",$N1185*IF($Q1185="",1,$Q1185)*IF($P1185="",1,$P1185)*IF($O1185="",1,$O1185))</f>
        <v/>
      </c>
      <c r="S1185" s="22">
        <f>IFERROR(INDEX(CONFIGURACOES!$J$37:$J$300,MATCH($I1185,CONFIGURACOES!$B$37:$B$300,0)),"")</f>
        <v/>
      </c>
      <c r="T1185" s="22">
        <f>IF(OR($R1185="",$S1185=""),"",$R1185*$S1185)</f>
        <v/>
      </c>
      <c r="U1185" s="20" t="n"/>
      <c r="V1185" s="20" t="n"/>
      <c r="W1185" s="20" t="n"/>
      <c r="X1185">
        <f>IF($A1185="","",$A1185&amp;"|"&amp;$C1185&amp;"|"&amp;$I1185)</f>
        <v/>
      </c>
      <c r="Y1185">
        <f>IF(AND($A1185=RELATORIO_MEDICAO!$C$5,$C1185=RELATORIO_MEDICAO!$F$5,$A1185&lt;&gt;""),COUNTIFS($A$3:$A1185,RELATORIO_MEDICAO!$C$5,$C$3:$C1185,RELATORIO_MEDICAO!$F$5),"")</f>
        <v/>
      </c>
      <c r="Z1185">
        <f>IF(OR($A1185="",PESQUISA!$C$4=""),0,IF(OR(ISNUMBER(SEARCH(PESQUISA!$C$4,$G1185)),ISNUMBER(SEARCH(PESQUISA!$C$4,$K1185)),ISNUMBER(SEARCH(PESQUISA!$C$4,$L1185))),1,0))</f>
        <v/>
      </c>
      <c r="AA1185">
        <f>IF($Z1185=1,SUM($Z$3:$Z1185),"")</f>
        <v/>
      </c>
      <c r="AB1185">
        <f>IF(OR($A1185="",PESQUISA!$C$50=""),0,IF(ISNUMBER(SEARCH(PESQUISA!$C$50,$I1185)),1,0))</f>
        <v/>
      </c>
      <c r="AC1185">
        <f>IF($AB1185=1,SUM($AB$3:$AB1185),"")</f>
        <v/>
      </c>
    </row>
    <row r="1186">
      <c r="A1186" s="20" t="n"/>
      <c r="B1186" s="20" t="n"/>
      <c r="C1186" s="20" t="n"/>
      <c r="D1186" s="20" t="n"/>
      <c r="E1186" s="20" t="n"/>
      <c r="F1186" s="20" t="n"/>
      <c r="G1186" s="20" t="n"/>
      <c r="H1186" s="20" t="n"/>
      <c r="I1186" s="20" t="n"/>
      <c r="J1186" s="20">
        <f>IFERROR(INDEX(CONFIGURACOES!$G$37:$G$300,MATCH($I1186,CONFIGURACOES!$B$37:$B$300,0)),"")</f>
        <v/>
      </c>
      <c r="K1186" s="20">
        <f>IFERROR(INDEX(CONFIGURACOES!$H$37:$H$300,MATCH($I1186,CONFIGURACOES!$B$37:$B$300,0)),"")</f>
        <v/>
      </c>
      <c r="L1186" s="20" t="n"/>
      <c r="M1186" s="20">
        <f>IFERROR(INDEX(CONFIGURACOES!$I$37:$I$300,MATCH($I1186,CONFIGURACOES!$B$37:$B$300,0)),"")</f>
        <v/>
      </c>
      <c r="N1186" s="21" t="n"/>
      <c r="O1186" s="21" t="n"/>
      <c r="P1186" s="21" t="n"/>
      <c r="Q1186" s="21" t="n"/>
      <c r="R1186" s="21">
        <f>IF($N1186="","",$N1186*IF($Q1186="",1,$Q1186)*IF($P1186="",1,$P1186)*IF($O1186="",1,$O1186))</f>
        <v/>
      </c>
      <c r="S1186" s="22">
        <f>IFERROR(INDEX(CONFIGURACOES!$J$37:$J$300,MATCH($I1186,CONFIGURACOES!$B$37:$B$300,0)),"")</f>
        <v/>
      </c>
      <c r="T1186" s="22">
        <f>IF(OR($R1186="",$S1186=""),"",$R1186*$S1186)</f>
        <v/>
      </c>
      <c r="U1186" s="20" t="n"/>
      <c r="V1186" s="20" t="n"/>
      <c r="W1186" s="20" t="n"/>
      <c r="X1186">
        <f>IF($A1186="","",$A1186&amp;"|"&amp;$C1186&amp;"|"&amp;$I1186)</f>
        <v/>
      </c>
      <c r="Y1186">
        <f>IF(AND($A1186=RELATORIO_MEDICAO!$C$5,$C1186=RELATORIO_MEDICAO!$F$5,$A1186&lt;&gt;""),COUNTIFS($A$3:$A1186,RELATORIO_MEDICAO!$C$5,$C$3:$C1186,RELATORIO_MEDICAO!$F$5),"")</f>
        <v/>
      </c>
      <c r="Z1186">
        <f>IF(OR($A1186="",PESQUISA!$C$4=""),0,IF(OR(ISNUMBER(SEARCH(PESQUISA!$C$4,$G1186)),ISNUMBER(SEARCH(PESQUISA!$C$4,$K1186)),ISNUMBER(SEARCH(PESQUISA!$C$4,$L1186))),1,0))</f>
        <v/>
      </c>
      <c r="AA1186">
        <f>IF($Z1186=1,SUM($Z$3:$Z1186),"")</f>
        <v/>
      </c>
      <c r="AB1186">
        <f>IF(OR($A1186="",PESQUISA!$C$50=""),0,IF(ISNUMBER(SEARCH(PESQUISA!$C$50,$I1186)),1,0))</f>
        <v/>
      </c>
      <c r="AC1186">
        <f>IF($AB1186=1,SUM($AB$3:$AB1186),"")</f>
        <v/>
      </c>
    </row>
    <row r="1187">
      <c r="A1187" s="20" t="n"/>
      <c r="B1187" s="20" t="n"/>
      <c r="C1187" s="20" t="n"/>
      <c r="D1187" s="20" t="n"/>
      <c r="E1187" s="20" t="n"/>
      <c r="F1187" s="20" t="n"/>
      <c r="G1187" s="20" t="n"/>
      <c r="H1187" s="20" t="n"/>
      <c r="I1187" s="20" t="n"/>
      <c r="J1187" s="20">
        <f>IFERROR(INDEX(CONFIGURACOES!$G$37:$G$300,MATCH($I1187,CONFIGURACOES!$B$37:$B$300,0)),"")</f>
        <v/>
      </c>
      <c r="K1187" s="20">
        <f>IFERROR(INDEX(CONFIGURACOES!$H$37:$H$300,MATCH($I1187,CONFIGURACOES!$B$37:$B$300,0)),"")</f>
        <v/>
      </c>
      <c r="L1187" s="20" t="n"/>
      <c r="M1187" s="20">
        <f>IFERROR(INDEX(CONFIGURACOES!$I$37:$I$300,MATCH($I1187,CONFIGURACOES!$B$37:$B$300,0)),"")</f>
        <v/>
      </c>
      <c r="N1187" s="21" t="n"/>
      <c r="O1187" s="21" t="n"/>
      <c r="P1187" s="21" t="n"/>
      <c r="Q1187" s="21" t="n"/>
      <c r="R1187" s="21">
        <f>IF($N1187="","",$N1187*IF($Q1187="",1,$Q1187)*IF($P1187="",1,$P1187)*IF($O1187="",1,$O1187))</f>
        <v/>
      </c>
      <c r="S1187" s="22">
        <f>IFERROR(INDEX(CONFIGURACOES!$J$37:$J$300,MATCH($I1187,CONFIGURACOES!$B$37:$B$300,0)),"")</f>
        <v/>
      </c>
      <c r="T1187" s="22">
        <f>IF(OR($R1187="",$S1187=""),"",$R1187*$S1187)</f>
        <v/>
      </c>
      <c r="U1187" s="20" t="n"/>
      <c r="V1187" s="20" t="n"/>
      <c r="W1187" s="20" t="n"/>
      <c r="X1187">
        <f>IF($A1187="","",$A1187&amp;"|"&amp;$C1187&amp;"|"&amp;$I1187)</f>
        <v/>
      </c>
      <c r="Y1187">
        <f>IF(AND($A1187=RELATORIO_MEDICAO!$C$5,$C1187=RELATORIO_MEDICAO!$F$5,$A1187&lt;&gt;""),COUNTIFS($A$3:$A1187,RELATORIO_MEDICAO!$C$5,$C$3:$C1187,RELATORIO_MEDICAO!$F$5),"")</f>
        <v/>
      </c>
      <c r="Z1187">
        <f>IF(OR($A1187="",PESQUISA!$C$4=""),0,IF(OR(ISNUMBER(SEARCH(PESQUISA!$C$4,$G1187)),ISNUMBER(SEARCH(PESQUISA!$C$4,$K1187)),ISNUMBER(SEARCH(PESQUISA!$C$4,$L1187))),1,0))</f>
        <v/>
      </c>
      <c r="AA1187">
        <f>IF($Z1187=1,SUM($Z$3:$Z1187),"")</f>
        <v/>
      </c>
      <c r="AB1187">
        <f>IF(OR($A1187="",PESQUISA!$C$50=""),0,IF(ISNUMBER(SEARCH(PESQUISA!$C$50,$I1187)),1,0))</f>
        <v/>
      </c>
      <c r="AC1187">
        <f>IF($AB1187=1,SUM($AB$3:$AB1187),"")</f>
        <v/>
      </c>
    </row>
    <row r="1188">
      <c r="A1188" s="20" t="n"/>
      <c r="B1188" s="20" t="n"/>
      <c r="C1188" s="20" t="n"/>
      <c r="D1188" s="20" t="n"/>
      <c r="E1188" s="20" t="n"/>
      <c r="F1188" s="20" t="n"/>
      <c r="G1188" s="20" t="n"/>
      <c r="H1188" s="20" t="n"/>
      <c r="I1188" s="20" t="n"/>
      <c r="J1188" s="20">
        <f>IFERROR(INDEX(CONFIGURACOES!$G$37:$G$300,MATCH($I1188,CONFIGURACOES!$B$37:$B$300,0)),"")</f>
        <v/>
      </c>
      <c r="K1188" s="20">
        <f>IFERROR(INDEX(CONFIGURACOES!$H$37:$H$300,MATCH($I1188,CONFIGURACOES!$B$37:$B$300,0)),"")</f>
        <v/>
      </c>
      <c r="L1188" s="20" t="n"/>
      <c r="M1188" s="20">
        <f>IFERROR(INDEX(CONFIGURACOES!$I$37:$I$300,MATCH($I1188,CONFIGURACOES!$B$37:$B$300,0)),"")</f>
        <v/>
      </c>
      <c r="N1188" s="21" t="n"/>
      <c r="O1188" s="21" t="n"/>
      <c r="P1188" s="21" t="n"/>
      <c r="Q1188" s="21" t="n"/>
      <c r="R1188" s="21">
        <f>IF($N1188="","",$N1188*IF($Q1188="",1,$Q1188)*IF($P1188="",1,$P1188)*IF($O1188="",1,$O1188))</f>
        <v/>
      </c>
      <c r="S1188" s="22">
        <f>IFERROR(INDEX(CONFIGURACOES!$J$37:$J$300,MATCH($I1188,CONFIGURACOES!$B$37:$B$300,0)),"")</f>
        <v/>
      </c>
      <c r="T1188" s="22">
        <f>IF(OR($R1188="",$S1188=""),"",$R1188*$S1188)</f>
        <v/>
      </c>
      <c r="U1188" s="20" t="n"/>
      <c r="V1188" s="20" t="n"/>
      <c r="W1188" s="20" t="n"/>
      <c r="X1188">
        <f>IF($A1188="","",$A1188&amp;"|"&amp;$C1188&amp;"|"&amp;$I1188)</f>
        <v/>
      </c>
      <c r="Y1188">
        <f>IF(AND($A1188=RELATORIO_MEDICAO!$C$5,$C1188=RELATORIO_MEDICAO!$F$5,$A1188&lt;&gt;""),COUNTIFS($A$3:$A1188,RELATORIO_MEDICAO!$C$5,$C$3:$C1188,RELATORIO_MEDICAO!$F$5),"")</f>
        <v/>
      </c>
      <c r="Z1188">
        <f>IF(OR($A1188="",PESQUISA!$C$4=""),0,IF(OR(ISNUMBER(SEARCH(PESQUISA!$C$4,$G1188)),ISNUMBER(SEARCH(PESQUISA!$C$4,$K1188)),ISNUMBER(SEARCH(PESQUISA!$C$4,$L1188))),1,0))</f>
        <v/>
      </c>
      <c r="AA1188">
        <f>IF($Z1188=1,SUM($Z$3:$Z1188),"")</f>
        <v/>
      </c>
      <c r="AB1188">
        <f>IF(OR($A1188="",PESQUISA!$C$50=""),0,IF(ISNUMBER(SEARCH(PESQUISA!$C$50,$I1188)),1,0))</f>
        <v/>
      </c>
      <c r="AC1188">
        <f>IF($AB1188=1,SUM($AB$3:$AB1188),"")</f>
        <v/>
      </c>
    </row>
    <row r="1189">
      <c r="A1189" s="20" t="n"/>
      <c r="B1189" s="20" t="n"/>
      <c r="C1189" s="20" t="n"/>
      <c r="D1189" s="20" t="n"/>
      <c r="E1189" s="20" t="n"/>
      <c r="F1189" s="20" t="n"/>
      <c r="G1189" s="20" t="n"/>
      <c r="H1189" s="20" t="n"/>
      <c r="I1189" s="20" t="n"/>
      <c r="J1189" s="20">
        <f>IFERROR(INDEX(CONFIGURACOES!$G$37:$G$300,MATCH($I1189,CONFIGURACOES!$B$37:$B$300,0)),"")</f>
        <v/>
      </c>
      <c r="K1189" s="20">
        <f>IFERROR(INDEX(CONFIGURACOES!$H$37:$H$300,MATCH($I1189,CONFIGURACOES!$B$37:$B$300,0)),"")</f>
        <v/>
      </c>
      <c r="L1189" s="20" t="n"/>
      <c r="M1189" s="20">
        <f>IFERROR(INDEX(CONFIGURACOES!$I$37:$I$300,MATCH($I1189,CONFIGURACOES!$B$37:$B$300,0)),"")</f>
        <v/>
      </c>
      <c r="N1189" s="21" t="n"/>
      <c r="O1189" s="21" t="n"/>
      <c r="P1189" s="21" t="n"/>
      <c r="Q1189" s="21" t="n"/>
      <c r="R1189" s="21">
        <f>IF($N1189="","",$N1189*IF($Q1189="",1,$Q1189)*IF($P1189="",1,$P1189)*IF($O1189="",1,$O1189))</f>
        <v/>
      </c>
      <c r="S1189" s="22">
        <f>IFERROR(INDEX(CONFIGURACOES!$J$37:$J$300,MATCH($I1189,CONFIGURACOES!$B$37:$B$300,0)),"")</f>
        <v/>
      </c>
      <c r="T1189" s="22">
        <f>IF(OR($R1189="",$S1189=""),"",$R1189*$S1189)</f>
        <v/>
      </c>
      <c r="U1189" s="20" t="n"/>
      <c r="V1189" s="20" t="n"/>
      <c r="W1189" s="20" t="n"/>
      <c r="X1189">
        <f>IF($A1189="","",$A1189&amp;"|"&amp;$C1189&amp;"|"&amp;$I1189)</f>
        <v/>
      </c>
      <c r="Y1189">
        <f>IF(AND($A1189=RELATORIO_MEDICAO!$C$5,$C1189=RELATORIO_MEDICAO!$F$5,$A1189&lt;&gt;""),COUNTIFS($A$3:$A1189,RELATORIO_MEDICAO!$C$5,$C$3:$C1189,RELATORIO_MEDICAO!$F$5),"")</f>
        <v/>
      </c>
      <c r="Z1189">
        <f>IF(OR($A1189="",PESQUISA!$C$4=""),0,IF(OR(ISNUMBER(SEARCH(PESQUISA!$C$4,$G1189)),ISNUMBER(SEARCH(PESQUISA!$C$4,$K1189)),ISNUMBER(SEARCH(PESQUISA!$C$4,$L1189))),1,0))</f>
        <v/>
      </c>
      <c r="AA1189">
        <f>IF($Z1189=1,SUM($Z$3:$Z1189),"")</f>
        <v/>
      </c>
      <c r="AB1189">
        <f>IF(OR($A1189="",PESQUISA!$C$50=""),0,IF(ISNUMBER(SEARCH(PESQUISA!$C$50,$I1189)),1,0))</f>
        <v/>
      </c>
      <c r="AC1189">
        <f>IF($AB1189=1,SUM($AB$3:$AB1189),"")</f>
        <v/>
      </c>
    </row>
    <row r="1190">
      <c r="A1190" s="20" t="n"/>
      <c r="B1190" s="20" t="n"/>
      <c r="C1190" s="20" t="n"/>
      <c r="D1190" s="20" t="n"/>
      <c r="E1190" s="20" t="n"/>
      <c r="F1190" s="20" t="n"/>
      <c r="G1190" s="20" t="n"/>
      <c r="H1190" s="20" t="n"/>
      <c r="I1190" s="20" t="n"/>
      <c r="J1190" s="20">
        <f>IFERROR(INDEX(CONFIGURACOES!$G$37:$G$300,MATCH($I1190,CONFIGURACOES!$B$37:$B$300,0)),"")</f>
        <v/>
      </c>
      <c r="K1190" s="20">
        <f>IFERROR(INDEX(CONFIGURACOES!$H$37:$H$300,MATCH($I1190,CONFIGURACOES!$B$37:$B$300,0)),"")</f>
        <v/>
      </c>
      <c r="L1190" s="20" t="n"/>
      <c r="M1190" s="20">
        <f>IFERROR(INDEX(CONFIGURACOES!$I$37:$I$300,MATCH($I1190,CONFIGURACOES!$B$37:$B$300,0)),"")</f>
        <v/>
      </c>
      <c r="N1190" s="21" t="n"/>
      <c r="O1190" s="21" t="n"/>
      <c r="P1190" s="21" t="n"/>
      <c r="Q1190" s="21" t="n"/>
      <c r="R1190" s="21">
        <f>IF($N1190="","",$N1190*IF($Q1190="",1,$Q1190)*IF($P1190="",1,$P1190)*IF($O1190="",1,$O1190))</f>
        <v/>
      </c>
      <c r="S1190" s="22">
        <f>IFERROR(INDEX(CONFIGURACOES!$J$37:$J$300,MATCH($I1190,CONFIGURACOES!$B$37:$B$300,0)),"")</f>
        <v/>
      </c>
      <c r="T1190" s="22">
        <f>IF(OR($R1190="",$S1190=""),"",$R1190*$S1190)</f>
        <v/>
      </c>
      <c r="U1190" s="20" t="n"/>
      <c r="V1190" s="20" t="n"/>
      <c r="W1190" s="20" t="n"/>
      <c r="X1190">
        <f>IF($A1190="","",$A1190&amp;"|"&amp;$C1190&amp;"|"&amp;$I1190)</f>
        <v/>
      </c>
      <c r="Y1190">
        <f>IF(AND($A1190=RELATORIO_MEDICAO!$C$5,$C1190=RELATORIO_MEDICAO!$F$5,$A1190&lt;&gt;""),COUNTIFS($A$3:$A1190,RELATORIO_MEDICAO!$C$5,$C$3:$C1190,RELATORIO_MEDICAO!$F$5),"")</f>
        <v/>
      </c>
      <c r="Z1190">
        <f>IF(OR($A1190="",PESQUISA!$C$4=""),0,IF(OR(ISNUMBER(SEARCH(PESQUISA!$C$4,$G1190)),ISNUMBER(SEARCH(PESQUISA!$C$4,$K1190)),ISNUMBER(SEARCH(PESQUISA!$C$4,$L1190))),1,0))</f>
        <v/>
      </c>
      <c r="AA1190">
        <f>IF($Z1190=1,SUM($Z$3:$Z1190),"")</f>
        <v/>
      </c>
      <c r="AB1190">
        <f>IF(OR($A1190="",PESQUISA!$C$50=""),0,IF(ISNUMBER(SEARCH(PESQUISA!$C$50,$I1190)),1,0))</f>
        <v/>
      </c>
      <c r="AC1190">
        <f>IF($AB1190=1,SUM($AB$3:$AB1190),"")</f>
        <v/>
      </c>
    </row>
    <row r="1191">
      <c r="A1191" s="20" t="n"/>
      <c r="B1191" s="20" t="n"/>
      <c r="C1191" s="20" t="n"/>
      <c r="D1191" s="20" t="n"/>
      <c r="E1191" s="20" t="n"/>
      <c r="F1191" s="20" t="n"/>
      <c r="G1191" s="20" t="n"/>
      <c r="H1191" s="20" t="n"/>
      <c r="I1191" s="20" t="n"/>
      <c r="J1191" s="20">
        <f>IFERROR(INDEX(CONFIGURACOES!$G$37:$G$300,MATCH($I1191,CONFIGURACOES!$B$37:$B$300,0)),"")</f>
        <v/>
      </c>
      <c r="K1191" s="20">
        <f>IFERROR(INDEX(CONFIGURACOES!$H$37:$H$300,MATCH($I1191,CONFIGURACOES!$B$37:$B$300,0)),"")</f>
        <v/>
      </c>
      <c r="L1191" s="20" t="n"/>
      <c r="M1191" s="20">
        <f>IFERROR(INDEX(CONFIGURACOES!$I$37:$I$300,MATCH($I1191,CONFIGURACOES!$B$37:$B$300,0)),"")</f>
        <v/>
      </c>
      <c r="N1191" s="21" t="n"/>
      <c r="O1191" s="21" t="n"/>
      <c r="P1191" s="21" t="n"/>
      <c r="Q1191" s="21" t="n"/>
      <c r="R1191" s="21">
        <f>IF($N1191="","",$N1191*IF($Q1191="",1,$Q1191)*IF($P1191="",1,$P1191)*IF($O1191="",1,$O1191))</f>
        <v/>
      </c>
      <c r="S1191" s="22">
        <f>IFERROR(INDEX(CONFIGURACOES!$J$37:$J$300,MATCH($I1191,CONFIGURACOES!$B$37:$B$300,0)),"")</f>
        <v/>
      </c>
      <c r="T1191" s="22">
        <f>IF(OR($R1191="",$S1191=""),"",$R1191*$S1191)</f>
        <v/>
      </c>
      <c r="U1191" s="20" t="n"/>
      <c r="V1191" s="20" t="n"/>
      <c r="W1191" s="20" t="n"/>
      <c r="X1191">
        <f>IF($A1191="","",$A1191&amp;"|"&amp;$C1191&amp;"|"&amp;$I1191)</f>
        <v/>
      </c>
      <c r="Y1191">
        <f>IF(AND($A1191=RELATORIO_MEDICAO!$C$5,$C1191=RELATORIO_MEDICAO!$F$5,$A1191&lt;&gt;""),COUNTIFS($A$3:$A1191,RELATORIO_MEDICAO!$C$5,$C$3:$C1191,RELATORIO_MEDICAO!$F$5),"")</f>
        <v/>
      </c>
      <c r="Z1191">
        <f>IF(OR($A1191="",PESQUISA!$C$4=""),0,IF(OR(ISNUMBER(SEARCH(PESQUISA!$C$4,$G1191)),ISNUMBER(SEARCH(PESQUISA!$C$4,$K1191)),ISNUMBER(SEARCH(PESQUISA!$C$4,$L1191))),1,0))</f>
        <v/>
      </c>
      <c r="AA1191">
        <f>IF($Z1191=1,SUM($Z$3:$Z1191),"")</f>
        <v/>
      </c>
      <c r="AB1191">
        <f>IF(OR($A1191="",PESQUISA!$C$50=""),0,IF(ISNUMBER(SEARCH(PESQUISA!$C$50,$I1191)),1,0))</f>
        <v/>
      </c>
      <c r="AC1191">
        <f>IF($AB1191=1,SUM($AB$3:$AB1191),"")</f>
        <v/>
      </c>
    </row>
    <row r="1192">
      <c r="A1192" s="20" t="n"/>
      <c r="B1192" s="20" t="n"/>
      <c r="C1192" s="20" t="n"/>
      <c r="D1192" s="20" t="n"/>
      <c r="E1192" s="20" t="n"/>
      <c r="F1192" s="20" t="n"/>
      <c r="G1192" s="20" t="n"/>
      <c r="H1192" s="20" t="n"/>
      <c r="I1192" s="20" t="n"/>
      <c r="J1192" s="20">
        <f>IFERROR(INDEX(CONFIGURACOES!$G$37:$G$300,MATCH($I1192,CONFIGURACOES!$B$37:$B$300,0)),"")</f>
        <v/>
      </c>
      <c r="K1192" s="20">
        <f>IFERROR(INDEX(CONFIGURACOES!$H$37:$H$300,MATCH($I1192,CONFIGURACOES!$B$37:$B$300,0)),"")</f>
        <v/>
      </c>
      <c r="L1192" s="20" t="n"/>
      <c r="M1192" s="20">
        <f>IFERROR(INDEX(CONFIGURACOES!$I$37:$I$300,MATCH($I1192,CONFIGURACOES!$B$37:$B$300,0)),"")</f>
        <v/>
      </c>
      <c r="N1192" s="21" t="n"/>
      <c r="O1192" s="21" t="n"/>
      <c r="P1192" s="21" t="n"/>
      <c r="Q1192" s="21" t="n"/>
      <c r="R1192" s="21">
        <f>IF($N1192="","",$N1192*IF($Q1192="",1,$Q1192)*IF($P1192="",1,$P1192)*IF($O1192="",1,$O1192))</f>
        <v/>
      </c>
      <c r="S1192" s="22">
        <f>IFERROR(INDEX(CONFIGURACOES!$J$37:$J$300,MATCH($I1192,CONFIGURACOES!$B$37:$B$300,0)),"")</f>
        <v/>
      </c>
      <c r="T1192" s="22">
        <f>IF(OR($R1192="",$S1192=""),"",$R1192*$S1192)</f>
        <v/>
      </c>
      <c r="U1192" s="20" t="n"/>
      <c r="V1192" s="20" t="n"/>
      <c r="W1192" s="20" t="n"/>
      <c r="X1192">
        <f>IF($A1192="","",$A1192&amp;"|"&amp;$C1192&amp;"|"&amp;$I1192)</f>
        <v/>
      </c>
      <c r="Y1192">
        <f>IF(AND($A1192=RELATORIO_MEDICAO!$C$5,$C1192=RELATORIO_MEDICAO!$F$5,$A1192&lt;&gt;""),COUNTIFS($A$3:$A1192,RELATORIO_MEDICAO!$C$5,$C$3:$C1192,RELATORIO_MEDICAO!$F$5),"")</f>
        <v/>
      </c>
      <c r="Z1192">
        <f>IF(OR($A1192="",PESQUISA!$C$4=""),0,IF(OR(ISNUMBER(SEARCH(PESQUISA!$C$4,$G1192)),ISNUMBER(SEARCH(PESQUISA!$C$4,$K1192)),ISNUMBER(SEARCH(PESQUISA!$C$4,$L1192))),1,0))</f>
        <v/>
      </c>
      <c r="AA1192">
        <f>IF($Z1192=1,SUM($Z$3:$Z1192),"")</f>
        <v/>
      </c>
      <c r="AB1192">
        <f>IF(OR($A1192="",PESQUISA!$C$50=""),0,IF(ISNUMBER(SEARCH(PESQUISA!$C$50,$I1192)),1,0))</f>
        <v/>
      </c>
      <c r="AC1192">
        <f>IF($AB1192=1,SUM($AB$3:$AB1192),"")</f>
        <v/>
      </c>
    </row>
    <row r="1193">
      <c r="A1193" s="20" t="n"/>
      <c r="B1193" s="20" t="n"/>
      <c r="C1193" s="20" t="n"/>
      <c r="D1193" s="20" t="n"/>
      <c r="E1193" s="20" t="n"/>
      <c r="F1193" s="20" t="n"/>
      <c r="G1193" s="20" t="n"/>
      <c r="H1193" s="20" t="n"/>
      <c r="I1193" s="20" t="n"/>
      <c r="J1193" s="20">
        <f>IFERROR(INDEX(CONFIGURACOES!$G$37:$G$300,MATCH($I1193,CONFIGURACOES!$B$37:$B$300,0)),"")</f>
        <v/>
      </c>
      <c r="K1193" s="20">
        <f>IFERROR(INDEX(CONFIGURACOES!$H$37:$H$300,MATCH($I1193,CONFIGURACOES!$B$37:$B$300,0)),"")</f>
        <v/>
      </c>
      <c r="L1193" s="20" t="n"/>
      <c r="M1193" s="20">
        <f>IFERROR(INDEX(CONFIGURACOES!$I$37:$I$300,MATCH($I1193,CONFIGURACOES!$B$37:$B$300,0)),"")</f>
        <v/>
      </c>
      <c r="N1193" s="21" t="n"/>
      <c r="O1193" s="21" t="n"/>
      <c r="P1193" s="21" t="n"/>
      <c r="Q1193" s="21" t="n"/>
      <c r="R1193" s="21">
        <f>IF($N1193="","",$N1193*IF($Q1193="",1,$Q1193)*IF($P1193="",1,$P1193)*IF($O1193="",1,$O1193))</f>
        <v/>
      </c>
      <c r="S1193" s="22">
        <f>IFERROR(INDEX(CONFIGURACOES!$J$37:$J$300,MATCH($I1193,CONFIGURACOES!$B$37:$B$300,0)),"")</f>
        <v/>
      </c>
      <c r="T1193" s="22">
        <f>IF(OR($R1193="",$S1193=""),"",$R1193*$S1193)</f>
        <v/>
      </c>
      <c r="U1193" s="20" t="n"/>
      <c r="V1193" s="20" t="n"/>
      <c r="W1193" s="20" t="n"/>
      <c r="X1193">
        <f>IF($A1193="","",$A1193&amp;"|"&amp;$C1193&amp;"|"&amp;$I1193)</f>
        <v/>
      </c>
      <c r="Y1193">
        <f>IF(AND($A1193=RELATORIO_MEDICAO!$C$5,$C1193=RELATORIO_MEDICAO!$F$5,$A1193&lt;&gt;""),COUNTIFS($A$3:$A1193,RELATORIO_MEDICAO!$C$5,$C$3:$C1193,RELATORIO_MEDICAO!$F$5),"")</f>
        <v/>
      </c>
      <c r="Z1193">
        <f>IF(OR($A1193="",PESQUISA!$C$4=""),0,IF(OR(ISNUMBER(SEARCH(PESQUISA!$C$4,$G1193)),ISNUMBER(SEARCH(PESQUISA!$C$4,$K1193)),ISNUMBER(SEARCH(PESQUISA!$C$4,$L1193))),1,0))</f>
        <v/>
      </c>
      <c r="AA1193">
        <f>IF($Z1193=1,SUM($Z$3:$Z1193),"")</f>
        <v/>
      </c>
      <c r="AB1193">
        <f>IF(OR($A1193="",PESQUISA!$C$50=""),0,IF(ISNUMBER(SEARCH(PESQUISA!$C$50,$I1193)),1,0))</f>
        <v/>
      </c>
      <c r="AC1193">
        <f>IF($AB1193=1,SUM($AB$3:$AB1193),"")</f>
        <v/>
      </c>
    </row>
    <row r="1194">
      <c r="A1194" s="20" t="n"/>
      <c r="B1194" s="20" t="n"/>
      <c r="C1194" s="20" t="n"/>
      <c r="D1194" s="20" t="n"/>
      <c r="E1194" s="20" t="n"/>
      <c r="F1194" s="20" t="n"/>
      <c r="G1194" s="20" t="n"/>
      <c r="H1194" s="20" t="n"/>
      <c r="I1194" s="20" t="n"/>
      <c r="J1194" s="20">
        <f>IFERROR(INDEX(CONFIGURACOES!$G$37:$G$300,MATCH($I1194,CONFIGURACOES!$B$37:$B$300,0)),"")</f>
        <v/>
      </c>
      <c r="K1194" s="20">
        <f>IFERROR(INDEX(CONFIGURACOES!$H$37:$H$300,MATCH($I1194,CONFIGURACOES!$B$37:$B$300,0)),"")</f>
        <v/>
      </c>
      <c r="L1194" s="20" t="n"/>
      <c r="M1194" s="20">
        <f>IFERROR(INDEX(CONFIGURACOES!$I$37:$I$300,MATCH($I1194,CONFIGURACOES!$B$37:$B$300,0)),"")</f>
        <v/>
      </c>
      <c r="N1194" s="21" t="n"/>
      <c r="O1194" s="21" t="n"/>
      <c r="P1194" s="21" t="n"/>
      <c r="Q1194" s="21" t="n"/>
      <c r="R1194" s="21">
        <f>IF($N1194="","",$N1194*IF($Q1194="",1,$Q1194)*IF($P1194="",1,$P1194)*IF($O1194="",1,$O1194))</f>
        <v/>
      </c>
      <c r="S1194" s="22">
        <f>IFERROR(INDEX(CONFIGURACOES!$J$37:$J$300,MATCH($I1194,CONFIGURACOES!$B$37:$B$300,0)),"")</f>
        <v/>
      </c>
      <c r="T1194" s="22">
        <f>IF(OR($R1194="",$S1194=""),"",$R1194*$S1194)</f>
        <v/>
      </c>
      <c r="U1194" s="20" t="n"/>
      <c r="V1194" s="20" t="n"/>
      <c r="W1194" s="20" t="n"/>
      <c r="X1194">
        <f>IF($A1194="","",$A1194&amp;"|"&amp;$C1194&amp;"|"&amp;$I1194)</f>
        <v/>
      </c>
      <c r="Y1194">
        <f>IF(AND($A1194=RELATORIO_MEDICAO!$C$5,$C1194=RELATORIO_MEDICAO!$F$5,$A1194&lt;&gt;""),COUNTIFS($A$3:$A1194,RELATORIO_MEDICAO!$C$5,$C$3:$C1194,RELATORIO_MEDICAO!$F$5),"")</f>
        <v/>
      </c>
      <c r="Z1194">
        <f>IF(OR($A1194="",PESQUISA!$C$4=""),0,IF(OR(ISNUMBER(SEARCH(PESQUISA!$C$4,$G1194)),ISNUMBER(SEARCH(PESQUISA!$C$4,$K1194)),ISNUMBER(SEARCH(PESQUISA!$C$4,$L1194))),1,0))</f>
        <v/>
      </c>
      <c r="AA1194">
        <f>IF($Z1194=1,SUM($Z$3:$Z1194),"")</f>
        <v/>
      </c>
      <c r="AB1194">
        <f>IF(OR($A1194="",PESQUISA!$C$50=""),0,IF(ISNUMBER(SEARCH(PESQUISA!$C$50,$I1194)),1,0))</f>
        <v/>
      </c>
      <c r="AC1194">
        <f>IF($AB1194=1,SUM($AB$3:$AB1194),"")</f>
        <v/>
      </c>
    </row>
    <row r="1195">
      <c r="A1195" s="20" t="n"/>
      <c r="B1195" s="20" t="n"/>
      <c r="C1195" s="20" t="n"/>
      <c r="D1195" s="20" t="n"/>
      <c r="E1195" s="20" t="n"/>
      <c r="F1195" s="20" t="n"/>
      <c r="G1195" s="20" t="n"/>
      <c r="H1195" s="20" t="n"/>
      <c r="I1195" s="20" t="n"/>
      <c r="J1195" s="20">
        <f>IFERROR(INDEX(CONFIGURACOES!$G$37:$G$300,MATCH($I1195,CONFIGURACOES!$B$37:$B$300,0)),"")</f>
        <v/>
      </c>
      <c r="K1195" s="20">
        <f>IFERROR(INDEX(CONFIGURACOES!$H$37:$H$300,MATCH($I1195,CONFIGURACOES!$B$37:$B$300,0)),"")</f>
        <v/>
      </c>
      <c r="L1195" s="20" t="n"/>
      <c r="M1195" s="20">
        <f>IFERROR(INDEX(CONFIGURACOES!$I$37:$I$300,MATCH($I1195,CONFIGURACOES!$B$37:$B$300,0)),"")</f>
        <v/>
      </c>
      <c r="N1195" s="21" t="n"/>
      <c r="O1195" s="21" t="n"/>
      <c r="P1195" s="21" t="n"/>
      <c r="Q1195" s="21" t="n"/>
      <c r="R1195" s="21">
        <f>IF($N1195="","",$N1195*IF($Q1195="",1,$Q1195)*IF($P1195="",1,$P1195)*IF($O1195="",1,$O1195))</f>
        <v/>
      </c>
      <c r="S1195" s="22">
        <f>IFERROR(INDEX(CONFIGURACOES!$J$37:$J$300,MATCH($I1195,CONFIGURACOES!$B$37:$B$300,0)),"")</f>
        <v/>
      </c>
      <c r="T1195" s="22">
        <f>IF(OR($R1195="",$S1195=""),"",$R1195*$S1195)</f>
        <v/>
      </c>
      <c r="U1195" s="20" t="n"/>
      <c r="V1195" s="20" t="n"/>
      <c r="W1195" s="20" t="n"/>
      <c r="X1195">
        <f>IF($A1195="","",$A1195&amp;"|"&amp;$C1195&amp;"|"&amp;$I1195)</f>
        <v/>
      </c>
      <c r="Y1195">
        <f>IF(AND($A1195=RELATORIO_MEDICAO!$C$5,$C1195=RELATORIO_MEDICAO!$F$5,$A1195&lt;&gt;""),COUNTIFS($A$3:$A1195,RELATORIO_MEDICAO!$C$5,$C$3:$C1195,RELATORIO_MEDICAO!$F$5),"")</f>
        <v/>
      </c>
      <c r="Z1195">
        <f>IF(OR($A1195="",PESQUISA!$C$4=""),0,IF(OR(ISNUMBER(SEARCH(PESQUISA!$C$4,$G1195)),ISNUMBER(SEARCH(PESQUISA!$C$4,$K1195)),ISNUMBER(SEARCH(PESQUISA!$C$4,$L1195))),1,0))</f>
        <v/>
      </c>
      <c r="AA1195">
        <f>IF($Z1195=1,SUM($Z$3:$Z1195),"")</f>
        <v/>
      </c>
      <c r="AB1195">
        <f>IF(OR($A1195="",PESQUISA!$C$50=""),0,IF(ISNUMBER(SEARCH(PESQUISA!$C$50,$I1195)),1,0))</f>
        <v/>
      </c>
      <c r="AC1195">
        <f>IF($AB1195=1,SUM($AB$3:$AB1195),"")</f>
        <v/>
      </c>
    </row>
    <row r="1196">
      <c r="A1196" s="20" t="n"/>
      <c r="B1196" s="20" t="n"/>
      <c r="C1196" s="20" t="n"/>
      <c r="D1196" s="20" t="n"/>
      <c r="E1196" s="20" t="n"/>
      <c r="F1196" s="20" t="n"/>
      <c r="G1196" s="20" t="n"/>
      <c r="H1196" s="20" t="n"/>
      <c r="I1196" s="20" t="n"/>
      <c r="J1196" s="20">
        <f>IFERROR(INDEX(CONFIGURACOES!$G$37:$G$300,MATCH($I1196,CONFIGURACOES!$B$37:$B$300,0)),"")</f>
        <v/>
      </c>
      <c r="K1196" s="20">
        <f>IFERROR(INDEX(CONFIGURACOES!$H$37:$H$300,MATCH($I1196,CONFIGURACOES!$B$37:$B$300,0)),"")</f>
        <v/>
      </c>
      <c r="L1196" s="20" t="n"/>
      <c r="M1196" s="20">
        <f>IFERROR(INDEX(CONFIGURACOES!$I$37:$I$300,MATCH($I1196,CONFIGURACOES!$B$37:$B$300,0)),"")</f>
        <v/>
      </c>
      <c r="N1196" s="21" t="n"/>
      <c r="O1196" s="21" t="n"/>
      <c r="P1196" s="21" t="n"/>
      <c r="Q1196" s="21" t="n"/>
      <c r="R1196" s="21">
        <f>IF($N1196="","",$N1196*IF($Q1196="",1,$Q1196)*IF($P1196="",1,$P1196)*IF($O1196="",1,$O1196))</f>
        <v/>
      </c>
      <c r="S1196" s="22">
        <f>IFERROR(INDEX(CONFIGURACOES!$J$37:$J$300,MATCH($I1196,CONFIGURACOES!$B$37:$B$300,0)),"")</f>
        <v/>
      </c>
      <c r="T1196" s="22">
        <f>IF(OR($R1196="",$S1196=""),"",$R1196*$S1196)</f>
        <v/>
      </c>
      <c r="U1196" s="20" t="n"/>
      <c r="V1196" s="20" t="n"/>
      <c r="W1196" s="20" t="n"/>
      <c r="X1196">
        <f>IF($A1196="","",$A1196&amp;"|"&amp;$C1196&amp;"|"&amp;$I1196)</f>
        <v/>
      </c>
      <c r="Y1196">
        <f>IF(AND($A1196=RELATORIO_MEDICAO!$C$5,$C1196=RELATORIO_MEDICAO!$F$5,$A1196&lt;&gt;""),COUNTIFS($A$3:$A1196,RELATORIO_MEDICAO!$C$5,$C$3:$C1196,RELATORIO_MEDICAO!$F$5),"")</f>
        <v/>
      </c>
      <c r="Z1196">
        <f>IF(OR($A1196="",PESQUISA!$C$4=""),0,IF(OR(ISNUMBER(SEARCH(PESQUISA!$C$4,$G1196)),ISNUMBER(SEARCH(PESQUISA!$C$4,$K1196)),ISNUMBER(SEARCH(PESQUISA!$C$4,$L1196))),1,0))</f>
        <v/>
      </c>
      <c r="AA1196">
        <f>IF($Z1196=1,SUM($Z$3:$Z1196),"")</f>
        <v/>
      </c>
      <c r="AB1196">
        <f>IF(OR($A1196="",PESQUISA!$C$50=""),0,IF(ISNUMBER(SEARCH(PESQUISA!$C$50,$I1196)),1,0))</f>
        <v/>
      </c>
      <c r="AC1196">
        <f>IF($AB1196=1,SUM($AB$3:$AB1196),"")</f>
        <v/>
      </c>
    </row>
    <row r="1197">
      <c r="A1197" s="20" t="n"/>
      <c r="B1197" s="20" t="n"/>
      <c r="C1197" s="20" t="n"/>
      <c r="D1197" s="20" t="n"/>
      <c r="E1197" s="20" t="n"/>
      <c r="F1197" s="20" t="n"/>
      <c r="G1197" s="20" t="n"/>
      <c r="H1197" s="20" t="n"/>
      <c r="I1197" s="20" t="n"/>
      <c r="J1197" s="20">
        <f>IFERROR(INDEX(CONFIGURACOES!$G$37:$G$300,MATCH($I1197,CONFIGURACOES!$B$37:$B$300,0)),"")</f>
        <v/>
      </c>
      <c r="K1197" s="20">
        <f>IFERROR(INDEX(CONFIGURACOES!$H$37:$H$300,MATCH($I1197,CONFIGURACOES!$B$37:$B$300,0)),"")</f>
        <v/>
      </c>
      <c r="L1197" s="20" t="n"/>
      <c r="M1197" s="20">
        <f>IFERROR(INDEX(CONFIGURACOES!$I$37:$I$300,MATCH($I1197,CONFIGURACOES!$B$37:$B$300,0)),"")</f>
        <v/>
      </c>
      <c r="N1197" s="21" t="n"/>
      <c r="O1197" s="21" t="n"/>
      <c r="P1197" s="21" t="n"/>
      <c r="Q1197" s="21" t="n"/>
      <c r="R1197" s="21">
        <f>IF($N1197="","",$N1197*IF($Q1197="",1,$Q1197)*IF($P1197="",1,$P1197)*IF($O1197="",1,$O1197))</f>
        <v/>
      </c>
      <c r="S1197" s="22">
        <f>IFERROR(INDEX(CONFIGURACOES!$J$37:$J$300,MATCH($I1197,CONFIGURACOES!$B$37:$B$300,0)),"")</f>
        <v/>
      </c>
      <c r="T1197" s="22">
        <f>IF(OR($R1197="",$S1197=""),"",$R1197*$S1197)</f>
        <v/>
      </c>
      <c r="U1197" s="20" t="n"/>
      <c r="V1197" s="20" t="n"/>
      <c r="W1197" s="20" t="n"/>
      <c r="X1197">
        <f>IF($A1197="","",$A1197&amp;"|"&amp;$C1197&amp;"|"&amp;$I1197)</f>
        <v/>
      </c>
      <c r="Y1197">
        <f>IF(AND($A1197=RELATORIO_MEDICAO!$C$5,$C1197=RELATORIO_MEDICAO!$F$5,$A1197&lt;&gt;""),COUNTIFS($A$3:$A1197,RELATORIO_MEDICAO!$C$5,$C$3:$C1197,RELATORIO_MEDICAO!$F$5),"")</f>
        <v/>
      </c>
      <c r="Z1197">
        <f>IF(OR($A1197="",PESQUISA!$C$4=""),0,IF(OR(ISNUMBER(SEARCH(PESQUISA!$C$4,$G1197)),ISNUMBER(SEARCH(PESQUISA!$C$4,$K1197)),ISNUMBER(SEARCH(PESQUISA!$C$4,$L1197))),1,0))</f>
        <v/>
      </c>
      <c r="AA1197">
        <f>IF($Z1197=1,SUM($Z$3:$Z1197),"")</f>
        <v/>
      </c>
      <c r="AB1197">
        <f>IF(OR($A1197="",PESQUISA!$C$50=""),0,IF(ISNUMBER(SEARCH(PESQUISA!$C$50,$I1197)),1,0))</f>
        <v/>
      </c>
      <c r="AC1197">
        <f>IF($AB1197=1,SUM($AB$3:$AB1197),"")</f>
        <v/>
      </c>
    </row>
    <row r="1198">
      <c r="A1198" s="20" t="n"/>
      <c r="B1198" s="20" t="n"/>
      <c r="C1198" s="20" t="n"/>
      <c r="D1198" s="20" t="n"/>
      <c r="E1198" s="20" t="n"/>
      <c r="F1198" s="20" t="n"/>
      <c r="G1198" s="20" t="n"/>
      <c r="H1198" s="20" t="n"/>
      <c r="I1198" s="20" t="n"/>
      <c r="J1198" s="20">
        <f>IFERROR(INDEX(CONFIGURACOES!$G$37:$G$300,MATCH($I1198,CONFIGURACOES!$B$37:$B$300,0)),"")</f>
        <v/>
      </c>
      <c r="K1198" s="20">
        <f>IFERROR(INDEX(CONFIGURACOES!$H$37:$H$300,MATCH($I1198,CONFIGURACOES!$B$37:$B$300,0)),"")</f>
        <v/>
      </c>
      <c r="L1198" s="20" t="n"/>
      <c r="M1198" s="20">
        <f>IFERROR(INDEX(CONFIGURACOES!$I$37:$I$300,MATCH($I1198,CONFIGURACOES!$B$37:$B$300,0)),"")</f>
        <v/>
      </c>
      <c r="N1198" s="21" t="n"/>
      <c r="O1198" s="21" t="n"/>
      <c r="P1198" s="21" t="n"/>
      <c r="Q1198" s="21" t="n"/>
      <c r="R1198" s="21">
        <f>IF($N1198="","",$N1198*IF($Q1198="",1,$Q1198)*IF($P1198="",1,$P1198)*IF($O1198="",1,$O1198))</f>
        <v/>
      </c>
      <c r="S1198" s="22">
        <f>IFERROR(INDEX(CONFIGURACOES!$J$37:$J$300,MATCH($I1198,CONFIGURACOES!$B$37:$B$300,0)),"")</f>
        <v/>
      </c>
      <c r="T1198" s="22">
        <f>IF(OR($R1198="",$S1198=""),"",$R1198*$S1198)</f>
        <v/>
      </c>
      <c r="U1198" s="20" t="n"/>
      <c r="V1198" s="20" t="n"/>
      <c r="W1198" s="20" t="n"/>
      <c r="X1198">
        <f>IF($A1198="","",$A1198&amp;"|"&amp;$C1198&amp;"|"&amp;$I1198)</f>
        <v/>
      </c>
      <c r="Y1198">
        <f>IF(AND($A1198=RELATORIO_MEDICAO!$C$5,$C1198=RELATORIO_MEDICAO!$F$5,$A1198&lt;&gt;""),COUNTIFS($A$3:$A1198,RELATORIO_MEDICAO!$C$5,$C$3:$C1198,RELATORIO_MEDICAO!$F$5),"")</f>
        <v/>
      </c>
      <c r="Z1198">
        <f>IF(OR($A1198="",PESQUISA!$C$4=""),0,IF(OR(ISNUMBER(SEARCH(PESQUISA!$C$4,$G1198)),ISNUMBER(SEARCH(PESQUISA!$C$4,$K1198)),ISNUMBER(SEARCH(PESQUISA!$C$4,$L1198))),1,0))</f>
        <v/>
      </c>
      <c r="AA1198">
        <f>IF($Z1198=1,SUM($Z$3:$Z1198),"")</f>
        <v/>
      </c>
      <c r="AB1198">
        <f>IF(OR($A1198="",PESQUISA!$C$50=""),0,IF(ISNUMBER(SEARCH(PESQUISA!$C$50,$I1198)),1,0))</f>
        <v/>
      </c>
      <c r="AC1198">
        <f>IF($AB1198=1,SUM($AB$3:$AB1198),"")</f>
        <v/>
      </c>
    </row>
    <row r="1199">
      <c r="A1199" s="20" t="n"/>
      <c r="B1199" s="20" t="n"/>
      <c r="C1199" s="20" t="n"/>
      <c r="D1199" s="20" t="n"/>
      <c r="E1199" s="20" t="n"/>
      <c r="F1199" s="20" t="n"/>
      <c r="G1199" s="20" t="n"/>
      <c r="H1199" s="20" t="n"/>
      <c r="I1199" s="20" t="n"/>
      <c r="J1199" s="20">
        <f>IFERROR(INDEX(CONFIGURACOES!$G$37:$G$300,MATCH($I1199,CONFIGURACOES!$B$37:$B$300,0)),"")</f>
        <v/>
      </c>
      <c r="K1199" s="20">
        <f>IFERROR(INDEX(CONFIGURACOES!$H$37:$H$300,MATCH($I1199,CONFIGURACOES!$B$37:$B$300,0)),"")</f>
        <v/>
      </c>
      <c r="L1199" s="20" t="n"/>
      <c r="M1199" s="20">
        <f>IFERROR(INDEX(CONFIGURACOES!$I$37:$I$300,MATCH($I1199,CONFIGURACOES!$B$37:$B$300,0)),"")</f>
        <v/>
      </c>
      <c r="N1199" s="21" t="n"/>
      <c r="O1199" s="21" t="n"/>
      <c r="P1199" s="21" t="n"/>
      <c r="Q1199" s="21" t="n"/>
      <c r="R1199" s="21">
        <f>IF($N1199="","",$N1199*IF($Q1199="",1,$Q1199)*IF($P1199="",1,$P1199)*IF($O1199="",1,$O1199))</f>
        <v/>
      </c>
      <c r="S1199" s="22">
        <f>IFERROR(INDEX(CONFIGURACOES!$J$37:$J$300,MATCH($I1199,CONFIGURACOES!$B$37:$B$300,0)),"")</f>
        <v/>
      </c>
      <c r="T1199" s="22">
        <f>IF(OR($R1199="",$S1199=""),"",$R1199*$S1199)</f>
        <v/>
      </c>
      <c r="U1199" s="20" t="n"/>
      <c r="V1199" s="20" t="n"/>
      <c r="W1199" s="20" t="n"/>
      <c r="X1199">
        <f>IF($A1199="","",$A1199&amp;"|"&amp;$C1199&amp;"|"&amp;$I1199)</f>
        <v/>
      </c>
      <c r="Y1199">
        <f>IF(AND($A1199=RELATORIO_MEDICAO!$C$5,$C1199=RELATORIO_MEDICAO!$F$5,$A1199&lt;&gt;""),COUNTIFS($A$3:$A1199,RELATORIO_MEDICAO!$C$5,$C$3:$C1199,RELATORIO_MEDICAO!$F$5),"")</f>
        <v/>
      </c>
      <c r="Z1199">
        <f>IF(OR($A1199="",PESQUISA!$C$4=""),0,IF(OR(ISNUMBER(SEARCH(PESQUISA!$C$4,$G1199)),ISNUMBER(SEARCH(PESQUISA!$C$4,$K1199)),ISNUMBER(SEARCH(PESQUISA!$C$4,$L1199))),1,0))</f>
        <v/>
      </c>
      <c r="AA1199">
        <f>IF($Z1199=1,SUM($Z$3:$Z1199),"")</f>
        <v/>
      </c>
      <c r="AB1199">
        <f>IF(OR($A1199="",PESQUISA!$C$50=""),0,IF(ISNUMBER(SEARCH(PESQUISA!$C$50,$I1199)),1,0))</f>
        <v/>
      </c>
      <c r="AC1199">
        <f>IF($AB1199=1,SUM($AB$3:$AB1199),"")</f>
        <v/>
      </c>
    </row>
    <row r="1200">
      <c r="A1200" s="20" t="n"/>
      <c r="B1200" s="20" t="n"/>
      <c r="C1200" s="20" t="n"/>
      <c r="D1200" s="20" t="n"/>
      <c r="E1200" s="20" t="n"/>
      <c r="F1200" s="20" t="n"/>
      <c r="G1200" s="20" t="n"/>
      <c r="H1200" s="20" t="n"/>
      <c r="I1200" s="20" t="n"/>
      <c r="J1200" s="20">
        <f>IFERROR(INDEX(CONFIGURACOES!$G$37:$G$300,MATCH($I1200,CONFIGURACOES!$B$37:$B$300,0)),"")</f>
        <v/>
      </c>
      <c r="K1200" s="20">
        <f>IFERROR(INDEX(CONFIGURACOES!$H$37:$H$300,MATCH($I1200,CONFIGURACOES!$B$37:$B$300,0)),"")</f>
        <v/>
      </c>
      <c r="L1200" s="20" t="n"/>
      <c r="M1200" s="20">
        <f>IFERROR(INDEX(CONFIGURACOES!$I$37:$I$300,MATCH($I1200,CONFIGURACOES!$B$37:$B$300,0)),"")</f>
        <v/>
      </c>
      <c r="N1200" s="21" t="n"/>
      <c r="O1200" s="21" t="n"/>
      <c r="P1200" s="21" t="n"/>
      <c r="Q1200" s="21" t="n"/>
      <c r="R1200" s="21">
        <f>IF($N1200="","",$N1200*IF($Q1200="",1,$Q1200)*IF($P1200="",1,$P1200)*IF($O1200="",1,$O1200))</f>
        <v/>
      </c>
      <c r="S1200" s="22">
        <f>IFERROR(INDEX(CONFIGURACOES!$J$37:$J$300,MATCH($I1200,CONFIGURACOES!$B$37:$B$300,0)),"")</f>
        <v/>
      </c>
      <c r="T1200" s="22">
        <f>IF(OR($R1200="",$S1200=""),"",$R1200*$S1200)</f>
        <v/>
      </c>
      <c r="U1200" s="20" t="n"/>
      <c r="V1200" s="20" t="n"/>
      <c r="W1200" s="20" t="n"/>
      <c r="X1200">
        <f>IF($A1200="","",$A1200&amp;"|"&amp;$C1200&amp;"|"&amp;$I1200)</f>
        <v/>
      </c>
      <c r="Y1200">
        <f>IF(AND($A1200=RELATORIO_MEDICAO!$C$5,$C1200=RELATORIO_MEDICAO!$F$5,$A1200&lt;&gt;""),COUNTIFS($A$3:$A1200,RELATORIO_MEDICAO!$C$5,$C$3:$C1200,RELATORIO_MEDICAO!$F$5),"")</f>
        <v/>
      </c>
      <c r="Z1200">
        <f>IF(OR($A1200="",PESQUISA!$C$4=""),0,IF(OR(ISNUMBER(SEARCH(PESQUISA!$C$4,$G1200)),ISNUMBER(SEARCH(PESQUISA!$C$4,$K1200)),ISNUMBER(SEARCH(PESQUISA!$C$4,$L1200))),1,0))</f>
        <v/>
      </c>
      <c r="AA1200">
        <f>IF($Z1200=1,SUM($Z$3:$Z1200),"")</f>
        <v/>
      </c>
      <c r="AB1200">
        <f>IF(OR($A1200="",PESQUISA!$C$50=""),0,IF(ISNUMBER(SEARCH(PESQUISA!$C$50,$I1200)),1,0))</f>
        <v/>
      </c>
      <c r="AC1200">
        <f>IF($AB1200=1,SUM($AB$3:$AB1200),"")</f>
        <v/>
      </c>
    </row>
    <row r="1201">
      <c r="A1201" s="20" t="n"/>
      <c r="B1201" s="20" t="n"/>
      <c r="C1201" s="20" t="n"/>
      <c r="D1201" s="20" t="n"/>
      <c r="E1201" s="20" t="n"/>
      <c r="F1201" s="20" t="n"/>
      <c r="G1201" s="20" t="n"/>
      <c r="H1201" s="20" t="n"/>
      <c r="I1201" s="20" t="n"/>
      <c r="J1201" s="20">
        <f>IFERROR(INDEX(CONFIGURACOES!$G$37:$G$300,MATCH($I1201,CONFIGURACOES!$B$37:$B$300,0)),"")</f>
        <v/>
      </c>
      <c r="K1201" s="20">
        <f>IFERROR(INDEX(CONFIGURACOES!$H$37:$H$300,MATCH($I1201,CONFIGURACOES!$B$37:$B$300,0)),"")</f>
        <v/>
      </c>
      <c r="L1201" s="20" t="n"/>
      <c r="M1201" s="20">
        <f>IFERROR(INDEX(CONFIGURACOES!$I$37:$I$300,MATCH($I1201,CONFIGURACOES!$B$37:$B$300,0)),"")</f>
        <v/>
      </c>
      <c r="N1201" s="21" t="n"/>
      <c r="O1201" s="21" t="n"/>
      <c r="P1201" s="21" t="n"/>
      <c r="Q1201" s="21" t="n"/>
      <c r="R1201" s="21">
        <f>IF($N1201="","",$N1201*IF($Q1201="",1,$Q1201)*IF($P1201="",1,$P1201)*IF($O1201="",1,$O1201))</f>
        <v/>
      </c>
      <c r="S1201" s="22">
        <f>IFERROR(INDEX(CONFIGURACOES!$J$37:$J$300,MATCH($I1201,CONFIGURACOES!$B$37:$B$300,0)),"")</f>
        <v/>
      </c>
      <c r="T1201" s="22">
        <f>IF(OR($R1201="",$S1201=""),"",$R1201*$S1201)</f>
        <v/>
      </c>
      <c r="U1201" s="20" t="n"/>
      <c r="V1201" s="20" t="n"/>
      <c r="W1201" s="20" t="n"/>
      <c r="X1201">
        <f>IF($A1201="","",$A1201&amp;"|"&amp;$C1201&amp;"|"&amp;$I1201)</f>
        <v/>
      </c>
      <c r="Y1201">
        <f>IF(AND($A1201=RELATORIO_MEDICAO!$C$5,$C1201=RELATORIO_MEDICAO!$F$5,$A1201&lt;&gt;""),COUNTIFS($A$3:$A1201,RELATORIO_MEDICAO!$C$5,$C$3:$C1201,RELATORIO_MEDICAO!$F$5),"")</f>
        <v/>
      </c>
      <c r="Z1201">
        <f>IF(OR($A1201="",PESQUISA!$C$4=""),0,IF(OR(ISNUMBER(SEARCH(PESQUISA!$C$4,$G1201)),ISNUMBER(SEARCH(PESQUISA!$C$4,$K1201)),ISNUMBER(SEARCH(PESQUISA!$C$4,$L1201))),1,0))</f>
        <v/>
      </c>
      <c r="AA1201">
        <f>IF($Z1201=1,SUM($Z$3:$Z1201),"")</f>
        <v/>
      </c>
      <c r="AB1201">
        <f>IF(OR($A1201="",PESQUISA!$C$50=""),0,IF(ISNUMBER(SEARCH(PESQUISA!$C$50,$I1201)),1,0))</f>
        <v/>
      </c>
      <c r="AC1201">
        <f>IF($AB1201=1,SUM($AB$3:$AB1201),"")</f>
        <v/>
      </c>
    </row>
    <row r="1202">
      <c r="A1202" s="20" t="n"/>
      <c r="B1202" s="20" t="n"/>
      <c r="C1202" s="20" t="n"/>
      <c r="D1202" s="20" t="n"/>
      <c r="E1202" s="20" t="n"/>
      <c r="F1202" s="20" t="n"/>
      <c r="G1202" s="20" t="n"/>
      <c r="H1202" s="20" t="n"/>
      <c r="I1202" s="20" t="n"/>
      <c r="J1202" s="20">
        <f>IFERROR(INDEX(CONFIGURACOES!$G$37:$G$300,MATCH($I1202,CONFIGURACOES!$B$37:$B$300,0)),"")</f>
        <v/>
      </c>
      <c r="K1202" s="20">
        <f>IFERROR(INDEX(CONFIGURACOES!$H$37:$H$300,MATCH($I1202,CONFIGURACOES!$B$37:$B$300,0)),"")</f>
        <v/>
      </c>
      <c r="L1202" s="20" t="n"/>
      <c r="M1202" s="20">
        <f>IFERROR(INDEX(CONFIGURACOES!$I$37:$I$300,MATCH($I1202,CONFIGURACOES!$B$37:$B$300,0)),"")</f>
        <v/>
      </c>
      <c r="N1202" s="21" t="n"/>
      <c r="O1202" s="21" t="n"/>
      <c r="P1202" s="21" t="n"/>
      <c r="Q1202" s="21" t="n"/>
      <c r="R1202" s="21">
        <f>IF($N1202="","",$N1202*IF($Q1202="",1,$Q1202)*IF($P1202="",1,$P1202)*IF($O1202="",1,$O1202))</f>
        <v/>
      </c>
      <c r="S1202" s="22">
        <f>IFERROR(INDEX(CONFIGURACOES!$J$37:$J$300,MATCH($I1202,CONFIGURACOES!$B$37:$B$300,0)),"")</f>
        <v/>
      </c>
      <c r="T1202" s="22">
        <f>IF(OR($R1202="",$S1202=""),"",$R1202*$S1202)</f>
        <v/>
      </c>
      <c r="U1202" s="20" t="n"/>
      <c r="V1202" s="20" t="n"/>
      <c r="W1202" s="20" t="n"/>
      <c r="X1202">
        <f>IF($A1202="","",$A1202&amp;"|"&amp;$C1202&amp;"|"&amp;$I1202)</f>
        <v/>
      </c>
      <c r="Y1202">
        <f>IF(AND($A1202=RELATORIO_MEDICAO!$C$5,$C1202=RELATORIO_MEDICAO!$F$5,$A1202&lt;&gt;""),COUNTIFS($A$3:$A1202,RELATORIO_MEDICAO!$C$5,$C$3:$C1202,RELATORIO_MEDICAO!$F$5),"")</f>
        <v/>
      </c>
      <c r="Z1202">
        <f>IF(OR($A1202="",PESQUISA!$C$4=""),0,IF(OR(ISNUMBER(SEARCH(PESQUISA!$C$4,$G1202)),ISNUMBER(SEARCH(PESQUISA!$C$4,$K1202)),ISNUMBER(SEARCH(PESQUISA!$C$4,$L1202))),1,0))</f>
        <v/>
      </c>
      <c r="AA1202">
        <f>IF($Z1202=1,SUM($Z$3:$Z1202),"")</f>
        <v/>
      </c>
      <c r="AB1202">
        <f>IF(OR($A1202="",PESQUISA!$C$50=""),0,IF(ISNUMBER(SEARCH(PESQUISA!$C$50,$I1202)),1,0))</f>
        <v/>
      </c>
      <c r="AC1202">
        <f>IF($AB1202=1,SUM($AB$3:$AB1202),"")</f>
        <v/>
      </c>
    </row>
    <row r="1203">
      <c r="A1203" s="20" t="n"/>
      <c r="B1203" s="20" t="n"/>
      <c r="C1203" s="20" t="n"/>
      <c r="D1203" s="20" t="n"/>
      <c r="E1203" s="20" t="n"/>
      <c r="F1203" s="20" t="n"/>
      <c r="G1203" s="20" t="n"/>
      <c r="H1203" s="20" t="n"/>
      <c r="I1203" s="20" t="n"/>
      <c r="J1203" s="20">
        <f>IFERROR(INDEX(CONFIGURACOES!$G$37:$G$300,MATCH($I1203,CONFIGURACOES!$B$37:$B$300,0)),"")</f>
        <v/>
      </c>
      <c r="K1203" s="20">
        <f>IFERROR(INDEX(CONFIGURACOES!$H$37:$H$300,MATCH($I1203,CONFIGURACOES!$B$37:$B$300,0)),"")</f>
        <v/>
      </c>
      <c r="L1203" s="20" t="n"/>
      <c r="M1203" s="20">
        <f>IFERROR(INDEX(CONFIGURACOES!$I$37:$I$300,MATCH($I1203,CONFIGURACOES!$B$37:$B$300,0)),"")</f>
        <v/>
      </c>
      <c r="N1203" s="21" t="n"/>
      <c r="O1203" s="21" t="n"/>
      <c r="P1203" s="21" t="n"/>
      <c r="Q1203" s="21" t="n"/>
      <c r="R1203" s="21">
        <f>IF($N1203="","",$N1203*IF($Q1203="",1,$Q1203)*IF($P1203="",1,$P1203)*IF($O1203="",1,$O1203))</f>
        <v/>
      </c>
      <c r="S1203" s="22">
        <f>IFERROR(INDEX(CONFIGURACOES!$J$37:$J$300,MATCH($I1203,CONFIGURACOES!$B$37:$B$300,0)),"")</f>
        <v/>
      </c>
      <c r="T1203" s="22">
        <f>IF(OR($R1203="",$S1203=""),"",$R1203*$S1203)</f>
        <v/>
      </c>
      <c r="U1203" s="20" t="n"/>
      <c r="V1203" s="20" t="n"/>
      <c r="W1203" s="20" t="n"/>
      <c r="X1203">
        <f>IF($A1203="","",$A1203&amp;"|"&amp;$C1203&amp;"|"&amp;$I1203)</f>
        <v/>
      </c>
      <c r="Y1203">
        <f>IF(AND($A1203=RELATORIO_MEDICAO!$C$5,$C1203=RELATORIO_MEDICAO!$F$5,$A1203&lt;&gt;""),COUNTIFS($A$3:$A1203,RELATORIO_MEDICAO!$C$5,$C$3:$C1203,RELATORIO_MEDICAO!$F$5),"")</f>
        <v/>
      </c>
      <c r="Z1203">
        <f>IF(OR($A1203="",PESQUISA!$C$4=""),0,IF(OR(ISNUMBER(SEARCH(PESQUISA!$C$4,$G1203)),ISNUMBER(SEARCH(PESQUISA!$C$4,$K1203)),ISNUMBER(SEARCH(PESQUISA!$C$4,$L1203))),1,0))</f>
        <v/>
      </c>
      <c r="AA1203">
        <f>IF($Z1203=1,SUM($Z$3:$Z1203),"")</f>
        <v/>
      </c>
      <c r="AB1203">
        <f>IF(OR($A1203="",PESQUISA!$C$50=""),0,IF(ISNUMBER(SEARCH(PESQUISA!$C$50,$I1203)),1,0))</f>
        <v/>
      </c>
      <c r="AC1203">
        <f>IF($AB1203=1,SUM($AB$3:$AB1203),"")</f>
        <v/>
      </c>
    </row>
    <row r="1204">
      <c r="A1204" s="20" t="n"/>
      <c r="B1204" s="20" t="n"/>
      <c r="C1204" s="20" t="n"/>
      <c r="D1204" s="20" t="n"/>
      <c r="E1204" s="20" t="n"/>
      <c r="F1204" s="20" t="n"/>
      <c r="G1204" s="20" t="n"/>
      <c r="H1204" s="20" t="n"/>
      <c r="I1204" s="20" t="n"/>
      <c r="J1204" s="20">
        <f>IFERROR(INDEX(CONFIGURACOES!$G$37:$G$300,MATCH($I1204,CONFIGURACOES!$B$37:$B$300,0)),"")</f>
        <v/>
      </c>
      <c r="K1204" s="20">
        <f>IFERROR(INDEX(CONFIGURACOES!$H$37:$H$300,MATCH($I1204,CONFIGURACOES!$B$37:$B$300,0)),"")</f>
        <v/>
      </c>
      <c r="L1204" s="20" t="n"/>
      <c r="M1204" s="20">
        <f>IFERROR(INDEX(CONFIGURACOES!$I$37:$I$300,MATCH($I1204,CONFIGURACOES!$B$37:$B$300,0)),"")</f>
        <v/>
      </c>
      <c r="N1204" s="21" t="n"/>
      <c r="O1204" s="21" t="n"/>
      <c r="P1204" s="21" t="n"/>
      <c r="Q1204" s="21" t="n"/>
      <c r="R1204" s="21">
        <f>IF($N1204="","",$N1204*IF($Q1204="",1,$Q1204)*IF($P1204="",1,$P1204)*IF($O1204="",1,$O1204))</f>
        <v/>
      </c>
      <c r="S1204" s="22">
        <f>IFERROR(INDEX(CONFIGURACOES!$J$37:$J$300,MATCH($I1204,CONFIGURACOES!$B$37:$B$300,0)),"")</f>
        <v/>
      </c>
      <c r="T1204" s="22">
        <f>IF(OR($R1204="",$S1204=""),"",$R1204*$S1204)</f>
        <v/>
      </c>
      <c r="U1204" s="20" t="n"/>
      <c r="V1204" s="20" t="n"/>
      <c r="W1204" s="20" t="n"/>
      <c r="X1204">
        <f>IF($A1204="","",$A1204&amp;"|"&amp;$C1204&amp;"|"&amp;$I1204)</f>
        <v/>
      </c>
      <c r="Y1204">
        <f>IF(AND($A1204=RELATORIO_MEDICAO!$C$5,$C1204=RELATORIO_MEDICAO!$F$5,$A1204&lt;&gt;""),COUNTIFS($A$3:$A1204,RELATORIO_MEDICAO!$C$5,$C$3:$C1204,RELATORIO_MEDICAO!$F$5),"")</f>
        <v/>
      </c>
      <c r="Z1204">
        <f>IF(OR($A1204="",PESQUISA!$C$4=""),0,IF(OR(ISNUMBER(SEARCH(PESQUISA!$C$4,$G1204)),ISNUMBER(SEARCH(PESQUISA!$C$4,$K1204)),ISNUMBER(SEARCH(PESQUISA!$C$4,$L1204))),1,0))</f>
        <v/>
      </c>
      <c r="AA1204">
        <f>IF($Z1204=1,SUM($Z$3:$Z1204),"")</f>
        <v/>
      </c>
      <c r="AB1204">
        <f>IF(OR($A1204="",PESQUISA!$C$50=""),0,IF(ISNUMBER(SEARCH(PESQUISA!$C$50,$I1204)),1,0))</f>
        <v/>
      </c>
      <c r="AC1204">
        <f>IF($AB1204=1,SUM($AB$3:$AB1204),"")</f>
        <v/>
      </c>
    </row>
    <row r="1205">
      <c r="A1205" s="20" t="n"/>
      <c r="B1205" s="20" t="n"/>
      <c r="C1205" s="20" t="n"/>
      <c r="D1205" s="20" t="n"/>
      <c r="E1205" s="20" t="n"/>
      <c r="F1205" s="20" t="n"/>
      <c r="G1205" s="20" t="n"/>
      <c r="H1205" s="20" t="n"/>
      <c r="I1205" s="20" t="n"/>
      <c r="J1205" s="20">
        <f>IFERROR(INDEX(CONFIGURACOES!$G$37:$G$300,MATCH($I1205,CONFIGURACOES!$B$37:$B$300,0)),"")</f>
        <v/>
      </c>
      <c r="K1205" s="20">
        <f>IFERROR(INDEX(CONFIGURACOES!$H$37:$H$300,MATCH($I1205,CONFIGURACOES!$B$37:$B$300,0)),"")</f>
        <v/>
      </c>
      <c r="L1205" s="20" t="n"/>
      <c r="M1205" s="20">
        <f>IFERROR(INDEX(CONFIGURACOES!$I$37:$I$300,MATCH($I1205,CONFIGURACOES!$B$37:$B$300,0)),"")</f>
        <v/>
      </c>
      <c r="N1205" s="21" t="n"/>
      <c r="O1205" s="21" t="n"/>
      <c r="P1205" s="21" t="n"/>
      <c r="Q1205" s="21" t="n"/>
      <c r="R1205" s="21">
        <f>IF($N1205="","",$N1205*IF($Q1205="",1,$Q1205)*IF($P1205="",1,$P1205)*IF($O1205="",1,$O1205))</f>
        <v/>
      </c>
      <c r="S1205" s="22">
        <f>IFERROR(INDEX(CONFIGURACOES!$J$37:$J$300,MATCH($I1205,CONFIGURACOES!$B$37:$B$300,0)),"")</f>
        <v/>
      </c>
      <c r="T1205" s="22">
        <f>IF(OR($R1205="",$S1205=""),"",$R1205*$S1205)</f>
        <v/>
      </c>
      <c r="U1205" s="20" t="n"/>
      <c r="V1205" s="20" t="n"/>
      <c r="W1205" s="20" t="n"/>
      <c r="X1205">
        <f>IF($A1205="","",$A1205&amp;"|"&amp;$C1205&amp;"|"&amp;$I1205)</f>
        <v/>
      </c>
      <c r="Y1205">
        <f>IF(AND($A1205=RELATORIO_MEDICAO!$C$5,$C1205=RELATORIO_MEDICAO!$F$5,$A1205&lt;&gt;""),COUNTIFS($A$3:$A1205,RELATORIO_MEDICAO!$C$5,$C$3:$C1205,RELATORIO_MEDICAO!$F$5),"")</f>
        <v/>
      </c>
      <c r="Z1205">
        <f>IF(OR($A1205="",PESQUISA!$C$4=""),0,IF(OR(ISNUMBER(SEARCH(PESQUISA!$C$4,$G1205)),ISNUMBER(SEARCH(PESQUISA!$C$4,$K1205)),ISNUMBER(SEARCH(PESQUISA!$C$4,$L1205))),1,0))</f>
        <v/>
      </c>
      <c r="AA1205">
        <f>IF($Z1205=1,SUM($Z$3:$Z1205),"")</f>
        <v/>
      </c>
      <c r="AB1205">
        <f>IF(OR($A1205="",PESQUISA!$C$50=""),0,IF(ISNUMBER(SEARCH(PESQUISA!$C$50,$I1205)),1,0))</f>
        <v/>
      </c>
      <c r="AC1205">
        <f>IF($AB1205=1,SUM($AB$3:$AB1205),"")</f>
        <v/>
      </c>
    </row>
    <row r="1206">
      <c r="A1206" s="20" t="n"/>
      <c r="B1206" s="20" t="n"/>
      <c r="C1206" s="20" t="n"/>
      <c r="D1206" s="20" t="n"/>
      <c r="E1206" s="20" t="n"/>
      <c r="F1206" s="20" t="n"/>
      <c r="G1206" s="20" t="n"/>
      <c r="H1206" s="20" t="n"/>
      <c r="I1206" s="20" t="n"/>
      <c r="J1206" s="20">
        <f>IFERROR(INDEX(CONFIGURACOES!$G$37:$G$300,MATCH($I1206,CONFIGURACOES!$B$37:$B$300,0)),"")</f>
        <v/>
      </c>
      <c r="K1206" s="20">
        <f>IFERROR(INDEX(CONFIGURACOES!$H$37:$H$300,MATCH($I1206,CONFIGURACOES!$B$37:$B$300,0)),"")</f>
        <v/>
      </c>
      <c r="L1206" s="20" t="n"/>
      <c r="M1206" s="20">
        <f>IFERROR(INDEX(CONFIGURACOES!$I$37:$I$300,MATCH($I1206,CONFIGURACOES!$B$37:$B$300,0)),"")</f>
        <v/>
      </c>
      <c r="N1206" s="21" t="n"/>
      <c r="O1206" s="21" t="n"/>
      <c r="P1206" s="21" t="n"/>
      <c r="Q1206" s="21" t="n"/>
      <c r="R1206" s="21">
        <f>IF($N1206="","",$N1206*IF($Q1206="",1,$Q1206)*IF($P1206="",1,$P1206)*IF($O1206="",1,$O1206))</f>
        <v/>
      </c>
      <c r="S1206" s="22">
        <f>IFERROR(INDEX(CONFIGURACOES!$J$37:$J$300,MATCH($I1206,CONFIGURACOES!$B$37:$B$300,0)),"")</f>
        <v/>
      </c>
      <c r="T1206" s="22">
        <f>IF(OR($R1206="",$S1206=""),"",$R1206*$S1206)</f>
        <v/>
      </c>
      <c r="U1206" s="20" t="n"/>
      <c r="V1206" s="20" t="n"/>
      <c r="W1206" s="20" t="n"/>
      <c r="X1206">
        <f>IF($A1206="","",$A1206&amp;"|"&amp;$C1206&amp;"|"&amp;$I1206)</f>
        <v/>
      </c>
      <c r="Y1206">
        <f>IF(AND($A1206=RELATORIO_MEDICAO!$C$5,$C1206=RELATORIO_MEDICAO!$F$5,$A1206&lt;&gt;""),COUNTIFS($A$3:$A1206,RELATORIO_MEDICAO!$C$5,$C$3:$C1206,RELATORIO_MEDICAO!$F$5),"")</f>
        <v/>
      </c>
      <c r="Z1206">
        <f>IF(OR($A1206="",PESQUISA!$C$4=""),0,IF(OR(ISNUMBER(SEARCH(PESQUISA!$C$4,$G1206)),ISNUMBER(SEARCH(PESQUISA!$C$4,$K1206)),ISNUMBER(SEARCH(PESQUISA!$C$4,$L1206))),1,0))</f>
        <v/>
      </c>
      <c r="AA1206">
        <f>IF($Z1206=1,SUM($Z$3:$Z1206),"")</f>
        <v/>
      </c>
      <c r="AB1206">
        <f>IF(OR($A1206="",PESQUISA!$C$50=""),0,IF(ISNUMBER(SEARCH(PESQUISA!$C$50,$I1206)),1,0))</f>
        <v/>
      </c>
      <c r="AC1206">
        <f>IF($AB1206=1,SUM($AB$3:$AB1206),"")</f>
        <v/>
      </c>
    </row>
    <row r="1207">
      <c r="A1207" s="20" t="n"/>
      <c r="B1207" s="20" t="n"/>
      <c r="C1207" s="20" t="n"/>
      <c r="D1207" s="20" t="n"/>
      <c r="E1207" s="20" t="n"/>
      <c r="F1207" s="20" t="n"/>
      <c r="G1207" s="20" t="n"/>
      <c r="H1207" s="20" t="n"/>
      <c r="I1207" s="20" t="n"/>
      <c r="J1207" s="20">
        <f>IFERROR(INDEX(CONFIGURACOES!$G$37:$G$300,MATCH($I1207,CONFIGURACOES!$B$37:$B$300,0)),"")</f>
        <v/>
      </c>
      <c r="K1207" s="20">
        <f>IFERROR(INDEX(CONFIGURACOES!$H$37:$H$300,MATCH($I1207,CONFIGURACOES!$B$37:$B$300,0)),"")</f>
        <v/>
      </c>
      <c r="L1207" s="20" t="n"/>
      <c r="M1207" s="20">
        <f>IFERROR(INDEX(CONFIGURACOES!$I$37:$I$300,MATCH($I1207,CONFIGURACOES!$B$37:$B$300,0)),"")</f>
        <v/>
      </c>
      <c r="N1207" s="21" t="n"/>
      <c r="O1207" s="21" t="n"/>
      <c r="P1207" s="21" t="n"/>
      <c r="Q1207" s="21" t="n"/>
      <c r="R1207" s="21">
        <f>IF($N1207="","",$N1207*IF($Q1207="",1,$Q1207)*IF($P1207="",1,$P1207)*IF($O1207="",1,$O1207))</f>
        <v/>
      </c>
      <c r="S1207" s="22">
        <f>IFERROR(INDEX(CONFIGURACOES!$J$37:$J$300,MATCH($I1207,CONFIGURACOES!$B$37:$B$300,0)),"")</f>
        <v/>
      </c>
      <c r="T1207" s="22">
        <f>IF(OR($R1207="",$S1207=""),"",$R1207*$S1207)</f>
        <v/>
      </c>
      <c r="U1207" s="20" t="n"/>
      <c r="V1207" s="20" t="n"/>
      <c r="W1207" s="20" t="n"/>
      <c r="X1207">
        <f>IF($A1207="","",$A1207&amp;"|"&amp;$C1207&amp;"|"&amp;$I1207)</f>
        <v/>
      </c>
      <c r="Y1207">
        <f>IF(AND($A1207=RELATORIO_MEDICAO!$C$5,$C1207=RELATORIO_MEDICAO!$F$5,$A1207&lt;&gt;""),COUNTIFS($A$3:$A1207,RELATORIO_MEDICAO!$C$5,$C$3:$C1207,RELATORIO_MEDICAO!$F$5),"")</f>
        <v/>
      </c>
      <c r="Z1207">
        <f>IF(OR($A1207="",PESQUISA!$C$4=""),0,IF(OR(ISNUMBER(SEARCH(PESQUISA!$C$4,$G1207)),ISNUMBER(SEARCH(PESQUISA!$C$4,$K1207)),ISNUMBER(SEARCH(PESQUISA!$C$4,$L1207))),1,0))</f>
        <v/>
      </c>
      <c r="AA1207">
        <f>IF($Z1207=1,SUM($Z$3:$Z1207),"")</f>
        <v/>
      </c>
      <c r="AB1207">
        <f>IF(OR($A1207="",PESQUISA!$C$50=""),0,IF(ISNUMBER(SEARCH(PESQUISA!$C$50,$I1207)),1,0))</f>
        <v/>
      </c>
      <c r="AC1207">
        <f>IF($AB1207=1,SUM($AB$3:$AB1207),"")</f>
        <v/>
      </c>
    </row>
    <row r="1208">
      <c r="A1208" s="20" t="n"/>
      <c r="B1208" s="20" t="n"/>
      <c r="C1208" s="20" t="n"/>
      <c r="D1208" s="20" t="n"/>
      <c r="E1208" s="20" t="n"/>
      <c r="F1208" s="20" t="n"/>
      <c r="G1208" s="20" t="n"/>
      <c r="H1208" s="20" t="n"/>
      <c r="I1208" s="20" t="n"/>
      <c r="J1208" s="20">
        <f>IFERROR(INDEX(CONFIGURACOES!$G$37:$G$300,MATCH($I1208,CONFIGURACOES!$B$37:$B$300,0)),"")</f>
        <v/>
      </c>
      <c r="K1208" s="20">
        <f>IFERROR(INDEX(CONFIGURACOES!$H$37:$H$300,MATCH($I1208,CONFIGURACOES!$B$37:$B$300,0)),"")</f>
        <v/>
      </c>
      <c r="L1208" s="20" t="n"/>
      <c r="M1208" s="20">
        <f>IFERROR(INDEX(CONFIGURACOES!$I$37:$I$300,MATCH($I1208,CONFIGURACOES!$B$37:$B$300,0)),"")</f>
        <v/>
      </c>
      <c r="N1208" s="21" t="n"/>
      <c r="O1208" s="21" t="n"/>
      <c r="P1208" s="21" t="n"/>
      <c r="Q1208" s="21" t="n"/>
      <c r="R1208" s="21">
        <f>IF($N1208="","",$N1208*IF($Q1208="",1,$Q1208)*IF($P1208="",1,$P1208)*IF($O1208="",1,$O1208))</f>
        <v/>
      </c>
      <c r="S1208" s="22">
        <f>IFERROR(INDEX(CONFIGURACOES!$J$37:$J$300,MATCH($I1208,CONFIGURACOES!$B$37:$B$300,0)),"")</f>
        <v/>
      </c>
      <c r="T1208" s="22">
        <f>IF(OR($R1208="",$S1208=""),"",$R1208*$S1208)</f>
        <v/>
      </c>
      <c r="U1208" s="20" t="n"/>
      <c r="V1208" s="20" t="n"/>
      <c r="W1208" s="20" t="n"/>
      <c r="X1208">
        <f>IF($A1208="","",$A1208&amp;"|"&amp;$C1208&amp;"|"&amp;$I1208)</f>
        <v/>
      </c>
      <c r="Y1208">
        <f>IF(AND($A1208=RELATORIO_MEDICAO!$C$5,$C1208=RELATORIO_MEDICAO!$F$5,$A1208&lt;&gt;""),COUNTIFS($A$3:$A1208,RELATORIO_MEDICAO!$C$5,$C$3:$C1208,RELATORIO_MEDICAO!$F$5),"")</f>
        <v/>
      </c>
      <c r="Z1208">
        <f>IF(OR($A1208="",PESQUISA!$C$4=""),0,IF(OR(ISNUMBER(SEARCH(PESQUISA!$C$4,$G1208)),ISNUMBER(SEARCH(PESQUISA!$C$4,$K1208)),ISNUMBER(SEARCH(PESQUISA!$C$4,$L1208))),1,0))</f>
        <v/>
      </c>
      <c r="AA1208">
        <f>IF($Z1208=1,SUM($Z$3:$Z1208),"")</f>
        <v/>
      </c>
      <c r="AB1208">
        <f>IF(OR($A1208="",PESQUISA!$C$50=""),0,IF(ISNUMBER(SEARCH(PESQUISA!$C$50,$I1208)),1,0))</f>
        <v/>
      </c>
      <c r="AC1208">
        <f>IF($AB1208=1,SUM($AB$3:$AB1208),"")</f>
        <v/>
      </c>
    </row>
    <row r="1209">
      <c r="A1209" s="20" t="n"/>
      <c r="B1209" s="20" t="n"/>
      <c r="C1209" s="20" t="n"/>
      <c r="D1209" s="20" t="n"/>
      <c r="E1209" s="20" t="n"/>
      <c r="F1209" s="20" t="n"/>
      <c r="G1209" s="20" t="n"/>
      <c r="H1209" s="20" t="n"/>
      <c r="I1209" s="20" t="n"/>
      <c r="J1209" s="20">
        <f>IFERROR(INDEX(CONFIGURACOES!$G$37:$G$300,MATCH($I1209,CONFIGURACOES!$B$37:$B$300,0)),"")</f>
        <v/>
      </c>
      <c r="K1209" s="20">
        <f>IFERROR(INDEX(CONFIGURACOES!$H$37:$H$300,MATCH($I1209,CONFIGURACOES!$B$37:$B$300,0)),"")</f>
        <v/>
      </c>
      <c r="L1209" s="20" t="n"/>
      <c r="M1209" s="20">
        <f>IFERROR(INDEX(CONFIGURACOES!$I$37:$I$300,MATCH($I1209,CONFIGURACOES!$B$37:$B$300,0)),"")</f>
        <v/>
      </c>
      <c r="N1209" s="21" t="n"/>
      <c r="O1209" s="21" t="n"/>
      <c r="P1209" s="21" t="n"/>
      <c r="Q1209" s="21" t="n"/>
      <c r="R1209" s="21">
        <f>IF($N1209="","",$N1209*IF($Q1209="",1,$Q1209)*IF($P1209="",1,$P1209)*IF($O1209="",1,$O1209))</f>
        <v/>
      </c>
      <c r="S1209" s="22">
        <f>IFERROR(INDEX(CONFIGURACOES!$J$37:$J$300,MATCH($I1209,CONFIGURACOES!$B$37:$B$300,0)),"")</f>
        <v/>
      </c>
      <c r="T1209" s="22">
        <f>IF(OR($R1209="",$S1209=""),"",$R1209*$S1209)</f>
        <v/>
      </c>
      <c r="U1209" s="20" t="n"/>
      <c r="V1209" s="20" t="n"/>
      <c r="W1209" s="20" t="n"/>
      <c r="X1209">
        <f>IF($A1209="","",$A1209&amp;"|"&amp;$C1209&amp;"|"&amp;$I1209)</f>
        <v/>
      </c>
      <c r="Y1209">
        <f>IF(AND($A1209=RELATORIO_MEDICAO!$C$5,$C1209=RELATORIO_MEDICAO!$F$5,$A1209&lt;&gt;""),COUNTIFS($A$3:$A1209,RELATORIO_MEDICAO!$C$5,$C$3:$C1209,RELATORIO_MEDICAO!$F$5),"")</f>
        <v/>
      </c>
      <c r="Z1209">
        <f>IF(OR($A1209="",PESQUISA!$C$4=""),0,IF(OR(ISNUMBER(SEARCH(PESQUISA!$C$4,$G1209)),ISNUMBER(SEARCH(PESQUISA!$C$4,$K1209)),ISNUMBER(SEARCH(PESQUISA!$C$4,$L1209))),1,0))</f>
        <v/>
      </c>
      <c r="AA1209">
        <f>IF($Z1209=1,SUM($Z$3:$Z1209),"")</f>
        <v/>
      </c>
      <c r="AB1209">
        <f>IF(OR($A1209="",PESQUISA!$C$50=""),0,IF(ISNUMBER(SEARCH(PESQUISA!$C$50,$I1209)),1,0))</f>
        <v/>
      </c>
      <c r="AC1209">
        <f>IF($AB1209=1,SUM($AB$3:$AB1209),"")</f>
        <v/>
      </c>
    </row>
    <row r="1210">
      <c r="A1210" s="20" t="n"/>
      <c r="B1210" s="20" t="n"/>
      <c r="C1210" s="20" t="n"/>
      <c r="D1210" s="20" t="n"/>
      <c r="E1210" s="20" t="n"/>
      <c r="F1210" s="20" t="n"/>
      <c r="G1210" s="20" t="n"/>
      <c r="H1210" s="20" t="n"/>
      <c r="I1210" s="20" t="n"/>
      <c r="J1210" s="20">
        <f>IFERROR(INDEX(CONFIGURACOES!$G$37:$G$300,MATCH($I1210,CONFIGURACOES!$B$37:$B$300,0)),"")</f>
        <v/>
      </c>
      <c r="K1210" s="20">
        <f>IFERROR(INDEX(CONFIGURACOES!$H$37:$H$300,MATCH($I1210,CONFIGURACOES!$B$37:$B$300,0)),"")</f>
        <v/>
      </c>
      <c r="L1210" s="20" t="n"/>
      <c r="M1210" s="20">
        <f>IFERROR(INDEX(CONFIGURACOES!$I$37:$I$300,MATCH($I1210,CONFIGURACOES!$B$37:$B$300,0)),"")</f>
        <v/>
      </c>
      <c r="N1210" s="21" t="n"/>
      <c r="O1210" s="21" t="n"/>
      <c r="P1210" s="21" t="n"/>
      <c r="Q1210" s="21" t="n"/>
      <c r="R1210" s="21">
        <f>IF($N1210="","",$N1210*IF($Q1210="",1,$Q1210)*IF($P1210="",1,$P1210)*IF($O1210="",1,$O1210))</f>
        <v/>
      </c>
      <c r="S1210" s="22">
        <f>IFERROR(INDEX(CONFIGURACOES!$J$37:$J$300,MATCH($I1210,CONFIGURACOES!$B$37:$B$300,0)),"")</f>
        <v/>
      </c>
      <c r="T1210" s="22">
        <f>IF(OR($R1210="",$S1210=""),"",$R1210*$S1210)</f>
        <v/>
      </c>
      <c r="U1210" s="20" t="n"/>
      <c r="V1210" s="20" t="n"/>
      <c r="W1210" s="20" t="n"/>
      <c r="X1210">
        <f>IF($A1210="","",$A1210&amp;"|"&amp;$C1210&amp;"|"&amp;$I1210)</f>
        <v/>
      </c>
      <c r="Y1210">
        <f>IF(AND($A1210=RELATORIO_MEDICAO!$C$5,$C1210=RELATORIO_MEDICAO!$F$5,$A1210&lt;&gt;""),COUNTIFS($A$3:$A1210,RELATORIO_MEDICAO!$C$5,$C$3:$C1210,RELATORIO_MEDICAO!$F$5),"")</f>
        <v/>
      </c>
      <c r="Z1210">
        <f>IF(OR($A1210="",PESQUISA!$C$4=""),0,IF(OR(ISNUMBER(SEARCH(PESQUISA!$C$4,$G1210)),ISNUMBER(SEARCH(PESQUISA!$C$4,$K1210)),ISNUMBER(SEARCH(PESQUISA!$C$4,$L1210))),1,0))</f>
        <v/>
      </c>
      <c r="AA1210">
        <f>IF($Z1210=1,SUM($Z$3:$Z1210),"")</f>
        <v/>
      </c>
      <c r="AB1210">
        <f>IF(OR($A1210="",PESQUISA!$C$50=""),0,IF(ISNUMBER(SEARCH(PESQUISA!$C$50,$I1210)),1,0))</f>
        <v/>
      </c>
      <c r="AC1210">
        <f>IF($AB1210=1,SUM($AB$3:$AB1210),"")</f>
        <v/>
      </c>
    </row>
    <row r="1211">
      <c r="A1211" s="20" t="n"/>
      <c r="B1211" s="20" t="n"/>
      <c r="C1211" s="20" t="n"/>
      <c r="D1211" s="20" t="n"/>
      <c r="E1211" s="20" t="n"/>
      <c r="F1211" s="20" t="n"/>
      <c r="G1211" s="20" t="n"/>
      <c r="H1211" s="20" t="n"/>
      <c r="I1211" s="20" t="n"/>
      <c r="J1211" s="20">
        <f>IFERROR(INDEX(CONFIGURACOES!$G$37:$G$300,MATCH($I1211,CONFIGURACOES!$B$37:$B$300,0)),"")</f>
        <v/>
      </c>
      <c r="K1211" s="20">
        <f>IFERROR(INDEX(CONFIGURACOES!$H$37:$H$300,MATCH($I1211,CONFIGURACOES!$B$37:$B$300,0)),"")</f>
        <v/>
      </c>
      <c r="L1211" s="20" t="n"/>
      <c r="M1211" s="20">
        <f>IFERROR(INDEX(CONFIGURACOES!$I$37:$I$300,MATCH($I1211,CONFIGURACOES!$B$37:$B$300,0)),"")</f>
        <v/>
      </c>
      <c r="N1211" s="21" t="n"/>
      <c r="O1211" s="21" t="n"/>
      <c r="P1211" s="21" t="n"/>
      <c r="Q1211" s="21" t="n"/>
      <c r="R1211" s="21">
        <f>IF($N1211="","",$N1211*IF($Q1211="",1,$Q1211)*IF($P1211="",1,$P1211)*IF($O1211="",1,$O1211))</f>
        <v/>
      </c>
      <c r="S1211" s="22">
        <f>IFERROR(INDEX(CONFIGURACOES!$J$37:$J$300,MATCH($I1211,CONFIGURACOES!$B$37:$B$300,0)),"")</f>
        <v/>
      </c>
      <c r="T1211" s="22">
        <f>IF(OR($R1211="",$S1211=""),"",$R1211*$S1211)</f>
        <v/>
      </c>
      <c r="U1211" s="20" t="n"/>
      <c r="V1211" s="20" t="n"/>
      <c r="W1211" s="20" t="n"/>
      <c r="X1211">
        <f>IF($A1211="","",$A1211&amp;"|"&amp;$C1211&amp;"|"&amp;$I1211)</f>
        <v/>
      </c>
      <c r="Y1211">
        <f>IF(AND($A1211=RELATORIO_MEDICAO!$C$5,$C1211=RELATORIO_MEDICAO!$F$5,$A1211&lt;&gt;""),COUNTIFS($A$3:$A1211,RELATORIO_MEDICAO!$C$5,$C$3:$C1211,RELATORIO_MEDICAO!$F$5),"")</f>
        <v/>
      </c>
      <c r="Z1211">
        <f>IF(OR($A1211="",PESQUISA!$C$4=""),0,IF(OR(ISNUMBER(SEARCH(PESQUISA!$C$4,$G1211)),ISNUMBER(SEARCH(PESQUISA!$C$4,$K1211)),ISNUMBER(SEARCH(PESQUISA!$C$4,$L1211))),1,0))</f>
        <v/>
      </c>
      <c r="AA1211">
        <f>IF($Z1211=1,SUM($Z$3:$Z1211),"")</f>
        <v/>
      </c>
      <c r="AB1211">
        <f>IF(OR($A1211="",PESQUISA!$C$50=""),0,IF(ISNUMBER(SEARCH(PESQUISA!$C$50,$I1211)),1,0))</f>
        <v/>
      </c>
      <c r="AC1211">
        <f>IF($AB1211=1,SUM($AB$3:$AB1211),"")</f>
        <v/>
      </c>
    </row>
    <row r="1212">
      <c r="A1212" s="20" t="n"/>
      <c r="B1212" s="20" t="n"/>
      <c r="C1212" s="20" t="n"/>
      <c r="D1212" s="20" t="n"/>
      <c r="E1212" s="20" t="n"/>
      <c r="F1212" s="20" t="n"/>
      <c r="G1212" s="20" t="n"/>
      <c r="H1212" s="20" t="n"/>
      <c r="I1212" s="20" t="n"/>
      <c r="J1212" s="20">
        <f>IFERROR(INDEX(CONFIGURACOES!$G$37:$G$300,MATCH($I1212,CONFIGURACOES!$B$37:$B$300,0)),"")</f>
        <v/>
      </c>
      <c r="K1212" s="20">
        <f>IFERROR(INDEX(CONFIGURACOES!$H$37:$H$300,MATCH($I1212,CONFIGURACOES!$B$37:$B$300,0)),"")</f>
        <v/>
      </c>
      <c r="L1212" s="20" t="n"/>
      <c r="M1212" s="20">
        <f>IFERROR(INDEX(CONFIGURACOES!$I$37:$I$300,MATCH($I1212,CONFIGURACOES!$B$37:$B$300,0)),"")</f>
        <v/>
      </c>
      <c r="N1212" s="21" t="n"/>
      <c r="O1212" s="21" t="n"/>
      <c r="P1212" s="21" t="n"/>
      <c r="Q1212" s="21" t="n"/>
      <c r="R1212" s="21">
        <f>IF($N1212="","",$N1212*IF($Q1212="",1,$Q1212)*IF($P1212="",1,$P1212)*IF($O1212="",1,$O1212))</f>
        <v/>
      </c>
      <c r="S1212" s="22">
        <f>IFERROR(INDEX(CONFIGURACOES!$J$37:$J$300,MATCH($I1212,CONFIGURACOES!$B$37:$B$300,0)),"")</f>
        <v/>
      </c>
      <c r="T1212" s="22">
        <f>IF(OR($R1212="",$S1212=""),"",$R1212*$S1212)</f>
        <v/>
      </c>
      <c r="U1212" s="20" t="n"/>
      <c r="V1212" s="20" t="n"/>
      <c r="W1212" s="20" t="n"/>
      <c r="X1212">
        <f>IF($A1212="","",$A1212&amp;"|"&amp;$C1212&amp;"|"&amp;$I1212)</f>
        <v/>
      </c>
      <c r="Y1212">
        <f>IF(AND($A1212=RELATORIO_MEDICAO!$C$5,$C1212=RELATORIO_MEDICAO!$F$5,$A1212&lt;&gt;""),COUNTIFS($A$3:$A1212,RELATORIO_MEDICAO!$C$5,$C$3:$C1212,RELATORIO_MEDICAO!$F$5),"")</f>
        <v/>
      </c>
      <c r="Z1212">
        <f>IF(OR($A1212="",PESQUISA!$C$4=""),0,IF(OR(ISNUMBER(SEARCH(PESQUISA!$C$4,$G1212)),ISNUMBER(SEARCH(PESQUISA!$C$4,$K1212)),ISNUMBER(SEARCH(PESQUISA!$C$4,$L1212))),1,0))</f>
        <v/>
      </c>
      <c r="AA1212">
        <f>IF($Z1212=1,SUM($Z$3:$Z1212),"")</f>
        <v/>
      </c>
      <c r="AB1212">
        <f>IF(OR($A1212="",PESQUISA!$C$50=""),0,IF(ISNUMBER(SEARCH(PESQUISA!$C$50,$I1212)),1,0))</f>
        <v/>
      </c>
      <c r="AC1212">
        <f>IF($AB1212=1,SUM($AB$3:$AB1212),"")</f>
        <v/>
      </c>
    </row>
    <row r="1213">
      <c r="A1213" s="20" t="n"/>
      <c r="B1213" s="20" t="n"/>
      <c r="C1213" s="20" t="n"/>
      <c r="D1213" s="20" t="n"/>
      <c r="E1213" s="20" t="n"/>
      <c r="F1213" s="20" t="n"/>
      <c r="G1213" s="20" t="n"/>
      <c r="H1213" s="20" t="n"/>
      <c r="I1213" s="20" t="n"/>
      <c r="J1213" s="20">
        <f>IFERROR(INDEX(CONFIGURACOES!$G$37:$G$300,MATCH($I1213,CONFIGURACOES!$B$37:$B$300,0)),"")</f>
        <v/>
      </c>
      <c r="K1213" s="20">
        <f>IFERROR(INDEX(CONFIGURACOES!$H$37:$H$300,MATCH($I1213,CONFIGURACOES!$B$37:$B$300,0)),"")</f>
        <v/>
      </c>
      <c r="L1213" s="20" t="n"/>
      <c r="M1213" s="20">
        <f>IFERROR(INDEX(CONFIGURACOES!$I$37:$I$300,MATCH($I1213,CONFIGURACOES!$B$37:$B$300,0)),"")</f>
        <v/>
      </c>
      <c r="N1213" s="21" t="n"/>
      <c r="O1213" s="21" t="n"/>
      <c r="P1213" s="21" t="n"/>
      <c r="Q1213" s="21" t="n"/>
      <c r="R1213" s="21">
        <f>IF($N1213="","",$N1213*IF($Q1213="",1,$Q1213)*IF($P1213="",1,$P1213)*IF($O1213="",1,$O1213))</f>
        <v/>
      </c>
      <c r="S1213" s="22">
        <f>IFERROR(INDEX(CONFIGURACOES!$J$37:$J$300,MATCH($I1213,CONFIGURACOES!$B$37:$B$300,0)),"")</f>
        <v/>
      </c>
      <c r="T1213" s="22">
        <f>IF(OR($R1213="",$S1213=""),"",$R1213*$S1213)</f>
        <v/>
      </c>
      <c r="U1213" s="20" t="n"/>
      <c r="V1213" s="20" t="n"/>
      <c r="W1213" s="20" t="n"/>
      <c r="X1213">
        <f>IF($A1213="","",$A1213&amp;"|"&amp;$C1213&amp;"|"&amp;$I1213)</f>
        <v/>
      </c>
      <c r="Y1213">
        <f>IF(AND($A1213=RELATORIO_MEDICAO!$C$5,$C1213=RELATORIO_MEDICAO!$F$5,$A1213&lt;&gt;""),COUNTIFS($A$3:$A1213,RELATORIO_MEDICAO!$C$5,$C$3:$C1213,RELATORIO_MEDICAO!$F$5),"")</f>
        <v/>
      </c>
      <c r="Z1213">
        <f>IF(OR($A1213="",PESQUISA!$C$4=""),0,IF(OR(ISNUMBER(SEARCH(PESQUISA!$C$4,$G1213)),ISNUMBER(SEARCH(PESQUISA!$C$4,$K1213)),ISNUMBER(SEARCH(PESQUISA!$C$4,$L1213))),1,0))</f>
        <v/>
      </c>
      <c r="AA1213">
        <f>IF($Z1213=1,SUM($Z$3:$Z1213),"")</f>
        <v/>
      </c>
      <c r="AB1213">
        <f>IF(OR($A1213="",PESQUISA!$C$50=""),0,IF(ISNUMBER(SEARCH(PESQUISA!$C$50,$I1213)),1,0))</f>
        <v/>
      </c>
      <c r="AC1213">
        <f>IF($AB1213=1,SUM($AB$3:$AB1213),"")</f>
        <v/>
      </c>
    </row>
    <row r="1214">
      <c r="A1214" s="20" t="n"/>
      <c r="B1214" s="20" t="n"/>
      <c r="C1214" s="20" t="n"/>
      <c r="D1214" s="20" t="n"/>
      <c r="E1214" s="20" t="n"/>
      <c r="F1214" s="20" t="n"/>
      <c r="G1214" s="20" t="n"/>
      <c r="H1214" s="20" t="n"/>
      <c r="I1214" s="20" t="n"/>
      <c r="J1214" s="20">
        <f>IFERROR(INDEX(CONFIGURACOES!$G$37:$G$300,MATCH($I1214,CONFIGURACOES!$B$37:$B$300,0)),"")</f>
        <v/>
      </c>
      <c r="K1214" s="20">
        <f>IFERROR(INDEX(CONFIGURACOES!$H$37:$H$300,MATCH($I1214,CONFIGURACOES!$B$37:$B$300,0)),"")</f>
        <v/>
      </c>
      <c r="L1214" s="20" t="n"/>
      <c r="M1214" s="20">
        <f>IFERROR(INDEX(CONFIGURACOES!$I$37:$I$300,MATCH($I1214,CONFIGURACOES!$B$37:$B$300,0)),"")</f>
        <v/>
      </c>
      <c r="N1214" s="21" t="n"/>
      <c r="O1214" s="21" t="n"/>
      <c r="P1214" s="21" t="n"/>
      <c r="Q1214" s="21" t="n"/>
      <c r="R1214" s="21">
        <f>IF($N1214="","",$N1214*IF($Q1214="",1,$Q1214)*IF($P1214="",1,$P1214)*IF($O1214="",1,$O1214))</f>
        <v/>
      </c>
      <c r="S1214" s="22">
        <f>IFERROR(INDEX(CONFIGURACOES!$J$37:$J$300,MATCH($I1214,CONFIGURACOES!$B$37:$B$300,0)),"")</f>
        <v/>
      </c>
      <c r="T1214" s="22">
        <f>IF(OR($R1214="",$S1214=""),"",$R1214*$S1214)</f>
        <v/>
      </c>
      <c r="U1214" s="20" t="n"/>
      <c r="V1214" s="20" t="n"/>
      <c r="W1214" s="20" t="n"/>
      <c r="X1214">
        <f>IF($A1214="","",$A1214&amp;"|"&amp;$C1214&amp;"|"&amp;$I1214)</f>
        <v/>
      </c>
      <c r="Y1214">
        <f>IF(AND($A1214=RELATORIO_MEDICAO!$C$5,$C1214=RELATORIO_MEDICAO!$F$5,$A1214&lt;&gt;""),COUNTIFS($A$3:$A1214,RELATORIO_MEDICAO!$C$5,$C$3:$C1214,RELATORIO_MEDICAO!$F$5),"")</f>
        <v/>
      </c>
      <c r="Z1214">
        <f>IF(OR($A1214="",PESQUISA!$C$4=""),0,IF(OR(ISNUMBER(SEARCH(PESQUISA!$C$4,$G1214)),ISNUMBER(SEARCH(PESQUISA!$C$4,$K1214)),ISNUMBER(SEARCH(PESQUISA!$C$4,$L1214))),1,0))</f>
        <v/>
      </c>
      <c r="AA1214">
        <f>IF($Z1214=1,SUM($Z$3:$Z1214),"")</f>
        <v/>
      </c>
      <c r="AB1214">
        <f>IF(OR($A1214="",PESQUISA!$C$50=""),0,IF(ISNUMBER(SEARCH(PESQUISA!$C$50,$I1214)),1,0))</f>
        <v/>
      </c>
      <c r="AC1214">
        <f>IF($AB1214=1,SUM($AB$3:$AB1214),"")</f>
        <v/>
      </c>
    </row>
    <row r="1215">
      <c r="A1215" s="20" t="n"/>
      <c r="B1215" s="20" t="n"/>
      <c r="C1215" s="20" t="n"/>
      <c r="D1215" s="20" t="n"/>
      <c r="E1215" s="20" t="n"/>
      <c r="F1215" s="20" t="n"/>
      <c r="G1215" s="20" t="n"/>
      <c r="H1215" s="20" t="n"/>
      <c r="I1215" s="20" t="n"/>
      <c r="J1215" s="20">
        <f>IFERROR(INDEX(CONFIGURACOES!$G$37:$G$300,MATCH($I1215,CONFIGURACOES!$B$37:$B$300,0)),"")</f>
        <v/>
      </c>
      <c r="K1215" s="20">
        <f>IFERROR(INDEX(CONFIGURACOES!$H$37:$H$300,MATCH($I1215,CONFIGURACOES!$B$37:$B$300,0)),"")</f>
        <v/>
      </c>
      <c r="L1215" s="20" t="n"/>
      <c r="M1215" s="20">
        <f>IFERROR(INDEX(CONFIGURACOES!$I$37:$I$300,MATCH($I1215,CONFIGURACOES!$B$37:$B$300,0)),"")</f>
        <v/>
      </c>
      <c r="N1215" s="21" t="n"/>
      <c r="O1215" s="21" t="n"/>
      <c r="P1215" s="21" t="n"/>
      <c r="Q1215" s="21" t="n"/>
      <c r="R1215" s="21">
        <f>IF($N1215="","",$N1215*IF($Q1215="",1,$Q1215)*IF($P1215="",1,$P1215)*IF($O1215="",1,$O1215))</f>
        <v/>
      </c>
      <c r="S1215" s="22">
        <f>IFERROR(INDEX(CONFIGURACOES!$J$37:$J$300,MATCH($I1215,CONFIGURACOES!$B$37:$B$300,0)),"")</f>
        <v/>
      </c>
      <c r="T1215" s="22">
        <f>IF(OR($R1215="",$S1215=""),"",$R1215*$S1215)</f>
        <v/>
      </c>
      <c r="U1215" s="20" t="n"/>
      <c r="V1215" s="20" t="n"/>
      <c r="W1215" s="20" t="n"/>
      <c r="X1215">
        <f>IF($A1215="","",$A1215&amp;"|"&amp;$C1215&amp;"|"&amp;$I1215)</f>
        <v/>
      </c>
      <c r="Y1215">
        <f>IF(AND($A1215=RELATORIO_MEDICAO!$C$5,$C1215=RELATORIO_MEDICAO!$F$5,$A1215&lt;&gt;""),COUNTIFS($A$3:$A1215,RELATORIO_MEDICAO!$C$5,$C$3:$C1215,RELATORIO_MEDICAO!$F$5),"")</f>
        <v/>
      </c>
      <c r="Z1215">
        <f>IF(OR($A1215="",PESQUISA!$C$4=""),0,IF(OR(ISNUMBER(SEARCH(PESQUISA!$C$4,$G1215)),ISNUMBER(SEARCH(PESQUISA!$C$4,$K1215)),ISNUMBER(SEARCH(PESQUISA!$C$4,$L1215))),1,0))</f>
        <v/>
      </c>
      <c r="AA1215">
        <f>IF($Z1215=1,SUM($Z$3:$Z1215),"")</f>
        <v/>
      </c>
      <c r="AB1215">
        <f>IF(OR($A1215="",PESQUISA!$C$50=""),0,IF(ISNUMBER(SEARCH(PESQUISA!$C$50,$I1215)),1,0))</f>
        <v/>
      </c>
      <c r="AC1215">
        <f>IF($AB1215=1,SUM($AB$3:$AB1215),"")</f>
        <v/>
      </c>
    </row>
    <row r="1216">
      <c r="A1216" s="20" t="n"/>
      <c r="B1216" s="20" t="n"/>
      <c r="C1216" s="20" t="n"/>
      <c r="D1216" s="20" t="n"/>
      <c r="E1216" s="20" t="n"/>
      <c r="F1216" s="20" t="n"/>
      <c r="G1216" s="20" t="n"/>
      <c r="H1216" s="20" t="n"/>
      <c r="I1216" s="20" t="n"/>
      <c r="J1216" s="20">
        <f>IFERROR(INDEX(CONFIGURACOES!$G$37:$G$300,MATCH($I1216,CONFIGURACOES!$B$37:$B$300,0)),"")</f>
        <v/>
      </c>
      <c r="K1216" s="20">
        <f>IFERROR(INDEX(CONFIGURACOES!$H$37:$H$300,MATCH($I1216,CONFIGURACOES!$B$37:$B$300,0)),"")</f>
        <v/>
      </c>
      <c r="L1216" s="20" t="n"/>
      <c r="M1216" s="20">
        <f>IFERROR(INDEX(CONFIGURACOES!$I$37:$I$300,MATCH($I1216,CONFIGURACOES!$B$37:$B$300,0)),"")</f>
        <v/>
      </c>
      <c r="N1216" s="21" t="n"/>
      <c r="O1216" s="21" t="n"/>
      <c r="P1216" s="21" t="n"/>
      <c r="Q1216" s="21" t="n"/>
      <c r="R1216" s="21">
        <f>IF($N1216="","",$N1216*IF($Q1216="",1,$Q1216)*IF($P1216="",1,$P1216)*IF($O1216="",1,$O1216))</f>
        <v/>
      </c>
      <c r="S1216" s="22">
        <f>IFERROR(INDEX(CONFIGURACOES!$J$37:$J$300,MATCH($I1216,CONFIGURACOES!$B$37:$B$300,0)),"")</f>
        <v/>
      </c>
      <c r="T1216" s="22">
        <f>IF(OR($R1216="",$S1216=""),"",$R1216*$S1216)</f>
        <v/>
      </c>
      <c r="U1216" s="20" t="n"/>
      <c r="V1216" s="20" t="n"/>
      <c r="W1216" s="20" t="n"/>
      <c r="X1216">
        <f>IF($A1216="","",$A1216&amp;"|"&amp;$C1216&amp;"|"&amp;$I1216)</f>
        <v/>
      </c>
      <c r="Y1216">
        <f>IF(AND($A1216=RELATORIO_MEDICAO!$C$5,$C1216=RELATORIO_MEDICAO!$F$5,$A1216&lt;&gt;""),COUNTIFS($A$3:$A1216,RELATORIO_MEDICAO!$C$5,$C$3:$C1216,RELATORIO_MEDICAO!$F$5),"")</f>
        <v/>
      </c>
      <c r="Z1216">
        <f>IF(OR($A1216="",PESQUISA!$C$4=""),0,IF(OR(ISNUMBER(SEARCH(PESQUISA!$C$4,$G1216)),ISNUMBER(SEARCH(PESQUISA!$C$4,$K1216)),ISNUMBER(SEARCH(PESQUISA!$C$4,$L1216))),1,0))</f>
        <v/>
      </c>
      <c r="AA1216">
        <f>IF($Z1216=1,SUM($Z$3:$Z1216),"")</f>
        <v/>
      </c>
      <c r="AB1216">
        <f>IF(OR($A1216="",PESQUISA!$C$50=""),0,IF(ISNUMBER(SEARCH(PESQUISA!$C$50,$I1216)),1,0))</f>
        <v/>
      </c>
      <c r="AC1216">
        <f>IF($AB1216=1,SUM($AB$3:$AB1216),"")</f>
        <v/>
      </c>
    </row>
    <row r="1217">
      <c r="A1217" s="20" t="n"/>
      <c r="B1217" s="20" t="n"/>
      <c r="C1217" s="20" t="n"/>
      <c r="D1217" s="20" t="n"/>
      <c r="E1217" s="20" t="n"/>
      <c r="F1217" s="20" t="n"/>
      <c r="G1217" s="20" t="n"/>
      <c r="H1217" s="20" t="n"/>
      <c r="I1217" s="20" t="n"/>
      <c r="J1217" s="20">
        <f>IFERROR(INDEX(CONFIGURACOES!$G$37:$G$300,MATCH($I1217,CONFIGURACOES!$B$37:$B$300,0)),"")</f>
        <v/>
      </c>
      <c r="K1217" s="20">
        <f>IFERROR(INDEX(CONFIGURACOES!$H$37:$H$300,MATCH($I1217,CONFIGURACOES!$B$37:$B$300,0)),"")</f>
        <v/>
      </c>
      <c r="L1217" s="20" t="n"/>
      <c r="M1217" s="20">
        <f>IFERROR(INDEX(CONFIGURACOES!$I$37:$I$300,MATCH($I1217,CONFIGURACOES!$B$37:$B$300,0)),"")</f>
        <v/>
      </c>
      <c r="N1217" s="21" t="n"/>
      <c r="O1217" s="21" t="n"/>
      <c r="P1217" s="21" t="n"/>
      <c r="Q1217" s="21" t="n"/>
      <c r="R1217" s="21">
        <f>IF($N1217="","",$N1217*IF($Q1217="",1,$Q1217)*IF($P1217="",1,$P1217)*IF($O1217="",1,$O1217))</f>
        <v/>
      </c>
      <c r="S1217" s="22">
        <f>IFERROR(INDEX(CONFIGURACOES!$J$37:$J$300,MATCH($I1217,CONFIGURACOES!$B$37:$B$300,0)),"")</f>
        <v/>
      </c>
      <c r="T1217" s="22">
        <f>IF(OR($R1217="",$S1217=""),"",$R1217*$S1217)</f>
        <v/>
      </c>
      <c r="U1217" s="20" t="n"/>
      <c r="V1217" s="20" t="n"/>
      <c r="W1217" s="20" t="n"/>
      <c r="X1217">
        <f>IF($A1217="","",$A1217&amp;"|"&amp;$C1217&amp;"|"&amp;$I1217)</f>
        <v/>
      </c>
      <c r="Y1217">
        <f>IF(AND($A1217=RELATORIO_MEDICAO!$C$5,$C1217=RELATORIO_MEDICAO!$F$5,$A1217&lt;&gt;""),COUNTIFS($A$3:$A1217,RELATORIO_MEDICAO!$C$5,$C$3:$C1217,RELATORIO_MEDICAO!$F$5),"")</f>
        <v/>
      </c>
      <c r="Z1217">
        <f>IF(OR($A1217="",PESQUISA!$C$4=""),0,IF(OR(ISNUMBER(SEARCH(PESQUISA!$C$4,$G1217)),ISNUMBER(SEARCH(PESQUISA!$C$4,$K1217)),ISNUMBER(SEARCH(PESQUISA!$C$4,$L1217))),1,0))</f>
        <v/>
      </c>
      <c r="AA1217">
        <f>IF($Z1217=1,SUM($Z$3:$Z1217),"")</f>
        <v/>
      </c>
      <c r="AB1217">
        <f>IF(OR($A1217="",PESQUISA!$C$50=""),0,IF(ISNUMBER(SEARCH(PESQUISA!$C$50,$I1217)),1,0))</f>
        <v/>
      </c>
      <c r="AC1217">
        <f>IF($AB1217=1,SUM($AB$3:$AB1217),"")</f>
        <v/>
      </c>
    </row>
    <row r="1218">
      <c r="A1218" s="20" t="n"/>
      <c r="B1218" s="20" t="n"/>
      <c r="C1218" s="20" t="n"/>
      <c r="D1218" s="20" t="n"/>
      <c r="E1218" s="20" t="n"/>
      <c r="F1218" s="20" t="n"/>
      <c r="G1218" s="20" t="n"/>
      <c r="H1218" s="20" t="n"/>
      <c r="I1218" s="20" t="n"/>
      <c r="J1218" s="20">
        <f>IFERROR(INDEX(CONFIGURACOES!$G$37:$G$300,MATCH($I1218,CONFIGURACOES!$B$37:$B$300,0)),"")</f>
        <v/>
      </c>
      <c r="K1218" s="20">
        <f>IFERROR(INDEX(CONFIGURACOES!$H$37:$H$300,MATCH($I1218,CONFIGURACOES!$B$37:$B$300,0)),"")</f>
        <v/>
      </c>
      <c r="L1218" s="20" t="n"/>
      <c r="M1218" s="20">
        <f>IFERROR(INDEX(CONFIGURACOES!$I$37:$I$300,MATCH($I1218,CONFIGURACOES!$B$37:$B$300,0)),"")</f>
        <v/>
      </c>
      <c r="N1218" s="21" t="n"/>
      <c r="O1218" s="21" t="n"/>
      <c r="P1218" s="21" t="n"/>
      <c r="Q1218" s="21" t="n"/>
      <c r="R1218" s="21">
        <f>IF($N1218="","",$N1218*IF($Q1218="",1,$Q1218)*IF($P1218="",1,$P1218)*IF($O1218="",1,$O1218))</f>
        <v/>
      </c>
      <c r="S1218" s="22">
        <f>IFERROR(INDEX(CONFIGURACOES!$J$37:$J$300,MATCH($I1218,CONFIGURACOES!$B$37:$B$300,0)),"")</f>
        <v/>
      </c>
      <c r="T1218" s="22">
        <f>IF(OR($R1218="",$S1218=""),"",$R1218*$S1218)</f>
        <v/>
      </c>
      <c r="U1218" s="20" t="n"/>
      <c r="V1218" s="20" t="n"/>
      <c r="W1218" s="20" t="n"/>
      <c r="X1218">
        <f>IF($A1218="","",$A1218&amp;"|"&amp;$C1218&amp;"|"&amp;$I1218)</f>
        <v/>
      </c>
      <c r="Y1218">
        <f>IF(AND($A1218=RELATORIO_MEDICAO!$C$5,$C1218=RELATORIO_MEDICAO!$F$5,$A1218&lt;&gt;""),COUNTIFS($A$3:$A1218,RELATORIO_MEDICAO!$C$5,$C$3:$C1218,RELATORIO_MEDICAO!$F$5),"")</f>
        <v/>
      </c>
      <c r="Z1218">
        <f>IF(OR($A1218="",PESQUISA!$C$4=""),0,IF(OR(ISNUMBER(SEARCH(PESQUISA!$C$4,$G1218)),ISNUMBER(SEARCH(PESQUISA!$C$4,$K1218)),ISNUMBER(SEARCH(PESQUISA!$C$4,$L1218))),1,0))</f>
        <v/>
      </c>
      <c r="AA1218">
        <f>IF($Z1218=1,SUM($Z$3:$Z1218),"")</f>
        <v/>
      </c>
      <c r="AB1218">
        <f>IF(OR($A1218="",PESQUISA!$C$50=""),0,IF(ISNUMBER(SEARCH(PESQUISA!$C$50,$I1218)),1,0))</f>
        <v/>
      </c>
      <c r="AC1218">
        <f>IF($AB1218=1,SUM($AB$3:$AB1218),"")</f>
        <v/>
      </c>
    </row>
    <row r="1219">
      <c r="A1219" s="20" t="n"/>
      <c r="B1219" s="20" t="n"/>
      <c r="C1219" s="20" t="n"/>
      <c r="D1219" s="20" t="n"/>
      <c r="E1219" s="20" t="n"/>
      <c r="F1219" s="20" t="n"/>
      <c r="G1219" s="20" t="n"/>
      <c r="H1219" s="20" t="n"/>
      <c r="I1219" s="20" t="n"/>
      <c r="J1219" s="20">
        <f>IFERROR(INDEX(CONFIGURACOES!$G$37:$G$300,MATCH($I1219,CONFIGURACOES!$B$37:$B$300,0)),"")</f>
        <v/>
      </c>
      <c r="K1219" s="20">
        <f>IFERROR(INDEX(CONFIGURACOES!$H$37:$H$300,MATCH($I1219,CONFIGURACOES!$B$37:$B$300,0)),"")</f>
        <v/>
      </c>
      <c r="L1219" s="20" t="n"/>
      <c r="M1219" s="20">
        <f>IFERROR(INDEX(CONFIGURACOES!$I$37:$I$300,MATCH($I1219,CONFIGURACOES!$B$37:$B$300,0)),"")</f>
        <v/>
      </c>
      <c r="N1219" s="21" t="n"/>
      <c r="O1219" s="21" t="n"/>
      <c r="P1219" s="21" t="n"/>
      <c r="Q1219" s="21" t="n"/>
      <c r="R1219" s="21">
        <f>IF($N1219="","",$N1219*IF($Q1219="",1,$Q1219)*IF($P1219="",1,$P1219)*IF($O1219="",1,$O1219))</f>
        <v/>
      </c>
      <c r="S1219" s="22">
        <f>IFERROR(INDEX(CONFIGURACOES!$J$37:$J$300,MATCH($I1219,CONFIGURACOES!$B$37:$B$300,0)),"")</f>
        <v/>
      </c>
      <c r="T1219" s="22">
        <f>IF(OR($R1219="",$S1219=""),"",$R1219*$S1219)</f>
        <v/>
      </c>
      <c r="U1219" s="20" t="n"/>
      <c r="V1219" s="20" t="n"/>
      <c r="W1219" s="20" t="n"/>
      <c r="X1219">
        <f>IF($A1219="","",$A1219&amp;"|"&amp;$C1219&amp;"|"&amp;$I1219)</f>
        <v/>
      </c>
      <c r="Y1219">
        <f>IF(AND($A1219=RELATORIO_MEDICAO!$C$5,$C1219=RELATORIO_MEDICAO!$F$5,$A1219&lt;&gt;""),COUNTIFS($A$3:$A1219,RELATORIO_MEDICAO!$C$5,$C$3:$C1219,RELATORIO_MEDICAO!$F$5),"")</f>
        <v/>
      </c>
      <c r="Z1219">
        <f>IF(OR($A1219="",PESQUISA!$C$4=""),0,IF(OR(ISNUMBER(SEARCH(PESQUISA!$C$4,$G1219)),ISNUMBER(SEARCH(PESQUISA!$C$4,$K1219)),ISNUMBER(SEARCH(PESQUISA!$C$4,$L1219))),1,0))</f>
        <v/>
      </c>
      <c r="AA1219">
        <f>IF($Z1219=1,SUM($Z$3:$Z1219),"")</f>
        <v/>
      </c>
      <c r="AB1219">
        <f>IF(OR($A1219="",PESQUISA!$C$50=""),0,IF(ISNUMBER(SEARCH(PESQUISA!$C$50,$I1219)),1,0))</f>
        <v/>
      </c>
      <c r="AC1219">
        <f>IF($AB1219=1,SUM($AB$3:$AB1219),"")</f>
        <v/>
      </c>
    </row>
    <row r="1220">
      <c r="A1220" s="20" t="n"/>
      <c r="B1220" s="20" t="n"/>
      <c r="C1220" s="20" t="n"/>
      <c r="D1220" s="20" t="n"/>
      <c r="E1220" s="20" t="n"/>
      <c r="F1220" s="20" t="n"/>
      <c r="G1220" s="20" t="n"/>
      <c r="H1220" s="20" t="n"/>
      <c r="I1220" s="20" t="n"/>
      <c r="J1220" s="20">
        <f>IFERROR(INDEX(CONFIGURACOES!$G$37:$G$300,MATCH($I1220,CONFIGURACOES!$B$37:$B$300,0)),"")</f>
        <v/>
      </c>
      <c r="K1220" s="20">
        <f>IFERROR(INDEX(CONFIGURACOES!$H$37:$H$300,MATCH($I1220,CONFIGURACOES!$B$37:$B$300,0)),"")</f>
        <v/>
      </c>
      <c r="L1220" s="20" t="n"/>
      <c r="M1220" s="20">
        <f>IFERROR(INDEX(CONFIGURACOES!$I$37:$I$300,MATCH($I1220,CONFIGURACOES!$B$37:$B$300,0)),"")</f>
        <v/>
      </c>
      <c r="N1220" s="21" t="n"/>
      <c r="O1220" s="21" t="n"/>
      <c r="P1220" s="21" t="n"/>
      <c r="Q1220" s="21" t="n"/>
      <c r="R1220" s="21">
        <f>IF($N1220="","",$N1220*IF($Q1220="",1,$Q1220)*IF($P1220="",1,$P1220)*IF($O1220="",1,$O1220))</f>
        <v/>
      </c>
      <c r="S1220" s="22">
        <f>IFERROR(INDEX(CONFIGURACOES!$J$37:$J$300,MATCH($I1220,CONFIGURACOES!$B$37:$B$300,0)),"")</f>
        <v/>
      </c>
      <c r="T1220" s="22">
        <f>IF(OR($R1220="",$S1220=""),"",$R1220*$S1220)</f>
        <v/>
      </c>
      <c r="U1220" s="20" t="n"/>
      <c r="V1220" s="20" t="n"/>
      <c r="W1220" s="20" t="n"/>
      <c r="X1220">
        <f>IF($A1220="","",$A1220&amp;"|"&amp;$C1220&amp;"|"&amp;$I1220)</f>
        <v/>
      </c>
      <c r="Y1220">
        <f>IF(AND($A1220=RELATORIO_MEDICAO!$C$5,$C1220=RELATORIO_MEDICAO!$F$5,$A1220&lt;&gt;""),COUNTIFS($A$3:$A1220,RELATORIO_MEDICAO!$C$5,$C$3:$C1220,RELATORIO_MEDICAO!$F$5),"")</f>
        <v/>
      </c>
      <c r="Z1220">
        <f>IF(OR($A1220="",PESQUISA!$C$4=""),0,IF(OR(ISNUMBER(SEARCH(PESQUISA!$C$4,$G1220)),ISNUMBER(SEARCH(PESQUISA!$C$4,$K1220)),ISNUMBER(SEARCH(PESQUISA!$C$4,$L1220))),1,0))</f>
        <v/>
      </c>
      <c r="AA1220">
        <f>IF($Z1220=1,SUM($Z$3:$Z1220),"")</f>
        <v/>
      </c>
      <c r="AB1220">
        <f>IF(OR($A1220="",PESQUISA!$C$50=""),0,IF(ISNUMBER(SEARCH(PESQUISA!$C$50,$I1220)),1,0))</f>
        <v/>
      </c>
      <c r="AC1220">
        <f>IF($AB1220=1,SUM($AB$3:$AB1220),"")</f>
        <v/>
      </c>
    </row>
    <row r="1221">
      <c r="A1221" s="20" t="n"/>
      <c r="B1221" s="20" t="n"/>
      <c r="C1221" s="20" t="n"/>
      <c r="D1221" s="20" t="n"/>
      <c r="E1221" s="20" t="n"/>
      <c r="F1221" s="20" t="n"/>
      <c r="G1221" s="20" t="n"/>
      <c r="H1221" s="20" t="n"/>
      <c r="I1221" s="20" t="n"/>
      <c r="J1221" s="20">
        <f>IFERROR(INDEX(CONFIGURACOES!$G$37:$G$300,MATCH($I1221,CONFIGURACOES!$B$37:$B$300,0)),"")</f>
        <v/>
      </c>
      <c r="K1221" s="20">
        <f>IFERROR(INDEX(CONFIGURACOES!$H$37:$H$300,MATCH($I1221,CONFIGURACOES!$B$37:$B$300,0)),"")</f>
        <v/>
      </c>
      <c r="L1221" s="20" t="n"/>
      <c r="M1221" s="20">
        <f>IFERROR(INDEX(CONFIGURACOES!$I$37:$I$300,MATCH($I1221,CONFIGURACOES!$B$37:$B$300,0)),"")</f>
        <v/>
      </c>
      <c r="N1221" s="21" t="n"/>
      <c r="O1221" s="21" t="n"/>
      <c r="P1221" s="21" t="n"/>
      <c r="Q1221" s="21" t="n"/>
      <c r="R1221" s="21">
        <f>IF($N1221="","",$N1221*IF($Q1221="",1,$Q1221)*IF($P1221="",1,$P1221)*IF($O1221="",1,$O1221))</f>
        <v/>
      </c>
      <c r="S1221" s="22">
        <f>IFERROR(INDEX(CONFIGURACOES!$J$37:$J$300,MATCH($I1221,CONFIGURACOES!$B$37:$B$300,0)),"")</f>
        <v/>
      </c>
      <c r="T1221" s="22">
        <f>IF(OR($R1221="",$S1221=""),"",$R1221*$S1221)</f>
        <v/>
      </c>
      <c r="U1221" s="20" t="n"/>
      <c r="V1221" s="20" t="n"/>
      <c r="W1221" s="20" t="n"/>
      <c r="X1221">
        <f>IF($A1221="","",$A1221&amp;"|"&amp;$C1221&amp;"|"&amp;$I1221)</f>
        <v/>
      </c>
      <c r="Y1221">
        <f>IF(AND($A1221=RELATORIO_MEDICAO!$C$5,$C1221=RELATORIO_MEDICAO!$F$5,$A1221&lt;&gt;""),COUNTIFS($A$3:$A1221,RELATORIO_MEDICAO!$C$5,$C$3:$C1221,RELATORIO_MEDICAO!$F$5),"")</f>
        <v/>
      </c>
      <c r="Z1221">
        <f>IF(OR($A1221="",PESQUISA!$C$4=""),0,IF(OR(ISNUMBER(SEARCH(PESQUISA!$C$4,$G1221)),ISNUMBER(SEARCH(PESQUISA!$C$4,$K1221)),ISNUMBER(SEARCH(PESQUISA!$C$4,$L1221))),1,0))</f>
        <v/>
      </c>
      <c r="AA1221">
        <f>IF($Z1221=1,SUM($Z$3:$Z1221),"")</f>
        <v/>
      </c>
      <c r="AB1221">
        <f>IF(OR($A1221="",PESQUISA!$C$50=""),0,IF(ISNUMBER(SEARCH(PESQUISA!$C$50,$I1221)),1,0))</f>
        <v/>
      </c>
      <c r="AC1221">
        <f>IF($AB1221=1,SUM($AB$3:$AB1221),"")</f>
        <v/>
      </c>
    </row>
    <row r="1222">
      <c r="A1222" s="20" t="n"/>
      <c r="B1222" s="20" t="n"/>
      <c r="C1222" s="20" t="n"/>
      <c r="D1222" s="20" t="n"/>
      <c r="E1222" s="20" t="n"/>
      <c r="F1222" s="20" t="n"/>
      <c r="G1222" s="20" t="n"/>
      <c r="H1222" s="20" t="n"/>
      <c r="I1222" s="20" t="n"/>
      <c r="J1222" s="20">
        <f>IFERROR(INDEX(CONFIGURACOES!$G$37:$G$300,MATCH($I1222,CONFIGURACOES!$B$37:$B$300,0)),"")</f>
        <v/>
      </c>
      <c r="K1222" s="20">
        <f>IFERROR(INDEX(CONFIGURACOES!$H$37:$H$300,MATCH($I1222,CONFIGURACOES!$B$37:$B$300,0)),"")</f>
        <v/>
      </c>
      <c r="L1222" s="20" t="n"/>
      <c r="M1222" s="20">
        <f>IFERROR(INDEX(CONFIGURACOES!$I$37:$I$300,MATCH($I1222,CONFIGURACOES!$B$37:$B$300,0)),"")</f>
        <v/>
      </c>
      <c r="N1222" s="21" t="n"/>
      <c r="O1222" s="21" t="n"/>
      <c r="P1222" s="21" t="n"/>
      <c r="Q1222" s="21" t="n"/>
      <c r="R1222" s="21">
        <f>IF($N1222="","",$N1222*IF($Q1222="",1,$Q1222)*IF($P1222="",1,$P1222)*IF($O1222="",1,$O1222))</f>
        <v/>
      </c>
      <c r="S1222" s="22">
        <f>IFERROR(INDEX(CONFIGURACOES!$J$37:$J$300,MATCH($I1222,CONFIGURACOES!$B$37:$B$300,0)),"")</f>
        <v/>
      </c>
      <c r="T1222" s="22">
        <f>IF(OR($R1222="",$S1222=""),"",$R1222*$S1222)</f>
        <v/>
      </c>
      <c r="U1222" s="20" t="n"/>
      <c r="V1222" s="20" t="n"/>
      <c r="W1222" s="20" t="n"/>
      <c r="X1222">
        <f>IF($A1222="","",$A1222&amp;"|"&amp;$C1222&amp;"|"&amp;$I1222)</f>
        <v/>
      </c>
      <c r="Y1222">
        <f>IF(AND($A1222=RELATORIO_MEDICAO!$C$5,$C1222=RELATORIO_MEDICAO!$F$5,$A1222&lt;&gt;""),COUNTIFS($A$3:$A1222,RELATORIO_MEDICAO!$C$5,$C$3:$C1222,RELATORIO_MEDICAO!$F$5),"")</f>
        <v/>
      </c>
      <c r="Z1222">
        <f>IF(OR($A1222="",PESQUISA!$C$4=""),0,IF(OR(ISNUMBER(SEARCH(PESQUISA!$C$4,$G1222)),ISNUMBER(SEARCH(PESQUISA!$C$4,$K1222)),ISNUMBER(SEARCH(PESQUISA!$C$4,$L1222))),1,0))</f>
        <v/>
      </c>
      <c r="AA1222">
        <f>IF($Z1222=1,SUM($Z$3:$Z1222),"")</f>
        <v/>
      </c>
      <c r="AB1222">
        <f>IF(OR($A1222="",PESQUISA!$C$50=""),0,IF(ISNUMBER(SEARCH(PESQUISA!$C$50,$I1222)),1,0))</f>
        <v/>
      </c>
      <c r="AC1222">
        <f>IF($AB1222=1,SUM($AB$3:$AB1222),"")</f>
        <v/>
      </c>
    </row>
    <row r="1223">
      <c r="A1223" s="20" t="n"/>
      <c r="B1223" s="20" t="n"/>
      <c r="C1223" s="20" t="n"/>
      <c r="D1223" s="20" t="n"/>
      <c r="E1223" s="20" t="n"/>
      <c r="F1223" s="20" t="n"/>
      <c r="G1223" s="20" t="n"/>
      <c r="H1223" s="20" t="n"/>
      <c r="I1223" s="20" t="n"/>
      <c r="J1223" s="20">
        <f>IFERROR(INDEX(CONFIGURACOES!$G$37:$G$300,MATCH($I1223,CONFIGURACOES!$B$37:$B$300,0)),"")</f>
        <v/>
      </c>
      <c r="K1223" s="20">
        <f>IFERROR(INDEX(CONFIGURACOES!$H$37:$H$300,MATCH($I1223,CONFIGURACOES!$B$37:$B$300,0)),"")</f>
        <v/>
      </c>
      <c r="L1223" s="20" t="n"/>
      <c r="M1223" s="20">
        <f>IFERROR(INDEX(CONFIGURACOES!$I$37:$I$300,MATCH($I1223,CONFIGURACOES!$B$37:$B$300,0)),"")</f>
        <v/>
      </c>
      <c r="N1223" s="21" t="n"/>
      <c r="O1223" s="21" t="n"/>
      <c r="P1223" s="21" t="n"/>
      <c r="Q1223" s="21" t="n"/>
      <c r="R1223" s="21">
        <f>IF($N1223="","",$N1223*IF($Q1223="",1,$Q1223)*IF($P1223="",1,$P1223)*IF($O1223="",1,$O1223))</f>
        <v/>
      </c>
      <c r="S1223" s="22">
        <f>IFERROR(INDEX(CONFIGURACOES!$J$37:$J$300,MATCH($I1223,CONFIGURACOES!$B$37:$B$300,0)),"")</f>
        <v/>
      </c>
      <c r="T1223" s="22">
        <f>IF(OR($R1223="",$S1223=""),"",$R1223*$S1223)</f>
        <v/>
      </c>
      <c r="U1223" s="20" t="n"/>
      <c r="V1223" s="20" t="n"/>
      <c r="W1223" s="20" t="n"/>
      <c r="X1223">
        <f>IF($A1223="","",$A1223&amp;"|"&amp;$C1223&amp;"|"&amp;$I1223)</f>
        <v/>
      </c>
      <c r="Y1223">
        <f>IF(AND($A1223=RELATORIO_MEDICAO!$C$5,$C1223=RELATORIO_MEDICAO!$F$5,$A1223&lt;&gt;""),COUNTIFS($A$3:$A1223,RELATORIO_MEDICAO!$C$5,$C$3:$C1223,RELATORIO_MEDICAO!$F$5),"")</f>
        <v/>
      </c>
      <c r="Z1223">
        <f>IF(OR($A1223="",PESQUISA!$C$4=""),0,IF(OR(ISNUMBER(SEARCH(PESQUISA!$C$4,$G1223)),ISNUMBER(SEARCH(PESQUISA!$C$4,$K1223)),ISNUMBER(SEARCH(PESQUISA!$C$4,$L1223))),1,0))</f>
        <v/>
      </c>
      <c r="AA1223">
        <f>IF($Z1223=1,SUM($Z$3:$Z1223),"")</f>
        <v/>
      </c>
      <c r="AB1223">
        <f>IF(OR($A1223="",PESQUISA!$C$50=""),0,IF(ISNUMBER(SEARCH(PESQUISA!$C$50,$I1223)),1,0))</f>
        <v/>
      </c>
      <c r="AC1223">
        <f>IF($AB1223=1,SUM($AB$3:$AB1223),"")</f>
        <v/>
      </c>
    </row>
    <row r="1224">
      <c r="A1224" s="20" t="n"/>
      <c r="B1224" s="20" t="n"/>
      <c r="C1224" s="20" t="n"/>
      <c r="D1224" s="20" t="n"/>
      <c r="E1224" s="20" t="n"/>
      <c r="F1224" s="20" t="n"/>
      <c r="G1224" s="20" t="n"/>
      <c r="H1224" s="20" t="n"/>
      <c r="I1224" s="20" t="n"/>
      <c r="J1224" s="20">
        <f>IFERROR(INDEX(CONFIGURACOES!$G$37:$G$300,MATCH($I1224,CONFIGURACOES!$B$37:$B$300,0)),"")</f>
        <v/>
      </c>
      <c r="K1224" s="20">
        <f>IFERROR(INDEX(CONFIGURACOES!$H$37:$H$300,MATCH($I1224,CONFIGURACOES!$B$37:$B$300,0)),"")</f>
        <v/>
      </c>
      <c r="L1224" s="20" t="n"/>
      <c r="M1224" s="20">
        <f>IFERROR(INDEX(CONFIGURACOES!$I$37:$I$300,MATCH($I1224,CONFIGURACOES!$B$37:$B$300,0)),"")</f>
        <v/>
      </c>
      <c r="N1224" s="21" t="n"/>
      <c r="O1224" s="21" t="n"/>
      <c r="P1224" s="21" t="n"/>
      <c r="Q1224" s="21" t="n"/>
      <c r="R1224" s="21">
        <f>IF($N1224="","",$N1224*IF($Q1224="",1,$Q1224)*IF($P1224="",1,$P1224)*IF($O1224="",1,$O1224))</f>
        <v/>
      </c>
      <c r="S1224" s="22">
        <f>IFERROR(INDEX(CONFIGURACOES!$J$37:$J$300,MATCH($I1224,CONFIGURACOES!$B$37:$B$300,0)),"")</f>
        <v/>
      </c>
      <c r="T1224" s="22">
        <f>IF(OR($R1224="",$S1224=""),"",$R1224*$S1224)</f>
        <v/>
      </c>
      <c r="U1224" s="20" t="n"/>
      <c r="V1224" s="20" t="n"/>
      <c r="W1224" s="20" t="n"/>
      <c r="X1224">
        <f>IF($A1224="","",$A1224&amp;"|"&amp;$C1224&amp;"|"&amp;$I1224)</f>
        <v/>
      </c>
      <c r="Y1224">
        <f>IF(AND($A1224=RELATORIO_MEDICAO!$C$5,$C1224=RELATORIO_MEDICAO!$F$5,$A1224&lt;&gt;""),COUNTIFS($A$3:$A1224,RELATORIO_MEDICAO!$C$5,$C$3:$C1224,RELATORIO_MEDICAO!$F$5),"")</f>
        <v/>
      </c>
      <c r="Z1224">
        <f>IF(OR($A1224="",PESQUISA!$C$4=""),0,IF(OR(ISNUMBER(SEARCH(PESQUISA!$C$4,$G1224)),ISNUMBER(SEARCH(PESQUISA!$C$4,$K1224)),ISNUMBER(SEARCH(PESQUISA!$C$4,$L1224))),1,0))</f>
        <v/>
      </c>
      <c r="AA1224">
        <f>IF($Z1224=1,SUM($Z$3:$Z1224),"")</f>
        <v/>
      </c>
      <c r="AB1224">
        <f>IF(OR($A1224="",PESQUISA!$C$50=""),0,IF(ISNUMBER(SEARCH(PESQUISA!$C$50,$I1224)),1,0))</f>
        <v/>
      </c>
      <c r="AC1224">
        <f>IF($AB1224=1,SUM($AB$3:$AB1224),"")</f>
        <v/>
      </c>
    </row>
    <row r="1225">
      <c r="A1225" s="20" t="n"/>
      <c r="B1225" s="20" t="n"/>
      <c r="C1225" s="20" t="n"/>
      <c r="D1225" s="20" t="n"/>
      <c r="E1225" s="20" t="n"/>
      <c r="F1225" s="20" t="n"/>
      <c r="G1225" s="20" t="n"/>
      <c r="H1225" s="20" t="n"/>
      <c r="I1225" s="20" t="n"/>
      <c r="J1225" s="20">
        <f>IFERROR(INDEX(CONFIGURACOES!$G$37:$G$300,MATCH($I1225,CONFIGURACOES!$B$37:$B$300,0)),"")</f>
        <v/>
      </c>
      <c r="K1225" s="20">
        <f>IFERROR(INDEX(CONFIGURACOES!$H$37:$H$300,MATCH($I1225,CONFIGURACOES!$B$37:$B$300,0)),"")</f>
        <v/>
      </c>
      <c r="L1225" s="20" t="n"/>
      <c r="M1225" s="20">
        <f>IFERROR(INDEX(CONFIGURACOES!$I$37:$I$300,MATCH($I1225,CONFIGURACOES!$B$37:$B$300,0)),"")</f>
        <v/>
      </c>
      <c r="N1225" s="21" t="n"/>
      <c r="O1225" s="21" t="n"/>
      <c r="P1225" s="21" t="n"/>
      <c r="Q1225" s="21" t="n"/>
      <c r="R1225" s="21">
        <f>IF($N1225="","",$N1225*IF($Q1225="",1,$Q1225)*IF($P1225="",1,$P1225)*IF($O1225="",1,$O1225))</f>
        <v/>
      </c>
      <c r="S1225" s="22">
        <f>IFERROR(INDEX(CONFIGURACOES!$J$37:$J$300,MATCH($I1225,CONFIGURACOES!$B$37:$B$300,0)),"")</f>
        <v/>
      </c>
      <c r="T1225" s="22">
        <f>IF(OR($R1225="",$S1225=""),"",$R1225*$S1225)</f>
        <v/>
      </c>
      <c r="U1225" s="20" t="n"/>
      <c r="V1225" s="20" t="n"/>
      <c r="W1225" s="20" t="n"/>
      <c r="X1225">
        <f>IF($A1225="","",$A1225&amp;"|"&amp;$C1225&amp;"|"&amp;$I1225)</f>
        <v/>
      </c>
      <c r="Y1225">
        <f>IF(AND($A1225=RELATORIO_MEDICAO!$C$5,$C1225=RELATORIO_MEDICAO!$F$5,$A1225&lt;&gt;""),COUNTIFS($A$3:$A1225,RELATORIO_MEDICAO!$C$5,$C$3:$C1225,RELATORIO_MEDICAO!$F$5),"")</f>
        <v/>
      </c>
      <c r="Z1225">
        <f>IF(OR($A1225="",PESQUISA!$C$4=""),0,IF(OR(ISNUMBER(SEARCH(PESQUISA!$C$4,$G1225)),ISNUMBER(SEARCH(PESQUISA!$C$4,$K1225)),ISNUMBER(SEARCH(PESQUISA!$C$4,$L1225))),1,0))</f>
        <v/>
      </c>
      <c r="AA1225">
        <f>IF($Z1225=1,SUM($Z$3:$Z1225),"")</f>
        <v/>
      </c>
      <c r="AB1225">
        <f>IF(OR($A1225="",PESQUISA!$C$50=""),0,IF(ISNUMBER(SEARCH(PESQUISA!$C$50,$I1225)),1,0))</f>
        <v/>
      </c>
      <c r="AC1225">
        <f>IF($AB1225=1,SUM($AB$3:$AB1225),"")</f>
        <v/>
      </c>
    </row>
    <row r="1226">
      <c r="A1226" s="20" t="n"/>
      <c r="B1226" s="20" t="n"/>
      <c r="C1226" s="20" t="n"/>
      <c r="D1226" s="20" t="n"/>
      <c r="E1226" s="20" t="n"/>
      <c r="F1226" s="20" t="n"/>
      <c r="G1226" s="20" t="n"/>
      <c r="H1226" s="20" t="n"/>
      <c r="I1226" s="20" t="n"/>
      <c r="J1226" s="20">
        <f>IFERROR(INDEX(CONFIGURACOES!$G$37:$G$300,MATCH($I1226,CONFIGURACOES!$B$37:$B$300,0)),"")</f>
        <v/>
      </c>
      <c r="K1226" s="20">
        <f>IFERROR(INDEX(CONFIGURACOES!$H$37:$H$300,MATCH($I1226,CONFIGURACOES!$B$37:$B$300,0)),"")</f>
        <v/>
      </c>
      <c r="L1226" s="20" t="n"/>
      <c r="M1226" s="20">
        <f>IFERROR(INDEX(CONFIGURACOES!$I$37:$I$300,MATCH($I1226,CONFIGURACOES!$B$37:$B$300,0)),"")</f>
        <v/>
      </c>
      <c r="N1226" s="21" t="n"/>
      <c r="O1226" s="21" t="n"/>
      <c r="P1226" s="21" t="n"/>
      <c r="Q1226" s="21" t="n"/>
      <c r="R1226" s="21">
        <f>IF($N1226="","",$N1226*IF($Q1226="",1,$Q1226)*IF($P1226="",1,$P1226)*IF($O1226="",1,$O1226))</f>
        <v/>
      </c>
      <c r="S1226" s="22">
        <f>IFERROR(INDEX(CONFIGURACOES!$J$37:$J$300,MATCH($I1226,CONFIGURACOES!$B$37:$B$300,0)),"")</f>
        <v/>
      </c>
      <c r="T1226" s="22">
        <f>IF(OR($R1226="",$S1226=""),"",$R1226*$S1226)</f>
        <v/>
      </c>
      <c r="U1226" s="20" t="n"/>
      <c r="V1226" s="20" t="n"/>
      <c r="W1226" s="20" t="n"/>
      <c r="X1226">
        <f>IF($A1226="","",$A1226&amp;"|"&amp;$C1226&amp;"|"&amp;$I1226)</f>
        <v/>
      </c>
      <c r="Y1226">
        <f>IF(AND($A1226=RELATORIO_MEDICAO!$C$5,$C1226=RELATORIO_MEDICAO!$F$5,$A1226&lt;&gt;""),COUNTIFS($A$3:$A1226,RELATORIO_MEDICAO!$C$5,$C$3:$C1226,RELATORIO_MEDICAO!$F$5),"")</f>
        <v/>
      </c>
      <c r="Z1226">
        <f>IF(OR($A1226="",PESQUISA!$C$4=""),0,IF(OR(ISNUMBER(SEARCH(PESQUISA!$C$4,$G1226)),ISNUMBER(SEARCH(PESQUISA!$C$4,$K1226)),ISNUMBER(SEARCH(PESQUISA!$C$4,$L1226))),1,0))</f>
        <v/>
      </c>
      <c r="AA1226">
        <f>IF($Z1226=1,SUM($Z$3:$Z1226),"")</f>
        <v/>
      </c>
      <c r="AB1226">
        <f>IF(OR($A1226="",PESQUISA!$C$50=""),0,IF(ISNUMBER(SEARCH(PESQUISA!$C$50,$I1226)),1,0))</f>
        <v/>
      </c>
      <c r="AC1226">
        <f>IF($AB1226=1,SUM($AB$3:$AB1226),"")</f>
        <v/>
      </c>
    </row>
    <row r="1227">
      <c r="A1227" s="20" t="n"/>
      <c r="B1227" s="20" t="n"/>
      <c r="C1227" s="20" t="n"/>
      <c r="D1227" s="20" t="n"/>
      <c r="E1227" s="20" t="n"/>
      <c r="F1227" s="20" t="n"/>
      <c r="G1227" s="20" t="n"/>
      <c r="H1227" s="20" t="n"/>
      <c r="I1227" s="20" t="n"/>
      <c r="J1227" s="20">
        <f>IFERROR(INDEX(CONFIGURACOES!$G$37:$G$300,MATCH($I1227,CONFIGURACOES!$B$37:$B$300,0)),"")</f>
        <v/>
      </c>
      <c r="K1227" s="20">
        <f>IFERROR(INDEX(CONFIGURACOES!$H$37:$H$300,MATCH($I1227,CONFIGURACOES!$B$37:$B$300,0)),"")</f>
        <v/>
      </c>
      <c r="L1227" s="20" t="n"/>
      <c r="M1227" s="20">
        <f>IFERROR(INDEX(CONFIGURACOES!$I$37:$I$300,MATCH($I1227,CONFIGURACOES!$B$37:$B$300,0)),"")</f>
        <v/>
      </c>
      <c r="N1227" s="21" t="n"/>
      <c r="O1227" s="21" t="n"/>
      <c r="P1227" s="21" t="n"/>
      <c r="Q1227" s="21" t="n"/>
      <c r="R1227" s="21">
        <f>IF($N1227="","",$N1227*IF($Q1227="",1,$Q1227)*IF($P1227="",1,$P1227)*IF($O1227="",1,$O1227))</f>
        <v/>
      </c>
      <c r="S1227" s="22">
        <f>IFERROR(INDEX(CONFIGURACOES!$J$37:$J$300,MATCH($I1227,CONFIGURACOES!$B$37:$B$300,0)),"")</f>
        <v/>
      </c>
      <c r="T1227" s="22">
        <f>IF(OR($R1227="",$S1227=""),"",$R1227*$S1227)</f>
        <v/>
      </c>
      <c r="U1227" s="20" t="n"/>
      <c r="V1227" s="20" t="n"/>
      <c r="W1227" s="20" t="n"/>
      <c r="X1227">
        <f>IF($A1227="","",$A1227&amp;"|"&amp;$C1227&amp;"|"&amp;$I1227)</f>
        <v/>
      </c>
      <c r="Y1227">
        <f>IF(AND($A1227=RELATORIO_MEDICAO!$C$5,$C1227=RELATORIO_MEDICAO!$F$5,$A1227&lt;&gt;""),COUNTIFS($A$3:$A1227,RELATORIO_MEDICAO!$C$5,$C$3:$C1227,RELATORIO_MEDICAO!$F$5),"")</f>
        <v/>
      </c>
      <c r="Z1227">
        <f>IF(OR($A1227="",PESQUISA!$C$4=""),0,IF(OR(ISNUMBER(SEARCH(PESQUISA!$C$4,$G1227)),ISNUMBER(SEARCH(PESQUISA!$C$4,$K1227)),ISNUMBER(SEARCH(PESQUISA!$C$4,$L1227))),1,0))</f>
        <v/>
      </c>
      <c r="AA1227">
        <f>IF($Z1227=1,SUM($Z$3:$Z1227),"")</f>
        <v/>
      </c>
      <c r="AB1227">
        <f>IF(OR($A1227="",PESQUISA!$C$50=""),0,IF(ISNUMBER(SEARCH(PESQUISA!$C$50,$I1227)),1,0))</f>
        <v/>
      </c>
      <c r="AC1227">
        <f>IF($AB1227=1,SUM($AB$3:$AB1227),"")</f>
        <v/>
      </c>
    </row>
    <row r="1228">
      <c r="A1228" s="20" t="n"/>
      <c r="B1228" s="20" t="n"/>
      <c r="C1228" s="20" t="n"/>
      <c r="D1228" s="20" t="n"/>
      <c r="E1228" s="20" t="n"/>
      <c r="F1228" s="20" t="n"/>
      <c r="G1228" s="20" t="n"/>
      <c r="H1228" s="20" t="n"/>
      <c r="I1228" s="20" t="n"/>
      <c r="J1228" s="20">
        <f>IFERROR(INDEX(CONFIGURACOES!$G$37:$G$300,MATCH($I1228,CONFIGURACOES!$B$37:$B$300,0)),"")</f>
        <v/>
      </c>
      <c r="K1228" s="20">
        <f>IFERROR(INDEX(CONFIGURACOES!$H$37:$H$300,MATCH($I1228,CONFIGURACOES!$B$37:$B$300,0)),"")</f>
        <v/>
      </c>
      <c r="L1228" s="20" t="n"/>
      <c r="M1228" s="20">
        <f>IFERROR(INDEX(CONFIGURACOES!$I$37:$I$300,MATCH($I1228,CONFIGURACOES!$B$37:$B$300,0)),"")</f>
        <v/>
      </c>
      <c r="N1228" s="21" t="n"/>
      <c r="O1228" s="21" t="n"/>
      <c r="P1228" s="21" t="n"/>
      <c r="Q1228" s="21" t="n"/>
      <c r="R1228" s="21">
        <f>IF($N1228="","",$N1228*IF($Q1228="",1,$Q1228)*IF($P1228="",1,$P1228)*IF($O1228="",1,$O1228))</f>
        <v/>
      </c>
      <c r="S1228" s="22">
        <f>IFERROR(INDEX(CONFIGURACOES!$J$37:$J$300,MATCH($I1228,CONFIGURACOES!$B$37:$B$300,0)),"")</f>
        <v/>
      </c>
      <c r="T1228" s="22">
        <f>IF(OR($R1228="",$S1228=""),"",$R1228*$S1228)</f>
        <v/>
      </c>
      <c r="U1228" s="20" t="n"/>
      <c r="V1228" s="20" t="n"/>
      <c r="W1228" s="20" t="n"/>
      <c r="X1228">
        <f>IF($A1228="","",$A1228&amp;"|"&amp;$C1228&amp;"|"&amp;$I1228)</f>
        <v/>
      </c>
      <c r="Y1228">
        <f>IF(AND($A1228=RELATORIO_MEDICAO!$C$5,$C1228=RELATORIO_MEDICAO!$F$5,$A1228&lt;&gt;""),COUNTIFS($A$3:$A1228,RELATORIO_MEDICAO!$C$5,$C$3:$C1228,RELATORIO_MEDICAO!$F$5),"")</f>
        <v/>
      </c>
      <c r="Z1228">
        <f>IF(OR($A1228="",PESQUISA!$C$4=""),0,IF(OR(ISNUMBER(SEARCH(PESQUISA!$C$4,$G1228)),ISNUMBER(SEARCH(PESQUISA!$C$4,$K1228)),ISNUMBER(SEARCH(PESQUISA!$C$4,$L1228))),1,0))</f>
        <v/>
      </c>
      <c r="AA1228">
        <f>IF($Z1228=1,SUM($Z$3:$Z1228),"")</f>
        <v/>
      </c>
      <c r="AB1228">
        <f>IF(OR($A1228="",PESQUISA!$C$50=""),0,IF(ISNUMBER(SEARCH(PESQUISA!$C$50,$I1228)),1,0))</f>
        <v/>
      </c>
      <c r="AC1228">
        <f>IF($AB1228=1,SUM($AB$3:$AB1228),"")</f>
        <v/>
      </c>
    </row>
    <row r="1229">
      <c r="A1229" s="20" t="n"/>
      <c r="B1229" s="20" t="n"/>
      <c r="C1229" s="20" t="n"/>
      <c r="D1229" s="20" t="n"/>
      <c r="E1229" s="20" t="n"/>
      <c r="F1229" s="20" t="n"/>
      <c r="G1229" s="20" t="n"/>
      <c r="H1229" s="20" t="n"/>
      <c r="I1229" s="20" t="n"/>
      <c r="J1229" s="20">
        <f>IFERROR(INDEX(CONFIGURACOES!$G$37:$G$300,MATCH($I1229,CONFIGURACOES!$B$37:$B$300,0)),"")</f>
        <v/>
      </c>
      <c r="K1229" s="20">
        <f>IFERROR(INDEX(CONFIGURACOES!$H$37:$H$300,MATCH($I1229,CONFIGURACOES!$B$37:$B$300,0)),"")</f>
        <v/>
      </c>
      <c r="L1229" s="20" t="n"/>
      <c r="M1229" s="20">
        <f>IFERROR(INDEX(CONFIGURACOES!$I$37:$I$300,MATCH($I1229,CONFIGURACOES!$B$37:$B$300,0)),"")</f>
        <v/>
      </c>
      <c r="N1229" s="21" t="n"/>
      <c r="O1229" s="21" t="n"/>
      <c r="P1229" s="21" t="n"/>
      <c r="Q1229" s="21" t="n"/>
      <c r="R1229" s="21">
        <f>IF($N1229="","",$N1229*IF($Q1229="",1,$Q1229)*IF($P1229="",1,$P1229)*IF($O1229="",1,$O1229))</f>
        <v/>
      </c>
      <c r="S1229" s="22">
        <f>IFERROR(INDEX(CONFIGURACOES!$J$37:$J$300,MATCH($I1229,CONFIGURACOES!$B$37:$B$300,0)),"")</f>
        <v/>
      </c>
      <c r="T1229" s="22">
        <f>IF(OR($R1229="",$S1229=""),"",$R1229*$S1229)</f>
        <v/>
      </c>
      <c r="U1229" s="20" t="n"/>
      <c r="V1229" s="20" t="n"/>
      <c r="W1229" s="20" t="n"/>
      <c r="X1229">
        <f>IF($A1229="","",$A1229&amp;"|"&amp;$C1229&amp;"|"&amp;$I1229)</f>
        <v/>
      </c>
      <c r="Y1229">
        <f>IF(AND($A1229=RELATORIO_MEDICAO!$C$5,$C1229=RELATORIO_MEDICAO!$F$5,$A1229&lt;&gt;""),COUNTIFS($A$3:$A1229,RELATORIO_MEDICAO!$C$5,$C$3:$C1229,RELATORIO_MEDICAO!$F$5),"")</f>
        <v/>
      </c>
      <c r="Z1229">
        <f>IF(OR($A1229="",PESQUISA!$C$4=""),0,IF(OR(ISNUMBER(SEARCH(PESQUISA!$C$4,$G1229)),ISNUMBER(SEARCH(PESQUISA!$C$4,$K1229)),ISNUMBER(SEARCH(PESQUISA!$C$4,$L1229))),1,0))</f>
        <v/>
      </c>
      <c r="AA1229">
        <f>IF($Z1229=1,SUM($Z$3:$Z1229),"")</f>
        <v/>
      </c>
      <c r="AB1229">
        <f>IF(OR($A1229="",PESQUISA!$C$50=""),0,IF(ISNUMBER(SEARCH(PESQUISA!$C$50,$I1229)),1,0))</f>
        <v/>
      </c>
      <c r="AC1229">
        <f>IF($AB1229=1,SUM($AB$3:$AB1229),"")</f>
        <v/>
      </c>
    </row>
    <row r="1230">
      <c r="A1230" s="20" t="n"/>
      <c r="B1230" s="20" t="n"/>
      <c r="C1230" s="20" t="n"/>
      <c r="D1230" s="20" t="n"/>
      <c r="E1230" s="20" t="n"/>
      <c r="F1230" s="20" t="n"/>
      <c r="G1230" s="20" t="n"/>
      <c r="H1230" s="20" t="n"/>
      <c r="I1230" s="20" t="n"/>
      <c r="J1230" s="20">
        <f>IFERROR(INDEX(CONFIGURACOES!$G$37:$G$300,MATCH($I1230,CONFIGURACOES!$B$37:$B$300,0)),"")</f>
        <v/>
      </c>
      <c r="K1230" s="20">
        <f>IFERROR(INDEX(CONFIGURACOES!$H$37:$H$300,MATCH($I1230,CONFIGURACOES!$B$37:$B$300,0)),"")</f>
        <v/>
      </c>
      <c r="L1230" s="20" t="n"/>
      <c r="M1230" s="20">
        <f>IFERROR(INDEX(CONFIGURACOES!$I$37:$I$300,MATCH($I1230,CONFIGURACOES!$B$37:$B$300,0)),"")</f>
        <v/>
      </c>
      <c r="N1230" s="21" t="n"/>
      <c r="O1230" s="21" t="n"/>
      <c r="P1230" s="21" t="n"/>
      <c r="Q1230" s="21" t="n"/>
      <c r="R1230" s="21">
        <f>IF($N1230="","",$N1230*IF($Q1230="",1,$Q1230)*IF($P1230="",1,$P1230)*IF($O1230="",1,$O1230))</f>
        <v/>
      </c>
      <c r="S1230" s="22">
        <f>IFERROR(INDEX(CONFIGURACOES!$J$37:$J$300,MATCH($I1230,CONFIGURACOES!$B$37:$B$300,0)),"")</f>
        <v/>
      </c>
      <c r="T1230" s="22">
        <f>IF(OR($R1230="",$S1230=""),"",$R1230*$S1230)</f>
        <v/>
      </c>
      <c r="U1230" s="20" t="n"/>
      <c r="V1230" s="20" t="n"/>
      <c r="W1230" s="20" t="n"/>
      <c r="X1230">
        <f>IF($A1230="","",$A1230&amp;"|"&amp;$C1230&amp;"|"&amp;$I1230)</f>
        <v/>
      </c>
      <c r="Y1230">
        <f>IF(AND($A1230=RELATORIO_MEDICAO!$C$5,$C1230=RELATORIO_MEDICAO!$F$5,$A1230&lt;&gt;""),COUNTIFS($A$3:$A1230,RELATORIO_MEDICAO!$C$5,$C$3:$C1230,RELATORIO_MEDICAO!$F$5),"")</f>
        <v/>
      </c>
      <c r="Z1230">
        <f>IF(OR($A1230="",PESQUISA!$C$4=""),0,IF(OR(ISNUMBER(SEARCH(PESQUISA!$C$4,$G1230)),ISNUMBER(SEARCH(PESQUISA!$C$4,$K1230)),ISNUMBER(SEARCH(PESQUISA!$C$4,$L1230))),1,0))</f>
        <v/>
      </c>
      <c r="AA1230">
        <f>IF($Z1230=1,SUM($Z$3:$Z1230),"")</f>
        <v/>
      </c>
      <c r="AB1230">
        <f>IF(OR($A1230="",PESQUISA!$C$50=""),0,IF(ISNUMBER(SEARCH(PESQUISA!$C$50,$I1230)),1,0))</f>
        <v/>
      </c>
      <c r="AC1230">
        <f>IF($AB1230=1,SUM($AB$3:$AB1230),"")</f>
        <v/>
      </c>
    </row>
    <row r="1231">
      <c r="A1231" s="20" t="n"/>
      <c r="B1231" s="20" t="n"/>
      <c r="C1231" s="20" t="n"/>
      <c r="D1231" s="20" t="n"/>
      <c r="E1231" s="20" t="n"/>
      <c r="F1231" s="20" t="n"/>
      <c r="G1231" s="20" t="n"/>
      <c r="H1231" s="20" t="n"/>
      <c r="I1231" s="20" t="n"/>
      <c r="J1231" s="20">
        <f>IFERROR(INDEX(CONFIGURACOES!$G$37:$G$300,MATCH($I1231,CONFIGURACOES!$B$37:$B$300,0)),"")</f>
        <v/>
      </c>
      <c r="K1231" s="20">
        <f>IFERROR(INDEX(CONFIGURACOES!$H$37:$H$300,MATCH($I1231,CONFIGURACOES!$B$37:$B$300,0)),"")</f>
        <v/>
      </c>
      <c r="L1231" s="20" t="n"/>
      <c r="M1231" s="20">
        <f>IFERROR(INDEX(CONFIGURACOES!$I$37:$I$300,MATCH($I1231,CONFIGURACOES!$B$37:$B$300,0)),"")</f>
        <v/>
      </c>
      <c r="N1231" s="21" t="n"/>
      <c r="O1231" s="21" t="n"/>
      <c r="P1231" s="21" t="n"/>
      <c r="Q1231" s="21" t="n"/>
      <c r="R1231" s="21">
        <f>IF($N1231="","",$N1231*IF($Q1231="",1,$Q1231)*IF($P1231="",1,$P1231)*IF($O1231="",1,$O1231))</f>
        <v/>
      </c>
      <c r="S1231" s="22">
        <f>IFERROR(INDEX(CONFIGURACOES!$J$37:$J$300,MATCH($I1231,CONFIGURACOES!$B$37:$B$300,0)),"")</f>
        <v/>
      </c>
      <c r="T1231" s="22">
        <f>IF(OR($R1231="",$S1231=""),"",$R1231*$S1231)</f>
        <v/>
      </c>
      <c r="U1231" s="20" t="n"/>
      <c r="V1231" s="20" t="n"/>
      <c r="W1231" s="20" t="n"/>
      <c r="X1231">
        <f>IF($A1231="","",$A1231&amp;"|"&amp;$C1231&amp;"|"&amp;$I1231)</f>
        <v/>
      </c>
      <c r="Y1231">
        <f>IF(AND($A1231=RELATORIO_MEDICAO!$C$5,$C1231=RELATORIO_MEDICAO!$F$5,$A1231&lt;&gt;""),COUNTIFS($A$3:$A1231,RELATORIO_MEDICAO!$C$5,$C$3:$C1231,RELATORIO_MEDICAO!$F$5),"")</f>
        <v/>
      </c>
      <c r="Z1231">
        <f>IF(OR($A1231="",PESQUISA!$C$4=""),0,IF(OR(ISNUMBER(SEARCH(PESQUISA!$C$4,$G1231)),ISNUMBER(SEARCH(PESQUISA!$C$4,$K1231)),ISNUMBER(SEARCH(PESQUISA!$C$4,$L1231))),1,0))</f>
        <v/>
      </c>
      <c r="AA1231">
        <f>IF($Z1231=1,SUM($Z$3:$Z1231),"")</f>
        <v/>
      </c>
      <c r="AB1231">
        <f>IF(OR($A1231="",PESQUISA!$C$50=""),0,IF(ISNUMBER(SEARCH(PESQUISA!$C$50,$I1231)),1,0))</f>
        <v/>
      </c>
      <c r="AC1231">
        <f>IF($AB1231=1,SUM($AB$3:$AB1231),"")</f>
        <v/>
      </c>
    </row>
    <row r="1232">
      <c r="A1232" s="20" t="n"/>
      <c r="B1232" s="20" t="n"/>
      <c r="C1232" s="20" t="n"/>
      <c r="D1232" s="20" t="n"/>
      <c r="E1232" s="20" t="n"/>
      <c r="F1232" s="20" t="n"/>
      <c r="G1232" s="20" t="n"/>
      <c r="H1232" s="20" t="n"/>
      <c r="I1232" s="20" t="n"/>
      <c r="J1232" s="20">
        <f>IFERROR(INDEX(CONFIGURACOES!$G$37:$G$300,MATCH($I1232,CONFIGURACOES!$B$37:$B$300,0)),"")</f>
        <v/>
      </c>
      <c r="K1232" s="20">
        <f>IFERROR(INDEX(CONFIGURACOES!$H$37:$H$300,MATCH($I1232,CONFIGURACOES!$B$37:$B$300,0)),"")</f>
        <v/>
      </c>
      <c r="L1232" s="20" t="n"/>
      <c r="M1232" s="20">
        <f>IFERROR(INDEX(CONFIGURACOES!$I$37:$I$300,MATCH($I1232,CONFIGURACOES!$B$37:$B$300,0)),"")</f>
        <v/>
      </c>
      <c r="N1232" s="21" t="n"/>
      <c r="O1232" s="21" t="n"/>
      <c r="P1232" s="21" t="n"/>
      <c r="Q1232" s="21" t="n"/>
      <c r="R1232" s="21">
        <f>IF($N1232="","",$N1232*IF($Q1232="",1,$Q1232)*IF($P1232="",1,$P1232)*IF($O1232="",1,$O1232))</f>
        <v/>
      </c>
      <c r="S1232" s="22">
        <f>IFERROR(INDEX(CONFIGURACOES!$J$37:$J$300,MATCH($I1232,CONFIGURACOES!$B$37:$B$300,0)),"")</f>
        <v/>
      </c>
      <c r="T1232" s="22">
        <f>IF(OR($R1232="",$S1232=""),"",$R1232*$S1232)</f>
        <v/>
      </c>
      <c r="U1232" s="20" t="n"/>
      <c r="V1232" s="20" t="n"/>
      <c r="W1232" s="20" t="n"/>
      <c r="X1232">
        <f>IF($A1232="","",$A1232&amp;"|"&amp;$C1232&amp;"|"&amp;$I1232)</f>
        <v/>
      </c>
      <c r="Y1232">
        <f>IF(AND($A1232=RELATORIO_MEDICAO!$C$5,$C1232=RELATORIO_MEDICAO!$F$5,$A1232&lt;&gt;""),COUNTIFS($A$3:$A1232,RELATORIO_MEDICAO!$C$5,$C$3:$C1232,RELATORIO_MEDICAO!$F$5),"")</f>
        <v/>
      </c>
      <c r="Z1232">
        <f>IF(OR($A1232="",PESQUISA!$C$4=""),0,IF(OR(ISNUMBER(SEARCH(PESQUISA!$C$4,$G1232)),ISNUMBER(SEARCH(PESQUISA!$C$4,$K1232)),ISNUMBER(SEARCH(PESQUISA!$C$4,$L1232))),1,0))</f>
        <v/>
      </c>
      <c r="AA1232">
        <f>IF($Z1232=1,SUM($Z$3:$Z1232),"")</f>
        <v/>
      </c>
      <c r="AB1232">
        <f>IF(OR($A1232="",PESQUISA!$C$50=""),0,IF(ISNUMBER(SEARCH(PESQUISA!$C$50,$I1232)),1,0))</f>
        <v/>
      </c>
      <c r="AC1232">
        <f>IF($AB1232=1,SUM($AB$3:$AB1232),"")</f>
        <v/>
      </c>
    </row>
    <row r="1233">
      <c r="A1233" s="20" t="n"/>
      <c r="B1233" s="20" t="n"/>
      <c r="C1233" s="20" t="n"/>
      <c r="D1233" s="20" t="n"/>
      <c r="E1233" s="20" t="n"/>
      <c r="F1233" s="20" t="n"/>
      <c r="G1233" s="20" t="n"/>
      <c r="H1233" s="20" t="n"/>
      <c r="I1233" s="20" t="n"/>
      <c r="J1233" s="20">
        <f>IFERROR(INDEX(CONFIGURACOES!$G$37:$G$300,MATCH($I1233,CONFIGURACOES!$B$37:$B$300,0)),"")</f>
        <v/>
      </c>
      <c r="K1233" s="20">
        <f>IFERROR(INDEX(CONFIGURACOES!$H$37:$H$300,MATCH($I1233,CONFIGURACOES!$B$37:$B$300,0)),"")</f>
        <v/>
      </c>
      <c r="L1233" s="20" t="n"/>
      <c r="M1233" s="20">
        <f>IFERROR(INDEX(CONFIGURACOES!$I$37:$I$300,MATCH($I1233,CONFIGURACOES!$B$37:$B$300,0)),"")</f>
        <v/>
      </c>
      <c r="N1233" s="21" t="n"/>
      <c r="O1233" s="21" t="n"/>
      <c r="P1233" s="21" t="n"/>
      <c r="Q1233" s="21" t="n"/>
      <c r="R1233" s="21">
        <f>IF($N1233="","",$N1233*IF($Q1233="",1,$Q1233)*IF($P1233="",1,$P1233)*IF($O1233="",1,$O1233))</f>
        <v/>
      </c>
      <c r="S1233" s="22">
        <f>IFERROR(INDEX(CONFIGURACOES!$J$37:$J$300,MATCH($I1233,CONFIGURACOES!$B$37:$B$300,0)),"")</f>
        <v/>
      </c>
      <c r="T1233" s="22">
        <f>IF(OR($R1233="",$S1233=""),"",$R1233*$S1233)</f>
        <v/>
      </c>
      <c r="U1233" s="20" t="n"/>
      <c r="V1233" s="20" t="n"/>
      <c r="W1233" s="20" t="n"/>
      <c r="X1233">
        <f>IF($A1233="","",$A1233&amp;"|"&amp;$C1233&amp;"|"&amp;$I1233)</f>
        <v/>
      </c>
      <c r="Y1233">
        <f>IF(AND($A1233=RELATORIO_MEDICAO!$C$5,$C1233=RELATORIO_MEDICAO!$F$5,$A1233&lt;&gt;""),COUNTIFS($A$3:$A1233,RELATORIO_MEDICAO!$C$5,$C$3:$C1233,RELATORIO_MEDICAO!$F$5),"")</f>
        <v/>
      </c>
      <c r="Z1233">
        <f>IF(OR($A1233="",PESQUISA!$C$4=""),0,IF(OR(ISNUMBER(SEARCH(PESQUISA!$C$4,$G1233)),ISNUMBER(SEARCH(PESQUISA!$C$4,$K1233)),ISNUMBER(SEARCH(PESQUISA!$C$4,$L1233))),1,0))</f>
        <v/>
      </c>
      <c r="AA1233">
        <f>IF($Z1233=1,SUM($Z$3:$Z1233),"")</f>
        <v/>
      </c>
      <c r="AB1233">
        <f>IF(OR($A1233="",PESQUISA!$C$50=""),0,IF(ISNUMBER(SEARCH(PESQUISA!$C$50,$I1233)),1,0))</f>
        <v/>
      </c>
      <c r="AC1233">
        <f>IF($AB1233=1,SUM($AB$3:$AB1233),"")</f>
        <v/>
      </c>
    </row>
    <row r="1234">
      <c r="A1234" s="20" t="n"/>
      <c r="B1234" s="20" t="n"/>
      <c r="C1234" s="20" t="n"/>
      <c r="D1234" s="20" t="n"/>
      <c r="E1234" s="20" t="n"/>
      <c r="F1234" s="20" t="n"/>
      <c r="G1234" s="20" t="n"/>
      <c r="H1234" s="20" t="n"/>
      <c r="I1234" s="20" t="n"/>
      <c r="J1234" s="20">
        <f>IFERROR(INDEX(CONFIGURACOES!$G$37:$G$300,MATCH($I1234,CONFIGURACOES!$B$37:$B$300,0)),"")</f>
        <v/>
      </c>
      <c r="K1234" s="20">
        <f>IFERROR(INDEX(CONFIGURACOES!$H$37:$H$300,MATCH($I1234,CONFIGURACOES!$B$37:$B$300,0)),"")</f>
        <v/>
      </c>
      <c r="L1234" s="20" t="n"/>
      <c r="M1234" s="20">
        <f>IFERROR(INDEX(CONFIGURACOES!$I$37:$I$300,MATCH($I1234,CONFIGURACOES!$B$37:$B$300,0)),"")</f>
        <v/>
      </c>
      <c r="N1234" s="21" t="n"/>
      <c r="O1234" s="21" t="n"/>
      <c r="P1234" s="21" t="n"/>
      <c r="Q1234" s="21" t="n"/>
      <c r="R1234" s="21">
        <f>IF($N1234="","",$N1234*IF($Q1234="",1,$Q1234)*IF($P1234="",1,$P1234)*IF($O1234="",1,$O1234))</f>
        <v/>
      </c>
      <c r="S1234" s="22">
        <f>IFERROR(INDEX(CONFIGURACOES!$J$37:$J$300,MATCH($I1234,CONFIGURACOES!$B$37:$B$300,0)),"")</f>
        <v/>
      </c>
      <c r="T1234" s="22">
        <f>IF(OR($R1234="",$S1234=""),"",$R1234*$S1234)</f>
        <v/>
      </c>
      <c r="U1234" s="20" t="n"/>
      <c r="V1234" s="20" t="n"/>
      <c r="W1234" s="20" t="n"/>
      <c r="X1234">
        <f>IF($A1234="","",$A1234&amp;"|"&amp;$C1234&amp;"|"&amp;$I1234)</f>
        <v/>
      </c>
      <c r="Y1234">
        <f>IF(AND($A1234=RELATORIO_MEDICAO!$C$5,$C1234=RELATORIO_MEDICAO!$F$5,$A1234&lt;&gt;""),COUNTIFS($A$3:$A1234,RELATORIO_MEDICAO!$C$5,$C$3:$C1234,RELATORIO_MEDICAO!$F$5),"")</f>
        <v/>
      </c>
      <c r="Z1234">
        <f>IF(OR($A1234="",PESQUISA!$C$4=""),0,IF(OR(ISNUMBER(SEARCH(PESQUISA!$C$4,$G1234)),ISNUMBER(SEARCH(PESQUISA!$C$4,$K1234)),ISNUMBER(SEARCH(PESQUISA!$C$4,$L1234))),1,0))</f>
        <v/>
      </c>
      <c r="AA1234">
        <f>IF($Z1234=1,SUM($Z$3:$Z1234),"")</f>
        <v/>
      </c>
      <c r="AB1234">
        <f>IF(OR($A1234="",PESQUISA!$C$50=""),0,IF(ISNUMBER(SEARCH(PESQUISA!$C$50,$I1234)),1,0))</f>
        <v/>
      </c>
      <c r="AC1234">
        <f>IF($AB1234=1,SUM($AB$3:$AB1234),"")</f>
        <v/>
      </c>
    </row>
    <row r="1235">
      <c r="A1235" s="20" t="n"/>
      <c r="B1235" s="20" t="n"/>
      <c r="C1235" s="20" t="n"/>
      <c r="D1235" s="20" t="n"/>
      <c r="E1235" s="20" t="n"/>
      <c r="F1235" s="20" t="n"/>
      <c r="G1235" s="20" t="n"/>
      <c r="H1235" s="20" t="n"/>
      <c r="I1235" s="20" t="n"/>
      <c r="J1235" s="20">
        <f>IFERROR(INDEX(CONFIGURACOES!$G$37:$G$300,MATCH($I1235,CONFIGURACOES!$B$37:$B$300,0)),"")</f>
        <v/>
      </c>
      <c r="K1235" s="20">
        <f>IFERROR(INDEX(CONFIGURACOES!$H$37:$H$300,MATCH($I1235,CONFIGURACOES!$B$37:$B$300,0)),"")</f>
        <v/>
      </c>
      <c r="L1235" s="20" t="n"/>
      <c r="M1235" s="20">
        <f>IFERROR(INDEX(CONFIGURACOES!$I$37:$I$300,MATCH($I1235,CONFIGURACOES!$B$37:$B$300,0)),"")</f>
        <v/>
      </c>
      <c r="N1235" s="21" t="n"/>
      <c r="O1235" s="21" t="n"/>
      <c r="P1235" s="21" t="n"/>
      <c r="Q1235" s="21" t="n"/>
      <c r="R1235" s="21">
        <f>IF($N1235="","",$N1235*IF($Q1235="",1,$Q1235)*IF($P1235="",1,$P1235)*IF($O1235="",1,$O1235))</f>
        <v/>
      </c>
      <c r="S1235" s="22">
        <f>IFERROR(INDEX(CONFIGURACOES!$J$37:$J$300,MATCH($I1235,CONFIGURACOES!$B$37:$B$300,0)),"")</f>
        <v/>
      </c>
      <c r="T1235" s="22">
        <f>IF(OR($R1235="",$S1235=""),"",$R1235*$S1235)</f>
        <v/>
      </c>
      <c r="U1235" s="20" t="n"/>
      <c r="V1235" s="20" t="n"/>
      <c r="W1235" s="20" t="n"/>
      <c r="X1235">
        <f>IF($A1235="","",$A1235&amp;"|"&amp;$C1235&amp;"|"&amp;$I1235)</f>
        <v/>
      </c>
      <c r="Y1235">
        <f>IF(AND($A1235=RELATORIO_MEDICAO!$C$5,$C1235=RELATORIO_MEDICAO!$F$5,$A1235&lt;&gt;""),COUNTIFS($A$3:$A1235,RELATORIO_MEDICAO!$C$5,$C$3:$C1235,RELATORIO_MEDICAO!$F$5),"")</f>
        <v/>
      </c>
      <c r="Z1235">
        <f>IF(OR($A1235="",PESQUISA!$C$4=""),0,IF(OR(ISNUMBER(SEARCH(PESQUISA!$C$4,$G1235)),ISNUMBER(SEARCH(PESQUISA!$C$4,$K1235)),ISNUMBER(SEARCH(PESQUISA!$C$4,$L1235))),1,0))</f>
        <v/>
      </c>
      <c r="AA1235">
        <f>IF($Z1235=1,SUM($Z$3:$Z1235),"")</f>
        <v/>
      </c>
      <c r="AB1235">
        <f>IF(OR($A1235="",PESQUISA!$C$50=""),0,IF(ISNUMBER(SEARCH(PESQUISA!$C$50,$I1235)),1,0))</f>
        <v/>
      </c>
      <c r="AC1235">
        <f>IF($AB1235=1,SUM($AB$3:$AB1235),"")</f>
        <v/>
      </c>
    </row>
    <row r="1236">
      <c r="A1236" s="20" t="n"/>
      <c r="B1236" s="20" t="n"/>
      <c r="C1236" s="20" t="n"/>
      <c r="D1236" s="20" t="n"/>
      <c r="E1236" s="20" t="n"/>
      <c r="F1236" s="20" t="n"/>
      <c r="G1236" s="20" t="n"/>
      <c r="H1236" s="20" t="n"/>
      <c r="I1236" s="20" t="n"/>
      <c r="J1236" s="20">
        <f>IFERROR(INDEX(CONFIGURACOES!$G$37:$G$300,MATCH($I1236,CONFIGURACOES!$B$37:$B$300,0)),"")</f>
        <v/>
      </c>
      <c r="K1236" s="20">
        <f>IFERROR(INDEX(CONFIGURACOES!$H$37:$H$300,MATCH($I1236,CONFIGURACOES!$B$37:$B$300,0)),"")</f>
        <v/>
      </c>
      <c r="L1236" s="20" t="n"/>
      <c r="M1236" s="20">
        <f>IFERROR(INDEX(CONFIGURACOES!$I$37:$I$300,MATCH($I1236,CONFIGURACOES!$B$37:$B$300,0)),"")</f>
        <v/>
      </c>
      <c r="N1236" s="21" t="n"/>
      <c r="O1236" s="21" t="n"/>
      <c r="P1236" s="21" t="n"/>
      <c r="Q1236" s="21" t="n"/>
      <c r="R1236" s="21">
        <f>IF($N1236="","",$N1236*IF($Q1236="",1,$Q1236)*IF($P1236="",1,$P1236)*IF($O1236="",1,$O1236))</f>
        <v/>
      </c>
      <c r="S1236" s="22">
        <f>IFERROR(INDEX(CONFIGURACOES!$J$37:$J$300,MATCH($I1236,CONFIGURACOES!$B$37:$B$300,0)),"")</f>
        <v/>
      </c>
      <c r="T1236" s="22">
        <f>IF(OR($R1236="",$S1236=""),"",$R1236*$S1236)</f>
        <v/>
      </c>
      <c r="U1236" s="20" t="n"/>
      <c r="V1236" s="20" t="n"/>
      <c r="W1236" s="20" t="n"/>
      <c r="X1236">
        <f>IF($A1236="","",$A1236&amp;"|"&amp;$C1236&amp;"|"&amp;$I1236)</f>
        <v/>
      </c>
      <c r="Y1236">
        <f>IF(AND($A1236=RELATORIO_MEDICAO!$C$5,$C1236=RELATORIO_MEDICAO!$F$5,$A1236&lt;&gt;""),COUNTIFS($A$3:$A1236,RELATORIO_MEDICAO!$C$5,$C$3:$C1236,RELATORIO_MEDICAO!$F$5),"")</f>
        <v/>
      </c>
      <c r="Z1236">
        <f>IF(OR($A1236="",PESQUISA!$C$4=""),0,IF(OR(ISNUMBER(SEARCH(PESQUISA!$C$4,$G1236)),ISNUMBER(SEARCH(PESQUISA!$C$4,$K1236)),ISNUMBER(SEARCH(PESQUISA!$C$4,$L1236))),1,0))</f>
        <v/>
      </c>
      <c r="AA1236">
        <f>IF($Z1236=1,SUM($Z$3:$Z1236),"")</f>
        <v/>
      </c>
      <c r="AB1236">
        <f>IF(OR($A1236="",PESQUISA!$C$50=""),0,IF(ISNUMBER(SEARCH(PESQUISA!$C$50,$I1236)),1,0))</f>
        <v/>
      </c>
      <c r="AC1236">
        <f>IF($AB1236=1,SUM($AB$3:$AB1236),"")</f>
        <v/>
      </c>
    </row>
    <row r="1237">
      <c r="A1237" s="20" t="n"/>
      <c r="B1237" s="20" t="n"/>
      <c r="C1237" s="20" t="n"/>
      <c r="D1237" s="20" t="n"/>
      <c r="E1237" s="20" t="n"/>
      <c r="F1237" s="20" t="n"/>
      <c r="G1237" s="20" t="n"/>
      <c r="H1237" s="20" t="n"/>
      <c r="I1237" s="20" t="n"/>
      <c r="J1237" s="20">
        <f>IFERROR(INDEX(CONFIGURACOES!$G$37:$G$300,MATCH($I1237,CONFIGURACOES!$B$37:$B$300,0)),"")</f>
        <v/>
      </c>
      <c r="K1237" s="20">
        <f>IFERROR(INDEX(CONFIGURACOES!$H$37:$H$300,MATCH($I1237,CONFIGURACOES!$B$37:$B$300,0)),"")</f>
        <v/>
      </c>
      <c r="L1237" s="20" t="n"/>
      <c r="M1237" s="20">
        <f>IFERROR(INDEX(CONFIGURACOES!$I$37:$I$300,MATCH($I1237,CONFIGURACOES!$B$37:$B$300,0)),"")</f>
        <v/>
      </c>
      <c r="N1237" s="21" t="n"/>
      <c r="O1237" s="21" t="n"/>
      <c r="P1237" s="21" t="n"/>
      <c r="Q1237" s="21" t="n"/>
      <c r="R1237" s="21">
        <f>IF($N1237="","",$N1237*IF($Q1237="",1,$Q1237)*IF($P1237="",1,$P1237)*IF($O1237="",1,$O1237))</f>
        <v/>
      </c>
      <c r="S1237" s="22">
        <f>IFERROR(INDEX(CONFIGURACOES!$J$37:$J$300,MATCH($I1237,CONFIGURACOES!$B$37:$B$300,0)),"")</f>
        <v/>
      </c>
      <c r="T1237" s="22">
        <f>IF(OR($R1237="",$S1237=""),"",$R1237*$S1237)</f>
        <v/>
      </c>
      <c r="U1237" s="20" t="n"/>
      <c r="V1237" s="20" t="n"/>
      <c r="W1237" s="20" t="n"/>
      <c r="X1237">
        <f>IF($A1237="","",$A1237&amp;"|"&amp;$C1237&amp;"|"&amp;$I1237)</f>
        <v/>
      </c>
      <c r="Y1237">
        <f>IF(AND($A1237=RELATORIO_MEDICAO!$C$5,$C1237=RELATORIO_MEDICAO!$F$5,$A1237&lt;&gt;""),COUNTIFS($A$3:$A1237,RELATORIO_MEDICAO!$C$5,$C$3:$C1237,RELATORIO_MEDICAO!$F$5),"")</f>
        <v/>
      </c>
      <c r="Z1237">
        <f>IF(OR($A1237="",PESQUISA!$C$4=""),0,IF(OR(ISNUMBER(SEARCH(PESQUISA!$C$4,$G1237)),ISNUMBER(SEARCH(PESQUISA!$C$4,$K1237)),ISNUMBER(SEARCH(PESQUISA!$C$4,$L1237))),1,0))</f>
        <v/>
      </c>
      <c r="AA1237">
        <f>IF($Z1237=1,SUM($Z$3:$Z1237),"")</f>
        <v/>
      </c>
      <c r="AB1237">
        <f>IF(OR($A1237="",PESQUISA!$C$50=""),0,IF(ISNUMBER(SEARCH(PESQUISA!$C$50,$I1237)),1,0))</f>
        <v/>
      </c>
      <c r="AC1237">
        <f>IF($AB1237=1,SUM($AB$3:$AB1237),"")</f>
        <v/>
      </c>
    </row>
    <row r="1238">
      <c r="A1238" s="20" t="n"/>
      <c r="B1238" s="20" t="n"/>
      <c r="C1238" s="20" t="n"/>
      <c r="D1238" s="20" t="n"/>
      <c r="E1238" s="20" t="n"/>
      <c r="F1238" s="20" t="n"/>
      <c r="G1238" s="20" t="n"/>
      <c r="H1238" s="20" t="n"/>
      <c r="I1238" s="20" t="n"/>
      <c r="J1238" s="20">
        <f>IFERROR(INDEX(CONFIGURACOES!$G$37:$G$300,MATCH($I1238,CONFIGURACOES!$B$37:$B$300,0)),"")</f>
        <v/>
      </c>
      <c r="K1238" s="20">
        <f>IFERROR(INDEX(CONFIGURACOES!$H$37:$H$300,MATCH($I1238,CONFIGURACOES!$B$37:$B$300,0)),"")</f>
        <v/>
      </c>
      <c r="L1238" s="20" t="n"/>
      <c r="M1238" s="20">
        <f>IFERROR(INDEX(CONFIGURACOES!$I$37:$I$300,MATCH($I1238,CONFIGURACOES!$B$37:$B$300,0)),"")</f>
        <v/>
      </c>
      <c r="N1238" s="21" t="n"/>
      <c r="O1238" s="21" t="n"/>
      <c r="P1238" s="21" t="n"/>
      <c r="Q1238" s="21" t="n"/>
      <c r="R1238" s="21">
        <f>IF($N1238="","",$N1238*IF($Q1238="",1,$Q1238)*IF($P1238="",1,$P1238)*IF($O1238="",1,$O1238))</f>
        <v/>
      </c>
      <c r="S1238" s="22">
        <f>IFERROR(INDEX(CONFIGURACOES!$J$37:$J$300,MATCH($I1238,CONFIGURACOES!$B$37:$B$300,0)),"")</f>
        <v/>
      </c>
      <c r="T1238" s="22">
        <f>IF(OR($R1238="",$S1238=""),"",$R1238*$S1238)</f>
        <v/>
      </c>
      <c r="U1238" s="20" t="n"/>
      <c r="V1238" s="20" t="n"/>
      <c r="W1238" s="20" t="n"/>
      <c r="X1238">
        <f>IF($A1238="","",$A1238&amp;"|"&amp;$C1238&amp;"|"&amp;$I1238)</f>
        <v/>
      </c>
      <c r="Y1238">
        <f>IF(AND($A1238=RELATORIO_MEDICAO!$C$5,$C1238=RELATORIO_MEDICAO!$F$5,$A1238&lt;&gt;""),COUNTIFS($A$3:$A1238,RELATORIO_MEDICAO!$C$5,$C$3:$C1238,RELATORIO_MEDICAO!$F$5),"")</f>
        <v/>
      </c>
      <c r="Z1238">
        <f>IF(OR($A1238="",PESQUISA!$C$4=""),0,IF(OR(ISNUMBER(SEARCH(PESQUISA!$C$4,$G1238)),ISNUMBER(SEARCH(PESQUISA!$C$4,$K1238)),ISNUMBER(SEARCH(PESQUISA!$C$4,$L1238))),1,0))</f>
        <v/>
      </c>
      <c r="AA1238">
        <f>IF($Z1238=1,SUM($Z$3:$Z1238),"")</f>
        <v/>
      </c>
      <c r="AB1238">
        <f>IF(OR($A1238="",PESQUISA!$C$50=""),0,IF(ISNUMBER(SEARCH(PESQUISA!$C$50,$I1238)),1,0))</f>
        <v/>
      </c>
      <c r="AC1238">
        <f>IF($AB1238=1,SUM($AB$3:$AB1238),"")</f>
        <v/>
      </c>
    </row>
    <row r="1239">
      <c r="A1239" s="20" t="n"/>
      <c r="B1239" s="20" t="n"/>
      <c r="C1239" s="20" t="n"/>
      <c r="D1239" s="20" t="n"/>
      <c r="E1239" s="20" t="n"/>
      <c r="F1239" s="20" t="n"/>
      <c r="G1239" s="20" t="n"/>
      <c r="H1239" s="20" t="n"/>
      <c r="I1239" s="20" t="n"/>
      <c r="J1239" s="20">
        <f>IFERROR(INDEX(CONFIGURACOES!$G$37:$G$300,MATCH($I1239,CONFIGURACOES!$B$37:$B$300,0)),"")</f>
        <v/>
      </c>
      <c r="K1239" s="20">
        <f>IFERROR(INDEX(CONFIGURACOES!$H$37:$H$300,MATCH($I1239,CONFIGURACOES!$B$37:$B$300,0)),"")</f>
        <v/>
      </c>
      <c r="L1239" s="20" t="n"/>
      <c r="M1239" s="20">
        <f>IFERROR(INDEX(CONFIGURACOES!$I$37:$I$300,MATCH($I1239,CONFIGURACOES!$B$37:$B$300,0)),"")</f>
        <v/>
      </c>
      <c r="N1239" s="21" t="n"/>
      <c r="O1239" s="21" t="n"/>
      <c r="P1239" s="21" t="n"/>
      <c r="Q1239" s="21" t="n"/>
      <c r="R1239" s="21">
        <f>IF($N1239="","",$N1239*IF($Q1239="",1,$Q1239)*IF($P1239="",1,$P1239)*IF($O1239="",1,$O1239))</f>
        <v/>
      </c>
      <c r="S1239" s="22">
        <f>IFERROR(INDEX(CONFIGURACOES!$J$37:$J$300,MATCH($I1239,CONFIGURACOES!$B$37:$B$300,0)),"")</f>
        <v/>
      </c>
      <c r="T1239" s="22">
        <f>IF(OR($R1239="",$S1239=""),"",$R1239*$S1239)</f>
        <v/>
      </c>
      <c r="U1239" s="20" t="n"/>
      <c r="V1239" s="20" t="n"/>
      <c r="W1239" s="20" t="n"/>
      <c r="X1239">
        <f>IF($A1239="","",$A1239&amp;"|"&amp;$C1239&amp;"|"&amp;$I1239)</f>
        <v/>
      </c>
      <c r="Y1239">
        <f>IF(AND($A1239=RELATORIO_MEDICAO!$C$5,$C1239=RELATORIO_MEDICAO!$F$5,$A1239&lt;&gt;""),COUNTIFS($A$3:$A1239,RELATORIO_MEDICAO!$C$5,$C$3:$C1239,RELATORIO_MEDICAO!$F$5),"")</f>
        <v/>
      </c>
      <c r="Z1239">
        <f>IF(OR($A1239="",PESQUISA!$C$4=""),0,IF(OR(ISNUMBER(SEARCH(PESQUISA!$C$4,$G1239)),ISNUMBER(SEARCH(PESQUISA!$C$4,$K1239)),ISNUMBER(SEARCH(PESQUISA!$C$4,$L1239))),1,0))</f>
        <v/>
      </c>
      <c r="AA1239">
        <f>IF($Z1239=1,SUM($Z$3:$Z1239),"")</f>
        <v/>
      </c>
      <c r="AB1239">
        <f>IF(OR($A1239="",PESQUISA!$C$50=""),0,IF(ISNUMBER(SEARCH(PESQUISA!$C$50,$I1239)),1,0))</f>
        <v/>
      </c>
      <c r="AC1239">
        <f>IF($AB1239=1,SUM($AB$3:$AB1239),"")</f>
        <v/>
      </c>
    </row>
    <row r="1240">
      <c r="A1240" s="20" t="n"/>
      <c r="B1240" s="20" t="n"/>
      <c r="C1240" s="20" t="n"/>
      <c r="D1240" s="20" t="n"/>
      <c r="E1240" s="20" t="n"/>
      <c r="F1240" s="20" t="n"/>
      <c r="G1240" s="20" t="n"/>
      <c r="H1240" s="20" t="n"/>
      <c r="I1240" s="20" t="n"/>
      <c r="J1240" s="20">
        <f>IFERROR(INDEX(CONFIGURACOES!$G$37:$G$300,MATCH($I1240,CONFIGURACOES!$B$37:$B$300,0)),"")</f>
        <v/>
      </c>
      <c r="K1240" s="20">
        <f>IFERROR(INDEX(CONFIGURACOES!$H$37:$H$300,MATCH($I1240,CONFIGURACOES!$B$37:$B$300,0)),"")</f>
        <v/>
      </c>
      <c r="L1240" s="20" t="n"/>
      <c r="M1240" s="20">
        <f>IFERROR(INDEX(CONFIGURACOES!$I$37:$I$300,MATCH($I1240,CONFIGURACOES!$B$37:$B$300,0)),"")</f>
        <v/>
      </c>
      <c r="N1240" s="21" t="n"/>
      <c r="O1240" s="21" t="n"/>
      <c r="P1240" s="21" t="n"/>
      <c r="Q1240" s="21" t="n"/>
      <c r="R1240" s="21">
        <f>IF($N1240="","",$N1240*IF($Q1240="",1,$Q1240)*IF($P1240="",1,$P1240)*IF($O1240="",1,$O1240))</f>
        <v/>
      </c>
      <c r="S1240" s="22">
        <f>IFERROR(INDEX(CONFIGURACOES!$J$37:$J$300,MATCH($I1240,CONFIGURACOES!$B$37:$B$300,0)),"")</f>
        <v/>
      </c>
      <c r="T1240" s="22">
        <f>IF(OR($R1240="",$S1240=""),"",$R1240*$S1240)</f>
        <v/>
      </c>
      <c r="U1240" s="20" t="n"/>
      <c r="V1240" s="20" t="n"/>
      <c r="W1240" s="20" t="n"/>
      <c r="X1240">
        <f>IF($A1240="","",$A1240&amp;"|"&amp;$C1240&amp;"|"&amp;$I1240)</f>
        <v/>
      </c>
      <c r="Y1240">
        <f>IF(AND($A1240=RELATORIO_MEDICAO!$C$5,$C1240=RELATORIO_MEDICAO!$F$5,$A1240&lt;&gt;""),COUNTIFS($A$3:$A1240,RELATORIO_MEDICAO!$C$5,$C$3:$C1240,RELATORIO_MEDICAO!$F$5),"")</f>
        <v/>
      </c>
      <c r="Z1240">
        <f>IF(OR($A1240="",PESQUISA!$C$4=""),0,IF(OR(ISNUMBER(SEARCH(PESQUISA!$C$4,$G1240)),ISNUMBER(SEARCH(PESQUISA!$C$4,$K1240)),ISNUMBER(SEARCH(PESQUISA!$C$4,$L1240))),1,0))</f>
        <v/>
      </c>
      <c r="AA1240">
        <f>IF($Z1240=1,SUM($Z$3:$Z1240),"")</f>
        <v/>
      </c>
      <c r="AB1240">
        <f>IF(OR($A1240="",PESQUISA!$C$50=""),0,IF(ISNUMBER(SEARCH(PESQUISA!$C$50,$I1240)),1,0))</f>
        <v/>
      </c>
      <c r="AC1240">
        <f>IF($AB1240=1,SUM($AB$3:$AB1240),"")</f>
        <v/>
      </c>
    </row>
    <row r="1241">
      <c r="A1241" s="20" t="n"/>
      <c r="B1241" s="20" t="n"/>
      <c r="C1241" s="20" t="n"/>
      <c r="D1241" s="20" t="n"/>
      <c r="E1241" s="20" t="n"/>
      <c r="F1241" s="20" t="n"/>
      <c r="G1241" s="20" t="n"/>
      <c r="H1241" s="20" t="n"/>
      <c r="I1241" s="20" t="n"/>
      <c r="J1241" s="20">
        <f>IFERROR(INDEX(CONFIGURACOES!$G$37:$G$300,MATCH($I1241,CONFIGURACOES!$B$37:$B$300,0)),"")</f>
        <v/>
      </c>
      <c r="K1241" s="20">
        <f>IFERROR(INDEX(CONFIGURACOES!$H$37:$H$300,MATCH($I1241,CONFIGURACOES!$B$37:$B$300,0)),"")</f>
        <v/>
      </c>
      <c r="L1241" s="20" t="n"/>
      <c r="M1241" s="20">
        <f>IFERROR(INDEX(CONFIGURACOES!$I$37:$I$300,MATCH($I1241,CONFIGURACOES!$B$37:$B$300,0)),"")</f>
        <v/>
      </c>
      <c r="N1241" s="21" t="n"/>
      <c r="O1241" s="21" t="n"/>
      <c r="P1241" s="21" t="n"/>
      <c r="Q1241" s="21" t="n"/>
      <c r="R1241" s="21">
        <f>IF($N1241="","",$N1241*IF($Q1241="",1,$Q1241)*IF($P1241="",1,$P1241)*IF($O1241="",1,$O1241))</f>
        <v/>
      </c>
      <c r="S1241" s="22">
        <f>IFERROR(INDEX(CONFIGURACOES!$J$37:$J$300,MATCH($I1241,CONFIGURACOES!$B$37:$B$300,0)),"")</f>
        <v/>
      </c>
      <c r="T1241" s="22">
        <f>IF(OR($R1241="",$S1241=""),"",$R1241*$S1241)</f>
        <v/>
      </c>
      <c r="U1241" s="20" t="n"/>
      <c r="V1241" s="20" t="n"/>
      <c r="W1241" s="20" t="n"/>
      <c r="X1241">
        <f>IF($A1241="","",$A1241&amp;"|"&amp;$C1241&amp;"|"&amp;$I1241)</f>
        <v/>
      </c>
      <c r="Y1241">
        <f>IF(AND($A1241=RELATORIO_MEDICAO!$C$5,$C1241=RELATORIO_MEDICAO!$F$5,$A1241&lt;&gt;""),COUNTIFS($A$3:$A1241,RELATORIO_MEDICAO!$C$5,$C$3:$C1241,RELATORIO_MEDICAO!$F$5),"")</f>
        <v/>
      </c>
      <c r="Z1241">
        <f>IF(OR($A1241="",PESQUISA!$C$4=""),0,IF(OR(ISNUMBER(SEARCH(PESQUISA!$C$4,$G1241)),ISNUMBER(SEARCH(PESQUISA!$C$4,$K1241)),ISNUMBER(SEARCH(PESQUISA!$C$4,$L1241))),1,0))</f>
        <v/>
      </c>
      <c r="AA1241">
        <f>IF($Z1241=1,SUM($Z$3:$Z1241),"")</f>
        <v/>
      </c>
      <c r="AB1241">
        <f>IF(OR($A1241="",PESQUISA!$C$50=""),0,IF(ISNUMBER(SEARCH(PESQUISA!$C$50,$I1241)),1,0))</f>
        <v/>
      </c>
      <c r="AC1241">
        <f>IF($AB1241=1,SUM($AB$3:$AB1241),"")</f>
        <v/>
      </c>
    </row>
    <row r="1242">
      <c r="A1242" s="20" t="n"/>
      <c r="B1242" s="20" t="n"/>
      <c r="C1242" s="20" t="n"/>
      <c r="D1242" s="20" t="n"/>
      <c r="E1242" s="20" t="n"/>
      <c r="F1242" s="20" t="n"/>
      <c r="G1242" s="20" t="n"/>
      <c r="H1242" s="20" t="n"/>
      <c r="I1242" s="20" t="n"/>
      <c r="J1242" s="20">
        <f>IFERROR(INDEX(CONFIGURACOES!$G$37:$G$300,MATCH($I1242,CONFIGURACOES!$B$37:$B$300,0)),"")</f>
        <v/>
      </c>
      <c r="K1242" s="20">
        <f>IFERROR(INDEX(CONFIGURACOES!$H$37:$H$300,MATCH($I1242,CONFIGURACOES!$B$37:$B$300,0)),"")</f>
        <v/>
      </c>
      <c r="L1242" s="20" t="n"/>
      <c r="M1242" s="20">
        <f>IFERROR(INDEX(CONFIGURACOES!$I$37:$I$300,MATCH($I1242,CONFIGURACOES!$B$37:$B$300,0)),"")</f>
        <v/>
      </c>
      <c r="N1242" s="21" t="n"/>
      <c r="O1242" s="21" t="n"/>
      <c r="P1242" s="21" t="n"/>
      <c r="Q1242" s="21" t="n"/>
      <c r="R1242" s="21">
        <f>IF($N1242="","",$N1242*IF($Q1242="",1,$Q1242)*IF($P1242="",1,$P1242)*IF($O1242="",1,$O1242))</f>
        <v/>
      </c>
      <c r="S1242" s="22">
        <f>IFERROR(INDEX(CONFIGURACOES!$J$37:$J$300,MATCH($I1242,CONFIGURACOES!$B$37:$B$300,0)),"")</f>
        <v/>
      </c>
      <c r="T1242" s="22">
        <f>IF(OR($R1242="",$S1242=""),"",$R1242*$S1242)</f>
        <v/>
      </c>
      <c r="U1242" s="20" t="n"/>
      <c r="V1242" s="20" t="n"/>
      <c r="W1242" s="20" t="n"/>
      <c r="X1242">
        <f>IF($A1242="","",$A1242&amp;"|"&amp;$C1242&amp;"|"&amp;$I1242)</f>
        <v/>
      </c>
      <c r="Y1242">
        <f>IF(AND($A1242=RELATORIO_MEDICAO!$C$5,$C1242=RELATORIO_MEDICAO!$F$5,$A1242&lt;&gt;""),COUNTIFS($A$3:$A1242,RELATORIO_MEDICAO!$C$5,$C$3:$C1242,RELATORIO_MEDICAO!$F$5),"")</f>
        <v/>
      </c>
      <c r="Z1242">
        <f>IF(OR($A1242="",PESQUISA!$C$4=""),0,IF(OR(ISNUMBER(SEARCH(PESQUISA!$C$4,$G1242)),ISNUMBER(SEARCH(PESQUISA!$C$4,$K1242)),ISNUMBER(SEARCH(PESQUISA!$C$4,$L1242))),1,0))</f>
        <v/>
      </c>
      <c r="AA1242">
        <f>IF($Z1242=1,SUM($Z$3:$Z1242),"")</f>
        <v/>
      </c>
      <c r="AB1242">
        <f>IF(OR($A1242="",PESQUISA!$C$50=""),0,IF(ISNUMBER(SEARCH(PESQUISA!$C$50,$I1242)),1,0))</f>
        <v/>
      </c>
      <c r="AC1242">
        <f>IF($AB1242=1,SUM($AB$3:$AB1242),"")</f>
        <v/>
      </c>
    </row>
    <row r="1243">
      <c r="A1243" s="20" t="n"/>
      <c r="B1243" s="20" t="n"/>
      <c r="C1243" s="20" t="n"/>
      <c r="D1243" s="20" t="n"/>
      <c r="E1243" s="20" t="n"/>
      <c r="F1243" s="20" t="n"/>
      <c r="G1243" s="20" t="n"/>
      <c r="H1243" s="20" t="n"/>
      <c r="I1243" s="20" t="n"/>
      <c r="J1243" s="20">
        <f>IFERROR(INDEX(CONFIGURACOES!$G$37:$G$300,MATCH($I1243,CONFIGURACOES!$B$37:$B$300,0)),"")</f>
        <v/>
      </c>
      <c r="K1243" s="20">
        <f>IFERROR(INDEX(CONFIGURACOES!$H$37:$H$300,MATCH($I1243,CONFIGURACOES!$B$37:$B$300,0)),"")</f>
        <v/>
      </c>
      <c r="L1243" s="20" t="n"/>
      <c r="M1243" s="20">
        <f>IFERROR(INDEX(CONFIGURACOES!$I$37:$I$300,MATCH($I1243,CONFIGURACOES!$B$37:$B$300,0)),"")</f>
        <v/>
      </c>
      <c r="N1243" s="21" t="n"/>
      <c r="O1243" s="21" t="n"/>
      <c r="P1243" s="21" t="n"/>
      <c r="Q1243" s="21" t="n"/>
      <c r="R1243" s="21">
        <f>IF($N1243="","",$N1243*IF($Q1243="",1,$Q1243)*IF($P1243="",1,$P1243)*IF($O1243="",1,$O1243))</f>
        <v/>
      </c>
      <c r="S1243" s="22">
        <f>IFERROR(INDEX(CONFIGURACOES!$J$37:$J$300,MATCH($I1243,CONFIGURACOES!$B$37:$B$300,0)),"")</f>
        <v/>
      </c>
      <c r="T1243" s="22">
        <f>IF(OR($R1243="",$S1243=""),"",$R1243*$S1243)</f>
        <v/>
      </c>
      <c r="U1243" s="20" t="n"/>
      <c r="V1243" s="20" t="n"/>
      <c r="W1243" s="20" t="n"/>
      <c r="X1243">
        <f>IF($A1243="","",$A1243&amp;"|"&amp;$C1243&amp;"|"&amp;$I1243)</f>
        <v/>
      </c>
      <c r="Y1243">
        <f>IF(AND($A1243=RELATORIO_MEDICAO!$C$5,$C1243=RELATORIO_MEDICAO!$F$5,$A1243&lt;&gt;""),COUNTIFS($A$3:$A1243,RELATORIO_MEDICAO!$C$5,$C$3:$C1243,RELATORIO_MEDICAO!$F$5),"")</f>
        <v/>
      </c>
      <c r="Z1243">
        <f>IF(OR($A1243="",PESQUISA!$C$4=""),0,IF(OR(ISNUMBER(SEARCH(PESQUISA!$C$4,$G1243)),ISNUMBER(SEARCH(PESQUISA!$C$4,$K1243)),ISNUMBER(SEARCH(PESQUISA!$C$4,$L1243))),1,0))</f>
        <v/>
      </c>
      <c r="AA1243">
        <f>IF($Z1243=1,SUM($Z$3:$Z1243),"")</f>
        <v/>
      </c>
      <c r="AB1243">
        <f>IF(OR($A1243="",PESQUISA!$C$50=""),0,IF(ISNUMBER(SEARCH(PESQUISA!$C$50,$I1243)),1,0))</f>
        <v/>
      </c>
      <c r="AC1243">
        <f>IF($AB1243=1,SUM($AB$3:$AB1243),"")</f>
        <v/>
      </c>
    </row>
    <row r="1244">
      <c r="A1244" s="20" t="n"/>
      <c r="B1244" s="20" t="n"/>
      <c r="C1244" s="20" t="n"/>
      <c r="D1244" s="20" t="n"/>
      <c r="E1244" s="20" t="n"/>
      <c r="F1244" s="20" t="n"/>
      <c r="G1244" s="20" t="n"/>
      <c r="H1244" s="20" t="n"/>
      <c r="I1244" s="20" t="n"/>
      <c r="J1244" s="20">
        <f>IFERROR(INDEX(CONFIGURACOES!$G$37:$G$300,MATCH($I1244,CONFIGURACOES!$B$37:$B$300,0)),"")</f>
        <v/>
      </c>
      <c r="K1244" s="20">
        <f>IFERROR(INDEX(CONFIGURACOES!$H$37:$H$300,MATCH($I1244,CONFIGURACOES!$B$37:$B$300,0)),"")</f>
        <v/>
      </c>
      <c r="L1244" s="20" t="n"/>
      <c r="M1244" s="20">
        <f>IFERROR(INDEX(CONFIGURACOES!$I$37:$I$300,MATCH($I1244,CONFIGURACOES!$B$37:$B$300,0)),"")</f>
        <v/>
      </c>
      <c r="N1244" s="21" t="n"/>
      <c r="O1244" s="21" t="n"/>
      <c r="P1244" s="21" t="n"/>
      <c r="Q1244" s="21" t="n"/>
      <c r="R1244" s="21">
        <f>IF($N1244="","",$N1244*IF($Q1244="",1,$Q1244)*IF($P1244="",1,$P1244)*IF($O1244="",1,$O1244))</f>
        <v/>
      </c>
      <c r="S1244" s="22">
        <f>IFERROR(INDEX(CONFIGURACOES!$J$37:$J$300,MATCH($I1244,CONFIGURACOES!$B$37:$B$300,0)),"")</f>
        <v/>
      </c>
      <c r="T1244" s="22">
        <f>IF(OR($R1244="",$S1244=""),"",$R1244*$S1244)</f>
        <v/>
      </c>
      <c r="U1244" s="20" t="n"/>
      <c r="V1244" s="20" t="n"/>
      <c r="W1244" s="20" t="n"/>
      <c r="X1244">
        <f>IF($A1244="","",$A1244&amp;"|"&amp;$C1244&amp;"|"&amp;$I1244)</f>
        <v/>
      </c>
      <c r="Y1244">
        <f>IF(AND($A1244=RELATORIO_MEDICAO!$C$5,$C1244=RELATORIO_MEDICAO!$F$5,$A1244&lt;&gt;""),COUNTIFS($A$3:$A1244,RELATORIO_MEDICAO!$C$5,$C$3:$C1244,RELATORIO_MEDICAO!$F$5),"")</f>
        <v/>
      </c>
      <c r="Z1244">
        <f>IF(OR($A1244="",PESQUISA!$C$4=""),0,IF(OR(ISNUMBER(SEARCH(PESQUISA!$C$4,$G1244)),ISNUMBER(SEARCH(PESQUISA!$C$4,$K1244)),ISNUMBER(SEARCH(PESQUISA!$C$4,$L1244))),1,0))</f>
        <v/>
      </c>
      <c r="AA1244">
        <f>IF($Z1244=1,SUM($Z$3:$Z1244),"")</f>
        <v/>
      </c>
      <c r="AB1244">
        <f>IF(OR($A1244="",PESQUISA!$C$50=""),0,IF(ISNUMBER(SEARCH(PESQUISA!$C$50,$I1244)),1,0))</f>
        <v/>
      </c>
      <c r="AC1244">
        <f>IF($AB1244=1,SUM($AB$3:$AB1244),"")</f>
        <v/>
      </c>
    </row>
    <row r="1245">
      <c r="A1245" s="20" t="n"/>
      <c r="B1245" s="20" t="n"/>
      <c r="C1245" s="20" t="n"/>
      <c r="D1245" s="20" t="n"/>
      <c r="E1245" s="20" t="n"/>
      <c r="F1245" s="20" t="n"/>
      <c r="G1245" s="20" t="n"/>
      <c r="H1245" s="20" t="n"/>
      <c r="I1245" s="20" t="n"/>
      <c r="J1245" s="20">
        <f>IFERROR(INDEX(CONFIGURACOES!$G$37:$G$300,MATCH($I1245,CONFIGURACOES!$B$37:$B$300,0)),"")</f>
        <v/>
      </c>
      <c r="K1245" s="20">
        <f>IFERROR(INDEX(CONFIGURACOES!$H$37:$H$300,MATCH($I1245,CONFIGURACOES!$B$37:$B$300,0)),"")</f>
        <v/>
      </c>
      <c r="L1245" s="20" t="n"/>
      <c r="M1245" s="20">
        <f>IFERROR(INDEX(CONFIGURACOES!$I$37:$I$300,MATCH($I1245,CONFIGURACOES!$B$37:$B$300,0)),"")</f>
        <v/>
      </c>
      <c r="N1245" s="21" t="n"/>
      <c r="O1245" s="21" t="n"/>
      <c r="P1245" s="21" t="n"/>
      <c r="Q1245" s="21" t="n"/>
      <c r="R1245" s="21">
        <f>IF($N1245="","",$N1245*IF($Q1245="",1,$Q1245)*IF($P1245="",1,$P1245)*IF($O1245="",1,$O1245))</f>
        <v/>
      </c>
      <c r="S1245" s="22">
        <f>IFERROR(INDEX(CONFIGURACOES!$J$37:$J$300,MATCH($I1245,CONFIGURACOES!$B$37:$B$300,0)),"")</f>
        <v/>
      </c>
      <c r="T1245" s="22">
        <f>IF(OR($R1245="",$S1245=""),"",$R1245*$S1245)</f>
        <v/>
      </c>
      <c r="U1245" s="20" t="n"/>
      <c r="V1245" s="20" t="n"/>
      <c r="W1245" s="20" t="n"/>
      <c r="X1245">
        <f>IF($A1245="","",$A1245&amp;"|"&amp;$C1245&amp;"|"&amp;$I1245)</f>
        <v/>
      </c>
      <c r="Y1245">
        <f>IF(AND($A1245=RELATORIO_MEDICAO!$C$5,$C1245=RELATORIO_MEDICAO!$F$5,$A1245&lt;&gt;""),COUNTIFS($A$3:$A1245,RELATORIO_MEDICAO!$C$5,$C$3:$C1245,RELATORIO_MEDICAO!$F$5),"")</f>
        <v/>
      </c>
      <c r="Z1245">
        <f>IF(OR($A1245="",PESQUISA!$C$4=""),0,IF(OR(ISNUMBER(SEARCH(PESQUISA!$C$4,$G1245)),ISNUMBER(SEARCH(PESQUISA!$C$4,$K1245)),ISNUMBER(SEARCH(PESQUISA!$C$4,$L1245))),1,0))</f>
        <v/>
      </c>
      <c r="AA1245">
        <f>IF($Z1245=1,SUM($Z$3:$Z1245),"")</f>
        <v/>
      </c>
      <c r="AB1245">
        <f>IF(OR($A1245="",PESQUISA!$C$50=""),0,IF(ISNUMBER(SEARCH(PESQUISA!$C$50,$I1245)),1,0))</f>
        <v/>
      </c>
      <c r="AC1245">
        <f>IF($AB1245=1,SUM($AB$3:$AB1245),"")</f>
        <v/>
      </c>
    </row>
    <row r="1246">
      <c r="A1246" s="20" t="n"/>
      <c r="B1246" s="20" t="n"/>
      <c r="C1246" s="20" t="n"/>
      <c r="D1246" s="20" t="n"/>
      <c r="E1246" s="20" t="n"/>
      <c r="F1246" s="20" t="n"/>
      <c r="G1246" s="20" t="n"/>
      <c r="H1246" s="20" t="n"/>
      <c r="I1246" s="20" t="n"/>
      <c r="J1246" s="20">
        <f>IFERROR(INDEX(CONFIGURACOES!$G$37:$G$300,MATCH($I1246,CONFIGURACOES!$B$37:$B$300,0)),"")</f>
        <v/>
      </c>
      <c r="K1246" s="20">
        <f>IFERROR(INDEX(CONFIGURACOES!$H$37:$H$300,MATCH($I1246,CONFIGURACOES!$B$37:$B$300,0)),"")</f>
        <v/>
      </c>
      <c r="L1246" s="20" t="n"/>
      <c r="M1246" s="20">
        <f>IFERROR(INDEX(CONFIGURACOES!$I$37:$I$300,MATCH($I1246,CONFIGURACOES!$B$37:$B$300,0)),"")</f>
        <v/>
      </c>
      <c r="N1246" s="21" t="n"/>
      <c r="O1246" s="21" t="n"/>
      <c r="P1246" s="21" t="n"/>
      <c r="Q1246" s="21" t="n"/>
      <c r="R1246" s="21">
        <f>IF($N1246="","",$N1246*IF($Q1246="",1,$Q1246)*IF($P1246="",1,$P1246)*IF($O1246="",1,$O1246))</f>
        <v/>
      </c>
      <c r="S1246" s="22">
        <f>IFERROR(INDEX(CONFIGURACOES!$J$37:$J$300,MATCH($I1246,CONFIGURACOES!$B$37:$B$300,0)),"")</f>
        <v/>
      </c>
      <c r="T1246" s="22">
        <f>IF(OR($R1246="",$S1246=""),"",$R1246*$S1246)</f>
        <v/>
      </c>
      <c r="U1246" s="20" t="n"/>
      <c r="V1246" s="20" t="n"/>
      <c r="W1246" s="20" t="n"/>
      <c r="X1246">
        <f>IF($A1246="","",$A1246&amp;"|"&amp;$C1246&amp;"|"&amp;$I1246)</f>
        <v/>
      </c>
      <c r="Y1246">
        <f>IF(AND($A1246=RELATORIO_MEDICAO!$C$5,$C1246=RELATORIO_MEDICAO!$F$5,$A1246&lt;&gt;""),COUNTIFS($A$3:$A1246,RELATORIO_MEDICAO!$C$5,$C$3:$C1246,RELATORIO_MEDICAO!$F$5),"")</f>
        <v/>
      </c>
      <c r="Z1246">
        <f>IF(OR($A1246="",PESQUISA!$C$4=""),0,IF(OR(ISNUMBER(SEARCH(PESQUISA!$C$4,$G1246)),ISNUMBER(SEARCH(PESQUISA!$C$4,$K1246)),ISNUMBER(SEARCH(PESQUISA!$C$4,$L1246))),1,0))</f>
        <v/>
      </c>
      <c r="AA1246">
        <f>IF($Z1246=1,SUM($Z$3:$Z1246),"")</f>
        <v/>
      </c>
      <c r="AB1246">
        <f>IF(OR($A1246="",PESQUISA!$C$50=""),0,IF(ISNUMBER(SEARCH(PESQUISA!$C$50,$I1246)),1,0))</f>
        <v/>
      </c>
      <c r="AC1246">
        <f>IF($AB1246=1,SUM($AB$3:$AB1246),"")</f>
        <v/>
      </c>
    </row>
    <row r="1247">
      <c r="A1247" s="20" t="n"/>
      <c r="B1247" s="20" t="n"/>
      <c r="C1247" s="20" t="n"/>
      <c r="D1247" s="20" t="n"/>
      <c r="E1247" s="20" t="n"/>
      <c r="F1247" s="20" t="n"/>
      <c r="G1247" s="20" t="n"/>
      <c r="H1247" s="20" t="n"/>
      <c r="I1247" s="20" t="n"/>
      <c r="J1247" s="20">
        <f>IFERROR(INDEX(CONFIGURACOES!$G$37:$G$300,MATCH($I1247,CONFIGURACOES!$B$37:$B$300,0)),"")</f>
        <v/>
      </c>
      <c r="K1247" s="20">
        <f>IFERROR(INDEX(CONFIGURACOES!$H$37:$H$300,MATCH($I1247,CONFIGURACOES!$B$37:$B$300,0)),"")</f>
        <v/>
      </c>
      <c r="L1247" s="20" t="n"/>
      <c r="M1247" s="20">
        <f>IFERROR(INDEX(CONFIGURACOES!$I$37:$I$300,MATCH($I1247,CONFIGURACOES!$B$37:$B$300,0)),"")</f>
        <v/>
      </c>
      <c r="N1247" s="21" t="n"/>
      <c r="O1247" s="21" t="n"/>
      <c r="P1247" s="21" t="n"/>
      <c r="Q1247" s="21" t="n"/>
      <c r="R1247" s="21">
        <f>IF($N1247="","",$N1247*IF($Q1247="",1,$Q1247)*IF($P1247="",1,$P1247)*IF($O1247="",1,$O1247))</f>
        <v/>
      </c>
      <c r="S1247" s="22">
        <f>IFERROR(INDEX(CONFIGURACOES!$J$37:$J$300,MATCH($I1247,CONFIGURACOES!$B$37:$B$300,0)),"")</f>
        <v/>
      </c>
      <c r="T1247" s="22">
        <f>IF(OR($R1247="",$S1247=""),"",$R1247*$S1247)</f>
        <v/>
      </c>
      <c r="U1247" s="20" t="n"/>
      <c r="V1247" s="20" t="n"/>
      <c r="W1247" s="20" t="n"/>
      <c r="X1247">
        <f>IF($A1247="","",$A1247&amp;"|"&amp;$C1247&amp;"|"&amp;$I1247)</f>
        <v/>
      </c>
      <c r="Y1247">
        <f>IF(AND($A1247=RELATORIO_MEDICAO!$C$5,$C1247=RELATORIO_MEDICAO!$F$5,$A1247&lt;&gt;""),COUNTIFS($A$3:$A1247,RELATORIO_MEDICAO!$C$5,$C$3:$C1247,RELATORIO_MEDICAO!$F$5),"")</f>
        <v/>
      </c>
      <c r="Z1247">
        <f>IF(OR($A1247="",PESQUISA!$C$4=""),0,IF(OR(ISNUMBER(SEARCH(PESQUISA!$C$4,$G1247)),ISNUMBER(SEARCH(PESQUISA!$C$4,$K1247)),ISNUMBER(SEARCH(PESQUISA!$C$4,$L1247))),1,0))</f>
        <v/>
      </c>
      <c r="AA1247">
        <f>IF($Z1247=1,SUM($Z$3:$Z1247),"")</f>
        <v/>
      </c>
      <c r="AB1247">
        <f>IF(OR($A1247="",PESQUISA!$C$50=""),0,IF(ISNUMBER(SEARCH(PESQUISA!$C$50,$I1247)),1,0))</f>
        <v/>
      </c>
      <c r="AC1247">
        <f>IF($AB1247=1,SUM($AB$3:$AB1247),"")</f>
        <v/>
      </c>
    </row>
    <row r="1248">
      <c r="A1248" s="20" t="n"/>
      <c r="B1248" s="20" t="n"/>
      <c r="C1248" s="20" t="n"/>
      <c r="D1248" s="20" t="n"/>
      <c r="E1248" s="20" t="n"/>
      <c r="F1248" s="20" t="n"/>
      <c r="G1248" s="20" t="n"/>
      <c r="H1248" s="20" t="n"/>
      <c r="I1248" s="20" t="n"/>
      <c r="J1248" s="20">
        <f>IFERROR(INDEX(CONFIGURACOES!$G$37:$G$300,MATCH($I1248,CONFIGURACOES!$B$37:$B$300,0)),"")</f>
        <v/>
      </c>
      <c r="K1248" s="20">
        <f>IFERROR(INDEX(CONFIGURACOES!$H$37:$H$300,MATCH($I1248,CONFIGURACOES!$B$37:$B$300,0)),"")</f>
        <v/>
      </c>
      <c r="L1248" s="20" t="n"/>
      <c r="M1248" s="20">
        <f>IFERROR(INDEX(CONFIGURACOES!$I$37:$I$300,MATCH($I1248,CONFIGURACOES!$B$37:$B$300,0)),"")</f>
        <v/>
      </c>
      <c r="N1248" s="21" t="n"/>
      <c r="O1248" s="21" t="n"/>
      <c r="P1248" s="21" t="n"/>
      <c r="Q1248" s="21" t="n"/>
      <c r="R1248" s="21">
        <f>IF($N1248="","",$N1248*IF($Q1248="",1,$Q1248)*IF($P1248="",1,$P1248)*IF($O1248="",1,$O1248))</f>
        <v/>
      </c>
      <c r="S1248" s="22">
        <f>IFERROR(INDEX(CONFIGURACOES!$J$37:$J$300,MATCH($I1248,CONFIGURACOES!$B$37:$B$300,0)),"")</f>
        <v/>
      </c>
      <c r="T1248" s="22">
        <f>IF(OR($R1248="",$S1248=""),"",$R1248*$S1248)</f>
        <v/>
      </c>
      <c r="U1248" s="20" t="n"/>
      <c r="V1248" s="20" t="n"/>
      <c r="W1248" s="20" t="n"/>
      <c r="X1248">
        <f>IF($A1248="","",$A1248&amp;"|"&amp;$C1248&amp;"|"&amp;$I1248)</f>
        <v/>
      </c>
      <c r="Y1248">
        <f>IF(AND($A1248=RELATORIO_MEDICAO!$C$5,$C1248=RELATORIO_MEDICAO!$F$5,$A1248&lt;&gt;""),COUNTIFS($A$3:$A1248,RELATORIO_MEDICAO!$C$5,$C$3:$C1248,RELATORIO_MEDICAO!$F$5),"")</f>
        <v/>
      </c>
      <c r="Z1248">
        <f>IF(OR($A1248="",PESQUISA!$C$4=""),0,IF(OR(ISNUMBER(SEARCH(PESQUISA!$C$4,$G1248)),ISNUMBER(SEARCH(PESQUISA!$C$4,$K1248)),ISNUMBER(SEARCH(PESQUISA!$C$4,$L1248))),1,0))</f>
        <v/>
      </c>
      <c r="AA1248">
        <f>IF($Z1248=1,SUM($Z$3:$Z1248),"")</f>
        <v/>
      </c>
      <c r="AB1248">
        <f>IF(OR($A1248="",PESQUISA!$C$50=""),0,IF(ISNUMBER(SEARCH(PESQUISA!$C$50,$I1248)),1,0))</f>
        <v/>
      </c>
      <c r="AC1248">
        <f>IF($AB1248=1,SUM($AB$3:$AB1248),"")</f>
        <v/>
      </c>
    </row>
    <row r="1249">
      <c r="A1249" s="20" t="n"/>
      <c r="B1249" s="20" t="n"/>
      <c r="C1249" s="20" t="n"/>
      <c r="D1249" s="20" t="n"/>
      <c r="E1249" s="20" t="n"/>
      <c r="F1249" s="20" t="n"/>
      <c r="G1249" s="20" t="n"/>
      <c r="H1249" s="20" t="n"/>
      <c r="I1249" s="20" t="n"/>
      <c r="J1249" s="20">
        <f>IFERROR(INDEX(CONFIGURACOES!$G$37:$G$300,MATCH($I1249,CONFIGURACOES!$B$37:$B$300,0)),"")</f>
        <v/>
      </c>
      <c r="K1249" s="20">
        <f>IFERROR(INDEX(CONFIGURACOES!$H$37:$H$300,MATCH($I1249,CONFIGURACOES!$B$37:$B$300,0)),"")</f>
        <v/>
      </c>
      <c r="L1249" s="20" t="n"/>
      <c r="M1249" s="20">
        <f>IFERROR(INDEX(CONFIGURACOES!$I$37:$I$300,MATCH($I1249,CONFIGURACOES!$B$37:$B$300,0)),"")</f>
        <v/>
      </c>
      <c r="N1249" s="21" t="n"/>
      <c r="O1249" s="21" t="n"/>
      <c r="P1249" s="21" t="n"/>
      <c r="Q1249" s="21" t="n"/>
      <c r="R1249" s="21">
        <f>IF($N1249="","",$N1249*IF($Q1249="",1,$Q1249)*IF($P1249="",1,$P1249)*IF($O1249="",1,$O1249))</f>
        <v/>
      </c>
      <c r="S1249" s="22">
        <f>IFERROR(INDEX(CONFIGURACOES!$J$37:$J$300,MATCH($I1249,CONFIGURACOES!$B$37:$B$300,0)),"")</f>
        <v/>
      </c>
      <c r="T1249" s="22">
        <f>IF(OR($R1249="",$S1249=""),"",$R1249*$S1249)</f>
        <v/>
      </c>
      <c r="U1249" s="20" t="n"/>
      <c r="V1249" s="20" t="n"/>
      <c r="W1249" s="20" t="n"/>
      <c r="X1249">
        <f>IF($A1249="","",$A1249&amp;"|"&amp;$C1249&amp;"|"&amp;$I1249)</f>
        <v/>
      </c>
      <c r="Y1249">
        <f>IF(AND($A1249=RELATORIO_MEDICAO!$C$5,$C1249=RELATORIO_MEDICAO!$F$5,$A1249&lt;&gt;""),COUNTIFS($A$3:$A1249,RELATORIO_MEDICAO!$C$5,$C$3:$C1249,RELATORIO_MEDICAO!$F$5),"")</f>
        <v/>
      </c>
      <c r="Z1249">
        <f>IF(OR($A1249="",PESQUISA!$C$4=""),0,IF(OR(ISNUMBER(SEARCH(PESQUISA!$C$4,$G1249)),ISNUMBER(SEARCH(PESQUISA!$C$4,$K1249)),ISNUMBER(SEARCH(PESQUISA!$C$4,$L1249))),1,0))</f>
        <v/>
      </c>
      <c r="AA1249">
        <f>IF($Z1249=1,SUM($Z$3:$Z1249),"")</f>
        <v/>
      </c>
      <c r="AB1249">
        <f>IF(OR($A1249="",PESQUISA!$C$50=""),0,IF(ISNUMBER(SEARCH(PESQUISA!$C$50,$I1249)),1,0))</f>
        <v/>
      </c>
      <c r="AC1249">
        <f>IF($AB1249=1,SUM($AB$3:$AB1249),"")</f>
        <v/>
      </c>
    </row>
    <row r="1250">
      <c r="A1250" s="20" t="n"/>
      <c r="B1250" s="20" t="n"/>
      <c r="C1250" s="20" t="n"/>
      <c r="D1250" s="20" t="n"/>
      <c r="E1250" s="20" t="n"/>
      <c r="F1250" s="20" t="n"/>
      <c r="G1250" s="20" t="n"/>
      <c r="H1250" s="20" t="n"/>
      <c r="I1250" s="20" t="n"/>
      <c r="J1250" s="20">
        <f>IFERROR(INDEX(CONFIGURACOES!$G$37:$G$300,MATCH($I1250,CONFIGURACOES!$B$37:$B$300,0)),"")</f>
        <v/>
      </c>
      <c r="K1250" s="20">
        <f>IFERROR(INDEX(CONFIGURACOES!$H$37:$H$300,MATCH($I1250,CONFIGURACOES!$B$37:$B$300,0)),"")</f>
        <v/>
      </c>
      <c r="L1250" s="20" t="n"/>
      <c r="M1250" s="20">
        <f>IFERROR(INDEX(CONFIGURACOES!$I$37:$I$300,MATCH($I1250,CONFIGURACOES!$B$37:$B$300,0)),"")</f>
        <v/>
      </c>
      <c r="N1250" s="21" t="n"/>
      <c r="O1250" s="21" t="n"/>
      <c r="P1250" s="21" t="n"/>
      <c r="Q1250" s="21" t="n"/>
      <c r="R1250" s="21">
        <f>IF($N1250="","",$N1250*IF($Q1250="",1,$Q1250)*IF($P1250="",1,$P1250)*IF($O1250="",1,$O1250))</f>
        <v/>
      </c>
      <c r="S1250" s="22">
        <f>IFERROR(INDEX(CONFIGURACOES!$J$37:$J$300,MATCH($I1250,CONFIGURACOES!$B$37:$B$300,0)),"")</f>
        <v/>
      </c>
      <c r="T1250" s="22">
        <f>IF(OR($R1250="",$S1250=""),"",$R1250*$S1250)</f>
        <v/>
      </c>
      <c r="U1250" s="20" t="n"/>
      <c r="V1250" s="20" t="n"/>
      <c r="W1250" s="20" t="n"/>
      <c r="X1250">
        <f>IF($A1250="","",$A1250&amp;"|"&amp;$C1250&amp;"|"&amp;$I1250)</f>
        <v/>
      </c>
      <c r="Y1250">
        <f>IF(AND($A1250=RELATORIO_MEDICAO!$C$5,$C1250=RELATORIO_MEDICAO!$F$5,$A1250&lt;&gt;""),COUNTIFS($A$3:$A1250,RELATORIO_MEDICAO!$C$5,$C$3:$C1250,RELATORIO_MEDICAO!$F$5),"")</f>
        <v/>
      </c>
      <c r="Z1250">
        <f>IF(OR($A1250="",PESQUISA!$C$4=""),0,IF(OR(ISNUMBER(SEARCH(PESQUISA!$C$4,$G1250)),ISNUMBER(SEARCH(PESQUISA!$C$4,$K1250)),ISNUMBER(SEARCH(PESQUISA!$C$4,$L1250))),1,0))</f>
        <v/>
      </c>
      <c r="AA1250">
        <f>IF($Z1250=1,SUM($Z$3:$Z1250),"")</f>
        <v/>
      </c>
      <c r="AB1250">
        <f>IF(OR($A1250="",PESQUISA!$C$50=""),0,IF(ISNUMBER(SEARCH(PESQUISA!$C$50,$I1250)),1,0))</f>
        <v/>
      </c>
      <c r="AC1250">
        <f>IF($AB1250=1,SUM($AB$3:$AB1250),"")</f>
        <v/>
      </c>
    </row>
    <row r="1251">
      <c r="A1251" s="20" t="n"/>
      <c r="B1251" s="20" t="n"/>
      <c r="C1251" s="20" t="n"/>
      <c r="D1251" s="20" t="n"/>
      <c r="E1251" s="20" t="n"/>
      <c r="F1251" s="20" t="n"/>
      <c r="G1251" s="20" t="n"/>
      <c r="H1251" s="20" t="n"/>
      <c r="I1251" s="20" t="n"/>
      <c r="J1251" s="20">
        <f>IFERROR(INDEX(CONFIGURACOES!$G$37:$G$300,MATCH($I1251,CONFIGURACOES!$B$37:$B$300,0)),"")</f>
        <v/>
      </c>
      <c r="K1251" s="20">
        <f>IFERROR(INDEX(CONFIGURACOES!$H$37:$H$300,MATCH($I1251,CONFIGURACOES!$B$37:$B$300,0)),"")</f>
        <v/>
      </c>
      <c r="L1251" s="20" t="n"/>
      <c r="M1251" s="20">
        <f>IFERROR(INDEX(CONFIGURACOES!$I$37:$I$300,MATCH($I1251,CONFIGURACOES!$B$37:$B$300,0)),"")</f>
        <v/>
      </c>
      <c r="N1251" s="21" t="n"/>
      <c r="O1251" s="21" t="n"/>
      <c r="P1251" s="21" t="n"/>
      <c r="Q1251" s="21" t="n"/>
      <c r="R1251" s="21">
        <f>IF($N1251="","",$N1251*IF($Q1251="",1,$Q1251)*IF($P1251="",1,$P1251)*IF($O1251="",1,$O1251))</f>
        <v/>
      </c>
      <c r="S1251" s="22">
        <f>IFERROR(INDEX(CONFIGURACOES!$J$37:$J$300,MATCH($I1251,CONFIGURACOES!$B$37:$B$300,0)),"")</f>
        <v/>
      </c>
      <c r="T1251" s="22">
        <f>IF(OR($R1251="",$S1251=""),"",$R1251*$S1251)</f>
        <v/>
      </c>
      <c r="U1251" s="20" t="n"/>
      <c r="V1251" s="20" t="n"/>
      <c r="W1251" s="20" t="n"/>
      <c r="X1251">
        <f>IF($A1251="","",$A1251&amp;"|"&amp;$C1251&amp;"|"&amp;$I1251)</f>
        <v/>
      </c>
      <c r="Y1251">
        <f>IF(AND($A1251=RELATORIO_MEDICAO!$C$5,$C1251=RELATORIO_MEDICAO!$F$5,$A1251&lt;&gt;""),COUNTIFS($A$3:$A1251,RELATORIO_MEDICAO!$C$5,$C$3:$C1251,RELATORIO_MEDICAO!$F$5),"")</f>
        <v/>
      </c>
      <c r="Z1251">
        <f>IF(OR($A1251="",PESQUISA!$C$4=""),0,IF(OR(ISNUMBER(SEARCH(PESQUISA!$C$4,$G1251)),ISNUMBER(SEARCH(PESQUISA!$C$4,$K1251)),ISNUMBER(SEARCH(PESQUISA!$C$4,$L1251))),1,0))</f>
        <v/>
      </c>
      <c r="AA1251">
        <f>IF($Z1251=1,SUM($Z$3:$Z1251),"")</f>
        <v/>
      </c>
      <c r="AB1251">
        <f>IF(OR($A1251="",PESQUISA!$C$50=""),0,IF(ISNUMBER(SEARCH(PESQUISA!$C$50,$I1251)),1,0))</f>
        <v/>
      </c>
      <c r="AC1251">
        <f>IF($AB1251=1,SUM($AB$3:$AB1251),"")</f>
        <v/>
      </c>
    </row>
    <row r="1252">
      <c r="A1252" s="20" t="n"/>
      <c r="B1252" s="20" t="n"/>
      <c r="C1252" s="20" t="n"/>
      <c r="D1252" s="20" t="n"/>
      <c r="E1252" s="20" t="n"/>
      <c r="F1252" s="20" t="n"/>
      <c r="G1252" s="20" t="n"/>
      <c r="H1252" s="20" t="n"/>
      <c r="I1252" s="20" t="n"/>
      <c r="J1252" s="20">
        <f>IFERROR(INDEX(CONFIGURACOES!$G$37:$G$300,MATCH($I1252,CONFIGURACOES!$B$37:$B$300,0)),"")</f>
        <v/>
      </c>
      <c r="K1252" s="20">
        <f>IFERROR(INDEX(CONFIGURACOES!$H$37:$H$300,MATCH($I1252,CONFIGURACOES!$B$37:$B$300,0)),"")</f>
        <v/>
      </c>
      <c r="L1252" s="20" t="n"/>
      <c r="M1252" s="20">
        <f>IFERROR(INDEX(CONFIGURACOES!$I$37:$I$300,MATCH($I1252,CONFIGURACOES!$B$37:$B$300,0)),"")</f>
        <v/>
      </c>
      <c r="N1252" s="21" t="n"/>
      <c r="O1252" s="21" t="n"/>
      <c r="P1252" s="21" t="n"/>
      <c r="Q1252" s="21" t="n"/>
      <c r="R1252" s="21">
        <f>IF($N1252="","",$N1252*IF($Q1252="",1,$Q1252)*IF($P1252="",1,$P1252)*IF($O1252="",1,$O1252))</f>
        <v/>
      </c>
      <c r="S1252" s="22">
        <f>IFERROR(INDEX(CONFIGURACOES!$J$37:$J$300,MATCH($I1252,CONFIGURACOES!$B$37:$B$300,0)),"")</f>
        <v/>
      </c>
      <c r="T1252" s="22">
        <f>IF(OR($R1252="",$S1252=""),"",$R1252*$S1252)</f>
        <v/>
      </c>
      <c r="U1252" s="20" t="n"/>
      <c r="V1252" s="20" t="n"/>
      <c r="W1252" s="20" t="n"/>
      <c r="X1252">
        <f>IF($A1252="","",$A1252&amp;"|"&amp;$C1252&amp;"|"&amp;$I1252)</f>
        <v/>
      </c>
      <c r="Y1252">
        <f>IF(AND($A1252=RELATORIO_MEDICAO!$C$5,$C1252=RELATORIO_MEDICAO!$F$5,$A1252&lt;&gt;""),COUNTIFS($A$3:$A1252,RELATORIO_MEDICAO!$C$5,$C$3:$C1252,RELATORIO_MEDICAO!$F$5),"")</f>
        <v/>
      </c>
      <c r="Z1252">
        <f>IF(OR($A1252="",PESQUISA!$C$4=""),0,IF(OR(ISNUMBER(SEARCH(PESQUISA!$C$4,$G1252)),ISNUMBER(SEARCH(PESQUISA!$C$4,$K1252)),ISNUMBER(SEARCH(PESQUISA!$C$4,$L1252))),1,0))</f>
        <v/>
      </c>
      <c r="AA1252">
        <f>IF($Z1252=1,SUM($Z$3:$Z1252),"")</f>
        <v/>
      </c>
      <c r="AB1252">
        <f>IF(OR($A1252="",PESQUISA!$C$50=""),0,IF(ISNUMBER(SEARCH(PESQUISA!$C$50,$I1252)),1,0))</f>
        <v/>
      </c>
      <c r="AC1252">
        <f>IF($AB1252=1,SUM($AB$3:$AB1252),"")</f>
        <v/>
      </c>
    </row>
    <row r="1253">
      <c r="A1253" s="20" t="n"/>
      <c r="B1253" s="20" t="n"/>
      <c r="C1253" s="20" t="n"/>
      <c r="D1253" s="20" t="n"/>
      <c r="E1253" s="20" t="n"/>
      <c r="F1253" s="20" t="n"/>
      <c r="G1253" s="20" t="n"/>
      <c r="H1253" s="20" t="n"/>
      <c r="I1253" s="20" t="n"/>
      <c r="J1253" s="20">
        <f>IFERROR(INDEX(CONFIGURACOES!$G$37:$G$300,MATCH($I1253,CONFIGURACOES!$B$37:$B$300,0)),"")</f>
        <v/>
      </c>
      <c r="K1253" s="20">
        <f>IFERROR(INDEX(CONFIGURACOES!$H$37:$H$300,MATCH($I1253,CONFIGURACOES!$B$37:$B$300,0)),"")</f>
        <v/>
      </c>
      <c r="L1253" s="20" t="n"/>
      <c r="M1253" s="20">
        <f>IFERROR(INDEX(CONFIGURACOES!$I$37:$I$300,MATCH($I1253,CONFIGURACOES!$B$37:$B$300,0)),"")</f>
        <v/>
      </c>
      <c r="N1253" s="21" t="n"/>
      <c r="O1253" s="21" t="n"/>
      <c r="P1253" s="21" t="n"/>
      <c r="Q1253" s="21" t="n"/>
      <c r="R1253" s="21">
        <f>IF($N1253="","",$N1253*IF($Q1253="",1,$Q1253)*IF($P1253="",1,$P1253)*IF($O1253="",1,$O1253))</f>
        <v/>
      </c>
      <c r="S1253" s="22">
        <f>IFERROR(INDEX(CONFIGURACOES!$J$37:$J$300,MATCH($I1253,CONFIGURACOES!$B$37:$B$300,0)),"")</f>
        <v/>
      </c>
      <c r="T1253" s="22">
        <f>IF(OR($R1253="",$S1253=""),"",$R1253*$S1253)</f>
        <v/>
      </c>
      <c r="U1253" s="20" t="n"/>
      <c r="V1253" s="20" t="n"/>
      <c r="W1253" s="20" t="n"/>
      <c r="X1253">
        <f>IF($A1253="","",$A1253&amp;"|"&amp;$C1253&amp;"|"&amp;$I1253)</f>
        <v/>
      </c>
      <c r="Y1253">
        <f>IF(AND($A1253=RELATORIO_MEDICAO!$C$5,$C1253=RELATORIO_MEDICAO!$F$5,$A1253&lt;&gt;""),COUNTIFS($A$3:$A1253,RELATORIO_MEDICAO!$C$5,$C$3:$C1253,RELATORIO_MEDICAO!$F$5),"")</f>
        <v/>
      </c>
      <c r="Z1253">
        <f>IF(OR($A1253="",PESQUISA!$C$4=""),0,IF(OR(ISNUMBER(SEARCH(PESQUISA!$C$4,$G1253)),ISNUMBER(SEARCH(PESQUISA!$C$4,$K1253)),ISNUMBER(SEARCH(PESQUISA!$C$4,$L1253))),1,0))</f>
        <v/>
      </c>
      <c r="AA1253">
        <f>IF($Z1253=1,SUM($Z$3:$Z1253),"")</f>
        <v/>
      </c>
      <c r="AB1253">
        <f>IF(OR($A1253="",PESQUISA!$C$50=""),0,IF(ISNUMBER(SEARCH(PESQUISA!$C$50,$I1253)),1,0))</f>
        <v/>
      </c>
      <c r="AC1253">
        <f>IF($AB1253=1,SUM($AB$3:$AB1253),"")</f>
        <v/>
      </c>
    </row>
    <row r="1254">
      <c r="A1254" s="20" t="n"/>
      <c r="B1254" s="20" t="n"/>
      <c r="C1254" s="20" t="n"/>
      <c r="D1254" s="20" t="n"/>
      <c r="E1254" s="20" t="n"/>
      <c r="F1254" s="20" t="n"/>
      <c r="G1254" s="20" t="n"/>
      <c r="H1254" s="20" t="n"/>
      <c r="I1254" s="20" t="n"/>
      <c r="J1254" s="20">
        <f>IFERROR(INDEX(CONFIGURACOES!$G$37:$G$300,MATCH($I1254,CONFIGURACOES!$B$37:$B$300,0)),"")</f>
        <v/>
      </c>
      <c r="K1254" s="20">
        <f>IFERROR(INDEX(CONFIGURACOES!$H$37:$H$300,MATCH($I1254,CONFIGURACOES!$B$37:$B$300,0)),"")</f>
        <v/>
      </c>
      <c r="L1254" s="20" t="n"/>
      <c r="M1254" s="20">
        <f>IFERROR(INDEX(CONFIGURACOES!$I$37:$I$300,MATCH($I1254,CONFIGURACOES!$B$37:$B$300,0)),"")</f>
        <v/>
      </c>
      <c r="N1254" s="21" t="n"/>
      <c r="O1254" s="21" t="n"/>
      <c r="P1254" s="21" t="n"/>
      <c r="Q1254" s="21" t="n"/>
      <c r="R1254" s="21">
        <f>IF($N1254="","",$N1254*IF($Q1254="",1,$Q1254)*IF($P1254="",1,$P1254)*IF($O1254="",1,$O1254))</f>
        <v/>
      </c>
      <c r="S1254" s="22">
        <f>IFERROR(INDEX(CONFIGURACOES!$J$37:$J$300,MATCH($I1254,CONFIGURACOES!$B$37:$B$300,0)),"")</f>
        <v/>
      </c>
      <c r="T1254" s="22">
        <f>IF(OR($R1254="",$S1254=""),"",$R1254*$S1254)</f>
        <v/>
      </c>
      <c r="U1254" s="20" t="n"/>
      <c r="V1254" s="20" t="n"/>
      <c r="W1254" s="20" t="n"/>
      <c r="X1254">
        <f>IF($A1254="","",$A1254&amp;"|"&amp;$C1254&amp;"|"&amp;$I1254)</f>
        <v/>
      </c>
      <c r="Y1254">
        <f>IF(AND($A1254=RELATORIO_MEDICAO!$C$5,$C1254=RELATORIO_MEDICAO!$F$5,$A1254&lt;&gt;""),COUNTIFS($A$3:$A1254,RELATORIO_MEDICAO!$C$5,$C$3:$C1254,RELATORIO_MEDICAO!$F$5),"")</f>
        <v/>
      </c>
      <c r="Z1254">
        <f>IF(OR($A1254="",PESQUISA!$C$4=""),0,IF(OR(ISNUMBER(SEARCH(PESQUISA!$C$4,$G1254)),ISNUMBER(SEARCH(PESQUISA!$C$4,$K1254)),ISNUMBER(SEARCH(PESQUISA!$C$4,$L1254))),1,0))</f>
        <v/>
      </c>
      <c r="AA1254">
        <f>IF($Z1254=1,SUM($Z$3:$Z1254),"")</f>
        <v/>
      </c>
      <c r="AB1254">
        <f>IF(OR($A1254="",PESQUISA!$C$50=""),0,IF(ISNUMBER(SEARCH(PESQUISA!$C$50,$I1254)),1,0))</f>
        <v/>
      </c>
      <c r="AC1254">
        <f>IF($AB1254=1,SUM($AB$3:$AB1254),"")</f>
        <v/>
      </c>
    </row>
    <row r="1255">
      <c r="A1255" s="20" t="n"/>
      <c r="B1255" s="20" t="n"/>
      <c r="C1255" s="20" t="n"/>
      <c r="D1255" s="20" t="n"/>
      <c r="E1255" s="20" t="n"/>
      <c r="F1255" s="20" t="n"/>
      <c r="G1255" s="20" t="n"/>
      <c r="H1255" s="20" t="n"/>
      <c r="I1255" s="20" t="n"/>
      <c r="J1255" s="20">
        <f>IFERROR(INDEX(CONFIGURACOES!$G$37:$G$300,MATCH($I1255,CONFIGURACOES!$B$37:$B$300,0)),"")</f>
        <v/>
      </c>
      <c r="K1255" s="20">
        <f>IFERROR(INDEX(CONFIGURACOES!$H$37:$H$300,MATCH($I1255,CONFIGURACOES!$B$37:$B$300,0)),"")</f>
        <v/>
      </c>
      <c r="L1255" s="20" t="n"/>
      <c r="M1255" s="20">
        <f>IFERROR(INDEX(CONFIGURACOES!$I$37:$I$300,MATCH($I1255,CONFIGURACOES!$B$37:$B$300,0)),"")</f>
        <v/>
      </c>
      <c r="N1255" s="21" t="n"/>
      <c r="O1255" s="21" t="n"/>
      <c r="P1255" s="21" t="n"/>
      <c r="Q1255" s="21" t="n"/>
      <c r="R1255" s="21">
        <f>IF($N1255="","",$N1255*IF($Q1255="",1,$Q1255)*IF($P1255="",1,$P1255)*IF($O1255="",1,$O1255))</f>
        <v/>
      </c>
      <c r="S1255" s="22">
        <f>IFERROR(INDEX(CONFIGURACOES!$J$37:$J$300,MATCH($I1255,CONFIGURACOES!$B$37:$B$300,0)),"")</f>
        <v/>
      </c>
      <c r="T1255" s="22">
        <f>IF(OR($R1255="",$S1255=""),"",$R1255*$S1255)</f>
        <v/>
      </c>
      <c r="U1255" s="20" t="n"/>
      <c r="V1255" s="20" t="n"/>
      <c r="W1255" s="20" t="n"/>
      <c r="X1255">
        <f>IF($A1255="","",$A1255&amp;"|"&amp;$C1255&amp;"|"&amp;$I1255)</f>
        <v/>
      </c>
      <c r="Y1255">
        <f>IF(AND($A1255=RELATORIO_MEDICAO!$C$5,$C1255=RELATORIO_MEDICAO!$F$5,$A1255&lt;&gt;""),COUNTIFS($A$3:$A1255,RELATORIO_MEDICAO!$C$5,$C$3:$C1255,RELATORIO_MEDICAO!$F$5),"")</f>
        <v/>
      </c>
      <c r="Z1255">
        <f>IF(OR($A1255="",PESQUISA!$C$4=""),0,IF(OR(ISNUMBER(SEARCH(PESQUISA!$C$4,$G1255)),ISNUMBER(SEARCH(PESQUISA!$C$4,$K1255)),ISNUMBER(SEARCH(PESQUISA!$C$4,$L1255))),1,0))</f>
        <v/>
      </c>
      <c r="AA1255">
        <f>IF($Z1255=1,SUM($Z$3:$Z1255),"")</f>
        <v/>
      </c>
      <c r="AB1255">
        <f>IF(OR($A1255="",PESQUISA!$C$50=""),0,IF(ISNUMBER(SEARCH(PESQUISA!$C$50,$I1255)),1,0))</f>
        <v/>
      </c>
      <c r="AC1255">
        <f>IF($AB1255=1,SUM($AB$3:$AB1255),"")</f>
        <v/>
      </c>
    </row>
    <row r="1256">
      <c r="A1256" s="20" t="n"/>
      <c r="B1256" s="20" t="n"/>
      <c r="C1256" s="20" t="n"/>
      <c r="D1256" s="20" t="n"/>
      <c r="E1256" s="20" t="n"/>
      <c r="F1256" s="20" t="n"/>
      <c r="G1256" s="20" t="n"/>
      <c r="H1256" s="20" t="n"/>
      <c r="I1256" s="20" t="n"/>
      <c r="J1256" s="20">
        <f>IFERROR(INDEX(CONFIGURACOES!$G$37:$G$300,MATCH($I1256,CONFIGURACOES!$B$37:$B$300,0)),"")</f>
        <v/>
      </c>
      <c r="K1256" s="20">
        <f>IFERROR(INDEX(CONFIGURACOES!$H$37:$H$300,MATCH($I1256,CONFIGURACOES!$B$37:$B$300,0)),"")</f>
        <v/>
      </c>
      <c r="L1256" s="20" t="n"/>
      <c r="M1256" s="20">
        <f>IFERROR(INDEX(CONFIGURACOES!$I$37:$I$300,MATCH($I1256,CONFIGURACOES!$B$37:$B$300,0)),"")</f>
        <v/>
      </c>
      <c r="N1256" s="21" t="n"/>
      <c r="O1256" s="21" t="n"/>
      <c r="P1256" s="21" t="n"/>
      <c r="Q1256" s="21" t="n"/>
      <c r="R1256" s="21">
        <f>IF($N1256="","",$N1256*IF($Q1256="",1,$Q1256)*IF($P1256="",1,$P1256)*IF($O1256="",1,$O1256))</f>
        <v/>
      </c>
      <c r="S1256" s="22">
        <f>IFERROR(INDEX(CONFIGURACOES!$J$37:$J$300,MATCH($I1256,CONFIGURACOES!$B$37:$B$300,0)),"")</f>
        <v/>
      </c>
      <c r="T1256" s="22">
        <f>IF(OR($R1256="",$S1256=""),"",$R1256*$S1256)</f>
        <v/>
      </c>
      <c r="U1256" s="20" t="n"/>
      <c r="V1256" s="20" t="n"/>
      <c r="W1256" s="20" t="n"/>
      <c r="X1256">
        <f>IF($A1256="","",$A1256&amp;"|"&amp;$C1256&amp;"|"&amp;$I1256)</f>
        <v/>
      </c>
      <c r="Y1256">
        <f>IF(AND($A1256=RELATORIO_MEDICAO!$C$5,$C1256=RELATORIO_MEDICAO!$F$5,$A1256&lt;&gt;""),COUNTIFS($A$3:$A1256,RELATORIO_MEDICAO!$C$5,$C$3:$C1256,RELATORIO_MEDICAO!$F$5),"")</f>
        <v/>
      </c>
      <c r="Z1256">
        <f>IF(OR($A1256="",PESQUISA!$C$4=""),0,IF(OR(ISNUMBER(SEARCH(PESQUISA!$C$4,$G1256)),ISNUMBER(SEARCH(PESQUISA!$C$4,$K1256)),ISNUMBER(SEARCH(PESQUISA!$C$4,$L1256))),1,0))</f>
        <v/>
      </c>
      <c r="AA1256">
        <f>IF($Z1256=1,SUM($Z$3:$Z1256),"")</f>
        <v/>
      </c>
      <c r="AB1256">
        <f>IF(OR($A1256="",PESQUISA!$C$50=""),0,IF(ISNUMBER(SEARCH(PESQUISA!$C$50,$I1256)),1,0))</f>
        <v/>
      </c>
      <c r="AC1256">
        <f>IF($AB1256=1,SUM($AB$3:$AB1256),"")</f>
        <v/>
      </c>
    </row>
    <row r="1257">
      <c r="A1257" s="20" t="n"/>
      <c r="B1257" s="20" t="n"/>
      <c r="C1257" s="20" t="n"/>
      <c r="D1257" s="20" t="n"/>
      <c r="E1257" s="20" t="n"/>
      <c r="F1257" s="20" t="n"/>
      <c r="G1257" s="20" t="n"/>
      <c r="H1257" s="20" t="n"/>
      <c r="I1257" s="20" t="n"/>
      <c r="J1257" s="20">
        <f>IFERROR(INDEX(CONFIGURACOES!$G$37:$G$300,MATCH($I1257,CONFIGURACOES!$B$37:$B$300,0)),"")</f>
        <v/>
      </c>
      <c r="K1257" s="20">
        <f>IFERROR(INDEX(CONFIGURACOES!$H$37:$H$300,MATCH($I1257,CONFIGURACOES!$B$37:$B$300,0)),"")</f>
        <v/>
      </c>
      <c r="L1257" s="20" t="n"/>
      <c r="M1257" s="20">
        <f>IFERROR(INDEX(CONFIGURACOES!$I$37:$I$300,MATCH($I1257,CONFIGURACOES!$B$37:$B$300,0)),"")</f>
        <v/>
      </c>
      <c r="N1257" s="21" t="n"/>
      <c r="O1257" s="21" t="n"/>
      <c r="P1257" s="21" t="n"/>
      <c r="Q1257" s="21" t="n"/>
      <c r="R1257" s="21">
        <f>IF($N1257="","",$N1257*IF($Q1257="",1,$Q1257)*IF($P1257="",1,$P1257)*IF($O1257="",1,$O1257))</f>
        <v/>
      </c>
      <c r="S1257" s="22">
        <f>IFERROR(INDEX(CONFIGURACOES!$J$37:$J$300,MATCH($I1257,CONFIGURACOES!$B$37:$B$300,0)),"")</f>
        <v/>
      </c>
      <c r="T1257" s="22">
        <f>IF(OR($R1257="",$S1257=""),"",$R1257*$S1257)</f>
        <v/>
      </c>
      <c r="U1257" s="20" t="n"/>
      <c r="V1257" s="20" t="n"/>
      <c r="W1257" s="20" t="n"/>
      <c r="X1257">
        <f>IF($A1257="","",$A1257&amp;"|"&amp;$C1257&amp;"|"&amp;$I1257)</f>
        <v/>
      </c>
      <c r="Y1257">
        <f>IF(AND($A1257=RELATORIO_MEDICAO!$C$5,$C1257=RELATORIO_MEDICAO!$F$5,$A1257&lt;&gt;""),COUNTIFS($A$3:$A1257,RELATORIO_MEDICAO!$C$5,$C$3:$C1257,RELATORIO_MEDICAO!$F$5),"")</f>
        <v/>
      </c>
      <c r="Z1257">
        <f>IF(OR($A1257="",PESQUISA!$C$4=""),0,IF(OR(ISNUMBER(SEARCH(PESQUISA!$C$4,$G1257)),ISNUMBER(SEARCH(PESQUISA!$C$4,$K1257)),ISNUMBER(SEARCH(PESQUISA!$C$4,$L1257))),1,0))</f>
        <v/>
      </c>
      <c r="AA1257">
        <f>IF($Z1257=1,SUM($Z$3:$Z1257),"")</f>
        <v/>
      </c>
      <c r="AB1257">
        <f>IF(OR($A1257="",PESQUISA!$C$50=""),0,IF(ISNUMBER(SEARCH(PESQUISA!$C$50,$I1257)),1,0))</f>
        <v/>
      </c>
      <c r="AC1257">
        <f>IF($AB1257=1,SUM($AB$3:$AB1257),"")</f>
        <v/>
      </c>
    </row>
    <row r="1258">
      <c r="A1258" s="20" t="n"/>
      <c r="B1258" s="20" t="n"/>
      <c r="C1258" s="20" t="n"/>
      <c r="D1258" s="20" t="n"/>
      <c r="E1258" s="20" t="n"/>
      <c r="F1258" s="20" t="n"/>
      <c r="G1258" s="20" t="n"/>
      <c r="H1258" s="20" t="n"/>
      <c r="I1258" s="20" t="n"/>
      <c r="J1258" s="20">
        <f>IFERROR(INDEX(CONFIGURACOES!$G$37:$G$300,MATCH($I1258,CONFIGURACOES!$B$37:$B$300,0)),"")</f>
        <v/>
      </c>
      <c r="K1258" s="20">
        <f>IFERROR(INDEX(CONFIGURACOES!$H$37:$H$300,MATCH($I1258,CONFIGURACOES!$B$37:$B$300,0)),"")</f>
        <v/>
      </c>
      <c r="L1258" s="20" t="n"/>
      <c r="M1258" s="20">
        <f>IFERROR(INDEX(CONFIGURACOES!$I$37:$I$300,MATCH($I1258,CONFIGURACOES!$B$37:$B$300,0)),"")</f>
        <v/>
      </c>
      <c r="N1258" s="21" t="n"/>
      <c r="O1258" s="21" t="n"/>
      <c r="P1258" s="21" t="n"/>
      <c r="Q1258" s="21" t="n"/>
      <c r="R1258" s="21">
        <f>IF($N1258="","",$N1258*IF($Q1258="",1,$Q1258)*IF($P1258="",1,$P1258)*IF($O1258="",1,$O1258))</f>
        <v/>
      </c>
      <c r="S1258" s="22">
        <f>IFERROR(INDEX(CONFIGURACOES!$J$37:$J$300,MATCH($I1258,CONFIGURACOES!$B$37:$B$300,0)),"")</f>
        <v/>
      </c>
      <c r="T1258" s="22">
        <f>IF(OR($R1258="",$S1258=""),"",$R1258*$S1258)</f>
        <v/>
      </c>
      <c r="U1258" s="20" t="n"/>
      <c r="V1258" s="20" t="n"/>
      <c r="W1258" s="20" t="n"/>
      <c r="X1258">
        <f>IF($A1258="","",$A1258&amp;"|"&amp;$C1258&amp;"|"&amp;$I1258)</f>
        <v/>
      </c>
      <c r="Y1258">
        <f>IF(AND($A1258=RELATORIO_MEDICAO!$C$5,$C1258=RELATORIO_MEDICAO!$F$5,$A1258&lt;&gt;""),COUNTIFS($A$3:$A1258,RELATORIO_MEDICAO!$C$5,$C$3:$C1258,RELATORIO_MEDICAO!$F$5),"")</f>
        <v/>
      </c>
      <c r="Z1258">
        <f>IF(OR($A1258="",PESQUISA!$C$4=""),0,IF(OR(ISNUMBER(SEARCH(PESQUISA!$C$4,$G1258)),ISNUMBER(SEARCH(PESQUISA!$C$4,$K1258)),ISNUMBER(SEARCH(PESQUISA!$C$4,$L1258))),1,0))</f>
        <v/>
      </c>
      <c r="AA1258">
        <f>IF($Z1258=1,SUM($Z$3:$Z1258),"")</f>
        <v/>
      </c>
      <c r="AB1258">
        <f>IF(OR($A1258="",PESQUISA!$C$50=""),0,IF(ISNUMBER(SEARCH(PESQUISA!$C$50,$I1258)),1,0))</f>
        <v/>
      </c>
      <c r="AC1258">
        <f>IF($AB1258=1,SUM($AB$3:$AB1258),"")</f>
        <v/>
      </c>
    </row>
    <row r="1259">
      <c r="A1259" s="20" t="n"/>
      <c r="B1259" s="20" t="n"/>
      <c r="C1259" s="20" t="n"/>
      <c r="D1259" s="20" t="n"/>
      <c r="E1259" s="20" t="n"/>
      <c r="F1259" s="20" t="n"/>
      <c r="G1259" s="20" t="n"/>
      <c r="H1259" s="20" t="n"/>
      <c r="I1259" s="20" t="n"/>
      <c r="J1259" s="20">
        <f>IFERROR(INDEX(CONFIGURACOES!$G$37:$G$300,MATCH($I1259,CONFIGURACOES!$B$37:$B$300,0)),"")</f>
        <v/>
      </c>
      <c r="K1259" s="20">
        <f>IFERROR(INDEX(CONFIGURACOES!$H$37:$H$300,MATCH($I1259,CONFIGURACOES!$B$37:$B$300,0)),"")</f>
        <v/>
      </c>
      <c r="L1259" s="20" t="n"/>
      <c r="M1259" s="20">
        <f>IFERROR(INDEX(CONFIGURACOES!$I$37:$I$300,MATCH($I1259,CONFIGURACOES!$B$37:$B$300,0)),"")</f>
        <v/>
      </c>
      <c r="N1259" s="21" t="n"/>
      <c r="O1259" s="21" t="n"/>
      <c r="P1259" s="21" t="n"/>
      <c r="Q1259" s="21" t="n"/>
      <c r="R1259" s="21">
        <f>IF($N1259="","",$N1259*IF($Q1259="",1,$Q1259)*IF($P1259="",1,$P1259)*IF($O1259="",1,$O1259))</f>
        <v/>
      </c>
      <c r="S1259" s="22">
        <f>IFERROR(INDEX(CONFIGURACOES!$J$37:$J$300,MATCH($I1259,CONFIGURACOES!$B$37:$B$300,0)),"")</f>
        <v/>
      </c>
      <c r="T1259" s="22">
        <f>IF(OR($R1259="",$S1259=""),"",$R1259*$S1259)</f>
        <v/>
      </c>
      <c r="U1259" s="20" t="n"/>
      <c r="V1259" s="20" t="n"/>
      <c r="W1259" s="20" t="n"/>
      <c r="X1259">
        <f>IF($A1259="","",$A1259&amp;"|"&amp;$C1259&amp;"|"&amp;$I1259)</f>
        <v/>
      </c>
      <c r="Y1259">
        <f>IF(AND($A1259=RELATORIO_MEDICAO!$C$5,$C1259=RELATORIO_MEDICAO!$F$5,$A1259&lt;&gt;""),COUNTIFS($A$3:$A1259,RELATORIO_MEDICAO!$C$5,$C$3:$C1259,RELATORIO_MEDICAO!$F$5),"")</f>
        <v/>
      </c>
      <c r="Z1259">
        <f>IF(OR($A1259="",PESQUISA!$C$4=""),0,IF(OR(ISNUMBER(SEARCH(PESQUISA!$C$4,$G1259)),ISNUMBER(SEARCH(PESQUISA!$C$4,$K1259)),ISNUMBER(SEARCH(PESQUISA!$C$4,$L1259))),1,0))</f>
        <v/>
      </c>
      <c r="AA1259">
        <f>IF($Z1259=1,SUM($Z$3:$Z1259),"")</f>
        <v/>
      </c>
      <c r="AB1259">
        <f>IF(OR($A1259="",PESQUISA!$C$50=""),0,IF(ISNUMBER(SEARCH(PESQUISA!$C$50,$I1259)),1,0))</f>
        <v/>
      </c>
      <c r="AC1259">
        <f>IF($AB1259=1,SUM($AB$3:$AB1259),"")</f>
        <v/>
      </c>
    </row>
    <row r="1260">
      <c r="A1260" s="20" t="n"/>
      <c r="B1260" s="20" t="n"/>
      <c r="C1260" s="20" t="n"/>
      <c r="D1260" s="20" t="n"/>
      <c r="E1260" s="20" t="n"/>
      <c r="F1260" s="20" t="n"/>
      <c r="G1260" s="20" t="n"/>
      <c r="H1260" s="20" t="n"/>
      <c r="I1260" s="20" t="n"/>
      <c r="J1260" s="20">
        <f>IFERROR(INDEX(CONFIGURACOES!$G$37:$G$300,MATCH($I1260,CONFIGURACOES!$B$37:$B$300,0)),"")</f>
        <v/>
      </c>
      <c r="K1260" s="20">
        <f>IFERROR(INDEX(CONFIGURACOES!$H$37:$H$300,MATCH($I1260,CONFIGURACOES!$B$37:$B$300,0)),"")</f>
        <v/>
      </c>
      <c r="L1260" s="20" t="n"/>
      <c r="M1260" s="20">
        <f>IFERROR(INDEX(CONFIGURACOES!$I$37:$I$300,MATCH($I1260,CONFIGURACOES!$B$37:$B$300,0)),"")</f>
        <v/>
      </c>
      <c r="N1260" s="21" t="n"/>
      <c r="O1260" s="21" t="n"/>
      <c r="P1260" s="21" t="n"/>
      <c r="Q1260" s="21" t="n"/>
      <c r="R1260" s="21">
        <f>IF($N1260="","",$N1260*IF($Q1260="",1,$Q1260)*IF($P1260="",1,$P1260)*IF($O1260="",1,$O1260))</f>
        <v/>
      </c>
      <c r="S1260" s="22">
        <f>IFERROR(INDEX(CONFIGURACOES!$J$37:$J$300,MATCH($I1260,CONFIGURACOES!$B$37:$B$300,0)),"")</f>
        <v/>
      </c>
      <c r="T1260" s="22">
        <f>IF(OR($R1260="",$S1260=""),"",$R1260*$S1260)</f>
        <v/>
      </c>
      <c r="U1260" s="20" t="n"/>
      <c r="V1260" s="20" t="n"/>
      <c r="W1260" s="20" t="n"/>
      <c r="X1260">
        <f>IF($A1260="","",$A1260&amp;"|"&amp;$C1260&amp;"|"&amp;$I1260)</f>
        <v/>
      </c>
      <c r="Y1260">
        <f>IF(AND($A1260=RELATORIO_MEDICAO!$C$5,$C1260=RELATORIO_MEDICAO!$F$5,$A1260&lt;&gt;""),COUNTIFS($A$3:$A1260,RELATORIO_MEDICAO!$C$5,$C$3:$C1260,RELATORIO_MEDICAO!$F$5),"")</f>
        <v/>
      </c>
      <c r="Z1260">
        <f>IF(OR($A1260="",PESQUISA!$C$4=""),0,IF(OR(ISNUMBER(SEARCH(PESQUISA!$C$4,$G1260)),ISNUMBER(SEARCH(PESQUISA!$C$4,$K1260)),ISNUMBER(SEARCH(PESQUISA!$C$4,$L1260))),1,0))</f>
        <v/>
      </c>
      <c r="AA1260">
        <f>IF($Z1260=1,SUM($Z$3:$Z1260),"")</f>
        <v/>
      </c>
      <c r="AB1260">
        <f>IF(OR($A1260="",PESQUISA!$C$50=""),0,IF(ISNUMBER(SEARCH(PESQUISA!$C$50,$I1260)),1,0))</f>
        <v/>
      </c>
      <c r="AC1260">
        <f>IF($AB1260=1,SUM($AB$3:$AB1260),"")</f>
        <v/>
      </c>
    </row>
    <row r="1261">
      <c r="A1261" s="20" t="n"/>
      <c r="B1261" s="20" t="n"/>
      <c r="C1261" s="20" t="n"/>
      <c r="D1261" s="20" t="n"/>
      <c r="E1261" s="20" t="n"/>
      <c r="F1261" s="20" t="n"/>
      <c r="G1261" s="20" t="n"/>
      <c r="H1261" s="20" t="n"/>
      <c r="I1261" s="20" t="n"/>
      <c r="J1261" s="20">
        <f>IFERROR(INDEX(CONFIGURACOES!$G$37:$G$300,MATCH($I1261,CONFIGURACOES!$B$37:$B$300,0)),"")</f>
        <v/>
      </c>
      <c r="K1261" s="20">
        <f>IFERROR(INDEX(CONFIGURACOES!$H$37:$H$300,MATCH($I1261,CONFIGURACOES!$B$37:$B$300,0)),"")</f>
        <v/>
      </c>
      <c r="L1261" s="20" t="n"/>
      <c r="M1261" s="20">
        <f>IFERROR(INDEX(CONFIGURACOES!$I$37:$I$300,MATCH($I1261,CONFIGURACOES!$B$37:$B$300,0)),"")</f>
        <v/>
      </c>
      <c r="N1261" s="21" t="n"/>
      <c r="O1261" s="21" t="n"/>
      <c r="P1261" s="21" t="n"/>
      <c r="Q1261" s="21" t="n"/>
      <c r="R1261" s="21">
        <f>IF($N1261="","",$N1261*IF($Q1261="",1,$Q1261)*IF($P1261="",1,$P1261)*IF($O1261="",1,$O1261))</f>
        <v/>
      </c>
      <c r="S1261" s="22">
        <f>IFERROR(INDEX(CONFIGURACOES!$J$37:$J$300,MATCH($I1261,CONFIGURACOES!$B$37:$B$300,0)),"")</f>
        <v/>
      </c>
      <c r="T1261" s="22">
        <f>IF(OR($R1261="",$S1261=""),"",$R1261*$S1261)</f>
        <v/>
      </c>
      <c r="U1261" s="20" t="n"/>
      <c r="V1261" s="20" t="n"/>
      <c r="W1261" s="20" t="n"/>
      <c r="X1261">
        <f>IF($A1261="","",$A1261&amp;"|"&amp;$C1261&amp;"|"&amp;$I1261)</f>
        <v/>
      </c>
      <c r="Y1261">
        <f>IF(AND($A1261=RELATORIO_MEDICAO!$C$5,$C1261=RELATORIO_MEDICAO!$F$5,$A1261&lt;&gt;""),COUNTIFS($A$3:$A1261,RELATORIO_MEDICAO!$C$5,$C$3:$C1261,RELATORIO_MEDICAO!$F$5),"")</f>
        <v/>
      </c>
      <c r="Z1261">
        <f>IF(OR($A1261="",PESQUISA!$C$4=""),0,IF(OR(ISNUMBER(SEARCH(PESQUISA!$C$4,$G1261)),ISNUMBER(SEARCH(PESQUISA!$C$4,$K1261)),ISNUMBER(SEARCH(PESQUISA!$C$4,$L1261))),1,0))</f>
        <v/>
      </c>
      <c r="AA1261">
        <f>IF($Z1261=1,SUM($Z$3:$Z1261),"")</f>
        <v/>
      </c>
      <c r="AB1261">
        <f>IF(OR($A1261="",PESQUISA!$C$50=""),0,IF(ISNUMBER(SEARCH(PESQUISA!$C$50,$I1261)),1,0))</f>
        <v/>
      </c>
      <c r="AC1261">
        <f>IF($AB1261=1,SUM($AB$3:$AB1261),"")</f>
        <v/>
      </c>
    </row>
    <row r="1262">
      <c r="A1262" s="20" t="n"/>
      <c r="B1262" s="20" t="n"/>
      <c r="C1262" s="20" t="n"/>
      <c r="D1262" s="20" t="n"/>
      <c r="E1262" s="20" t="n"/>
      <c r="F1262" s="20" t="n"/>
      <c r="G1262" s="20" t="n"/>
      <c r="H1262" s="20" t="n"/>
      <c r="I1262" s="20" t="n"/>
      <c r="J1262" s="20">
        <f>IFERROR(INDEX(CONFIGURACOES!$G$37:$G$300,MATCH($I1262,CONFIGURACOES!$B$37:$B$300,0)),"")</f>
        <v/>
      </c>
      <c r="K1262" s="20">
        <f>IFERROR(INDEX(CONFIGURACOES!$H$37:$H$300,MATCH($I1262,CONFIGURACOES!$B$37:$B$300,0)),"")</f>
        <v/>
      </c>
      <c r="L1262" s="20" t="n"/>
      <c r="M1262" s="20">
        <f>IFERROR(INDEX(CONFIGURACOES!$I$37:$I$300,MATCH($I1262,CONFIGURACOES!$B$37:$B$300,0)),"")</f>
        <v/>
      </c>
      <c r="N1262" s="21" t="n"/>
      <c r="O1262" s="21" t="n"/>
      <c r="P1262" s="21" t="n"/>
      <c r="Q1262" s="21" t="n"/>
      <c r="R1262" s="21">
        <f>IF($N1262="","",$N1262*IF($Q1262="",1,$Q1262)*IF($P1262="",1,$P1262)*IF($O1262="",1,$O1262))</f>
        <v/>
      </c>
      <c r="S1262" s="22">
        <f>IFERROR(INDEX(CONFIGURACOES!$J$37:$J$300,MATCH($I1262,CONFIGURACOES!$B$37:$B$300,0)),"")</f>
        <v/>
      </c>
      <c r="T1262" s="22">
        <f>IF(OR($R1262="",$S1262=""),"",$R1262*$S1262)</f>
        <v/>
      </c>
      <c r="U1262" s="20" t="n"/>
      <c r="V1262" s="20" t="n"/>
      <c r="W1262" s="20" t="n"/>
      <c r="X1262">
        <f>IF($A1262="","",$A1262&amp;"|"&amp;$C1262&amp;"|"&amp;$I1262)</f>
        <v/>
      </c>
      <c r="Y1262">
        <f>IF(AND($A1262=RELATORIO_MEDICAO!$C$5,$C1262=RELATORIO_MEDICAO!$F$5,$A1262&lt;&gt;""),COUNTIFS($A$3:$A1262,RELATORIO_MEDICAO!$C$5,$C$3:$C1262,RELATORIO_MEDICAO!$F$5),"")</f>
        <v/>
      </c>
      <c r="Z1262">
        <f>IF(OR($A1262="",PESQUISA!$C$4=""),0,IF(OR(ISNUMBER(SEARCH(PESQUISA!$C$4,$G1262)),ISNUMBER(SEARCH(PESQUISA!$C$4,$K1262)),ISNUMBER(SEARCH(PESQUISA!$C$4,$L1262))),1,0))</f>
        <v/>
      </c>
      <c r="AA1262">
        <f>IF($Z1262=1,SUM($Z$3:$Z1262),"")</f>
        <v/>
      </c>
      <c r="AB1262">
        <f>IF(OR($A1262="",PESQUISA!$C$50=""),0,IF(ISNUMBER(SEARCH(PESQUISA!$C$50,$I1262)),1,0))</f>
        <v/>
      </c>
      <c r="AC1262">
        <f>IF($AB1262=1,SUM($AB$3:$AB1262),"")</f>
        <v/>
      </c>
    </row>
    <row r="1263">
      <c r="A1263" s="20" t="n"/>
      <c r="B1263" s="20" t="n"/>
      <c r="C1263" s="20" t="n"/>
      <c r="D1263" s="20" t="n"/>
      <c r="E1263" s="20" t="n"/>
      <c r="F1263" s="20" t="n"/>
      <c r="G1263" s="20" t="n"/>
      <c r="H1263" s="20" t="n"/>
      <c r="I1263" s="20" t="n"/>
      <c r="J1263" s="20">
        <f>IFERROR(INDEX(CONFIGURACOES!$G$37:$G$300,MATCH($I1263,CONFIGURACOES!$B$37:$B$300,0)),"")</f>
        <v/>
      </c>
      <c r="K1263" s="20">
        <f>IFERROR(INDEX(CONFIGURACOES!$H$37:$H$300,MATCH($I1263,CONFIGURACOES!$B$37:$B$300,0)),"")</f>
        <v/>
      </c>
      <c r="L1263" s="20" t="n"/>
      <c r="M1263" s="20">
        <f>IFERROR(INDEX(CONFIGURACOES!$I$37:$I$300,MATCH($I1263,CONFIGURACOES!$B$37:$B$300,0)),"")</f>
        <v/>
      </c>
      <c r="N1263" s="21" t="n"/>
      <c r="O1263" s="21" t="n"/>
      <c r="P1263" s="21" t="n"/>
      <c r="Q1263" s="21" t="n"/>
      <c r="R1263" s="21">
        <f>IF($N1263="","",$N1263*IF($Q1263="",1,$Q1263)*IF($P1263="",1,$P1263)*IF($O1263="",1,$O1263))</f>
        <v/>
      </c>
      <c r="S1263" s="22">
        <f>IFERROR(INDEX(CONFIGURACOES!$J$37:$J$300,MATCH($I1263,CONFIGURACOES!$B$37:$B$300,0)),"")</f>
        <v/>
      </c>
      <c r="T1263" s="22">
        <f>IF(OR($R1263="",$S1263=""),"",$R1263*$S1263)</f>
        <v/>
      </c>
      <c r="U1263" s="20" t="n"/>
      <c r="V1263" s="20" t="n"/>
      <c r="W1263" s="20" t="n"/>
      <c r="X1263">
        <f>IF($A1263="","",$A1263&amp;"|"&amp;$C1263&amp;"|"&amp;$I1263)</f>
        <v/>
      </c>
      <c r="Y1263">
        <f>IF(AND($A1263=RELATORIO_MEDICAO!$C$5,$C1263=RELATORIO_MEDICAO!$F$5,$A1263&lt;&gt;""),COUNTIFS($A$3:$A1263,RELATORIO_MEDICAO!$C$5,$C$3:$C1263,RELATORIO_MEDICAO!$F$5),"")</f>
        <v/>
      </c>
      <c r="Z1263">
        <f>IF(OR($A1263="",PESQUISA!$C$4=""),0,IF(OR(ISNUMBER(SEARCH(PESQUISA!$C$4,$G1263)),ISNUMBER(SEARCH(PESQUISA!$C$4,$K1263)),ISNUMBER(SEARCH(PESQUISA!$C$4,$L1263))),1,0))</f>
        <v/>
      </c>
      <c r="AA1263">
        <f>IF($Z1263=1,SUM($Z$3:$Z1263),"")</f>
        <v/>
      </c>
      <c r="AB1263">
        <f>IF(OR($A1263="",PESQUISA!$C$50=""),0,IF(ISNUMBER(SEARCH(PESQUISA!$C$50,$I1263)),1,0))</f>
        <v/>
      </c>
      <c r="AC1263">
        <f>IF($AB1263=1,SUM($AB$3:$AB1263),"")</f>
        <v/>
      </c>
    </row>
    <row r="1264">
      <c r="A1264" s="20" t="n"/>
      <c r="B1264" s="20" t="n"/>
      <c r="C1264" s="20" t="n"/>
      <c r="D1264" s="20" t="n"/>
      <c r="E1264" s="20" t="n"/>
      <c r="F1264" s="20" t="n"/>
      <c r="G1264" s="20" t="n"/>
      <c r="H1264" s="20" t="n"/>
      <c r="I1264" s="20" t="n"/>
      <c r="J1264" s="20">
        <f>IFERROR(INDEX(CONFIGURACOES!$G$37:$G$300,MATCH($I1264,CONFIGURACOES!$B$37:$B$300,0)),"")</f>
        <v/>
      </c>
      <c r="K1264" s="20">
        <f>IFERROR(INDEX(CONFIGURACOES!$H$37:$H$300,MATCH($I1264,CONFIGURACOES!$B$37:$B$300,0)),"")</f>
        <v/>
      </c>
      <c r="L1264" s="20" t="n"/>
      <c r="M1264" s="20">
        <f>IFERROR(INDEX(CONFIGURACOES!$I$37:$I$300,MATCH($I1264,CONFIGURACOES!$B$37:$B$300,0)),"")</f>
        <v/>
      </c>
      <c r="N1264" s="21" t="n"/>
      <c r="O1264" s="21" t="n"/>
      <c r="P1264" s="21" t="n"/>
      <c r="Q1264" s="21" t="n"/>
      <c r="R1264" s="21">
        <f>IF($N1264="","",$N1264*IF($Q1264="",1,$Q1264)*IF($P1264="",1,$P1264)*IF($O1264="",1,$O1264))</f>
        <v/>
      </c>
      <c r="S1264" s="22">
        <f>IFERROR(INDEX(CONFIGURACOES!$J$37:$J$300,MATCH($I1264,CONFIGURACOES!$B$37:$B$300,0)),"")</f>
        <v/>
      </c>
      <c r="T1264" s="22">
        <f>IF(OR($R1264="",$S1264=""),"",$R1264*$S1264)</f>
        <v/>
      </c>
      <c r="U1264" s="20" t="n"/>
      <c r="V1264" s="20" t="n"/>
      <c r="W1264" s="20" t="n"/>
      <c r="X1264">
        <f>IF($A1264="","",$A1264&amp;"|"&amp;$C1264&amp;"|"&amp;$I1264)</f>
        <v/>
      </c>
      <c r="Y1264">
        <f>IF(AND($A1264=RELATORIO_MEDICAO!$C$5,$C1264=RELATORIO_MEDICAO!$F$5,$A1264&lt;&gt;""),COUNTIFS($A$3:$A1264,RELATORIO_MEDICAO!$C$5,$C$3:$C1264,RELATORIO_MEDICAO!$F$5),"")</f>
        <v/>
      </c>
      <c r="Z1264">
        <f>IF(OR($A1264="",PESQUISA!$C$4=""),0,IF(OR(ISNUMBER(SEARCH(PESQUISA!$C$4,$G1264)),ISNUMBER(SEARCH(PESQUISA!$C$4,$K1264)),ISNUMBER(SEARCH(PESQUISA!$C$4,$L1264))),1,0))</f>
        <v/>
      </c>
      <c r="AA1264">
        <f>IF($Z1264=1,SUM($Z$3:$Z1264),"")</f>
        <v/>
      </c>
      <c r="AB1264">
        <f>IF(OR($A1264="",PESQUISA!$C$50=""),0,IF(ISNUMBER(SEARCH(PESQUISA!$C$50,$I1264)),1,0))</f>
        <v/>
      </c>
      <c r="AC1264">
        <f>IF($AB1264=1,SUM($AB$3:$AB1264),"")</f>
        <v/>
      </c>
    </row>
    <row r="1265">
      <c r="A1265" s="20" t="n"/>
      <c r="B1265" s="20" t="n"/>
      <c r="C1265" s="20" t="n"/>
      <c r="D1265" s="20" t="n"/>
      <c r="E1265" s="20" t="n"/>
      <c r="F1265" s="20" t="n"/>
      <c r="G1265" s="20" t="n"/>
      <c r="H1265" s="20" t="n"/>
      <c r="I1265" s="20" t="n"/>
      <c r="J1265" s="20">
        <f>IFERROR(INDEX(CONFIGURACOES!$G$37:$G$300,MATCH($I1265,CONFIGURACOES!$B$37:$B$300,0)),"")</f>
        <v/>
      </c>
      <c r="K1265" s="20">
        <f>IFERROR(INDEX(CONFIGURACOES!$H$37:$H$300,MATCH($I1265,CONFIGURACOES!$B$37:$B$300,0)),"")</f>
        <v/>
      </c>
      <c r="L1265" s="20" t="n"/>
      <c r="M1265" s="20">
        <f>IFERROR(INDEX(CONFIGURACOES!$I$37:$I$300,MATCH($I1265,CONFIGURACOES!$B$37:$B$300,0)),"")</f>
        <v/>
      </c>
      <c r="N1265" s="21" t="n"/>
      <c r="O1265" s="21" t="n"/>
      <c r="P1265" s="21" t="n"/>
      <c r="Q1265" s="21" t="n"/>
      <c r="R1265" s="21">
        <f>IF($N1265="","",$N1265*IF($Q1265="",1,$Q1265)*IF($P1265="",1,$P1265)*IF($O1265="",1,$O1265))</f>
        <v/>
      </c>
      <c r="S1265" s="22">
        <f>IFERROR(INDEX(CONFIGURACOES!$J$37:$J$300,MATCH($I1265,CONFIGURACOES!$B$37:$B$300,0)),"")</f>
        <v/>
      </c>
      <c r="T1265" s="22">
        <f>IF(OR($R1265="",$S1265=""),"",$R1265*$S1265)</f>
        <v/>
      </c>
      <c r="U1265" s="20" t="n"/>
      <c r="V1265" s="20" t="n"/>
      <c r="W1265" s="20" t="n"/>
      <c r="X1265">
        <f>IF($A1265="","",$A1265&amp;"|"&amp;$C1265&amp;"|"&amp;$I1265)</f>
        <v/>
      </c>
      <c r="Y1265">
        <f>IF(AND($A1265=RELATORIO_MEDICAO!$C$5,$C1265=RELATORIO_MEDICAO!$F$5,$A1265&lt;&gt;""),COUNTIFS($A$3:$A1265,RELATORIO_MEDICAO!$C$5,$C$3:$C1265,RELATORIO_MEDICAO!$F$5),"")</f>
        <v/>
      </c>
      <c r="Z1265">
        <f>IF(OR($A1265="",PESQUISA!$C$4=""),0,IF(OR(ISNUMBER(SEARCH(PESQUISA!$C$4,$G1265)),ISNUMBER(SEARCH(PESQUISA!$C$4,$K1265)),ISNUMBER(SEARCH(PESQUISA!$C$4,$L1265))),1,0))</f>
        <v/>
      </c>
      <c r="AA1265">
        <f>IF($Z1265=1,SUM($Z$3:$Z1265),"")</f>
        <v/>
      </c>
      <c r="AB1265">
        <f>IF(OR($A1265="",PESQUISA!$C$50=""),0,IF(ISNUMBER(SEARCH(PESQUISA!$C$50,$I1265)),1,0))</f>
        <v/>
      </c>
      <c r="AC1265">
        <f>IF($AB1265=1,SUM($AB$3:$AB1265),"")</f>
        <v/>
      </c>
    </row>
    <row r="1266">
      <c r="A1266" s="20" t="n"/>
      <c r="B1266" s="20" t="n"/>
      <c r="C1266" s="20" t="n"/>
      <c r="D1266" s="20" t="n"/>
      <c r="E1266" s="20" t="n"/>
      <c r="F1266" s="20" t="n"/>
      <c r="G1266" s="20" t="n"/>
      <c r="H1266" s="20" t="n"/>
      <c r="I1266" s="20" t="n"/>
      <c r="J1266" s="20">
        <f>IFERROR(INDEX(CONFIGURACOES!$G$37:$G$300,MATCH($I1266,CONFIGURACOES!$B$37:$B$300,0)),"")</f>
        <v/>
      </c>
      <c r="K1266" s="20">
        <f>IFERROR(INDEX(CONFIGURACOES!$H$37:$H$300,MATCH($I1266,CONFIGURACOES!$B$37:$B$300,0)),"")</f>
        <v/>
      </c>
      <c r="L1266" s="20" t="n"/>
      <c r="M1266" s="20">
        <f>IFERROR(INDEX(CONFIGURACOES!$I$37:$I$300,MATCH($I1266,CONFIGURACOES!$B$37:$B$300,0)),"")</f>
        <v/>
      </c>
      <c r="N1266" s="21" t="n"/>
      <c r="O1266" s="21" t="n"/>
      <c r="P1266" s="21" t="n"/>
      <c r="Q1266" s="21" t="n"/>
      <c r="R1266" s="21">
        <f>IF($N1266="","",$N1266*IF($Q1266="",1,$Q1266)*IF($P1266="",1,$P1266)*IF($O1266="",1,$O1266))</f>
        <v/>
      </c>
      <c r="S1266" s="22">
        <f>IFERROR(INDEX(CONFIGURACOES!$J$37:$J$300,MATCH($I1266,CONFIGURACOES!$B$37:$B$300,0)),"")</f>
        <v/>
      </c>
      <c r="T1266" s="22">
        <f>IF(OR($R1266="",$S1266=""),"",$R1266*$S1266)</f>
        <v/>
      </c>
      <c r="U1266" s="20" t="n"/>
      <c r="V1266" s="20" t="n"/>
      <c r="W1266" s="20" t="n"/>
      <c r="X1266">
        <f>IF($A1266="","",$A1266&amp;"|"&amp;$C1266&amp;"|"&amp;$I1266)</f>
        <v/>
      </c>
      <c r="Y1266">
        <f>IF(AND($A1266=RELATORIO_MEDICAO!$C$5,$C1266=RELATORIO_MEDICAO!$F$5,$A1266&lt;&gt;""),COUNTIFS($A$3:$A1266,RELATORIO_MEDICAO!$C$5,$C$3:$C1266,RELATORIO_MEDICAO!$F$5),"")</f>
        <v/>
      </c>
      <c r="Z1266">
        <f>IF(OR($A1266="",PESQUISA!$C$4=""),0,IF(OR(ISNUMBER(SEARCH(PESQUISA!$C$4,$G1266)),ISNUMBER(SEARCH(PESQUISA!$C$4,$K1266)),ISNUMBER(SEARCH(PESQUISA!$C$4,$L1266))),1,0))</f>
        <v/>
      </c>
      <c r="AA1266">
        <f>IF($Z1266=1,SUM($Z$3:$Z1266),"")</f>
        <v/>
      </c>
      <c r="AB1266">
        <f>IF(OR($A1266="",PESQUISA!$C$50=""),0,IF(ISNUMBER(SEARCH(PESQUISA!$C$50,$I1266)),1,0))</f>
        <v/>
      </c>
      <c r="AC1266">
        <f>IF($AB1266=1,SUM($AB$3:$AB1266),"")</f>
        <v/>
      </c>
    </row>
    <row r="1267">
      <c r="A1267" s="20" t="n"/>
      <c r="B1267" s="20" t="n"/>
      <c r="C1267" s="20" t="n"/>
      <c r="D1267" s="20" t="n"/>
      <c r="E1267" s="20" t="n"/>
      <c r="F1267" s="20" t="n"/>
      <c r="G1267" s="20" t="n"/>
      <c r="H1267" s="20" t="n"/>
      <c r="I1267" s="20" t="n"/>
      <c r="J1267" s="20">
        <f>IFERROR(INDEX(CONFIGURACOES!$G$37:$G$300,MATCH($I1267,CONFIGURACOES!$B$37:$B$300,0)),"")</f>
        <v/>
      </c>
      <c r="K1267" s="20">
        <f>IFERROR(INDEX(CONFIGURACOES!$H$37:$H$300,MATCH($I1267,CONFIGURACOES!$B$37:$B$300,0)),"")</f>
        <v/>
      </c>
      <c r="L1267" s="20" t="n"/>
      <c r="M1267" s="20">
        <f>IFERROR(INDEX(CONFIGURACOES!$I$37:$I$300,MATCH($I1267,CONFIGURACOES!$B$37:$B$300,0)),"")</f>
        <v/>
      </c>
      <c r="N1267" s="21" t="n"/>
      <c r="O1267" s="21" t="n"/>
      <c r="P1267" s="21" t="n"/>
      <c r="Q1267" s="21" t="n"/>
      <c r="R1267" s="21">
        <f>IF($N1267="","",$N1267*IF($Q1267="",1,$Q1267)*IF($P1267="",1,$P1267)*IF($O1267="",1,$O1267))</f>
        <v/>
      </c>
      <c r="S1267" s="22">
        <f>IFERROR(INDEX(CONFIGURACOES!$J$37:$J$300,MATCH($I1267,CONFIGURACOES!$B$37:$B$300,0)),"")</f>
        <v/>
      </c>
      <c r="T1267" s="22">
        <f>IF(OR($R1267="",$S1267=""),"",$R1267*$S1267)</f>
        <v/>
      </c>
      <c r="U1267" s="20" t="n"/>
      <c r="V1267" s="20" t="n"/>
      <c r="W1267" s="20" t="n"/>
      <c r="X1267">
        <f>IF($A1267="","",$A1267&amp;"|"&amp;$C1267&amp;"|"&amp;$I1267)</f>
        <v/>
      </c>
      <c r="Y1267">
        <f>IF(AND($A1267=RELATORIO_MEDICAO!$C$5,$C1267=RELATORIO_MEDICAO!$F$5,$A1267&lt;&gt;""),COUNTIFS($A$3:$A1267,RELATORIO_MEDICAO!$C$5,$C$3:$C1267,RELATORIO_MEDICAO!$F$5),"")</f>
        <v/>
      </c>
      <c r="Z1267">
        <f>IF(OR($A1267="",PESQUISA!$C$4=""),0,IF(OR(ISNUMBER(SEARCH(PESQUISA!$C$4,$G1267)),ISNUMBER(SEARCH(PESQUISA!$C$4,$K1267)),ISNUMBER(SEARCH(PESQUISA!$C$4,$L1267))),1,0))</f>
        <v/>
      </c>
      <c r="AA1267">
        <f>IF($Z1267=1,SUM($Z$3:$Z1267),"")</f>
        <v/>
      </c>
      <c r="AB1267">
        <f>IF(OR($A1267="",PESQUISA!$C$50=""),0,IF(ISNUMBER(SEARCH(PESQUISA!$C$50,$I1267)),1,0))</f>
        <v/>
      </c>
      <c r="AC1267">
        <f>IF($AB1267=1,SUM($AB$3:$AB1267),"")</f>
        <v/>
      </c>
    </row>
    <row r="1268">
      <c r="A1268" s="20" t="n"/>
      <c r="B1268" s="20" t="n"/>
      <c r="C1268" s="20" t="n"/>
      <c r="D1268" s="20" t="n"/>
      <c r="E1268" s="20" t="n"/>
      <c r="F1268" s="20" t="n"/>
      <c r="G1268" s="20" t="n"/>
      <c r="H1268" s="20" t="n"/>
      <c r="I1268" s="20" t="n"/>
      <c r="J1268" s="20">
        <f>IFERROR(INDEX(CONFIGURACOES!$G$37:$G$300,MATCH($I1268,CONFIGURACOES!$B$37:$B$300,0)),"")</f>
        <v/>
      </c>
      <c r="K1268" s="20">
        <f>IFERROR(INDEX(CONFIGURACOES!$H$37:$H$300,MATCH($I1268,CONFIGURACOES!$B$37:$B$300,0)),"")</f>
        <v/>
      </c>
      <c r="L1268" s="20" t="n"/>
      <c r="M1268" s="20">
        <f>IFERROR(INDEX(CONFIGURACOES!$I$37:$I$300,MATCH($I1268,CONFIGURACOES!$B$37:$B$300,0)),"")</f>
        <v/>
      </c>
      <c r="N1268" s="21" t="n"/>
      <c r="O1268" s="21" t="n"/>
      <c r="P1268" s="21" t="n"/>
      <c r="Q1268" s="21" t="n"/>
      <c r="R1268" s="21">
        <f>IF($N1268="","",$N1268*IF($Q1268="",1,$Q1268)*IF($P1268="",1,$P1268)*IF($O1268="",1,$O1268))</f>
        <v/>
      </c>
      <c r="S1268" s="22">
        <f>IFERROR(INDEX(CONFIGURACOES!$J$37:$J$300,MATCH($I1268,CONFIGURACOES!$B$37:$B$300,0)),"")</f>
        <v/>
      </c>
      <c r="T1268" s="22">
        <f>IF(OR($R1268="",$S1268=""),"",$R1268*$S1268)</f>
        <v/>
      </c>
      <c r="U1268" s="20" t="n"/>
      <c r="V1268" s="20" t="n"/>
      <c r="W1268" s="20" t="n"/>
      <c r="X1268">
        <f>IF($A1268="","",$A1268&amp;"|"&amp;$C1268&amp;"|"&amp;$I1268)</f>
        <v/>
      </c>
      <c r="Y1268">
        <f>IF(AND($A1268=RELATORIO_MEDICAO!$C$5,$C1268=RELATORIO_MEDICAO!$F$5,$A1268&lt;&gt;""),COUNTIFS($A$3:$A1268,RELATORIO_MEDICAO!$C$5,$C$3:$C1268,RELATORIO_MEDICAO!$F$5),"")</f>
        <v/>
      </c>
      <c r="Z1268">
        <f>IF(OR($A1268="",PESQUISA!$C$4=""),0,IF(OR(ISNUMBER(SEARCH(PESQUISA!$C$4,$G1268)),ISNUMBER(SEARCH(PESQUISA!$C$4,$K1268)),ISNUMBER(SEARCH(PESQUISA!$C$4,$L1268))),1,0))</f>
        <v/>
      </c>
      <c r="AA1268">
        <f>IF($Z1268=1,SUM($Z$3:$Z1268),"")</f>
        <v/>
      </c>
      <c r="AB1268">
        <f>IF(OR($A1268="",PESQUISA!$C$50=""),0,IF(ISNUMBER(SEARCH(PESQUISA!$C$50,$I1268)),1,0))</f>
        <v/>
      </c>
      <c r="AC1268">
        <f>IF($AB1268=1,SUM($AB$3:$AB1268),"")</f>
        <v/>
      </c>
    </row>
    <row r="1269">
      <c r="A1269" s="20" t="n"/>
      <c r="B1269" s="20" t="n"/>
      <c r="C1269" s="20" t="n"/>
      <c r="D1269" s="20" t="n"/>
      <c r="E1269" s="20" t="n"/>
      <c r="F1269" s="20" t="n"/>
      <c r="G1269" s="20" t="n"/>
      <c r="H1269" s="20" t="n"/>
      <c r="I1269" s="20" t="n"/>
      <c r="J1269" s="20">
        <f>IFERROR(INDEX(CONFIGURACOES!$G$37:$G$300,MATCH($I1269,CONFIGURACOES!$B$37:$B$300,0)),"")</f>
        <v/>
      </c>
      <c r="K1269" s="20">
        <f>IFERROR(INDEX(CONFIGURACOES!$H$37:$H$300,MATCH($I1269,CONFIGURACOES!$B$37:$B$300,0)),"")</f>
        <v/>
      </c>
      <c r="L1269" s="20" t="n"/>
      <c r="M1269" s="20">
        <f>IFERROR(INDEX(CONFIGURACOES!$I$37:$I$300,MATCH($I1269,CONFIGURACOES!$B$37:$B$300,0)),"")</f>
        <v/>
      </c>
      <c r="N1269" s="21" t="n"/>
      <c r="O1269" s="21" t="n"/>
      <c r="P1269" s="21" t="n"/>
      <c r="Q1269" s="21" t="n"/>
      <c r="R1269" s="21">
        <f>IF($N1269="","",$N1269*IF($Q1269="",1,$Q1269)*IF($P1269="",1,$P1269)*IF($O1269="",1,$O1269))</f>
        <v/>
      </c>
      <c r="S1269" s="22">
        <f>IFERROR(INDEX(CONFIGURACOES!$J$37:$J$300,MATCH($I1269,CONFIGURACOES!$B$37:$B$300,0)),"")</f>
        <v/>
      </c>
      <c r="T1269" s="22">
        <f>IF(OR($R1269="",$S1269=""),"",$R1269*$S1269)</f>
        <v/>
      </c>
      <c r="U1269" s="20" t="n"/>
      <c r="V1269" s="20" t="n"/>
      <c r="W1269" s="20" t="n"/>
      <c r="X1269">
        <f>IF($A1269="","",$A1269&amp;"|"&amp;$C1269&amp;"|"&amp;$I1269)</f>
        <v/>
      </c>
      <c r="Y1269">
        <f>IF(AND($A1269=RELATORIO_MEDICAO!$C$5,$C1269=RELATORIO_MEDICAO!$F$5,$A1269&lt;&gt;""),COUNTIFS($A$3:$A1269,RELATORIO_MEDICAO!$C$5,$C$3:$C1269,RELATORIO_MEDICAO!$F$5),"")</f>
        <v/>
      </c>
      <c r="Z1269">
        <f>IF(OR($A1269="",PESQUISA!$C$4=""),0,IF(OR(ISNUMBER(SEARCH(PESQUISA!$C$4,$G1269)),ISNUMBER(SEARCH(PESQUISA!$C$4,$K1269)),ISNUMBER(SEARCH(PESQUISA!$C$4,$L1269))),1,0))</f>
        <v/>
      </c>
      <c r="AA1269">
        <f>IF($Z1269=1,SUM($Z$3:$Z1269),"")</f>
        <v/>
      </c>
      <c r="AB1269">
        <f>IF(OR($A1269="",PESQUISA!$C$50=""),0,IF(ISNUMBER(SEARCH(PESQUISA!$C$50,$I1269)),1,0))</f>
        <v/>
      </c>
      <c r="AC1269">
        <f>IF($AB1269=1,SUM($AB$3:$AB1269),"")</f>
        <v/>
      </c>
    </row>
    <row r="1270">
      <c r="A1270" s="20" t="n"/>
      <c r="B1270" s="20" t="n"/>
      <c r="C1270" s="20" t="n"/>
      <c r="D1270" s="20" t="n"/>
      <c r="E1270" s="20" t="n"/>
      <c r="F1270" s="20" t="n"/>
      <c r="G1270" s="20" t="n"/>
      <c r="H1270" s="20" t="n"/>
      <c r="I1270" s="20" t="n"/>
      <c r="J1270" s="20">
        <f>IFERROR(INDEX(CONFIGURACOES!$G$37:$G$300,MATCH($I1270,CONFIGURACOES!$B$37:$B$300,0)),"")</f>
        <v/>
      </c>
      <c r="K1270" s="20">
        <f>IFERROR(INDEX(CONFIGURACOES!$H$37:$H$300,MATCH($I1270,CONFIGURACOES!$B$37:$B$300,0)),"")</f>
        <v/>
      </c>
      <c r="L1270" s="20" t="n"/>
      <c r="M1270" s="20">
        <f>IFERROR(INDEX(CONFIGURACOES!$I$37:$I$300,MATCH($I1270,CONFIGURACOES!$B$37:$B$300,0)),"")</f>
        <v/>
      </c>
      <c r="N1270" s="21" t="n"/>
      <c r="O1270" s="21" t="n"/>
      <c r="P1270" s="21" t="n"/>
      <c r="Q1270" s="21" t="n"/>
      <c r="R1270" s="21">
        <f>IF($N1270="","",$N1270*IF($Q1270="",1,$Q1270)*IF($P1270="",1,$P1270)*IF($O1270="",1,$O1270))</f>
        <v/>
      </c>
      <c r="S1270" s="22">
        <f>IFERROR(INDEX(CONFIGURACOES!$J$37:$J$300,MATCH($I1270,CONFIGURACOES!$B$37:$B$300,0)),"")</f>
        <v/>
      </c>
      <c r="T1270" s="22">
        <f>IF(OR($R1270="",$S1270=""),"",$R1270*$S1270)</f>
        <v/>
      </c>
      <c r="U1270" s="20" t="n"/>
      <c r="V1270" s="20" t="n"/>
      <c r="W1270" s="20" t="n"/>
      <c r="X1270">
        <f>IF($A1270="","",$A1270&amp;"|"&amp;$C1270&amp;"|"&amp;$I1270)</f>
        <v/>
      </c>
      <c r="Y1270">
        <f>IF(AND($A1270=RELATORIO_MEDICAO!$C$5,$C1270=RELATORIO_MEDICAO!$F$5,$A1270&lt;&gt;""),COUNTIFS($A$3:$A1270,RELATORIO_MEDICAO!$C$5,$C$3:$C1270,RELATORIO_MEDICAO!$F$5),"")</f>
        <v/>
      </c>
      <c r="Z1270">
        <f>IF(OR($A1270="",PESQUISA!$C$4=""),0,IF(OR(ISNUMBER(SEARCH(PESQUISA!$C$4,$G1270)),ISNUMBER(SEARCH(PESQUISA!$C$4,$K1270)),ISNUMBER(SEARCH(PESQUISA!$C$4,$L1270))),1,0))</f>
        <v/>
      </c>
      <c r="AA1270">
        <f>IF($Z1270=1,SUM($Z$3:$Z1270),"")</f>
        <v/>
      </c>
      <c r="AB1270">
        <f>IF(OR($A1270="",PESQUISA!$C$50=""),0,IF(ISNUMBER(SEARCH(PESQUISA!$C$50,$I1270)),1,0))</f>
        <v/>
      </c>
      <c r="AC1270">
        <f>IF($AB1270=1,SUM($AB$3:$AB1270),"")</f>
        <v/>
      </c>
    </row>
    <row r="1271">
      <c r="A1271" s="20" t="n"/>
      <c r="B1271" s="20" t="n"/>
      <c r="C1271" s="20" t="n"/>
      <c r="D1271" s="20" t="n"/>
      <c r="E1271" s="20" t="n"/>
      <c r="F1271" s="20" t="n"/>
      <c r="G1271" s="20" t="n"/>
      <c r="H1271" s="20" t="n"/>
      <c r="I1271" s="20" t="n"/>
      <c r="J1271" s="20">
        <f>IFERROR(INDEX(CONFIGURACOES!$G$37:$G$300,MATCH($I1271,CONFIGURACOES!$B$37:$B$300,0)),"")</f>
        <v/>
      </c>
      <c r="K1271" s="20">
        <f>IFERROR(INDEX(CONFIGURACOES!$H$37:$H$300,MATCH($I1271,CONFIGURACOES!$B$37:$B$300,0)),"")</f>
        <v/>
      </c>
      <c r="L1271" s="20" t="n"/>
      <c r="M1271" s="20">
        <f>IFERROR(INDEX(CONFIGURACOES!$I$37:$I$300,MATCH($I1271,CONFIGURACOES!$B$37:$B$300,0)),"")</f>
        <v/>
      </c>
      <c r="N1271" s="21" t="n"/>
      <c r="O1271" s="21" t="n"/>
      <c r="P1271" s="21" t="n"/>
      <c r="Q1271" s="21" t="n"/>
      <c r="R1271" s="21">
        <f>IF($N1271="","",$N1271*IF($Q1271="",1,$Q1271)*IF($P1271="",1,$P1271)*IF($O1271="",1,$O1271))</f>
        <v/>
      </c>
      <c r="S1271" s="22">
        <f>IFERROR(INDEX(CONFIGURACOES!$J$37:$J$300,MATCH($I1271,CONFIGURACOES!$B$37:$B$300,0)),"")</f>
        <v/>
      </c>
      <c r="T1271" s="22">
        <f>IF(OR($R1271="",$S1271=""),"",$R1271*$S1271)</f>
        <v/>
      </c>
      <c r="U1271" s="20" t="n"/>
      <c r="V1271" s="20" t="n"/>
      <c r="W1271" s="20" t="n"/>
      <c r="X1271">
        <f>IF($A1271="","",$A1271&amp;"|"&amp;$C1271&amp;"|"&amp;$I1271)</f>
        <v/>
      </c>
      <c r="Y1271">
        <f>IF(AND($A1271=RELATORIO_MEDICAO!$C$5,$C1271=RELATORIO_MEDICAO!$F$5,$A1271&lt;&gt;""),COUNTIFS($A$3:$A1271,RELATORIO_MEDICAO!$C$5,$C$3:$C1271,RELATORIO_MEDICAO!$F$5),"")</f>
        <v/>
      </c>
      <c r="Z1271">
        <f>IF(OR($A1271="",PESQUISA!$C$4=""),0,IF(OR(ISNUMBER(SEARCH(PESQUISA!$C$4,$G1271)),ISNUMBER(SEARCH(PESQUISA!$C$4,$K1271)),ISNUMBER(SEARCH(PESQUISA!$C$4,$L1271))),1,0))</f>
        <v/>
      </c>
      <c r="AA1271">
        <f>IF($Z1271=1,SUM($Z$3:$Z1271),"")</f>
        <v/>
      </c>
      <c r="AB1271">
        <f>IF(OR($A1271="",PESQUISA!$C$50=""),0,IF(ISNUMBER(SEARCH(PESQUISA!$C$50,$I1271)),1,0))</f>
        <v/>
      </c>
      <c r="AC1271">
        <f>IF($AB1271=1,SUM($AB$3:$AB1271),"")</f>
        <v/>
      </c>
    </row>
    <row r="1272">
      <c r="A1272" s="20" t="n"/>
      <c r="B1272" s="20" t="n"/>
      <c r="C1272" s="20" t="n"/>
      <c r="D1272" s="20" t="n"/>
      <c r="E1272" s="20" t="n"/>
      <c r="F1272" s="20" t="n"/>
      <c r="G1272" s="20" t="n"/>
      <c r="H1272" s="20" t="n"/>
      <c r="I1272" s="20" t="n"/>
      <c r="J1272" s="20">
        <f>IFERROR(INDEX(CONFIGURACOES!$G$37:$G$300,MATCH($I1272,CONFIGURACOES!$B$37:$B$300,0)),"")</f>
        <v/>
      </c>
      <c r="K1272" s="20">
        <f>IFERROR(INDEX(CONFIGURACOES!$H$37:$H$300,MATCH($I1272,CONFIGURACOES!$B$37:$B$300,0)),"")</f>
        <v/>
      </c>
      <c r="L1272" s="20" t="n"/>
      <c r="M1272" s="20">
        <f>IFERROR(INDEX(CONFIGURACOES!$I$37:$I$300,MATCH($I1272,CONFIGURACOES!$B$37:$B$300,0)),"")</f>
        <v/>
      </c>
      <c r="N1272" s="21" t="n"/>
      <c r="O1272" s="21" t="n"/>
      <c r="P1272" s="21" t="n"/>
      <c r="Q1272" s="21" t="n"/>
      <c r="R1272" s="21">
        <f>IF($N1272="","",$N1272*IF($Q1272="",1,$Q1272)*IF($P1272="",1,$P1272)*IF($O1272="",1,$O1272))</f>
        <v/>
      </c>
      <c r="S1272" s="22">
        <f>IFERROR(INDEX(CONFIGURACOES!$J$37:$J$300,MATCH($I1272,CONFIGURACOES!$B$37:$B$300,0)),"")</f>
        <v/>
      </c>
      <c r="T1272" s="22">
        <f>IF(OR($R1272="",$S1272=""),"",$R1272*$S1272)</f>
        <v/>
      </c>
      <c r="U1272" s="20" t="n"/>
      <c r="V1272" s="20" t="n"/>
      <c r="W1272" s="20" t="n"/>
      <c r="X1272">
        <f>IF($A1272="","",$A1272&amp;"|"&amp;$C1272&amp;"|"&amp;$I1272)</f>
        <v/>
      </c>
      <c r="Y1272">
        <f>IF(AND($A1272=RELATORIO_MEDICAO!$C$5,$C1272=RELATORIO_MEDICAO!$F$5,$A1272&lt;&gt;""),COUNTIFS($A$3:$A1272,RELATORIO_MEDICAO!$C$5,$C$3:$C1272,RELATORIO_MEDICAO!$F$5),"")</f>
        <v/>
      </c>
      <c r="Z1272">
        <f>IF(OR($A1272="",PESQUISA!$C$4=""),0,IF(OR(ISNUMBER(SEARCH(PESQUISA!$C$4,$G1272)),ISNUMBER(SEARCH(PESQUISA!$C$4,$K1272)),ISNUMBER(SEARCH(PESQUISA!$C$4,$L1272))),1,0))</f>
        <v/>
      </c>
      <c r="AA1272">
        <f>IF($Z1272=1,SUM($Z$3:$Z1272),"")</f>
        <v/>
      </c>
      <c r="AB1272">
        <f>IF(OR($A1272="",PESQUISA!$C$50=""),0,IF(ISNUMBER(SEARCH(PESQUISA!$C$50,$I1272)),1,0))</f>
        <v/>
      </c>
      <c r="AC1272">
        <f>IF($AB1272=1,SUM($AB$3:$AB1272),"")</f>
        <v/>
      </c>
    </row>
    <row r="1273">
      <c r="A1273" s="20" t="n"/>
      <c r="B1273" s="20" t="n"/>
      <c r="C1273" s="20" t="n"/>
      <c r="D1273" s="20" t="n"/>
      <c r="E1273" s="20" t="n"/>
      <c r="F1273" s="20" t="n"/>
      <c r="G1273" s="20" t="n"/>
      <c r="H1273" s="20" t="n"/>
      <c r="I1273" s="20" t="n"/>
      <c r="J1273" s="20">
        <f>IFERROR(INDEX(CONFIGURACOES!$G$37:$G$300,MATCH($I1273,CONFIGURACOES!$B$37:$B$300,0)),"")</f>
        <v/>
      </c>
      <c r="K1273" s="20">
        <f>IFERROR(INDEX(CONFIGURACOES!$H$37:$H$300,MATCH($I1273,CONFIGURACOES!$B$37:$B$300,0)),"")</f>
        <v/>
      </c>
      <c r="L1273" s="20" t="n"/>
      <c r="M1273" s="20">
        <f>IFERROR(INDEX(CONFIGURACOES!$I$37:$I$300,MATCH($I1273,CONFIGURACOES!$B$37:$B$300,0)),"")</f>
        <v/>
      </c>
      <c r="N1273" s="21" t="n"/>
      <c r="O1273" s="21" t="n"/>
      <c r="P1273" s="21" t="n"/>
      <c r="Q1273" s="21" t="n"/>
      <c r="R1273" s="21">
        <f>IF($N1273="","",$N1273*IF($Q1273="",1,$Q1273)*IF($P1273="",1,$P1273)*IF($O1273="",1,$O1273))</f>
        <v/>
      </c>
      <c r="S1273" s="22">
        <f>IFERROR(INDEX(CONFIGURACOES!$J$37:$J$300,MATCH($I1273,CONFIGURACOES!$B$37:$B$300,0)),"")</f>
        <v/>
      </c>
      <c r="T1273" s="22">
        <f>IF(OR($R1273="",$S1273=""),"",$R1273*$S1273)</f>
        <v/>
      </c>
      <c r="U1273" s="20" t="n"/>
      <c r="V1273" s="20" t="n"/>
      <c r="W1273" s="20" t="n"/>
      <c r="X1273">
        <f>IF($A1273="","",$A1273&amp;"|"&amp;$C1273&amp;"|"&amp;$I1273)</f>
        <v/>
      </c>
      <c r="Y1273">
        <f>IF(AND($A1273=RELATORIO_MEDICAO!$C$5,$C1273=RELATORIO_MEDICAO!$F$5,$A1273&lt;&gt;""),COUNTIFS($A$3:$A1273,RELATORIO_MEDICAO!$C$5,$C$3:$C1273,RELATORIO_MEDICAO!$F$5),"")</f>
        <v/>
      </c>
      <c r="Z1273">
        <f>IF(OR($A1273="",PESQUISA!$C$4=""),0,IF(OR(ISNUMBER(SEARCH(PESQUISA!$C$4,$G1273)),ISNUMBER(SEARCH(PESQUISA!$C$4,$K1273)),ISNUMBER(SEARCH(PESQUISA!$C$4,$L1273))),1,0))</f>
        <v/>
      </c>
      <c r="AA1273">
        <f>IF($Z1273=1,SUM($Z$3:$Z1273),"")</f>
        <v/>
      </c>
      <c r="AB1273">
        <f>IF(OR($A1273="",PESQUISA!$C$50=""),0,IF(ISNUMBER(SEARCH(PESQUISA!$C$50,$I1273)),1,0))</f>
        <v/>
      </c>
      <c r="AC1273">
        <f>IF($AB1273=1,SUM($AB$3:$AB1273),"")</f>
        <v/>
      </c>
    </row>
    <row r="1274">
      <c r="A1274" s="20" t="n"/>
      <c r="B1274" s="20" t="n"/>
      <c r="C1274" s="20" t="n"/>
      <c r="D1274" s="20" t="n"/>
      <c r="E1274" s="20" t="n"/>
      <c r="F1274" s="20" t="n"/>
      <c r="G1274" s="20" t="n"/>
      <c r="H1274" s="20" t="n"/>
      <c r="I1274" s="20" t="n"/>
      <c r="J1274" s="20">
        <f>IFERROR(INDEX(CONFIGURACOES!$G$37:$G$300,MATCH($I1274,CONFIGURACOES!$B$37:$B$300,0)),"")</f>
        <v/>
      </c>
      <c r="K1274" s="20">
        <f>IFERROR(INDEX(CONFIGURACOES!$H$37:$H$300,MATCH($I1274,CONFIGURACOES!$B$37:$B$300,0)),"")</f>
        <v/>
      </c>
      <c r="L1274" s="20" t="n"/>
      <c r="M1274" s="20">
        <f>IFERROR(INDEX(CONFIGURACOES!$I$37:$I$300,MATCH($I1274,CONFIGURACOES!$B$37:$B$300,0)),"")</f>
        <v/>
      </c>
      <c r="N1274" s="21" t="n"/>
      <c r="O1274" s="21" t="n"/>
      <c r="P1274" s="21" t="n"/>
      <c r="Q1274" s="21" t="n"/>
      <c r="R1274" s="21">
        <f>IF($N1274="","",$N1274*IF($Q1274="",1,$Q1274)*IF($P1274="",1,$P1274)*IF($O1274="",1,$O1274))</f>
        <v/>
      </c>
      <c r="S1274" s="22">
        <f>IFERROR(INDEX(CONFIGURACOES!$J$37:$J$300,MATCH($I1274,CONFIGURACOES!$B$37:$B$300,0)),"")</f>
        <v/>
      </c>
      <c r="T1274" s="22">
        <f>IF(OR($R1274="",$S1274=""),"",$R1274*$S1274)</f>
        <v/>
      </c>
      <c r="U1274" s="20" t="n"/>
      <c r="V1274" s="20" t="n"/>
      <c r="W1274" s="20" t="n"/>
      <c r="X1274">
        <f>IF($A1274="","",$A1274&amp;"|"&amp;$C1274&amp;"|"&amp;$I1274)</f>
        <v/>
      </c>
      <c r="Y1274">
        <f>IF(AND($A1274=RELATORIO_MEDICAO!$C$5,$C1274=RELATORIO_MEDICAO!$F$5,$A1274&lt;&gt;""),COUNTIFS($A$3:$A1274,RELATORIO_MEDICAO!$C$5,$C$3:$C1274,RELATORIO_MEDICAO!$F$5),"")</f>
        <v/>
      </c>
      <c r="Z1274">
        <f>IF(OR($A1274="",PESQUISA!$C$4=""),0,IF(OR(ISNUMBER(SEARCH(PESQUISA!$C$4,$G1274)),ISNUMBER(SEARCH(PESQUISA!$C$4,$K1274)),ISNUMBER(SEARCH(PESQUISA!$C$4,$L1274))),1,0))</f>
        <v/>
      </c>
      <c r="AA1274">
        <f>IF($Z1274=1,SUM($Z$3:$Z1274),"")</f>
        <v/>
      </c>
      <c r="AB1274">
        <f>IF(OR($A1274="",PESQUISA!$C$50=""),0,IF(ISNUMBER(SEARCH(PESQUISA!$C$50,$I1274)),1,0))</f>
        <v/>
      </c>
      <c r="AC1274">
        <f>IF($AB1274=1,SUM($AB$3:$AB1274),"")</f>
        <v/>
      </c>
    </row>
    <row r="1275">
      <c r="A1275" s="20" t="n"/>
      <c r="B1275" s="20" t="n"/>
      <c r="C1275" s="20" t="n"/>
      <c r="D1275" s="20" t="n"/>
      <c r="E1275" s="20" t="n"/>
      <c r="F1275" s="20" t="n"/>
      <c r="G1275" s="20" t="n"/>
      <c r="H1275" s="20" t="n"/>
      <c r="I1275" s="20" t="n"/>
      <c r="J1275" s="20">
        <f>IFERROR(INDEX(CONFIGURACOES!$G$37:$G$300,MATCH($I1275,CONFIGURACOES!$B$37:$B$300,0)),"")</f>
        <v/>
      </c>
      <c r="K1275" s="20">
        <f>IFERROR(INDEX(CONFIGURACOES!$H$37:$H$300,MATCH($I1275,CONFIGURACOES!$B$37:$B$300,0)),"")</f>
        <v/>
      </c>
      <c r="L1275" s="20" t="n"/>
      <c r="M1275" s="20">
        <f>IFERROR(INDEX(CONFIGURACOES!$I$37:$I$300,MATCH($I1275,CONFIGURACOES!$B$37:$B$300,0)),"")</f>
        <v/>
      </c>
      <c r="N1275" s="21" t="n"/>
      <c r="O1275" s="21" t="n"/>
      <c r="P1275" s="21" t="n"/>
      <c r="Q1275" s="21" t="n"/>
      <c r="R1275" s="21">
        <f>IF($N1275="","",$N1275*IF($Q1275="",1,$Q1275)*IF($P1275="",1,$P1275)*IF($O1275="",1,$O1275))</f>
        <v/>
      </c>
      <c r="S1275" s="22">
        <f>IFERROR(INDEX(CONFIGURACOES!$J$37:$J$300,MATCH($I1275,CONFIGURACOES!$B$37:$B$300,0)),"")</f>
        <v/>
      </c>
      <c r="T1275" s="22">
        <f>IF(OR($R1275="",$S1275=""),"",$R1275*$S1275)</f>
        <v/>
      </c>
      <c r="U1275" s="20" t="n"/>
      <c r="V1275" s="20" t="n"/>
      <c r="W1275" s="20" t="n"/>
      <c r="X1275">
        <f>IF($A1275="","",$A1275&amp;"|"&amp;$C1275&amp;"|"&amp;$I1275)</f>
        <v/>
      </c>
      <c r="Y1275">
        <f>IF(AND($A1275=RELATORIO_MEDICAO!$C$5,$C1275=RELATORIO_MEDICAO!$F$5,$A1275&lt;&gt;""),COUNTIFS($A$3:$A1275,RELATORIO_MEDICAO!$C$5,$C$3:$C1275,RELATORIO_MEDICAO!$F$5),"")</f>
        <v/>
      </c>
      <c r="Z1275">
        <f>IF(OR($A1275="",PESQUISA!$C$4=""),0,IF(OR(ISNUMBER(SEARCH(PESQUISA!$C$4,$G1275)),ISNUMBER(SEARCH(PESQUISA!$C$4,$K1275)),ISNUMBER(SEARCH(PESQUISA!$C$4,$L1275))),1,0))</f>
        <v/>
      </c>
      <c r="AA1275">
        <f>IF($Z1275=1,SUM($Z$3:$Z1275),"")</f>
        <v/>
      </c>
      <c r="AB1275">
        <f>IF(OR($A1275="",PESQUISA!$C$50=""),0,IF(ISNUMBER(SEARCH(PESQUISA!$C$50,$I1275)),1,0))</f>
        <v/>
      </c>
      <c r="AC1275">
        <f>IF($AB1275=1,SUM($AB$3:$AB1275),"")</f>
        <v/>
      </c>
    </row>
    <row r="1276">
      <c r="A1276" s="20" t="n"/>
      <c r="B1276" s="20" t="n"/>
      <c r="C1276" s="20" t="n"/>
      <c r="D1276" s="20" t="n"/>
      <c r="E1276" s="20" t="n"/>
      <c r="F1276" s="20" t="n"/>
      <c r="G1276" s="20" t="n"/>
      <c r="H1276" s="20" t="n"/>
      <c r="I1276" s="20" t="n"/>
      <c r="J1276" s="20">
        <f>IFERROR(INDEX(CONFIGURACOES!$G$37:$G$300,MATCH($I1276,CONFIGURACOES!$B$37:$B$300,0)),"")</f>
        <v/>
      </c>
      <c r="K1276" s="20">
        <f>IFERROR(INDEX(CONFIGURACOES!$H$37:$H$300,MATCH($I1276,CONFIGURACOES!$B$37:$B$300,0)),"")</f>
        <v/>
      </c>
      <c r="L1276" s="20" t="n"/>
      <c r="M1276" s="20">
        <f>IFERROR(INDEX(CONFIGURACOES!$I$37:$I$300,MATCH($I1276,CONFIGURACOES!$B$37:$B$300,0)),"")</f>
        <v/>
      </c>
      <c r="N1276" s="21" t="n"/>
      <c r="O1276" s="21" t="n"/>
      <c r="P1276" s="21" t="n"/>
      <c r="Q1276" s="21" t="n"/>
      <c r="R1276" s="21">
        <f>IF($N1276="","",$N1276*IF($Q1276="",1,$Q1276)*IF($P1276="",1,$P1276)*IF($O1276="",1,$O1276))</f>
        <v/>
      </c>
      <c r="S1276" s="22">
        <f>IFERROR(INDEX(CONFIGURACOES!$J$37:$J$300,MATCH($I1276,CONFIGURACOES!$B$37:$B$300,0)),"")</f>
        <v/>
      </c>
      <c r="T1276" s="22">
        <f>IF(OR($R1276="",$S1276=""),"",$R1276*$S1276)</f>
        <v/>
      </c>
      <c r="U1276" s="20" t="n"/>
      <c r="V1276" s="20" t="n"/>
      <c r="W1276" s="20" t="n"/>
      <c r="X1276">
        <f>IF($A1276="","",$A1276&amp;"|"&amp;$C1276&amp;"|"&amp;$I1276)</f>
        <v/>
      </c>
      <c r="Y1276">
        <f>IF(AND($A1276=RELATORIO_MEDICAO!$C$5,$C1276=RELATORIO_MEDICAO!$F$5,$A1276&lt;&gt;""),COUNTIFS($A$3:$A1276,RELATORIO_MEDICAO!$C$5,$C$3:$C1276,RELATORIO_MEDICAO!$F$5),"")</f>
        <v/>
      </c>
      <c r="Z1276">
        <f>IF(OR($A1276="",PESQUISA!$C$4=""),0,IF(OR(ISNUMBER(SEARCH(PESQUISA!$C$4,$G1276)),ISNUMBER(SEARCH(PESQUISA!$C$4,$K1276)),ISNUMBER(SEARCH(PESQUISA!$C$4,$L1276))),1,0))</f>
        <v/>
      </c>
      <c r="AA1276">
        <f>IF($Z1276=1,SUM($Z$3:$Z1276),"")</f>
        <v/>
      </c>
      <c r="AB1276">
        <f>IF(OR($A1276="",PESQUISA!$C$50=""),0,IF(ISNUMBER(SEARCH(PESQUISA!$C$50,$I1276)),1,0))</f>
        <v/>
      </c>
      <c r="AC1276">
        <f>IF($AB1276=1,SUM($AB$3:$AB1276),"")</f>
        <v/>
      </c>
    </row>
    <row r="1277">
      <c r="A1277" s="20" t="n"/>
      <c r="B1277" s="20" t="n"/>
      <c r="C1277" s="20" t="n"/>
      <c r="D1277" s="20" t="n"/>
      <c r="E1277" s="20" t="n"/>
      <c r="F1277" s="20" t="n"/>
      <c r="G1277" s="20" t="n"/>
      <c r="H1277" s="20" t="n"/>
      <c r="I1277" s="20" t="n"/>
      <c r="J1277" s="20">
        <f>IFERROR(INDEX(CONFIGURACOES!$G$37:$G$300,MATCH($I1277,CONFIGURACOES!$B$37:$B$300,0)),"")</f>
        <v/>
      </c>
      <c r="K1277" s="20">
        <f>IFERROR(INDEX(CONFIGURACOES!$H$37:$H$300,MATCH($I1277,CONFIGURACOES!$B$37:$B$300,0)),"")</f>
        <v/>
      </c>
      <c r="L1277" s="20" t="n"/>
      <c r="M1277" s="20">
        <f>IFERROR(INDEX(CONFIGURACOES!$I$37:$I$300,MATCH($I1277,CONFIGURACOES!$B$37:$B$300,0)),"")</f>
        <v/>
      </c>
      <c r="N1277" s="21" t="n"/>
      <c r="O1277" s="21" t="n"/>
      <c r="P1277" s="21" t="n"/>
      <c r="Q1277" s="21" t="n"/>
      <c r="R1277" s="21">
        <f>IF($N1277="","",$N1277*IF($Q1277="",1,$Q1277)*IF($P1277="",1,$P1277)*IF($O1277="",1,$O1277))</f>
        <v/>
      </c>
      <c r="S1277" s="22">
        <f>IFERROR(INDEX(CONFIGURACOES!$J$37:$J$300,MATCH($I1277,CONFIGURACOES!$B$37:$B$300,0)),"")</f>
        <v/>
      </c>
      <c r="T1277" s="22">
        <f>IF(OR($R1277="",$S1277=""),"",$R1277*$S1277)</f>
        <v/>
      </c>
      <c r="U1277" s="20" t="n"/>
      <c r="V1277" s="20" t="n"/>
      <c r="W1277" s="20" t="n"/>
      <c r="X1277">
        <f>IF($A1277="","",$A1277&amp;"|"&amp;$C1277&amp;"|"&amp;$I1277)</f>
        <v/>
      </c>
      <c r="Y1277">
        <f>IF(AND($A1277=RELATORIO_MEDICAO!$C$5,$C1277=RELATORIO_MEDICAO!$F$5,$A1277&lt;&gt;""),COUNTIFS($A$3:$A1277,RELATORIO_MEDICAO!$C$5,$C$3:$C1277,RELATORIO_MEDICAO!$F$5),"")</f>
        <v/>
      </c>
      <c r="Z1277">
        <f>IF(OR($A1277="",PESQUISA!$C$4=""),0,IF(OR(ISNUMBER(SEARCH(PESQUISA!$C$4,$G1277)),ISNUMBER(SEARCH(PESQUISA!$C$4,$K1277)),ISNUMBER(SEARCH(PESQUISA!$C$4,$L1277))),1,0))</f>
        <v/>
      </c>
      <c r="AA1277">
        <f>IF($Z1277=1,SUM($Z$3:$Z1277),"")</f>
        <v/>
      </c>
      <c r="AB1277">
        <f>IF(OR($A1277="",PESQUISA!$C$50=""),0,IF(ISNUMBER(SEARCH(PESQUISA!$C$50,$I1277)),1,0))</f>
        <v/>
      </c>
      <c r="AC1277">
        <f>IF($AB1277=1,SUM($AB$3:$AB1277),"")</f>
        <v/>
      </c>
    </row>
    <row r="1278">
      <c r="A1278" s="20" t="n"/>
      <c r="B1278" s="20" t="n"/>
      <c r="C1278" s="20" t="n"/>
      <c r="D1278" s="20" t="n"/>
      <c r="E1278" s="20" t="n"/>
      <c r="F1278" s="20" t="n"/>
      <c r="G1278" s="20" t="n"/>
      <c r="H1278" s="20" t="n"/>
      <c r="I1278" s="20" t="n"/>
      <c r="J1278" s="20">
        <f>IFERROR(INDEX(CONFIGURACOES!$G$37:$G$300,MATCH($I1278,CONFIGURACOES!$B$37:$B$300,0)),"")</f>
        <v/>
      </c>
      <c r="K1278" s="20">
        <f>IFERROR(INDEX(CONFIGURACOES!$H$37:$H$300,MATCH($I1278,CONFIGURACOES!$B$37:$B$300,0)),"")</f>
        <v/>
      </c>
      <c r="L1278" s="20" t="n"/>
      <c r="M1278" s="20">
        <f>IFERROR(INDEX(CONFIGURACOES!$I$37:$I$300,MATCH($I1278,CONFIGURACOES!$B$37:$B$300,0)),"")</f>
        <v/>
      </c>
      <c r="N1278" s="21" t="n"/>
      <c r="O1278" s="21" t="n"/>
      <c r="P1278" s="21" t="n"/>
      <c r="Q1278" s="21" t="n"/>
      <c r="R1278" s="21">
        <f>IF($N1278="","",$N1278*IF($Q1278="",1,$Q1278)*IF($P1278="",1,$P1278)*IF($O1278="",1,$O1278))</f>
        <v/>
      </c>
      <c r="S1278" s="22">
        <f>IFERROR(INDEX(CONFIGURACOES!$J$37:$J$300,MATCH($I1278,CONFIGURACOES!$B$37:$B$300,0)),"")</f>
        <v/>
      </c>
      <c r="T1278" s="22">
        <f>IF(OR($R1278="",$S1278=""),"",$R1278*$S1278)</f>
        <v/>
      </c>
      <c r="U1278" s="20" t="n"/>
      <c r="V1278" s="20" t="n"/>
      <c r="W1278" s="20" t="n"/>
      <c r="X1278">
        <f>IF($A1278="","",$A1278&amp;"|"&amp;$C1278&amp;"|"&amp;$I1278)</f>
        <v/>
      </c>
      <c r="Y1278">
        <f>IF(AND($A1278=RELATORIO_MEDICAO!$C$5,$C1278=RELATORIO_MEDICAO!$F$5,$A1278&lt;&gt;""),COUNTIFS($A$3:$A1278,RELATORIO_MEDICAO!$C$5,$C$3:$C1278,RELATORIO_MEDICAO!$F$5),"")</f>
        <v/>
      </c>
      <c r="Z1278">
        <f>IF(OR($A1278="",PESQUISA!$C$4=""),0,IF(OR(ISNUMBER(SEARCH(PESQUISA!$C$4,$G1278)),ISNUMBER(SEARCH(PESQUISA!$C$4,$K1278)),ISNUMBER(SEARCH(PESQUISA!$C$4,$L1278))),1,0))</f>
        <v/>
      </c>
      <c r="AA1278">
        <f>IF($Z1278=1,SUM($Z$3:$Z1278),"")</f>
        <v/>
      </c>
      <c r="AB1278">
        <f>IF(OR($A1278="",PESQUISA!$C$50=""),0,IF(ISNUMBER(SEARCH(PESQUISA!$C$50,$I1278)),1,0))</f>
        <v/>
      </c>
      <c r="AC1278">
        <f>IF($AB1278=1,SUM($AB$3:$AB1278),"")</f>
        <v/>
      </c>
    </row>
    <row r="1279">
      <c r="A1279" s="20" t="n"/>
      <c r="B1279" s="20" t="n"/>
      <c r="C1279" s="20" t="n"/>
      <c r="D1279" s="20" t="n"/>
      <c r="E1279" s="20" t="n"/>
      <c r="F1279" s="20" t="n"/>
      <c r="G1279" s="20" t="n"/>
      <c r="H1279" s="20" t="n"/>
      <c r="I1279" s="20" t="n"/>
      <c r="J1279" s="20">
        <f>IFERROR(INDEX(CONFIGURACOES!$G$37:$G$300,MATCH($I1279,CONFIGURACOES!$B$37:$B$300,0)),"")</f>
        <v/>
      </c>
      <c r="K1279" s="20">
        <f>IFERROR(INDEX(CONFIGURACOES!$H$37:$H$300,MATCH($I1279,CONFIGURACOES!$B$37:$B$300,0)),"")</f>
        <v/>
      </c>
      <c r="L1279" s="20" t="n"/>
      <c r="M1279" s="20">
        <f>IFERROR(INDEX(CONFIGURACOES!$I$37:$I$300,MATCH($I1279,CONFIGURACOES!$B$37:$B$300,0)),"")</f>
        <v/>
      </c>
      <c r="N1279" s="21" t="n"/>
      <c r="O1279" s="21" t="n"/>
      <c r="P1279" s="21" t="n"/>
      <c r="Q1279" s="21" t="n"/>
      <c r="R1279" s="21">
        <f>IF($N1279="","",$N1279*IF($Q1279="",1,$Q1279)*IF($P1279="",1,$P1279)*IF($O1279="",1,$O1279))</f>
        <v/>
      </c>
      <c r="S1279" s="22">
        <f>IFERROR(INDEX(CONFIGURACOES!$J$37:$J$300,MATCH($I1279,CONFIGURACOES!$B$37:$B$300,0)),"")</f>
        <v/>
      </c>
      <c r="T1279" s="22">
        <f>IF(OR($R1279="",$S1279=""),"",$R1279*$S1279)</f>
        <v/>
      </c>
      <c r="U1279" s="20" t="n"/>
      <c r="V1279" s="20" t="n"/>
      <c r="W1279" s="20" t="n"/>
      <c r="X1279">
        <f>IF($A1279="","",$A1279&amp;"|"&amp;$C1279&amp;"|"&amp;$I1279)</f>
        <v/>
      </c>
      <c r="Y1279">
        <f>IF(AND($A1279=RELATORIO_MEDICAO!$C$5,$C1279=RELATORIO_MEDICAO!$F$5,$A1279&lt;&gt;""),COUNTIFS($A$3:$A1279,RELATORIO_MEDICAO!$C$5,$C$3:$C1279,RELATORIO_MEDICAO!$F$5),"")</f>
        <v/>
      </c>
      <c r="Z1279">
        <f>IF(OR($A1279="",PESQUISA!$C$4=""),0,IF(OR(ISNUMBER(SEARCH(PESQUISA!$C$4,$G1279)),ISNUMBER(SEARCH(PESQUISA!$C$4,$K1279)),ISNUMBER(SEARCH(PESQUISA!$C$4,$L1279))),1,0))</f>
        <v/>
      </c>
      <c r="AA1279">
        <f>IF($Z1279=1,SUM($Z$3:$Z1279),"")</f>
        <v/>
      </c>
      <c r="AB1279">
        <f>IF(OR($A1279="",PESQUISA!$C$50=""),0,IF(ISNUMBER(SEARCH(PESQUISA!$C$50,$I1279)),1,0))</f>
        <v/>
      </c>
      <c r="AC1279">
        <f>IF($AB1279=1,SUM($AB$3:$AB1279),"")</f>
        <v/>
      </c>
    </row>
    <row r="1280">
      <c r="A1280" s="20" t="n"/>
      <c r="B1280" s="20" t="n"/>
      <c r="C1280" s="20" t="n"/>
      <c r="D1280" s="20" t="n"/>
      <c r="E1280" s="20" t="n"/>
      <c r="F1280" s="20" t="n"/>
      <c r="G1280" s="20" t="n"/>
      <c r="H1280" s="20" t="n"/>
      <c r="I1280" s="20" t="n"/>
      <c r="J1280" s="20">
        <f>IFERROR(INDEX(CONFIGURACOES!$G$37:$G$300,MATCH($I1280,CONFIGURACOES!$B$37:$B$300,0)),"")</f>
        <v/>
      </c>
      <c r="K1280" s="20">
        <f>IFERROR(INDEX(CONFIGURACOES!$H$37:$H$300,MATCH($I1280,CONFIGURACOES!$B$37:$B$300,0)),"")</f>
        <v/>
      </c>
      <c r="L1280" s="20" t="n"/>
      <c r="M1280" s="20">
        <f>IFERROR(INDEX(CONFIGURACOES!$I$37:$I$300,MATCH($I1280,CONFIGURACOES!$B$37:$B$300,0)),"")</f>
        <v/>
      </c>
      <c r="N1280" s="21" t="n"/>
      <c r="O1280" s="21" t="n"/>
      <c r="P1280" s="21" t="n"/>
      <c r="Q1280" s="21" t="n"/>
      <c r="R1280" s="21">
        <f>IF($N1280="","",$N1280*IF($Q1280="",1,$Q1280)*IF($P1280="",1,$P1280)*IF($O1280="",1,$O1280))</f>
        <v/>
      </c>
      <c r="S1280" s="22">
        <f>IFERROR(INDEX(CONFIGURACOES!$J$37:$J$300,MATCH($I1280,CONFIGURACOES!$B$37:$B$300,0)),"")</f>
        <v/>
      </c>
      <c r="T1280" s="22">
        <f>IF(OR($R1280="",$S1280=""),"",$R1280*$S1280)</f>
        <v/>
      </c>
      <c r="U1280" s="20" t="n"/>
      <c r="V1280" s="20" t="n"/>
      <c r="W1280" s="20" t="n"/>
      <c r="X1280">
        <f>IF($A1280="","",$A1280&amp;"|"&amp;$C1280&amp;"|"&amp;$I1280)</f>
        <v/>
      </c>
      <c r="Y1280">
        <f>IF(AND($A1280=RELATORIO_MEDICAO!$C$5,$C1280=RELATORIO_MEDICAO!$F$5,$A1280&lt;&gt;""),COUNTIFS($A$3:$A1280,RELATORIO_MEDICAO!$C$5,$C$3:$C1280,RELATORIO_MEDICAO!$F$5),"")</f>
        <v/>
      </c>
      <c r="Z1280">
        <f>IF(OR($A1280="",PESQUISA!$C$4=""),0,IF(OR(ISNUMBER(SEARCH(PESQUISA!$C$4,$G1280)),ISNUMBER(SEARCH(PESQUISA!$C$4,$K1280)),ISNUMBER(SEARCH(PESQUISA!$C$4,$L1280))),1,0))</f>
        <v/>
      </c>
      <c r="AA1280">
        <f>IF($Z1280=1,SUM($Z$3:$Z1280),"")</f>
        <v/>
      </c>
      <c r="AB1280">
        <f>IF(OR($A1280="",PESQUISA!$C$50=""),0,IF(ISNUMBER(SEARCH(PESQUISA!$C$50,$I1280)),1,0))</f>
        <v/>
      </c>
      <c r="AC1280">
        <f>IF($AB1280=1,SUM($AB$3:$AB1280),"")</f>
        <v/>
      </c>
    </row>
    <row r="1281">
      <c r="A1281" s="20" t="n"/>
      <c r="B1281" s="20" t="n"/>
      <c r="C1281" s="20" t="n"/>
      <c r="D1281" s="20" t="n"/>
      <c r="E1281" s="20" t="n"/>
      <c r="F1281" s="20" t="n"/>
      <c r="G1281" s="20" t="n"/>
      <c r="H1281" s="20" t="n"/>
      <c r="I1281" s="20" t="n"/>
      <c r="J1281" s="20">
        <f>IFERROR(INDEX(CONFIGURACOES!$G$37:$G$300,MATCH($I1281,CONFIGURACOES!$B$37:$B$300,0)),"")</f>
        <v/>
      </c>
      <c r="K1281" s="20">
        <f>IFERROR(INDEX(CONFIGURACOES!$H$37:$H$300,MATCH($I1281,CONFIGURACOES!$B$37:$B$300,0)),"")</f>
        <v/>
      </c>
      <c r="L1281" s="20" t="n"/>
      <c r="M1281" s="20">
        <f>IFERROR(INDEX(CONFIGURACOES!$I$37:$I$300,MATCH($I1281,CONFIGURACOES!$B$37:$B$300,0)),"")</f>
        <v/>
      </c>
      <c r="N1281" s="21" t="n"/>
      <c r="O1281" s="21" t="n"/>
      <c r="P1281" s="21" t="n"/>
      <c r="Q1281" s="21" t="n"/>
      <c r="R1281" s="21">
        <f>IF($N1281="","",$N1281*IF($Q1281="",1,$Q1281)*IF($P1281="",1,$P1281)*IF($O1281="",1,$O1281))</f>
        <v/>
      </c>
      <c r="S1281" s="22">
        <f>IFERROR(INDEX(CONFIGURACOES!$J$37:$J$300,MATCH($I1281,CONFIGURACOES!$B$37:$B$300,0)),"")</f>
        <v/>
      </c>
      <c r="T1281" s="22">
        <f>IF(OR($R1281="",$S1281=""),"",$R1281*$S1281)</f>
        <v/>
      </c>
      <c r="U1281" s="20" t="n"/>
      <c r="V1281" s="20" t="n"/>
      <c r="W1281" s="20" t="n"/>
      <c r="X1281">
        <f>IF($A1281="","",$A1281&amp;"|"&amp;$C1281&amp;"|"&amp;$I1281)</f>
        <v/>
      </c>
      <c r="Y1281">
        <f>IF(AND($A1281=RELATORIO_MEDICAO!$C$5,$C1281=RELATORIO_MEDICAO!$F$5,$A1281&lt;&gt;""),COUNTIFS($A$3:$A1281,RELATORIO_MEDICAO!$C$5,$C$3:$C1281,RELATORIO_MEDICAO!$F$5),"")</f>
        <v/>
      </c>
      <c r="Z1281">
        <f>IF(OR($A1281="",PESQUISA!$C$4=""),0,IF(OR(ISNUMBER(SEARCH(PESQUISA!$C$4,$G1281)),ISNUMBER(SEARCH(PESQUISA!$C$4,$K1281)),ISNUMBER(SEARCH(PESQUISA!$C$4,$L1281))),1,0))</f>
        <v/>
      </c>
      <c r="AA1281">
        <f>IF($Z1281=1,SUM($Z$3:$Z1281),"")</f>
        <v/>
      </c>
      <c r="AB1281">
        <f>IF(OR($A1281="",PESQUISA!$C$50=""),0,IF(ISNUMBER(SEARCH(PESQUISA!$C$50,$I1281)),1,0))</f>
        <v/>
      </c>
      <c r="AC1281">
        <f>IF($AB1281=1,SUM($AB$3:$AB1281),"")</f>
        <v/>
      </c>
    </row>
    <row r="1282">
      <c r="A1282" s="20" t="n"/>
      <c r="B1282" s="20" t="n"/>
      <c r="C1282" s="20" t="n"/>
      <c r="D1282" s="20" t="n"/>
      <c r="E1282" s="20" t="n"/>
      <c r="F1282" s="20" t="n"/>
      <c r="G1282" s="20" t="n"/>
      <c r="H1282" s="20" t="n"/>
      <c r="I1282" s="20" t="n"/>
      <c r="J1282" s="20">
        <f>IFERROR(INDEX(CONFIGURACOES!$G$37:$G$300,MATCH($I1282,CONFIGURACOES!$B$37:$B$300,0)),"")</f>
        <v/>
      </c>
      <c r="K1282" s="20">
        <f>IFERROR(INDEX(CONFIGURACOES!$H$37:$H$300,MATCH($I1282,CONFIGURACOES!$B$37:$B$300,0)),"")</f>
        <v/>
      </c>
      <c r="L1282" s="20" t="n"/>
      <c r="M1282" s="20">
        <f>IFERROR(INDEX(CONFIGURACOES!$I$37:$I$300,MATCH($I1282,CONFIGURACOES!$B$37:$B$300,0)),"")</f>
        <v/>
      </c>
      <c r="N1282" s="21" t="n"/>
      <c r="O1282" s="21" t="n"/>
      <c r="P1282" s="21" t="n"/>
      <c r="Q1282" s="21" t="n"/>
      <c r="R1282" s="21">
        <f>IF($N1282="","",$N1282*IF($Q1282="",1,$Q1282)*IF($P1282="",1,$P1282)*IF($O1282="",1,$O1282))</f>
        <v/>
      </c>
      <c r="S1282" s="22">
        <f>IFERROR(INDEX(CONFIGURACOES!$J$37:$J$300,MATCH($I1282,CONFIGURACOES!$B$37:$B$300,0)),"")</f>
        <v/>
      </c>
      <c r="T1282" s="22">
        <f>IF(OR($R1282="",$S1282=""),"",$R1282*$S1282)</f>
        <v/>
      </c>
      <c r="U1282" s="20" t="n"/>
      <c r="V1282" s="20" t="n"/>
      <c r="W1282" s="20" t="n"/>
      <c r="X1282">
        <f>IF($A1282="","",$A1282&amp;"|"&amp;$C1282&amp;"|"&amp;$I1282)</f>
        <v/>
      </c>
      <c r="Y1282">
        <f>IF(AND($A1282=RELATORIO_MEDICAO!$C$5,$C1282=RELATORIO_MEDICAO!$F$5,$A1282&lt;&gt;""),COUNTIFS($A$3:$A1282,RELATORIO_MEDICAO!$C$5,$C$3:$C1282,RELATORIO_MEDICAO!$F$5),"")</f>
        <v/>
      </c>
      <c r="Z1282">
        <f>IF(OR($A1282="",PESQUISA!$C$4=""),0,IF(OR(ISNUMBER(SEARCH(PESQUISA!$C$4,$G1282)),ISNUMBER(SEARCH(PESQUISA!$C$4,$K1282)),ISNUMBER(SEARCH(PESQUISA!$C$4,$L1282))),1,0))</f>
        <v/>
      </c>
      <c r="AA1282">
        <f>IF($Z1282=1,SUM($Z$3:$Z1282),"")</f>
        <v/>
      </c>
      <c r="AB1282">
        <f>IF(OR($A1282="",PESQUISA!$C$50=""),0,IF(ISNUMBER(SEARCH(PESQUISA!$C$50,$I1282)),1,0))</f>
        <v/>
      </c>
      <c r="AC1282">
        <f>IF($AB1282=1,SUM($AB$3:$AB1282),"")</f>
        <v/>
      </c>
    </row>
    <row r="1283">
      <c r="A1283" s="20" t="n"/>
      <c r="B1283" s="20" t="n"/>
      <c r="C1283" s="20" t="n"/>
      <c r="D1283" s="20" t="n"/>
      <c r="E1283" s="20" t="n"/>
      <c r="F1283" s="20" t="n"/>
      <c r="G1283" s="20" t="n"/>
      <c r="H1283" s="20" t="n"/>
      <c r="I1283" s="20" t="n"/>
      <c r="J1283" s="20">
        <f>IFERROR(INDEX(CONFIGURACOES!$G$37:$G$300,MATCH($I1283,CONFIGURACOES!$B$37:$B$300,0)),"")</f>
        <v/>
      </c>
      <c r="K1283" s="20">
        <f>IFERROR(INDEX(CONFIGURACOES!$H$37:$H$300,MATCH($I1283,CONFIGURACOES!$B$37:$B$300,0)),"")</f>
        <v/>
      </c>
      <c r="L1283" s="20" t="n"/>
      <c r="M1283" s="20">
        <f>IFERROR(INDEX(CONFIGURACOES!$I$37:$I$300,MATCH($I1283,CONFIGURACOES!$B$37:$B$300,0)),"")</f>
        <v/>
      </c>
      <c r="N1283" s="21" t="n"/>
      <c r="O1283" s="21" t="n"/>
      <c r="P1283" s="21" t="n"/>
      <c r="Q1283" s="21" t="n"/>
      <c r="R1283" s="21">
        <f>IF($N1283="","",$N1283*IF($Q1283="",1,$Q1283)*IF($P1283="",1,$P1283)*IF($O1283="",1,$O1283))</f>
        <v/>
      </c>
      <c r="S1283" s="22">
        <f>IFERROR(INDEX(CONFIGURACOES!$J$37:$J$300,MATCH($I1283,CONFIGURACOES!$B$37:$B$300,0)),"")</f>
        <v/>
      </c>
      <c r="T1283" s="22">
        <f>IF(OR($R1283="",$S1283=""),"",$R1283*$S1283)</f>
        <v/>
      </c>
      <c r="U1283" s="20" t="n"/>
      <c r="V1283" s="20" t="n"/>
      <c r="W1283" s="20" t="n"/>
      <c r="X1283">
        <f>IF($A1283="","",$A1283&amp;"|"&amp;$C1283&amp;"|"&amp;$I1283)</f>
        <v/>
      </c>
      <c r="Y1283">
        <f>IF(AND($A1283=RELATORIO_MEDICAO!$C$5,$C1283=RELATORIO_MEDICAO!$F$5,$A1283&lt;&gt;""),COUNTIFS($A$3:$A1283,RELATORIO_MEDICAO!$C$5,$C$3:$C1283,RELATORIO_MEDICAO!$F$5),"")</f>
        <v/>
      </c>
      <c r="Z1283">
        <f>IF(OR($A1283="",PESQUISA!$C$4=""),0,IF(OR(ISNUMBER(SEARCH(PESQUISA!$C$4,$G1283)),ISNUMBER(SEARCH(PESQUISA!$C$4,$K1283)),ISNUMBER(SEARCH(PESQUISA!$C$4,$L1283))),1,0))</f>
        <v/>
      </c>
      <c r="AA1283">
        <f>IF($Z1283=1,SUM($Z$3:$Z1283),"")</f>
        <v/>
      </c>
      <c r="AB1283">
        <f>IF(OR($A1283="",PESQUISA!$C$50=""),0,IF(ISNUMBER(SEARCH(PESQUISA!$C$50,$I1283)),1,0))</f>
        <v/>
      </c>
      <c r="AC1283">
        <f>IF($AB1283=1,SUM($AB$3:$AB1283),"")</f>
        <v/>
      </c>
    </row>
    <row r="1284">
      <c r="A1284" s="20" t="n"/>
      <c r="B1284" s="20" t="n"/>
      <c r="C1284" s="20" t="n"/>
      <c r="D1284" s="20" t="n"/>
      <c r="E1284" s="20" t="n"/>
      <c r="F1284" s="20" t="n"/>
      <c r="G1284" s="20" t="n"/>
      <c r="H1284" s="20" t="n"/>
      <c r="I1284" s="20" t="n"/>
      <c r="J1284" s="20">
        <f>IFERROR(INDEX(CONFIGURACOES!$G$37:$G$300,MATCH($I1284,CONFIGURACOES!$B$37:$B$300,0)),"")</f>
        <v/>
      </c>
      <c r="K1284" s="20">
        <f>IFERROR(INDEX(CONFIGURACOES!$H$37:$H$300,MATCH($I1284,CONFIGURACOES!$B$37:$B$300,0)),"")</f>
        <v/>
      </c>
      <c r="L1284" s="20" t="n"/>
      <c r="M1284" s="20">
        <f>IFERROR(INDEX(CONFIGURACOES!$I$37:$I$300,MATCH($I1284,CONFIGURACOES!$B$37:$B$300,0)),"")</f>
        <v/>
      </c>
      <c r="N1284" s="21" t="n"/>
      <c r="O1284" s="21" t="n"/>
      <c r="P1284" s="21" t="n"/>
      <c r="Q1284" s="21" t="n"/>
      <c r="R1284" s="21">
        <f>IF($N1284="","",$N1284*IF($Q1284="",1,$Q1284)*IF($P1284="",1,$P1284)*IF($O1284="",1,$O1284))</f>
        <v/>
      </c>
      <c r="S1284" s="22">
        <f>IFERROR(INDEX(CONFIGURACOES!$J$37:$J$300,MATCH($I1284,CONFIGURACOES!$B$37:$B$300,0)),"")</f>
        <v/>
      </c>
      <c r="T1284" s="22">
        <f>IF(OR($R1284="",$S1284=""),"",$R1284*$S1284)</f>
        <v/>
      </c>
      <c r="U1284" s="20" t="n"/>
      <c r="V1284" s="20" t="n"/>
      <c r="W1284" s="20" t="n"/>
      <c r="X1284">
        <f>IF($A1284="","",$A1284&amp;"|"&amp;$C1284&amp;"|"&amp;$I1284)</f>
        <v/>
      </c>
      <c r="Y1284">
        <f>IF(AND($A1284=RELATORIO_MEDICAO!$C$5,$C1284=RELATORIO_MEDICAO!$F$5,$A1284&lt;&gt;""),COUNTIFS($A$3:$A1284,RELATORIO_MEDICAO!$C$5,$C$3:$C1284,RELATORIO_MEDICAO!$F$5),"")</f>
        <v/>
      </c>
      <c r="Z1284">
        <f>IF(OR($A1284="",PESQUISA!$C$4=""),0,IF(OR(ISNUMBER(SEARCH(PESQUISA!$C$4,$G1284)),ISNUMBER(SEARCH(PESQUISA!$C$4,$K1284)),ISNUMBER(SEARCH(PESQUISA!$C$4,$L1284))),1,0))</f>
        <v/>
      </c>
      <c r="AA1284">
        <f>IF($Z1284=1,SUM($Z$3:$Z1284),"")</f>
        <v/>
      </c>
      <c r="AB1284">
        <f>IF(OR($A1284="",PESQUISA!$C$50=""),0,IF(ISNUMBER(SEARCH(PESQUISA!$C$50,$I1284)),1,0))</f>
        <v/>
      </c>
      <c r="AC1284">
        <f>IF($AB1284=1,SUM($AB$3:$AB1284),"")</f>
        <v/>
      </c>
    </row>
    <row r="1285">
      <c r="A1285" s="20" t="n"/>
      <c r="B1285" s="20" t="n"/>
      <c r="C1285" s="20" t="n"/>
      <c r="D1285" s="20" t="n"/>
      <c r="E1285" s="20" t="n"/>
      <c r="F1285" s="20" t="n"/>
      <c r="G1285" s="20" t="n"/>
      <c r="H1285" s="20" t="n"/>
      <c r="I1285" s="20" t="n"/>
      <c r="J1285" s="20">
        <f>IFERROR(INDEX(CONFIGURACOES!$G$37:$G$300,MATCH($I1285,CONFIGURACOES!$B$37:$B$300,0)),"")</f>
        <v/>
      </c>
      <c r="K1285" s="20">
        <f>IFERROR(INDEX(CONFIGURACOES!$H$37:$H$300,MATCH($I1285,CONFIGURACOES!$B$37:$B$300,0)),"")</f>
        <v/>
      </c>
      <c r="L1285" s="20" t="n"/>
      <c r="M1285" s="20">
        <f>IFERROR(INDEX(CONFIGURACOES!$I$37:$I$300,MATCH($I1285,CONFIGURACOES!$B$37:$B$300,0)),"")</f>
        <v/>
      </c>
      <c r="N1285" s="21" t="n"/>
      <c r="O1285" s="21" t="n"/>
      <c r="P1285" s="21" t="n"/>
      <c r="Q1285" s="21" t="n"/>
      <c r="R1285" s="21">
        <f>IF($N1285="","",$N1285*IF($Q1285="",1,$Q1285)*IF($P1285="",1,$P1285)*IF($O1285="",1,$O1285))</f>
        <v/>
      </c>
      <c r="S1285" s="22">
        <f>IFERROR(INDEX(CONFIGURACOES!$J$37:$J$300,MATCH($I1285,CONFIGURACOES!$B$37:$B$300,0)),"")</f>
        <v/>
      </c>
      <c r="T1285" s="22">
        <f>IF(OR($R1285="",$S1285=""),"",$R1285*$S1285)</f>
        <v/>
      </c>
      <c r="U1285" s="20" t="n"/>
      <c r="V1285" s="20" t="n"/>
      <c r="W1285" s="20" t="n"/>
      <c r="X1285">
        <f>IF($A1285="","",$A1285&amp;"|"&amp;$C1285&amp;"|"&amp;$I1285)</f>
        <v/>
      </c>
      <c r="Y1285">
        <f>IF(AND($A1285=RELATORIO_MEDICAO!$C$5,$C1285=RELATORIO_MEDICAO!$F$5,$A1285&lt;&gt;""),COUNTIFS($A$3:$A1285,RELATORIO_MEDICAO!$C$5,$C$3:$C1285,RELATORIO_MEDICAO!$F$5),"")</f>
        <v/>
      </c>
      <c r="Z1285">
        <f>IF(OR($A1285="",PESQUISA!$C$4=""),0,IF(OR(ISNUMBER(SEARCH(PESQUISA!$C$4,$G1285)),ISNUMBER(SEARCH(PESQUISA!$C$4,$K1285)),ISNUMBER(SEARCH(PESQUISA!$C$4,$L1285))),1,0))</f>
        <v/>
      </c>
      <c r="AA1285">
        <f>IF($Z1285=1,SUM($Z$3:$Z1285),"")</f>
        <v/>
      </c>
      <c r="AB1285">
        <f>IF(OR($A1285="",PESQUISA!$C$50=""),0,IF(ISNUMBER(SEARCH(PESQUISA!$C$50,$I1285)),1,0))</f>
        <v/>
      </c>
      <c r="AC1285">
        <f>IF($AB1285=1,SUM($AB$3:$AB1285),"")</f>
        <v/>
      </c>
    </row>
    <row r="1286">
      <c r="A1286" s="20" t="n"/>
      <c r="B1286" s="20" t="n"/>
      <c r="C1286" s="20" t="n"/>
      <c r="D1286" s="20" t="n"/>
      <c r="E1286" s="20" t="n"/>
      <c r="F1286" s="20" t="n"/>
      <c r="G1286" s="20" t="n"/>
      <c r="H1286" s="20" t="n"/>
      <c r="I1286" s="20" t="n"/>
      <c r="J1286" s="20">
        <f>IFERROR(INDEX(CONFIGURACOES!$G$37:$G$300,MATCH($I1286,CONFIGURACOES!$B$37:$B$300,0)),"")</f>
        <v/>
      </c>
      <c r="K1286" s="20">
        <f>IFERROR(INDEX(CONFIGURACOES!$H$37:$H$300,MATCH($I1286,CONFIGURACOES!$B$37:$B$300,0)),"")</f>
        <v/>
      </c>
      <c r="L1286" s="20" t="n"/>
      <c r="M1286" s="20">
        <f>IFERROR(INDEX(CONFIGURACOES!$I$37:$I$300,MATCH($I1286,CONFIGURACOES!$B$37:$B$300,0)),"")</f>
        <v/>
      </c>
      <c r="N1286" s="21" t="n"/>
      <c r="O1286" s="21" t="n"/>
      <c r="P1286" s="21" t="n"/>
      <c r="Q1286" s="21" t="n"/>
      <c r="R1286" s="21">
        <f>IF($N1286="","",$N1286*IF($Q1286="",1,$Q1286)*IF($P1286="",1,$P1286)*IF($O1286="",1,$O1286))</f>
        <v/>
      </c>
      <c r="S1286" s="22">
        <f>IFERROR(INDEX(CONFIGURACOES!$J$37:$J$300,MATCH($I1286,CONFIGURACOES!$B$37:$B$300,0)),"")</f>
        <v/>
      </c>
      <c r="T1286" s="22">
        <f>IF(OR($R1286="",$S1286=""),"",$R1286*$S1286)</f>
        <v/>
      </c>
      <c r="U1286" s="20" t="n"/>
      <c r="V1286" s="20" t="n"/>
      <c r="W1286" s="20" t="n"/>
      <c r="X1286">
        <f>IF($A1286="","",$A1286&amp;"|"&amp;$C1286&amp;"|"&amp;$I1286)</f>
        <v/>
      </c>
      <c r="Y1286">
        <f>IF(AND($A1286=RELATORIO_MEDICAO!$C$5,$C1286=RELATORIO_MEDICAO!$F$5,$A1286&lt;&gt;""),COUNTIFS($A$3:$A1286,RELATORIO_MEDICAO!$C$5,$C$3:$C1286,RELATORIO_MEDICAO!$F$5),"")</f>
        <v/>
      </c>
      <c r="Z1286">
        <f>IF(OR($A1286="",PESQUISA!$C$4=""),0,IF(OR(ISNUMBER(SEARCH(PESQUISA!$C$4,$G1286)),ISNUMBER(SEARCH(PESQUISA!$C$4,$K1286)),ISNUMBER(SEARCH(PESQUISA!$C$4,$L1286))),1,0))</f>
        <v/>
      </c>
      <c r="AA1286">
        <f>IF($Z1286=1,SUM($Z$3:$Z1286),"")</f>
        <v/>
      </c>
      <c r="AB1286">
        <f>IF(OR($A1286="",PESQUISA!$C$50=""),0,IF(ISNUMBER(SEARCH(PESQUISA!$C$50,$I1286)),1,0))</f>
        <v/>
      </c>
      <c r="AC1286">
        <f>IF($AB1286=1,SUM($AB$3:$AB1286),"")</f>
        <v/>
      </c>
    </row>
    <row r="1287">
      <c r="A1287" s="20" t="n"/>
      <c r="B1287" s="20" t="n"/>
      <c r="C1287" s="20" t="n"/>
      <c r="D1287" s="20" t="n"/>
      <c r="E1287" s="20" t="n"/>
      <c r="F1287" s="20" t="n"/>
      <c r="G1287" s="20" t="n"/>
      <c r="H1287" s="20" t="n"/>
      <c r="I1287" s="20" t="n"/>
      <c r="J1287" s="20">
        <f>IFERROR(INDEX(CONFIGURACOES!$G$37:$G$300,MATCH($I1287,CONFIGURACOES!$B$37:$B$300,0)),"")</f>
        <v/>
      </c>
      <c r="K1287" s="20">
        <f>IFERROR(INDEX(CONFIGURACOES!$H$37:$H$300,MATCH($I1287,CONFIGURACOES!$B$37:$B$300,0)),"")</f>
        <v/>
      </c>
      <c r="L1287" s="20" t="n"/>
      <c r="M1287" s="20">
        <f>IFERROR(INDEX(CONFIGURACOES!$I$37:$I$300,MATCH($I1287,CONFIGURACOES!$B$37:$B$300,0)),"")</f>
        <v/>
      </c>
      <c r="N1287" s="21" t="n"/>
      <c r="O1287" s="21" t="n"/>
      <c r="P1287" s="21" t="n"/>
      <c r="Q1287" s="21" t="n"/>
      <c r="R1287" s="21">
        <f>IF($N1287="","",$N1287*IF($Q1287="",1,$Q1287)*IF($P1287="",1,$P1287)*IF($O1287="",1,$O1287))</f>
        <v/>
      </c>
      <c r="S1287" s="22">
        <f>IFERROR(INDEX(CONFIGURACOES!$J$37:$J$300,MATCH($I1287,CONFIGURACOES!$B$37:$B$300,0)),"")</f>
        <v/>
      </c>
      <c r="T1287" s="22">
        <f>IF(OR($R1287="",$S1287=""),"",$R1287*$S1287)</f>
        <v/>
      </c>
      <c r="U1287" s="20" t="n"/>
      <c r="V1287" s="20" t="n"/>
      <c r="W1287" s="20" t="n"/>
      <c r="X1287">
        <f>IF($A1287="","",$A1287&amp;"|"&amp;$C1287&amp;"|"&amp;$I1287)</f>
        <v/>
      </c>
      <c r="Y1287">
        <f>IF(AND($A1287=RELATORIO_MEDICAO!$C$5,$C1287=RELATORIO_MEDICAO!$F$5,$A1287&lt;&gt;""),COUNTIFS($A$3:$A1287,RELATORIO_MEDICAO!$C$5,$C$3:$C1287,RELATORIO_MEDICAO!$F$5),"")</f>
        <v/>
      </c>
      <c r="Z1287">
        <f>IF(OR($A1287="",PESQUISA!$C$4=""),0,IF(OR(ISNUMBER(SEARCH(PESQUISA!$C$4,$G1287)),ISNUMBER(SEARCH(PESQUISA!$C$4,$K1287)),ISNUMBER(SEARCH(PESQUISA!$C$4,$L1287))),1,0))</f>
        <v/>
      </c>
      <c r="AA1287">
        <f>IF($Z1287=1,SUM($Z$3:$Z1287),"")</f>
        <v/>
      </c>
      <c r="AB1287">
        <f>IF(OR($A1287="",PESQUISA!$C$50=""),0,IF(ISNUMBER(SEARCH(PESQUISA!$C$50,$I1287)),1,0))</f>
        <v/>
      </c>
      <c r="AC1287">
        <f>IF($AB1287=1,SUM($AB$3:$AB1287),"")</f>
        <v/>
      </c>
    </row>
    <row r="1288">
      <c r="A1288" s="20" t="n"/>
      <c r="B1288" s="20" t="n"/>
      <c r="C1288" s="20" t="n"/>
      <c r="D1288" s="20" t="n"/>
      <c r="E1288" s="20" t="n"/>
      <c r="F1288" s="20" t="n"/>
      <c r="G1288" s="20" t="n"/>
      <c r="H1288" s="20" t="n"/>
      <c r="I1288" s="20" t="n"/>
      <c r="J1288" s="20">
        <f>IFERROR(INDEX(CONFIGURACOES!$G$37:$G$300,MATCH($I1288,CONFIGURACOES!$B$37:$B$300,0)),"")</f>
        <v/>
      </c>
      <c r="K1288" s="20">
        <f>IFERROR(INDEX(CONFIGURACOES!$H$37:$H$300,MATCH($I1288,CONFIGURACOES!$B$37:$B$300,0)),"")</f>
        <v/>
      </c>
      <c r="L1288" s="20" t="n"/>
      <c r="M1288" s="20">
        <f>IFERROR(INDEX(CONFIGURACOES!$I$37:$I$300,MATCH($I1288,CONFIGURACOES!$B$37:$B$300,0)),"")</f>
        <v/>
      </c>
      <c r="N1288" s="21" t="n"/>
      <c r="O1288" s="21" t="n"/>
      <c r="P1288" s="21" t="n"/>
      <c r="Q1288" s="21" t="n"/>
      <c r="R1288" s="21">
        <f>IF($N1288="","",$N1288*IF($Q1288="",1,$Q1288)*IF($P1288="",1,$P1288)*IF($O1288="",1,$O1288))</f>
        <v/>
      </c>
      <c r="S1288" s="22">
        <f>IFERROR(INDEX(CONFIGURACOES!$J$37:$J$300,MATCH($I1288,CONFIGURACOES!$B$37:$B$300,0)),"")</f>
        <v/>
      </c>
      <c r="T1288" s="22">
        <f>IF(OR($R1288="",$S1288=""),"",$R1288*$S1288)</f>
        <v/>
      </c>
      <c r="U1288" s="20" t="n"/>
      <c r="V1288" s="20" t="n"/>
      <c r="W1288" s="20" t="n"/>
      <c r="X1288">
        <f>IF($A1288="","",$A1288&amp;"|"&amp;$C1288&amp;"|"&amp;$I1288)</f>
        <v/>
      </c>
      <c r="Y1288">
        <f>IF(AND($A1288=RELATORIO_MEDICAO!$C$5,$C1288=RELATORIO_MEDICAO!$F$5,$A1288&lt;&gt;""),COUNTIFS($A$3:$A1288,RELATORIO_MEDICAO!$C$5,$C$3:$C1288,RELATORIO_MEDICAO!$F$5),"")</f>
        <v/>
      </c>
      <c r="Z1288">
        <f>IF(OR($A1288="",PESQUISA!$C$4=""),0,IF(OR(ISNUMBER(SEARCH(PESQUISA!$C$4,$G1288)),ISNUMBER(SEARCH(PESQUISA!$C$4,$K1288)),ISNUMBER(SEARCH(PESQUISA!$C$4,$L1288))),1,0))</f>
        <v/>
      </c>
      <c r="AA1288">
        <f>IF($Z1288=1,SUM($Z$3:$Z1288),"")</f>
        <v/>
      </c>
      <c r="AB1288">
        <f>IF(OR($A1288="",PESQUISA!$C$50=""),0,IF(ISNUMBER(SEARCH(PESQUISA!$C$50,$I1288)),1,0))</f>
        <v/>
      </c>
      <c r="AC1288">
        <f>IF($AB1288=1,SUM($AB$3:$AB1288),"")</f>
        <v/>
      </c>
    </row>
    <row r="1289">
      <c r="A1289" s="20" t="n"/>
      <c r="B1289" s="20" t="n"/>
      <c r="C1289" s="20" t="n"/>
      <c r="D1289" s="20" t="n"/>
      <c r="E1289" s="20" t="n"/>
      <c r="F1289" s="20" t="n"/>
      <c r="G1289" s="20" t="n"/>
      <c r="H1289" s="20" t="n"/>
      <c r="I1289" s="20" t="n"/>
      <c r="J1289" s="20">
        <f>IFERROR(INDEX(CONFIGURACOES!$G$37:$G$300,MATCH($I1289,CONFIGURACOES!$B$37:$B$300,0)),"")</f>
        <v/>
      </c>
      <c r="K1289" s="20">
        <f>IFERROR(INDEX(CONFIGURACOES!$H$37:$H$300,MATCH($I1289,CONFIGURACOES!$B$37:$B$300,0)),"")</f>
        <v/>
      </c>
      <c r="L1289" s="20" t="n"/>
      <c r="M1289" s="20">
        <f>IFERROR(INDEX(CONFIGURACOES!$I$37:$I$300,MATCH($I1289,CONFIGURACOES!$B$37:$B$300,0)),"")</f>
        <v/>
      </c>
      <c r="N1289" s="21" t="n"/>
      <c r="O1289" s="21" t="n"/>
      <c r="P1289" s="21" t="n"/>
      <c r="Q1289" s="21" t="n"/>
      <c r="R1289" s="21">
        <f>IF($N1289="","",$N1289*IF($Q1289="",1,$Q1289)*IF($P1289="",1,$P1289)*IF($O1289="",1,$O1289))</f>
        <v/>
      </c>
      <c r="S1289" s="22">
        <f>IFERROR(INDEX(CONFIGURACOES!$J$37:$J$300,MATCH($I1289,CONFIGURACOES!$B$37:$B$300,0)),"")</f>
        <v/>
      </c>
      <c r="T1289" s="22">
        <f>IF(OR($R1289="",$S1289=""),"",$R1289*$S1289)</f>
        <v/>
      </c>
      <c r="U1289" s="20" t="n"/>
      <c r="V1289" s="20" t="n"/>
      <c r="W1289" s="20" t="n"/>
      <c r="X1289">
        <f>IF($A1289="","",$A1289&amp;"|"&amp;$C1289&amp;"|"&amp;$I1289)</f>
        <v/>
      </c>
      <c r="Y1289">
        <f>IF(AND($A1289=RELATORIO_MEDICAO!$C$5,$C1289=RELATORIO_MEDICAO!$F$5,$A1289&lt;&gt;""),COUNTIFS($A$3:$A1289,RELATORIO_MEDICAO!$C$5,$C$3:$C1289,RELATORIO_MEDICAO!$F$5),"")</f>
        <v/>
      </c>
      <c r="Z1289">
        <f>IF(OR($A1289="",PESQUISA!$C$4=""),0,IF(OR(ISNUMBER(SEARCH(PESQUISA!$C$4,$G1289)),ISNUMBER(SEARCH(PESQUISA!$C$4,$K1289)),ISNUMBER(SEARCH(PESQUISA!$C$4,$L1289))),1,0))</f>
        <v/>
      </c>
      <c r="AA1289">
        <f>IF($Z1289=1,SUM($Z$3:$Z1289),"")</f>
        <v/>
      </c>
      <c r="AB1289">
        <f>IF(OR($A1289="",PESQUISA!$C$50=""),0,IF(ISNUMBER(SEARCH(PESQUISA!$C$50,$I1289)),1,0))</f>
        <v/>
      </c>
      <c r="AC1289">
        <f>IF($AB1289=1,SUM($AB$3:$AB1289),"")</f>
        <v/>
      </c>
    </row>
    <row r="1290">
      <c r="A1290" s="20" t="n"/>
      <c r="B1290" s="20" t="n"/>
      <c r="C1290" s="20" t="n"/>
      <c r="D1290" s="20" t="n"/>
      <c r="E1290" s="20" t="n"/>
      <c r="F1290" s="20" t="n"/>
      <c r="G1290" s="20" t="n"/>
      <c r="H1290" s="20" t="n"/>
      <c r="I1290" s="20" t="n"/>
      <c r="J1290" s="20">
        <f>IFERROR(INDEX(CONFIGURACOES!$G$37:$G$300,MATCH($I1290,CONFIGURACOES!$B$37:$B$300,0)),"")</f>
        <v/>
      </c>
      <c r="K1290" s="20">
        <f>IFERROR(INDEX(CONFIGURACOES!$H$37:$H$300,MATCH($I1290,CONFIGURACOES!$B$37:$B$300,0)),"")</f>
        <v/>
      </c>
      <c r="L1290" s="20" t="n"/>
      <c r="M1290" s="20">
        <f>IFERROR(INDEX(CONFIGURACOES!$I$37:$I$300,MATCH($I1290,CONFIGURACOES!$B$37:$B$300,0)),"")</f>
        <v/>
      </c>
      <c r="N1290" s="21" t="n"/>
      <c r="O1290" s="21" t="n"/>
      <c r="P1290" s="21" t="n"/>
      <c r="Q1290" s="21" t="n"/>
      <c r="R1290" s="21">
        <f>IF($N1290="","",$N1290*IF($Q1290="",1,$Q1290)*IF($P1290="",1,$P1290)*IF($O1290="",1,$O1290))</f>
        <v/>
      </c>
      <c r="S1290" s="22">
        <f>IFERROR(INDEX(CONFIGURACOES!$J$37:$J$300,MATCH($I1290,CONFIGURACOES!$B$37:$B$300,0)),"")</f>
        <v/>
      </c>
      <c r="T1290" s="22">
        <f>IF(OR($R1290="",$S1290=""),"",$R1290*$S1290)</f>
        <v/>
      </c>
      <c r="U1290" s="20" t="n"/>
      <c r="V1290" s="20" t="n"/>
      <c r="W1290" s="20" t="n"/>
      <c r="X1290">
        <f>IF($A1290="","",$A1290&amp;"|"&amp;$C1290&amp;"|"&amp;$I1290)</f>
        <v/>
      </c>
      <c r="Y1290">
        <f>IF(AND($A1290=RELATORIO_MEDICAO!$C$5,$C1290=RELATORIO_MEDICAO!$F$5,$A1290&lt;&gt;""),COUNTIFS($A$3:$A1290,RELATORIO_MEDICAO!$C$5,$C$3:$C1290,RELATORIO_MEDICAO!$F$5),"")</f>
        <v/>
      </c>
      <c r="Z1290">
        <f>IF(OR($A1290="",PESQUISA!$C$4=""),0,IF(OR(ISNUMBER(SEARCH(PESQUISA!$C$4,$G1290)),ISNUMBER(SEARCH(PESQUISA!$C$4,$K1290)),ISNUMBER(SEARCH(PESQUISA!$C$4,$L1290))),1,0))</f>
        <v/>
      </c>
      <c r="AA1290">
        <f>IF($Z1290=1,SUM($Z$3:$Z1290),"")</f>
        <v/>
      </c>
      <c r="AB1290">
        <f>IF(OR($A1290="",PESQUISA!$C$50=""),0,IF(ISNUMBER(SEARCH(PESQUISA!$C$50,$I1290)),1,0))</f>
        <v/>
      </c>
      <c r="AC1290">
        <f>IF($AB1290=1,SUM($AB$3:$AB1290),"")</f>
        <v/>
      </c>
    </row>
    <row r="1291">
      <c r="A1291" s="20" t="n"/>
      <c r="B1291" s="20" t="n"/>
      <c r="C1291" s="20" t="n"/>
      <c r="D1291" s="20" t="n"/>
      <c r="E1291" s="20" t="n"/>
      <c r="F1291" s="20" t="n"/>
      <c r="G1291" s="20" t="n"/>
      <c r="H1291" s="20" t="n"/>
      <c r="I1291" s="20" t="n"/>
      <c r="J1291" s="20">
        <f>IFERROR(INDEX(CONFIGURACOES!$G$37:$G$300,MATCH($I1291,CONFIGURACOES!$B$37:$B$300,0)),"")</f>
        <v/>
      </c>
      <c r="K1291" s="20">
        <f>IFERROR(INDEX(CONFIGURACOES!$H$37:$H$300,MATCH($I1291,CONFIGURACOES!$B$37:$B$300,0)),"")</f>
        <v/>
      </c>
      <c r="L1291" s="20" t="n"/>
      <c r="M1291" s="20">
        <f>IFERROR(INDEX(CONFIGURACOES!$I$37:$I$300,MATCH($I1291,CONFIGURACOES!$B$37:$B$300,0)),"")</f>
        <v/>
      </c>
      <c r="N1291" s="21" t="n"/>
      <c r="O1291" s="21" t="n"/>
      <c r="P1291" s="21" t="n"/>
      <c r="Q1291" s="21" t="n"/>
      <c r="R1291" s="21">
        <f>IF($N1291="","",$N1291*IF($Q1291="",1,$Q1291)*IF($P1291="",1,$P1291)*IF($O1291="",1,$O1291))</f>
        <v/>
      </c>
      <c r="S1291" s="22">
        <f>IFERROR(INDEX(CONFIGURACOES!$J$37:$J$300,MATCH($I1291,CONFIGURACOES!$B$37:$B$300,0)),"")</f>
        <v/>
      </c>
      <c r="T1291" s="22">
        <f>IF(OR($R1291="",$S1291=""),"",$R1291*$S1291)</f>
        <v/>
      </c>
      <c r="U1291" s="20" t="n"/>
      <c r="V1291" s="20" t="n"/>
      <c r="W1291" s="20" t="n"/>
      <c r="X1291">
        <f>IF($A1291="","",$A1291&amp;"|"&amp;$C1291&amp;"|"&amp;$I1291)</f>
        <v/>
      </c>
      <c r="Y1291">
        <f>IF(AND($A1291=RELATORIO_MEDICAO!$C$5,$C1291=RELATORIO_MEDICAO!$F$5,$A1291&lt;&gt;""),COUNTIFS($A$3:$A1291,RELATORIO_MEDICAO!$C$5,$C$3:$C1291,RELATORIO_MEDICAO!$F$5),"")</f>
        <v/>
      </c>
      <c r="Z1291">
        <f>IF(OR($A1291="",PESQUISA!$C$4=""),0,IF(OR(ISNUMBER(SEARCH(PESQUISA!$C$4,$G1291)),ISNUMBER(SEARCH(PESQUISA!$C$4,$K1291)),ISNUMBER(SEARCH(PESQUISA!$C$4,$L1291))),1,0))</f>
        <v/>
      </c>
      <c r="AA1291">
        <f>IF($Z1291=1,SUM($Z$3:$Z1291),"")</f>
        <v/>
      </c>
      <c r="AB1291">
        <f>IF(OR($A1291="",PESQUISA!$C$50=""),0,IF(ISNUMBER(SEARCH(PESQUISA!$C$50,$I1291)),1,0))</f>
        <v/>
      </c>
      <c r="AC1291">
        <f>IF($AB1291=1,SUM($AB$3:$AB1291),"")</f>
        <v/>
      </c>
    </row>
    <row r="1292">
      <c r="A1292" s="20" t="n"/>
      <c r="B1292" s="20" t="n"/>
      <c r="C1292" s="20" t="n"/>
      <c r="D1292" s="20" t="n"/>
      <c r="E1292" s="20" t="n"/>
      <c r="F1292" s="20" t="n"/>
      <c r="G1292" s="20" t="n"/>
      <c r="H1292" s="20" t="n"/>
      <c r="I1292" s="20" t="n"/>
      <c r="J1292" s="20">
        <f>IFERROR(INDEX(CONFIGURACOES!$G$37:$G$300,MATCH($I1292,CONFIGURACOES!$B$37:$B$300,0)),"")</f>
        <v/>
      </c>
      <c r="K1292" s="20">
        <f>IFERROR(INDEX(CONFIGURACOES!$H$37:$H$300,MATCH($I1292,CONFIGURACOES!$B$37:$B$300,0)),"")</f>
        <v/>
      </c>
      <c r="L1292" s="20" t="n"/>
      <c r="M1292" s="20">
        <f>IFERROR(INDEX(CONFIGURACOES!$I$37:$I$300,MATCH($I1292,CONFIGURACOES!$B$37:$B$300,0)),"")</f>
        <v/>
      </c>
      <c r="N1292" s="21" t="n"/>
      <c r="O1292" s="21" t="n"/>
      <c r="P1292" s="21" t="n"/>
      <c r="Q1292" s="21" t="n"/>
      <c r="R1292" s="21">
        <f>IF($N1292="","",$N1292*IF($Q1292="",1,$Q1292)*IF($P1292="",1,$P1292)*IF($O1292="",1,$O1292))</f>
        <v/>
      </c>
      <c r="S1292" s="22">
        <f>IFERROR(INDEX(CONFIGURACOES!$J$37:$J$300,MATCH($I1292,CONFIGURACOES!$B$37:$B$300,0)),"")</f>
        <v/>
      </c>
      <c r="T1292" s="22">
        <f>IF(OR($R1292="",$S1292=""),"",$R1292*$S1292)</f>
        <v/>
      </c>
      <c r="U1292" s="20" t="n"/>
      <c r="V1292" s="20" t="n"/>
      <c r="W1292" s="20" t="n"/>
      <c r="X1292">
        <f>IF($A1292="","",$A1292&amp;"|"&amp;$C1292&amp;"|"&amp;$I1292)</f>
        <v/>
      </c>
      <c r="Y1292">
        <f>IF(AND($A1292=RELATORIO_MEDICAO!$C$5,$C1292=RELATORIO_MEDICAO!$F$5,$A1292&lt;&gt;""),COUNTIFS($A$3:$A1292,RELATORIO_MEDICAO!$C$5,$C$3:$C1292,RELATORIO_MEDICAO!$F$5),"")</f>
        <v/>
      </c>
      <c r="Z1292">
        <f>IF(OR($A1292="",PESQUISA!$C$4=""),0,IF(OR(ISNUMBER(SEARCH(PESQUISA!$C$4,$G1292)),ISNUMBER(SEARCH(PESQUISA!$C$4,$K1292)),ISNUMBER(SEARCH(PESQUISA!$C$4,$L1292))),1,0))</f>
        <v/>
      </c>
      <c r="AA1292">
        <f>IF($Z1292=1,SUM($Z$3:$Z1292),"")</f>
        <v/>
      </c>
      <c r="AB1292">
        <f>IF(OR($A1292="",PESQUISA!$C$50=""),0,IF(ISNUMBER(SEARCH(PESQUISA!$C$50,$I1292)),1,0))</f>
        <v/>
      </c>
      <c r="AC1292">
        <f>IF($AB1292=1,SUM($AB$3:$AB1292),"")</f>
        <v/>
      </c>
    </row>
    <row r="1293">
      <c r="A1293" s="20" t="n"/>
      <c r="B1293" s="20" t="n"/>
      <c r="C1293" s="20" t="n"/>
      <c r="D1293" s="20" t="n"/>
      <c r="E1293" s="20" t="n"/>
      <c r="F1293" s="20" t="n"/>
      <c r="G1293" s="20" t="n"/>
      <c r="H1293" s="20" t="n"/>
      <c r="I1293" s="20" t="n"/>
      <c r="J1293" s="20">
        <f>IFERROR(INDEX(CONFIGURACOES!$G$37:$G$300,MATCH($I1293,CONFIGURACOES!$B$37:$B$300,0)),"")</f>
        <v/>
      </c>
      <c r="K1293" s="20">
        <f>IFERROR(INDEX(CONFIGURACOES!$H$37:$H$300,MATCH($I1293,CONFIGURACOES!$B$37:$B$300,0)),"")</f>
        <v/>
      </c>
      <c r="L1293" s="20" t="n"/>
      <c r="M1293" s="20">
        <f>IFERROR(INDEX(CONFIGURACOES!$I$37:$I$300,MATCH($I1293,CONFIGURACOES!$B$37:$B$300,0)),"")</f>
        <v/>
      </c>
      <c r="N1293" s="21" t="n"/>
      <c r="O1293" s="21" t="n"/>
      <c r="P1293" s="21" t="n"/>
      <c r="Q1293" s="21" t="n"/>
      <c r="R1293" s="21">
        <f>IF($N1293="","",$N1293*IF($Q1293="",1,$Q1293)*IF($P1293="",1,$P1293)*IF($O1293="",1,$O1293))</f>
        <v/>
      </c>
      <c r="S1293" s="22">
        <f>IFERROR(INDEX(CONFIGURACOES!$J$37:$J$300,MATCH($I1293,CONFIGURACOES!$B$37:$B$300,0)),"")</f>
        <v/>
      </c>
      <c r="T1293" s="22">
        <f>IF(OR($R1293="",$S1293=""),"",$R1293*$S1293)</f>
        <v/>
      </c>
      <c r="U1293" s="20" t="n"/>
      <c r="V1293" s="20" t="n"/>
      <c r="W1293" s="20" t="n"/>
      <c r="X1293">
        <f>IF($A1293="","",$A1293&amp;"|"&amp;$C1293&amp;"|"&amp;$I1293)</f>
        <v/>
      </c>
      <c r="Y1293">
        <f>IF(AND($A1293=RELATORIO_MEDICAO!$C$5,$C1293=RELATORIO_MEDICAO!$F$5,$A1293&lt;&gt;""),COUNTIFS($A$3:$A1293,RELATORIO_MEDICAO!$C$5,$C$3:$C1293,RELATORIO_MEDICAO!$F$5),"")</f>
        <v/>
      </c>
      <c r="Z1293">
        <f>IF(OR($A1293="",PESQUISA!$C$4=""),0,IF(OR(ISNUMBER(SEARCH(PESQUISA!$C$4,$G1293)),ISNUMBER(SEARCH(PESQUISA!$C$4,$K1293)),ISNUMBER(SEARCH(PESQUISA!$C$4,$L1293))),1,0))</f>
        <v/>
      </c>
      <c r="AA1293">
        <f>IF($Z1293=1,SUM($Z$3:$Z1293),"")</f>
        <v/>
      </c>
      <c r="AB1293">
        <f>IF(OR($A1293="",PESQUISA!$C$50=""),0,IF(ISNUMBER(SEARCH(PESQUISA!$C$50,$I1293)),1,0))</f>
        <v/>
      </c>
      <c r="AC1293">
        <f>IF($AB1293=1,SUM($AB$3:$AB1293),"")</f>
        <v/>
      </c>
    </row>
    <row r="1294">
      <c r="A1294" s="20" t="n"/>
      <c r="B1294" s="20" t="n"/>
      <c r="C1294" s="20" t="n"/>
      <c r="D1294" s="20" t="n"/>
      <c r="E1294" s="20" t="n"/>
      <c r="F1294" s="20" t="n"/>
      <c r="G1294" s="20" t="n"/>
      <c r="H1294" s="20" t="n"/>
      <c r="I1294" s="20" t="n"/>
      <c r="J1294" s="20">
        <f>IFERROR(INDEX(CONFIGURACOES!$G$37:$G$300,MATCH($I1294,CONFIGURACOES!$B$37:$B$300,0)),"")</f>
        <v/>
      </c>
      <c r="K1294" s="20">
        <f>IFERROR(INDEX(CONFIGURACOES!$H$37:$H$300,MATCH($I1294,CONFIGURACOES!$B$37:$B$300,0)),"")</f>
        <v/>
      </c>
      <c r="L1294" s="20" t="n"/>
      <c r="M1294" s="20">
        <f>IFERROR(INDEX(CONFIGURACOES!$I$37:$I$300,MATCH($I1294,CONFIGURACOES!$B$37:$B$300,0)),"")</f>
        <v/>
      </c>
      <c r="N1294" s="21" t="n"/>
      <c r="O1294" s="21" t="n"/>
      <c r="P1294" s="21" t="n"/>
      <c r="Q1294" s="21" t="n"/>
      <c r="R1294" s="21">
        <f>IF($N1294="","",$N1294*IF($Q1294="",1,$Q1294)*IF($P1294="",1,$P1294)*IF($O1294="",1,$O1294))</f>
        <v/>
      </c>
      <c r="S1294" s="22">
        <f>IFERROR(INDEX(CONFIGURACOES!$J$37:$J$300,MATCH($I1294,CONFIGURACOES!$B$37:$B$300,0)),"")</f>
        <v/>
      </c>
      <c r="T1294" s="22">
        <f>IF(OR($R1294="",$S1294=""),"",$R1294*$S1294)</f>
        <v/>
      </c>
      <c r="U1294" s="20" t="n"/>
      <c r="V1294" s="20" t="n"/>
      <c r="W1294" s="20" t="n"/>
      <c r="X1294">
        <f>IF($A1294="","",$A1294&amp;"|"&amp;$C1294&amp;"|"&amp;$I1294)</f>
        <v/>
      </c>
      <c r="Y1294">
        <f>IF(AND($A1294=RELATORIO_MEDICAO!$C$5,$C1294=RELATORIO_MEDICAO!$F$5,$A1294&lt;&gt;""),COUNTIFS($A$3:$A1294,RELATORIO_MEDICAO!$C$5,$C$3:$C1294,RELATORIO_MEDICAO!$F$5),"")</f>
        <v/>
      </c>
      <c r="Z1294">
        <f>IF(OR($A1294="",PESQUISA!$C$4=""),0,IF(OR(ISNUMBER(SEARCH(PESQUISA!$C$4,$G1294)),ISNUMBER(SEARCH(PESQUISA!$C$4,$K1294)),ISNUMBER(SEARCH(PESQUISA!$C$4,$L1294))),1,0))</f>
        <v/>
      </c>
      <c r="AA1294">
        <f>IF($Z1294=1,SUM($Z$3:$Z1294),"")</f>
        <v/>
      </c>
      <c r="AB1294">
        <f>IF(OR($A1294="",PESQUISA!$C$50=""),0,IF(ISNUMBER(SEARCH(PESQUISA!$C$50,$I1294)),1,0))</f>
        <v/>
      </c>
      <c r="AC1294">
        <f>IF($AB1294=1,SUM($AB$3:$AB1294),"")</f>
        <v/>
      </c>
    </row>
    <row r="1295">
      <c r="A1295" s="20" t="n"/>
      <c r="B1295" s="20" t="n"/>
      <c r="C1295" s="20" t="n"/>
      <c r="D1295" s="20" t="n"/>
      <c r="E1295" s="20" t="n"/>
      <c r="F1295" s="20" t="n"/>
      <c r="G1295" s="20" t="n"/>
      <c r="H1295" s="20" t="n"/>
      <c r="I1295" s="20" t="n"/>
      <c r="J1295" s="20">
        <f>IFERROR(INDEX(CONFIGURACOES!$G$37:$G$300,MATCH($I1295,CONFIGURACOES!$B$37:$B$300,0)),"")</f>
        <v/>
      </c>
      <c r="K1295" s="20">
        <f>IFERROR(INDEX(CONFIGURACOES!$H$37:$H$300,MATCH($I1295,CONFIGURACOES!$B$37:$B$300,0)),"")</f>
        <v/>
      </c>
      <c r="L1295" s="20" t="n"/>
      <c r="M1295" s="20">
        <f>IFERROR(INDEX(CONFIGURACOES!$I$37:$I$300,MATCH($I1295,CONFIGURACOES!$B$37:$B$300,0)),"")</f>
        <v/>
      </c>
      <c r="N1295" s="21" t="n"/>
      <c r="O1295" s="21" t="n"/>
      <c r="P1295" s="21" t="n"/>
      <c r="Q1295" s="21" t="n"/>
      <c r="R1295" s="21">
        <f>IF($N1295="","",$N1295*IF($Q1295="",1,$Q1295)*IF($P1295="",1,$P1295)*IF($O1295="",1,$O1295))</f>
        <v/>
      </c>
      <c r="S1295" s="22">
        <f>IFERROR(INDEX(CONFIGURACOES!$J$37:$J$300,MATCH($I1295,CONFIGURACOES!$B$37:$B$300,0)),"")</f>
        <v/>
      </c>
      <c r="T1295" s="22">
        <f>IF(OR($R1295="",$S1295=""),"",$R1295*$S1295)</f>
        <v/>
      </c>
      <c r="U1295" s="20" t="n"/>
      <c r="V1295" s="20" t="n"/>
      <c r="W1295" s="20" t="n"/>
      <c r="X1295">
        <f>IF($A1295="","",$A1295&amp;"|"&amp;$C1295&amp;"|"&amp;$I1295)</f>
        <v/>
      </c>
      <c r="Y1295">
        <f>IF(AND($A1295=RELATORIO_MEDICAO!$C$5,$C1295=RELATORIO_MEDICAO!$F$5,$A1295&lt;&gt;""),COUNTIFS($A$3:$A1295,RELATORIO_MEDICAO!$C$5,$C$3:$C1295,RELATORIO_MEDICAO!$F$5),"")</f>
        <v/>
      </c>
      <c r="Z1295">
        <f>IF(OR($A1295="",PESQUISA!$C$4=""),0,IF(OR(ISNUMBER(SEARCH(PESQUISA!$C$4,$G1295)),ISNUMBER(SEARCH(PESQUISA!$C$4,$K1295)),ISNUMBER(SEARCH(PESQUISA!$C$4,$L1295))),1,0))</f>
        <v/>
      </c>
      <c r="AA1295">
        <f>IF($Z1295=1,SUM($Z$3:$Z1295),"")</f>
        <v/>
      </c>
      <c r="AB1295">
        <f>IF(OR($A1295="",PESQUISA!$C$50=""),0,IF(ISNUMBER(SEARCH(PESQUISA!$C$50,$I1295)),1,0))</f>
        <v/>
      </c>
      <c r="AC1295">
        <f>IF($AB1295=1,SUM($AB$3:$AB1295),"")</f>
        <v/>
      </c>
    </row>
    <row r="1296">
      <c r="A1296" s="20" t="n"/>
      <c r="B1296" s="20" t="n"/>
      <c r="C1296" s="20" t="n"/>
      <c r="D1296" s="20" t="n"/>
      <c r="E1296" s="20" t="n"/>
      <c r="F1296" s="20" t="n"/>
      <c r="G1296" s="20" t="n"/>
      <c r="H1296" s="20" t="n"/>
      <c r="I1296" s="20" t="n"/>
      <c r="J1296" s="20">
        <f>IFERROR(INDEX(CONFIGURACOES!$G$37:$G$300,MATCH($I1296,CONFIGURACOES!$B$37:$B$300,0)),"")</f>
        <v/>
      </c>
      <c r="K1296" s="20">
        <f>IFERROR(INDEX(CONFIGURACOES!$H$37:$H$300,MATCH($I1296,CONFIGURACOES!$B$37:$B$300,0)),"")</f>
        <v/>
      </c>
      <c r="L1296" s="20" t="n"/>
      <c r="M1296" s="20">
        <f>IFERROR(INDEX(CONFIGURACOES!$I$37:$I$300,MATCH($I1296,CONFIGURACOES!$B$37:$B$300,0)),"")</f>
        <v/>
      </c>
      <c r="N1296" s="21" t="n"/>
      <c r="O1296" s="21" t="n"/>
      <c r="P1296" s="21" t="n"/>
      <c r="Q1296" s="21" t="n"/>
      <c r="R1296" s="21">
        <f>IF($N1296="","",$N1296*IF($Q1296="",1,$Q1296)*IF($P1296="",1,$P1296)*IF($O1296="",1,$O1296))</f>
        <v/>
      </c>
      <c r="S1296" s="22">
        <f>IFERROR(INDEX(CONFIGURACOES!$J$37:$J$300,MATCH($I1296,CONFIGURACOES!$B$37:$B$300,0)),"")</f>
        <v/>
      </c>
      <c r="T1296" s="22">
        <f>IF(OR($R1296="",$S1296=""),"",$R1296*$S1296)</f>
        <v/>
      </c>
      <c r="U1296" s="20" t="n"/>
      <c r="V1296" s="20" t="n"/>
      <c r="W1296" s="20" t="n"/>
      <c r="X1296">
        <f>IF($A1296="","",$A1296&amp;"|"&amp;$C1296&amp;"|"&amp;$I1296)</f>
        <v/>
      </c>
      <c r="Y1296">
        <f>IF(AND($A1296=RELATORIO_MEDICAO!$C$5,$C1296=RELATORIO_MEDICAO!$F$5,$A1296&lt;&gt;""),COUNTIFS($A$3:$A1296,RELATORIO_MEDICAO!$C$5,$C$3:$C1296,RELATORIO_MEDICAO!$F$5),"")</f>
        <v/>
      </c>
      <c r="Z1296">
        <f>IF(OR($A1296="",PESQUISA!$C$4=""),0,IF(OR(ISNUMBER(SEARCH(PESQUISA!$C$4,$G1296)),ISNUMBER(SEARCH(PESQUISA!$C$4,$K1296)),ISNUMBER(SEARCH(PESQUISA!$C$4,$L1296))),1,0))</f>
        <v/>
      </c>
      <c r="AA1296">
        <f>IF($Z1296=1,SUM($Z$3:$Z1296),"")</f>
        <v/>
      </c>
      <c r="AB1296">
        <f>IF(OR($A1296="",PESQUISA!$C$50=""),0,IF(ISNUMBER(SEARCH(PESQUISA!$C$50,$I1296)),1,0))</f>
        <v/>
      </c>
      <c r="AC1296">
        <f>IF($AB1296=1,SUM($AB$3:$AB1296),"")</f>
        <v/>
      </c>
    </row>
    <row r="1297">
      <c r="A1297" s="20" t="n"/>
      <c r="B1297" s="20" t="n"/>
      <c r="C1297" s="20" t="n"/>
      <c r="D1297" s="20" t="n"/>
      <c r="E1297" s="20" t="n"/>
      <c r="F1297" s="20" t="n"/>
      <c r="G1297" s="20" t="n"/>
      <c r="H1297" s="20" t="n"/>
      <c r="I1297" s="20" t="n"/>
      <c r="J1297" s="20">
        <f>IFERROR(INDEX(CONFIGURACOES!$G$37:$G$300,MATCH($I1297,CONFIGURACOES!$B$37:$B$300,0)),"")</f>
        <v/>
      </c>
      <c r="K1297" s="20">
        <f>IFERROR(INDEX(CONFIGURACOES!$H$37:$H$300,MATCH($I1297,CONFIGURACOES!$B$37:$B$300,0)),"")</f>
        <v/>
      </c>
      <c r="L1297" s="20" t="n"/>
      <c r="M1297" s="20">
        <f>IFERROR(INDEX(CONFIGURACOES!$I$37:$I$300,MATCH($I1297,CONFIGURACOES!$B$37:$B$300,0)),"")</f>
        <v/>
      </c>
      <c r="N1297" s="21" t="n"/>
      <c r="O1297" s="21" t="n"/>
      <c r="P1297" s="21" t="n"/>
      <c r="Q1297" s="21" t="n"/>
      <c r="R1297" s="21">
        <f>IF($N1297="","",$N1297*IF($Q1297="",1,$Q1297)*IF($P1297="",1,$P1297)*IF($O1297="",1,$O1297))</f>
        <v/>
      </c>
      <c r="S1297" s="22">
        <f>IFERROR(INDEX(CONFIGURACOES!$J$37:$J$300,MATCH($I1297,CONFIGURACOES!$B$37:$B$300,0)),"")</f>
        <v/>
      </c>
      <c r="T1297" s="22">
        <f>IF(OR($R1297="",$S1297=""),"",$R1297*$S1297)</f>
        <v/>
      </c>
      <c r="U1297" s="20" t="n"/>
      <c r="V1297" s="20" t="n"/>
      <c r="W1297" s="20" t="n"/>
      <c r="X1297">
        <f>IF($A1297="","",$A1297&amp;"|"&amp;$C1297&amp;"|"&amp;$I1297)</f>
        <v/>
      </c>
      <c r="Y1297">
        <f>IF(AND($A1297=RELATORIO_MEDICAO!$C$5,$C1297=RELATORIO_MEDICAO!$F$5,$A1297&lt;&gt;""),COUNTIFS($A$3:$A1297,RELATORIO_MEDICAO!$C$5,$C$3:$C1297,RELATORIO_MEDICAO!$F$5),"")</f>
        <v/>
      </c>
      <c r="Z1297">
        <f>IF(OR($A1297="",PESQUISA!$C$4=""),0,IF(OR(ISNUMBER(SEARCH(PESQUISA!$C$4,$G1297)),ISNUMBER(SEARCH(PESQUISA!$C$4,$K1297)),ISNUMBER(SEARCH(PESQUISA!$C$4,$L1297))),1,0))</f>
        <v/>
      </c>
      <c r="AA1297">
        <f>IF($Z1297=1,SUM($Z$3:$Z1297),"")</f>
        <v/>
      </c>
      <c r="AB1297">
        <f>IF(OR($A1297="",PESQUISA!$C$50=""),0,IF(ISNUMBER(SEARCH(PESQUISA!$C$50,$I1297)),1,0))</f>
        <v/>
      </c>
      <c r="AC1297">
        <f>IF($AB1297=1,SUM($AB$3:$AB1297),"")</f>
        <v/>
      </c>
    </row>
    <row r="1298">
      <c r="A1298" s="20" t="n"/>
      <c r="B1298" s="20" t="n"/>
      <c r="C1298" s="20" t="n"/>
      <c r="D1298" s="20" t="n"/>
      <c r="E1298" s="20" t="n"/>
      <c r="F1298" s="20" t="n"/>
      <c r="G1298" s="20" t="n"/>
      <c r="H1298" s="20" t="n"/>
      <c r="I1298" s="20" t="n"/>
      <c r="J1298" s="20">
        <f>IFERROR(INDEX(CONFIGURACOES!$G$37:$G$300,MATCH($I1298,CONFIGURACOES!$B$37:$B$300,0)),"")</f>
        <v/>
      </c>
      <c r="K1298" s="20">
        <f>IFERROR(INDEX(CONFIGURACOES!$H$37:$H$300,MATCH($I1298,CONFIGURACOES!$B$37:$B$300,0)),"")</f>
        <v/>
      </c>
      <c r="L1298" s="20" t="n"/>
      <c r="M1298" s="20">
        <f>IFERROR(INDEX(CONFIGURACOES!$I$37:$I$300,MATCH($I1298,CONFIGURACOES!$B$37:$B$300,0)),"")</f>
        <v/>
      </c>
      <c r="N1298" s="21" t="n"/>
      <c r="O1298" s="21" t="n"/>
      <c r="P1298" s="21" t="n"/>
      <c r="Q1298" s="21" t="n"/>
      <c r="R1298" s="21">
        <f>IF($N1298="","",$N1298*IF($Q1298="",1,$Q1298)*IF($P1298="",1,$P1298)*IF($O1298="",1,$O1298))</f>
        <v/>
      </c>
      <c r="S1298" s="22">
        <f>IFERROR(INDEX(CONFIGURACOES!$J$37:$J$300,MATCH($I1298,CONFIGURACOES!$B$37:$B$300,0)),"")</f>
        <v/>
      </c>
      <c r="T1298" s="22">
        <f>IF(OR($R1298="",$S1298=""),"",$R1298*$S1298)</f>
        <v/>
      </c>
      <c r="U1298" s="20" t="n"/>
      <c r="V1298" s="20" t="n"/>
      <c r="W1298" s="20" t="n"/>
      <c r="X1298">
        <f>IF($A1298="","",$A1298&amp;"|"&amp;$C1298&amp;"|"&amp;$I1298)</f>
        <v/>
      </c>
      <c r="Y1298">
        <f>IF(AND($A1298=RELATORIO_MEDICAO!$C$5,$C1298=RELATORIO_MEDICAO!$F$5,$A1298&lt;&gt;""),COUNTIFS($A$3:$A1298,RELATORIO_MEDICAO!$C$5,$C$3:$C1298,RELATORIO_MEDICAO!$F$5),"")</f>
        <v/>
      </c>
      <c r="Z1298">
        <f>IF(OR($A1298="",PESQUISA!$C$4=""),0,IF(OR(ISNUMBER(SEARCH(PESQUISA!$C$4,$G1298)),ISNUMBER(SEARCH(PESQUISA!$C$4,$K1298)),ISNUMBER(SEARCH(PESQUISA!$C$4,$L1298))),1,0))</f>
        <v/>
      </c>
      <c r="AA1298">
        <f>IF($Z1298=1,SUM($Z$3:$Z1298),"")</f>
        <v/>
      </c>
      <c r="AB1298">
        <f>IF(OR($A1298="",PESQUISA!$C$50=""),0,IF(ISNUMBER(SEARCH(PESQUISA!$C$50,$I1298)),1,0))</f>
        <v/>
      </c>
      <c r="AC1298">
        <f>IF($AB1298=1,SUM($AB$3:$AB1298),"")</f>
        <v/>
      </c>
    </row>
    <row r="1299">
      <c r="A1299" s="20" t="n"/>
      <c r="B1299" s="20" t="n"/>
      <c r="C1299" s="20" t="n"/>
      <c r="D1299" s="20" t="n"/>
      <c r="E1299" s="20" t="n"/>
      <c r="F1299" s="20" t="n"/>
      <c r="G1299" s="20" t="n"/>
      <c r="H1299" s="20" t="n"/>
      <c r="I1299" s="20" t="n"/>
      <c r="J1299" s="20">
        <f>IFERROR(INDEX(CONFIGURACOES!$G$37:$G$300,MATCH($I1299,CONFIGURACOES!$B$37:$B$300,0)),"")</f>
        <v/>
      </c>
      <c r="K1299" s="20">
        <f>IFERROR(INDEX(CONFIGURACOES!$H$37:$H$300,MATCH($I1299,CONFIGURACOES!$B$37:$B$300,0)),"")</f>
        <v/>
      </c>
      <c r="L1299" s="20" t="n"/>
      <c r="M1299" s="20">
        <f>IFERROR(INDEX(CONFIGURACOES!$I$37:$I$300,MATCH($I1299,CONFIGURACOES!$B$37:$B$300,0)),"")</f>
        <v/>
      </c>
      <c r="N1299" s="21" t="n"/>
      <c r="O1299" s="21" t="n"/>
      <c r="P1299" s="21" t="n"/>
      <c r="Q1299" s="21" t="n"/>
      <c r="R1299" s="21">
        <f>IF($N1299="","",$N1299*IF($Q1299="",1,$Q1299)*IF($P1299="",1,$P1299)*IF($O1299="",1,$O1299))</f>
        <v/>
      </c>
      <c r="S1299" s="22">
        <f>IFERROR(INDEX(CONFIGURACOES!$J$37:$J$300,MATCH($I1299,CONFIGURACOES!$B$37:$B$300,0)),"")</f>
        <v/>
      </c>
      <c r="T1299" s="22">
        <f>IF(OR($R1299="",$S1299=""),"",$R1299*$S1299)</f>
        <v/>
      </c>
      <c r="U1299" s="20" t="n"/>
      <c r="V1299" s="20" t="n"/>
      <c r="W1299" s="20" t="n"/>
      <c r="X1299">
        <f>IF($A1299="","",$A1299&amp;"|"&amp;$C1299&amp;"|"&amp;$I1299)</f>
        <v/>
      </c>
      <c r="Y1299">
        <f>IF(AND($A1299=RELATORIO_MEDICAO!$C$5,$C1299=RELATORIO_MEDICAO!$F$5,$A1299&lt;&gt;""),COUNTIFS($A$3:$A1299,RELATORIO_MEDICAO!$C$5,$C$3:$C1299,RELATORIO_MEDICAO!$F$5),"")</f>
        <v/>
      </c>
      <c r="Z1299">
        <f>IF(OR($A1299="",PESQUISA!$C$4=""),0,IF(OR(ISNUMBER(SEARCH(PESQUISA!$C$4,$G1299)),ISNUMBER(SEARCH(PESQUISA!$C$4,$K1299)),ISNUMBER(SEARCH(PESQUISA!$C$4,$L1299))),1,0))</f>
        <v/>
      </c>
      <c r="AA1299">
        <f>IF($Z1299=1,SUM($Z$3:$Z1299),"")</f>
        <v/>
      </c>
      <c r="AB1299">
        <f>IF(OR($A1299="",PESQUISA!$C$50=""),0,IF(ISNUMBER(SEARCH(PESQUISA!$C$50,$I1299)),1,0))</f>
        <v/>
      </c>
      <c r="AC1299">
        <f>IF($AB1299=1,SUM($AB$3:$AB1299),"")</f>
        <v/>
      </c>
    </row>
    <row r="1300">
      <c r="A1300" s="20" t="n"/>
      <c r="B1300" s="20" t="n"/>
      <c r="C1300" s="20" t="n"/>
      <c r="D1300" s="20" t="n"/>
      <c r="E1300" s="20" t="n"/>
      <c r="F1300" s="20" t="n"/>
      <c r="G1300" s="20" t="n"/>
      <c r="H1300" s="20" t="n"/>
      <c r="I1300" s="20" t="n"/>
      <c r="J1300" s="20">
        <f>IFERROR(INDEX(CONFIGURACOES!$G$37:$G$300,MATCH($I1300,CONFIGURACOES!$B$37:$B$300,0)),"")</f>
        <v/>
      </c>
      <c r="K1300" s="20">
        <f>IFERROR(INDEX(CONFIGURACOES!$H$37:$H$300,MATCH($I1300,CONFIGURACOES!$B$37:$B$300,0)),"")</f>
        <v/>
      </c>
      <c r="L1300" s="20" t="n"/>
      <c r="M1300" s="20">
        <f>IFERROR(INDEX(CONFIGURACOES!$I$37:$I$300,MATCH($I1300,CONFIGURACOES!$B$37:$B$300,0)),"")</f>
        <v/>
      </c>
      <c r="N1300" s="21" t="n"/>
      <c r="O1300" s="21" t="n"/>
      <c r="P1300" s="21" t="n"/>
      <c r="Q1300" s="21" t="n"/>
      <c r="R1300" s="21">
        <f>IF($N1300="","",$N1300*IF($Q1300="",1,$Q1300)*IF($P1300="",1,$P1300)*IF($O1300="",1,$O1300))</f>
        <v/>
      </c>
      <c r="S1300" s="22">
        <f>IFERROR(INDEX(CONFIGURACOES!$J$37:$J$300,MATCH($I1300,CONFIGURACOES!$B$37:$B$300,0)),"")</f>
        <v/>
      </c>
      <c r="T1300" s="22">
        <f>IF(OR($R1300="",$S1300=""),"",$R1300*$S1300)</f>
        <v/>
      </c>
      <c r="U1300" s="20" t="n"/>
      <c r="V1300" s="20" t="n"/>
      <c r="W1300" s="20" t="n"/>
      <c r="X1300">
        <f>IF($A1300="","",$A1300&amp;"|"&amp;$C1300&amp;"|"&amp;$I1300)</f>
        <v/>
      </c>
      <c r="Y1300">
        <f>IF(AND($A1300=RELATORIO_MEDICAO!$C$5,$C1300=RELATORIO_MEDICAO!$F$5,$A1300&lt;&gt;""),COUNTIFS($A$3:$A1300,RELATORIO_MEDICAO!$C$5,$C$3:$C1300,RELATORIO_MEDICAO!$F$5),"")</f>
        <v/>
      </c>
      <c r="Z1300">
        <f>IF(OR($A1300="",PESQUISA!$C$4=""),0,IF(OR(ISNUMBER(SEARCH(PESQUISA!$C$4,$G1300)),ISNUMBER(SEARCH(PESQUISA!$C$4,$K1300)),ISNUMBER(SEARCH(PESQUISA!$C$4,$L1300))),1,0))</f>
        <v/>
      </c>
      <c r="AA1300">
        <f>IF($Z1300=1,SUM($Z$3:$Z1300),"")</f>
        <v/>
      </c>
      <c r="AB1300">
        <f>IF(OR($A1300="",PESQUISA!$C$50=""),0,IF(ISNUMBER(SEARCH(PESQUISA!$C$50,$I1300)),1,0))</f>
        <v/>
      </c>
      <c r="AC1300">
        <f>IF($AB1300=1,SUM($AB$3:$AB1300),"")</f>
        <v/>
      </c>
    </row>
    <row r="1301">
      <c r="A1301" s="20" t="n"/>
      <c r="B1301" s="20" t="n"/>
      <c r="C1301" s="20" t="n"/>
      <c r="D1301" s="20" t="n"/>
      <c r="E1301" s="20" t="n"/>
      <c r="F1301" s="20" t="n"/>
      <c r="G1301" s="20" t="n"/>
      <c r="H1301" s="20" t="n"/>
      <c r="I1301" s="20" t="n"/>
      <c r="J1301" s="20">
        <f>IFERROR(INDEX(CONFIGURACOES!$G$37:$G$300,MATCH($I1301,CONFIGURACOES!$B$37:$B$300,0)),"")</f>
        <v/>
      </c>
      <c r="K1301" s="20">
        <f>IFERROR(INDEX(CONFIGURACOES!$H$37:$H$300,MATCH($I1301,CONFIGURACOES!$B$37:$B$300,0)),"")</f>
        <v/>
      </c>
      <c r="L1301" s="20" t="n"/>
      <c r="M1301" s="20">
        <f>IFERROR(INDEX(CONFIGURACOES!$I$37:$I$300,MATCH($I1301,CONFIGURACOES!$B$37:$B$300,0)),"")</f>
        <v/>
      </c>
      <c r="N1301" s="21" t="n"/>
      <c r="O1301" s="21" t="n"/>
      <c r="P1301" s="21" t="n"/>
      <c r="Q1301" s="21" t="n"/>
      <c r="R1301" s="21">
        <f>IF($N1301="","",$N1301*IF($Q1301="",1,$Q1301)*IF($P1301="",1,$P1301)*IF($O1301="",1,$O1301))</f>
        <v/>
      </c>
      <c r="S1301" s="22">
        <f>IFERROR(INDEX(CONFIGURACOES!$J$37:$J$300,MATCH($I1301,CONFIGURACOES!$B$37:$B$300,0)),"")</f>
        <v/>
      </c>
      <c r="T1301" s="22">
        <f>IF(OR($R1301="",$S1301=""),"",$R1301*$S1301)</f>
        <v/>
      </c>
      <c r="U1301" s="20" t="n"/>
      <c r="V1301" s="20" t="n"/>
      <c r="W1301" s="20" t="n"/>
      <c r="X1301">
        <f>IF($A1301="","",$A1301&amp;"|"&amp;$C1301&amp;"|"&amp;$I1301)</f>
        <v/>
      </c>
      <c r="Y1301">
        <f>IF(AND($A1301=RELATORIO_MEDICAO!$C$5,$C1301=RELATORIO_MEDICAO!$F$5,$A1301&lt;&gt;""),COUNTIFS($A$3:$A1301,RELATORIO_MEDICAO!$C$5,$C$3:$C1301,RELATORIO_MEDICAO!$F$5),"")</f>
        <v/>
      </c>
      <c r="Z1301">
        <f>IF(OR($A1301="",PESQUISA!$C$4=""),0,IF(OR(ISNUMBER(SEARCH(PESQUISA!$C$4,$G1301)),ISNUMBER(SEARCH(PESQUISA!$C$4,$K1301)),ISNUMBER(SEARCH(PESQUISA!$C$4,$L1301))),1,0))</f>
        <v/>
      </c>
      <c r="AA1301">
        <f>IF($Z1301=1,SUM($Z$3:$Z1301),"")</f>
        <v/>
      </c>
      <c r="AB1301">
        <f>IF(OR($A1301="",PESQUISA!$C$50=""),0,IF(ISNUMBER(SEARCH(PESQUISA!$C$50,$I1301)),1,0))</f>
        <v/>
      </c>
      <c r="AC1301">
        <f>IF($AB1301=1,SUM($AB$3:$AB1301),"")</f>
        <v/>
      </c>
    </row>
    <row r="1302">
      <c r="A1302" s="20" t="n"/>
      <c r="B1302" s="20" t="n"/>
      <c r="C1302" s="20" t="n"/>
      <c r="D1302" s="20" t="n"/>
      <c r="E1302" s="20" t="n"/>
      <c r="F1302" s="20" t="n"/>
      <c r="G1302" s="20" t="n"/>
      <c r="H1302" s="20" t="n"/>
      <c r="I1302" s="20" t="n"/>
      <c r="J1302" s="20">
        <f>IFERROR(INDEX(CONFIGURACOES!$G$37:$G$300,MATCH($I1302,CONFIGURACOES!$B$37:$B$300,0)),"")</f>
        <v/>
      </c>
      <c r="K1302" s="20">
        <f>IFERROR(INDEX(CONFIGURACOES!$H$37:$H$300,MATCH($I1302,CONFIGURACOES!$B$37:$B$300,0)),"")</f>
        <v/>
      </c>
      <c r="L1302" s="20" t="n"/>
      <c r="M1302" s="20">
        <f>IFERROR(INDEX(CONFIGURACOES!$I$37:$I$300,MATCH($I1302,CONFIGURACOES!$B$37:$B$300,0)),"")</f>
        <v/>
      </c>
      <c r="N1302" s="21" t="n"/>
      <c r="O1302" s="21" t="n"/>
      <c r="P1302" s="21" t="n"/>
      <c r="Q1302" s="21" t="n"/>
      <c r="R1302" s="21">
        <f>IF($N1302="","",$N1302*IF($Q1302="",1,$Q1302)*IF($P1302="",1,$P1302)*IF($O1302="",1,$O1302))</f>
        <v/>
      </c>
      <c r="S1302" s="22">
        <f>IFERROR(INDEX(CONFIGURACOES!$J$37:$J$300,MATCH($I1302,CONFIGURACOES!$B$37:$B$300,0)),"")</f>
        <v/>
      </c>
      <c r="T1302" s="22">
        <f>IF(OR($R1302="",$S1302=""),"",$R1302*$S1302)</f>
        <v/>
      </c>
      <c r="U1302" s="20" t="n"/>
      <c r="V1302" s="20" t="n"/>
      <c r="W1302" s="20" t="n"/>
      <c r="X1302">
        <f>IF($A1302="","",$A1302&amp;"|"&amp;$C1302&amp;"|"&amp;$I1302)</f>
        <v/>
      </c>
      <c r="Y1302">
        <f>IF(AND($A1302=RELATORIO_MEDICAO!$C$5,$C1302=RELATORIO_MEDICAO!$F$5,$A1302&lt;&gt;""),COUNTIFS($A$3:$A1302,RELATORIO_MEDICAO!$C$5,$C$3:$C1302,RELATORIO_MEDICAO!$F$5),"")</f>
        <v/>
      </c>
      <c r="Z1302">
        <f>IF(OR($A1302="",PESQUISA!$C$4=""),0,IF(OR(ISNUMBER(SEARCH(PESQUISA!$C$4,$G1302)),ISNUMBER(SEARCH(PESQUISA!$C$4,$K1302)),ISNUMBER(SEARCH(PESQUISA!$C$4,$L1302))),1,0))</f>
        <v/>
      </c>
      <c r="AA1302">
        <f>IF($Z1302=1,SUM($Z$3:$Z1302),"")</f>
        <v/>
      </c>
      <c r="AB1302">
        <f>IF(OR($A1302="",PESQUISA!$C$50=""),0,IF(ISNUMBER(SEARCH(PESQUISA!$C$50,$I1302)),1,0))</f>
        <v/>
      </c>
      <c r="AC1302">
        <f>IF($AB1302=1,SUM($AB$3:$AB1302),"")</f>
        <v/>
      </c>
    </row>
    <row r="1303">
      <c r="A1303" s="20" t="n"/>
      <c r="B1303" s="20" t="n"/>
      <c r="C1303" s="20" t="n"/>
      <c r="D1303" s="20" t="n"/>
      <c r="E1303" s="20" t="n"/>
      <c r="F1303" s="20" t="n"/>
      <c r="G1303" s="20" t="n"/>
      <c r="H1303" s="20" t="n"/>
      <c r="I1303" s="20" t="n"/>
      <c r="J1303" s="20">
        <f>IFERROR(INDEX(CONFIGURACOES!$G$37:$G$300,MATCH($I1303,CONFIGURACOES!$B$37:$B$300,0)),"")</f>
        <v/>
      </c>
      <c r="K1303" s="20">
        <f>IFERROR(INDEX(CONFIGURACOES!$H$37:$H$300,MATCH($I1303,CONFIGURACOES!$B$37:$B$300,0)),"")</f>
        <v/>
      </c>
      <c r="L1303" s="20" t="n"/>
      <c r="M1303" s="20">
        <f>IFERROR(INDEX(CONFIGURACOES!$I$37:$I$300,MATCH($I1303,CONFIGURACOES!$B$37:$B$300,0)),"")</f>
        <v/>
      </c>
      <c r="N1303" s="21" t="n"/>
      <c r="O1303" s="21" t="n"/>
      <c r="P1303" s="21" t="n"/>
      <c r="Q1303" s="21" t="n"/>
      <c r="R1303" s="21">
        <f>IF($N1303="","",$N1303*IF($Q1303="",1,$Q1303)*IF($P1303="",1,$P1303)*IF($O1303="",1,$O1303))</f>
        <v/>
      </c>
      <c r="S1303" s="22">
        <f>IFERROR(INDEX(CONFIGURACOES!$J$37:$J$300,MATCH($I1303,CONFIGURACOES!$B$37:$B$300,0)),"")</f>
        <v/>
      </c>
      <c r="T1303" s="22">
        <f>IF(OR($R1303="",$S1303=""),"",$R1303*$S1303)</f>
        <v/>
      </c>
      <c r="U1303" s="20" t="n"/>
      <c r="V1303" s="20" t="n"/>
      <c r="W1303" s="20" t="n"/>
      <c r="X1303">
        <f>IF($A1303="","",$A1303&amp;"|"&amp;$C1303&amp;"|"&amp;$I1303)</f>
        <v/>
      </c>
      <c r="Y1303">
        <f>IF(AND($A1303=RELATORIO_MEDICAO!$C$5,$C1303=RELATORIO_MEDICAO!$F$5,$A1303&lt;&gt;""),COUNTIFS($A$3:$A1303,RELATORIO_MEDICAO!$C$5,$C$3:$C1303,RELATORIO_MEDICAO!$F$5),"")</f>
        <v/>
      </c>
      <c r="Z1303">
        <f>IF(OR($A1303="",PESQUISA!$C$4=""),0,IF(OR(ISNUMBER(SEARCH(PESQUISA!$C$4,$G1303)),ISNUMBER(SEARCH(PESQUISA!$C$4,$K1303)),ISNUMBER(SEARCH(PESQUISA!$C$4,$L1303))),1,0))</f>
        <v/>
      </c>
      <c r="AA1303">
        <f>IF($Z1303=1,SUM($Z$3:$Z1303),"")</f>
        <v/>
      </c>
      <c r="AB1303">
        <f>IF(OR($A1303="",PESQUISA!$C$50=""),0,IF(ISNUMBER(SEARCH(PESQUISA!$C$50,$I1303)),1,0))</f>
        <v/>
      </c>
      <c r="AC1303">
        <f>IF($AB1303=1,SUM($AB$3:$AB1303),"")</f>
        <v/>
      </c>
    </row>
    <row r="1304">
      <c r="A1304" s="20" t="n"/>
      <c r="B1304" s="20" t="n"/>
      <c r="C1304" s="20" t="n"/>
      <c r="D1304" s="20" t="n"/>
      <c r="E1304" s="20" t="n"/>
      <c r="F1304" s="20" t="n"/>
      <c r="G1304" s="20" t="n"/>
      <c r="H1304" s="20" t="n"/>
      <c r="I1304" s="20" t="n"/>
      <c r="J1304" s="20">
        <f>IFERROR(INDEX(CONFIGURACOES!$G$37:$G$300,MATCH($I1304,CONFIGURACOES!$B$37:$B$300,0)),"")</f>
        <v/>
      </c>
      <c r="K1304" s="20">
        <f>IFERROR(INDEX(CONFIGURACOES!$H$37:$H$300,MATCH($I1304,CONFIGURACOES!$B$37:$B$300,0)),"")</f>
        <v/>
      </c>
      <c r="L1304" s="20" t="n"/>
      <c r="M1304" s="20">
        <f>IFERROR(INDEX(CONFIGURACOES!$I$37:$I$300,MATCH($I1304,CONFIGURACOES!$B$37:$B$300,0)),"")</f>
        <v/>
      </c>
      <c r="N1304" s="21" t="n"/>
      <c r="O1304" s="21" t="n"/>
      <c r="P1304" s="21" t="n"/>
      <c r="Q1304" s="21" t="n"/>
      <c r="R1304" s="21">
        <f>IF($N1304="","",$N1304*IF($Q1304="",1,$Q1304)*IF($P1304="",1,$P1304)*IF($O1304="",1,$O1304))</f>
        <v/>
      </c>
      <c r="S1304" s="22">
        <f>IFERROR(INDEX(CONFIGURACOES!$J$37:$J$300,MATCH($I1304,CONFIGURACOES!$B$37:$B$300,0)),"")</f>
        <v/>
      </c>
      <c r="T1304" s="22">
        <f>IF(OR($R1304="",$S1304=""),"",$R1304*$S1304)</f>
        <v/>
      </c>
      <c r="U1304" s="20" t="n"/>
      <c r="V1304" s="20" t="n"/>
      <c r="W1304" s="20" t="n"/>
      <c r="X1304">
        <f>IF($A1304="","",$A1304&amp;"|"&amp;$C1304&amp;"|"&amp;$I1304)</f>
        <v/>
      </c>
      <c r="Y1304">
        <f>IF(AND($A1304=RELATORIO_MEDICAO!$C$5,$C1304=RELATORIO_MEDICAO!$F$5,$A1304&lt;&gt;""),COUNTIFS($A$3:$A1304,RELATORIO_MEDICAO!$C$5,$C$3:$C1304,RELATORIO_MEDICAO!$F$5),"")</f>
        <v/>
      </c>
      <c r="Z1304">
        <f>IF(OR($A1304="",PESQUISA!$C$4=""),0,IF(OR(ISNUMBER(SEARCH(PESQUISA!$C$4,$G1304)),ISNUMBER(SEARCH(PESQUISA!$C$4,$K1304)),ISNUMBER(SEARCH(PESQUISA!$C$4,$L1304))),1,0))</f>
        <v/>
      </c>
      <c r="AA1304">
        <f>IF($Z1304=1,SUM($Z$3:$Z1304),"")</f>
        <v/>
      </c>
      <c r="AB1304">
        <f>IF(OR($A1304="",PESQUISA!$C$50=""),0,IF(ISNUMBER(SEARCH(PESQUISA!$C$50,$I1304)),1,0))</f>
        <v/>
      </c>
      <c r="AC1304">
        <f>IF($AB1304=1,SUM($AB$3:$AB1304),"")</f>
        <v/>
      </c>
    </row>
    <row r="1305">
      <c r="A1305" s="20" t="n"/>
      <c r="B1305" s="20" t="n"/>
      <c r="C1305" s="20" t="n"/>
      <c r="D1305" s="20" t="n"/>
      <c r="E1305" s="20" t="n"/>
      <c r="F1305" s="20" t="n"/>
      <c r="G1305" s="20" t="n"/>
      <c r="H1305" s="20" t="n"/>
      <c r="I1305" s="20" t="n"/>
      <c r="J1305" s="20">
        <f>IFERROR(INDEX(CONFIGURACOES!$G$37:$G$300,MATCH($I1305,CONFIGURACOES!$B$37:$B$300,0)),"")</f>
        <v/>
      </c>
      <c r="K1305" s="20">
        <f>IFERROR(INDEX(CONFIGURACOES!$H$37:$H$300,MATCH($I1305,CONFIGURACOES!$B$37:$B$300,0)),"")</f>
        <v/>
      </c>
      <c r="L1305" s="20" t="n"/>
      <c r="M1305" s="20">
        <f>IFERROR(INDEX(CONFIGURACOES!$I$37:$I$300,MATCH($I1305,CONFIGURACOES!$B$37:$B$300,0)),"")</f>
        <v/>
      </c>
      <c r="N1305" s="21" t="n"/>
      <c r="O1305" s="21" t="n"/>
      <c r="P1305" s="21" t="n"/>
      <c r="Q1305" s="21" t="n"/>
      <c r="R1305" s="21">
        <f>IF($N1305="","",$N1305*IF($Q1305="",1,$Q1305)*IF($P1305="",1,$P1305)*IF($O1305="",1,$O1305))</f>
        <v/>
      </c>
      <c r="S1305" s="22">
        <f>IFERROR(INDEX(CONFIGURACOES!$J$37:$J$300,MATCH($I1305,CONFIGURACOES!$B$37:$B$300,0)),"")</f>
        <v/>
      </c>
      <c r="T1305" s="22">
        <f>IF(OR($R1305="",$S1305=""),"",$R1305*$S1305)</f>
        <v/>
      </c>
      <c r="U1305" s="20" t="n"/>
      <c r="V1305" s="20" t="n"/>
      <c r="W1305" s="20" t="n"/>
      <c r="X1305">
        <f>IF($A1305="","",$A1305&amp;"|"&amp;$C1305&amp;"|"&amp;$I1305)</f>
        <v/>
      </c>
      <c r="Y1305">
        <f>IF(AND($A1305=RELATORIO_MEDICAO!$C$5,$C1305=RELATORIO_MEDICAO!$F$5,$A1305&lt;&gt;""),COUNTIFS($A$3:$A1305,RELATORIO_MEDICAO!$C$5,$C$3:$C1305,RELATORIO_MEDICAO!$F$5),"")</f>
        <v/>
      </c>
      <c r="Z1305">
        <f>IF(OR($A1305="",PESQUISA!$C$4=""),0,IF(OR(ISNUMBER(SEARCH(PESQUISA!$C$4,$G1305)),ISNUMBER(SEARCH(PESQUISA!$C$4,$K1305)),ISNUMBER(SEARCH(PESQUISA!$C$4,$L1305))),1,0))</f>
        <v/>
      </c>
      <c r="AA1305">
        <f>IF($Z1305=1,SUM($Z$3:$Z1305),"")</f>
        <v/>
      </c>
      <c r="AB1305">
        <f>IF(OR($A1305="",PESQUISA!$C$50=""),0,IF(ISNUMBER(SEARCH(PESQUISA!$C$50,$I1305)),1,0))</f>
        <v/>
      </c>
      <c r="AC1305">
        <f>IF($AB1305=1,SUM($AB$3:$AB1305),"")</f>
        <v/>
      </c>
    </row>
    <row r="1306">
      <c r="A1306" s="20" t="n"/>
      <c r="B1306" s="20" t="n"/>
      <c r="C1306" s="20" t="n"/>
      <c r="D1306" s="20" t="n"/>
      <c r="E1306" s="20" t="n"/>
      <c r="F1306" s="20" t="n"/>
      <c r="G1306" s="20" t="n"/>
      <c r="H1306" s="20" t="n"/>
      <c r="I1306" s="20" t="n"/>
      <c r="J1306" s="20">
        <f>IFERROR(INDEX(CONFIGURACOES!$G$37:$G$300,MATCH($I1306,CONFIGURACOES!$B$37:$B$300,0)),"")</f>
        <v/>
      </c>
      <c r="K1306" s="20">
        <f>IFERROR(INDEX(CONFIGURACOES!$H$37:$H$300,MATCH($I1306,CONFIGURACOES!$B$37:$B$300,0)),"")</f>
        <v/>
      </c>
      <c r="L1306" s="20" t="n"/>
      <c r="M1306" s="20">
        <f>IFERROR(INDEX(CONFIGURACOES!$I$37:$I$300,MATCH($I1306,CONFIGURACOES!$B$37:$B$300,0)),"")</f>
        <v/>
      </c>
      <c r="N1306" s="21" t="n"/>
      <c r="O1306" s="21" t="n"/>
      <c r="P1306" s="21" t="n"/>
      <c r="Q1306" s="21" t="n"/>
      <c r="R1306" s="21">
        <f>IF($N1306="","",$N1306*IF($Q1306="",1,$Q1306)*IF($P1306="",1,$P1306)*IF($O1306="",1,$O1306))</f>
        <v/>
      </c>
      <c r="S1306" s="22">
        <f>IFERROR(INDEX(CONFIGURACOES!$J$37:$J$300,MATCH($I1306,CONFIGURACOES!$B$37:$B$300,0)),"")</f>
        <v/>
      </c>
      <c r="T1306" s="22">
        <f>IF(OR($R1306="",$S1306=""),"",$R1306*$S1306)</f>
        <v/>
      </c>
      <c r="U1306" s="20" t="n"/>
      <c r="V1306" s="20" t="n"/>
      <c r="W1306" s="20" t="n"/>
      <c r="X1306">
        <f>IF($A1306="","",$A1306&amp;"|"&amp;$C1306&amp;"|"&amp;$I1306)</f>
        <v/>
      </c>
      <c r="Y1306">
        <f>IF(AND($A1306=RELATORIO_MEDICAO!$C$5,$C1306=RELATORIO_MEDICAO!$F$5,$A1306&lt;&gt;""),COUNTIFS($A$3:$A1306,RELATORIO_MEDICAO!$C$5,$C$3:$C1306,RELATORIO_MEDICAO!$F$5),"")</f>
        <v/>
      </c>
      <c r="Z1306">
        <f>IF(OR($A1306="",PESQUISA!$C$4=""),0,IF(OR(ISNUMBER(SEARCH(PESQUISA!$C$4,$G1306)),ISNUMBER(SEARCH(PESQUISA!$C$4,$K1306)),ISNUMBER(SEARCH(PESQUISA!$C$4,$L1306))),1,0))</f>
        <v/>
      </c>
      <c r="AA1306">
        <f>IF($Z1306=1,SUM($Z$3:$Z1306),"")</f>
        <v/>
      </c>
      <c r="AB1306">
        <f>IF(OR($A1306="",PESQUISA!$C$50=""),0,IF(ISNUMBER(SEARCH(PESQUISA!$C$50,$I1306)),1,0))</f>
        <v/>
      </c>
      <c r="AC1306">
        <f>IF($AB1306=1,SUM($AB$3:$AB1306),"")</f>
        <v/>
      </c>
    </row>
    <row r="1307">
      <c r="A1307" s="20" t="n"/>
      <c r="B1307" s="20" t="n"/>
      <c r="C1307" s="20" t="n"/>
      <c r="D1307" s="20" t="n"/>
      <c r="E1307" s="20" t="n"/>
      <c r="F1307" s="20" t="n"/>
      <c r="G1307" s="20" t="n"/>
      <c r="H1307" s="20" t="n"/>
      <c r="I1307" s="20" t="n"/>
      <c r="J1307" s="20">
        <f>IFERROR(INDEX(CONFIGURACOES!$G$37:$G$300,MATCH($I1307,CONFIGURACOES!$B$37:$B$300,0)),"")</f>
        <v/>
      </c>
      <c r="K1307" s="20">
        <f>IFERROR(INDEX(CONFIGURACOES!$H$37:$H$300,MATCH($I1307,CONFIGURACOES!$B$37:$B$300,0)),"")</f>
        <v/>
      </c>
      <c r="L1307" s="20" t="n"/>
      <c r="M1307" s="20">
        <f>IFERROR(INDEX(CONFIGURACOES!$I$37:$I$300,MATCH($I1307,CONFIGURACOES!$B$37:$B$300,0)),"")</f>
        <v/>
      </c>
      <c r="N1307" s="21" t="n"/>
      <c r="O1307" s="21" t="n"/>
      <c r="P1307" s="21" t="n"/>
      <c r="Q1307" s="21" t="n"/>
      <c r="R1307" s="21">
        <f>IF($N1307="","",$N1307*IF($Q1307="",1,$Q1307)*IF($P1307="",1,$P1307)*IF($O1307="",1,$O1307))</f>
        <v/>
      </c>
      <c r="S1307" s="22">
        <f>IFERROR(INDEX(CONFIGURACOES!$J$37:$J$300,MATCH($I1307,CONFIGURACOES!$B$37:$B$300,0)),"")</f>
        <v/>
      </c>
      <c r="T1307" s="22">
        <f>IF(OR($R1307="",$S1307=""),"",$R1307*$S1307)</f>
        <v/>
      </c>
      <c r="U1307" s="20" t="n"/>
      <c r="V1307" s="20" t="n"/>
      <c r="W1307" s="20" t="n"/>
      <c r="X1307">
        <f>IF($A1307="","",$A1307&amp;"|"&amp;$C1307&amp;"|"&amp;$I1307)</f>
        <v/>
      </c>
      <c r="Y1307">
        <f>IF(AND($A1307=RELATORIO_MEDICAO!$C$5,$C1307=RELATORIO_MEDICAO!$F$5,$A1307&lt;&gt;""),COUNTIFS($A$3:$A1307,RELATORIO_MEDICAO!$C$5,$C$3:$C1307,RELATORIO_MEDICAO!$F$5),"")</f>
        <v/>
      </c>
      <c r="Z1307">
        <f>IF(OR($A1307="",PESQUISA!$C$4=""),0,IF(OR(ISNUMBER(SEARCH(PESQUISA!$C$4,$G1307)),ISNUMBER(SEARCH(PESQUISA!$C$4,$K1307)),ISNUMBER(SEARCH(PESQUISA!$C$4,$L1307))),1,0))</f>
        <v/>
      </c>
      <c r="AA1307">
        <f>IF($Z1307=1,SUM($Z$3:$Z1307),"")</f>
        <v/>
      </c>
      <c r="AB1307">
        <f>IF(OR($A1307="",PESQUISA!$C$50=""),0,IF(ISNUMBER(SEARCH(PESQUISA!$C$50,$I1307)),1,0))</f>
        <v/>
      </c>
      <c r="AC1307">
        <f>IF($AB1307=1,SUM($AB$3:$AB1307),"")</f>
        <v/>
      </c>
    </row>
    <row r="1308">
      <c r="A1308" s="20" t="n"/>
      <c r="B1308" s="20" t="n"/>
      <c r="C1308" s="20" t="n"/>
      <c r="D1308" s="20" t="n"/>
      <c r="E1308" s="20" t="n"/>
      <c r="F1308" s="20" t="n"/>
      <c r="G1308" s="20" t="n"/>
      <c r="H1308" s="20" t="n"/>
      <c r="I1308" s="20" t="n"/>
      <c r="J1308" s="20">
        <f>IFERROR(INDEX(CONFIGURACOES!$G$37:$G$300,MATCH($I1308,CONFIGURACOES!$B$37:$B$300,0)),"")</f>
        <v/>
      </c>
      <c r="K1308" s="20">
        <f>IFERROR(INDEX(CONFIGURACOES!$H$37:$H$300,MATCH($I1308,CONFIGURACOES!$B$37:$B$300,0)),"")</f>
        <v/>
      </c>
      <c r="L1308" s="20" t="n"/>
      <c r="M1308" s="20">
        <f>IFERROR(INDEX(CONFIGURACOES!$I$37:$I$300,MATCH($I1308,CONFIGURACOES!$B$37:$B$300,0)),"")</f>
        <v/>
      </c>
      <c r="N1308" s="21" t="n"/>
      <c r="O1308" s="21" t="n"/>
      <c r="P1308" s="21" t="n"/>
      <c r="Q1308" s="21" t="n"/>
      <c r="R1308" s="21">
        <f>IF($N1308="","",$N1308*IF($Q1308="",1,$Q1308)*IF($P1308="",1,$P1308)*IF($O1308="",1,$O1308))</f>
        <v/>
      </c>
      <c r="S1308" s="22">
        <f>IFERROR(INDEX(CONFIGURACOES!$J$37:$J$300,MATCH($I1308,CONFIGURACOES!$B$37:$B$300,0)),"")</f>
        <v/>
      </c>
      <c r="T1308" s="22">
        <f>IF(OR($R1308="",$S1308=""),"",$R1308*$S1308)</f>
        <v/>
      </c>
      <c r="U1308" s="20" t="n"/>
      <c r="V1308" s="20" t="n"/>
      <c r="W1308" s="20" t="n"/>
      <c r="X1308">
        <f>IF($A1308="","",$A1308&amp;"|"&amp;$C1308&amp;"|"&amp;$I1308)</f>
        <v/>
      </c>
      <c r="Y1308">
        <f>IF(AND($A1308=RELATORIO_MEDICAO!$C$5,$C1308=RELATORIO_MEDICAO!$F$5,$A1308&lt;&gt;""),COUNTIFS($A$3:$A1308,RELATORIO_MEDICAO!$C$5,$C$3:$C1308,RELATORIO_MEDICAO!$F$5),"")</f>
        <v/>
      </c>
      <c r="Z1308">
        <f>IF(OR($A1308="",PESQUISA!$C$4=""),0,IF(OR(ISNUMBER(SEARCH(PESQUISA!$C$4,$G1308)),ISNUMBER(SEARCH(PESQUISA!$C$4,$K1308)),ISNUMBER(SEARCH(PESQUISA!$C$4,$L1308))),1,0))</f>
        <v/>
      </c>
      <c r="AA1308">
        <f>IF($Z1308=1,SUM($Z$3:$Z1308),"")</f>
        <v/>
      </c>
      <c r="AB1308">
        <f>IF(OR($A1308="",PESQUISA!$C$50=""),0,IF(ISNUMBER(SEARCH(PESQUISA!$C$50,$I1308)),1,0))</f>
        <v/>
      </c>
      <c r="AC1308">
        <f>IF($AB1308=1,SUM($AB$3:$AB1308),"")</f>
        <v/>
      </c>
    </row>
    <row r="1309">
      <c r="A1309" s="20" t="n"/>
      <c r="B1309" s="20" t="n"/>
      <c r="C1309" s="20" t="n"/>
      <c r="D1309" s="20" t="n"/>
      <c r="E1309" s="20" t="n"/>
      <c r="F1309" s="20" t="n"/>
      <c r="G1309" s="20" t="n"/>
      <c r="H1309" s="20" t="n"/>
      <c r="I1309" s="20" t="n"/>
      <c r="J1309" s="20">
        <f>IFERROR(INDEX(CONFIGURACOES!$G$37:$G$300,MATCH($I1309,CONFIGURACOES!$B$37:$B$300,0)),"")</f>
        <v/>
      </c>
      <c r="K1309" s="20">
        <f>IFERROR(INDEX(CONFIGURACOES!$H$37:$H$300,MATCH($I1309,CONFIGURACOES!$B$37:$B$300,0)),"")</f>
        <v/>
      </c>
      <c r="L1309" s="20" t="n"/>
      <c r="M1309" s="20">
        <f>IFERROR(INDEX(CONFIGURACOES!$I$37:$I$300,MATCH($I1309,CONFIGURACOES!$B$37:$B$300,0)),"")</f>
        <v/>
      </c>
      <c r="N1309" s="21" t="n"/>
      <c r="O1309" s="21" t="n"/>
      <c r="P1309" s="21" t="n"/>
      <c r="Q1309" s="21" t="n"/>
      <c r="R1309" s="21">
        <f>IF($N1309="","",$N1309*IF($Q1309="",1,$Q1309)*IF($P1309="",1,$P1309)*IF($O1309="",1,$O1309))</f>
        <v/>
      </c>
      <c r="S1309" s="22">
        <f>IFERROR(INDEX(CONFIGURACOES!$J$37:$J$300,MATCH($I1309,CONFIGURACOES!$B$37:$B$300,0)),"")</f>
        <v/>
      </c>
      <c r="T1309" s="22">
        <f>IF(OR($R1309="",$S1309=""),"",$R1309*$S1309)</f>
        <v/>
      </c>
      <c r="U1309" s="20" t="n"/>
      <c r="V1309" s="20" t="n"/>
      <c r="W1309" s="20" t="n"/>
      <c r="X1309">
        <f>IF($A1309="","",$A1309&amp;"|"&amp;$C1309&amp;"|"&amp;$I1309)</f>
        <v/>
      </c>
      <c r="Y1309">
        <f>IF(AND($A1309=RELATORIO_MEDICAO!$C$5,$C1309=RELATORIO_MEDICAO!$F$5,$A1309&lt;&gt;""),COUNTIFS($A$3:$A1309,RELATORIO_MEDICAO!$C$5,$C$3:$C1309,RELATORIO_MEDICAO!$F$5),"")</f>
        <v/>
      </c>
      <c r="Z1309">
        <f>IF(OR($A1309="",PESQUISA!$C$4=""),0,IF(OR(ISNUMBER(SEARCH(PESQUISA!$C$4,$G1309)),ISNUMBER(SEARCH(PESQUISA!$C$4,$K1309)),ISNUMBER(SEARCH(PESQUISA!$C$4,$L1309))),1,0))</f>
        <v/>
      </c>
      <c r="AA1309">
        <f>IF($Z1309=1,SUM($Z$3:$Z1309),"")</f>
        <v/>
      </c>
      <c r="AB1309">
        <f>IF(OR($A1309="",PESQUISA!$C$50=""),0,IF(ISNUMBER(SEARCH(PESQUISA!$C$50,$I1309)),1,0))</f>
        <v/>
      </c>
      <c r="AC1309">
        <f>IF($AB1309=1,SUM($AB$3:$AB1309),"")</f>
        <v/>
      </c>
    </row>
    <row r="1310">
      <c r="A1310" s="20" t="n"/>
      <c r="B1310" s="20" t="n"/>
      <c r="C1310" s="20" t="n"/>
      <c r="D1310" s="20" t="n"/>
      <c r="E1310" s="20" t="n"/>
      <c r="F1310" s="20" t="n"/>
      <c r="G1310" s="20" t="n"/>
      <c r="H1310" s="20" t="n"/>
      <c r="I1310" s="20" t="n"/>
      <c r="J1310" s="20">
        <f>IFERROR(INDEX(CONFIGURACOES!$G$37:$G$300,MATCH($I1310,CONFIGURACOES!$B$37:$B$300,0)),"")</f>
        <v/>
      </c>
      <c r="K1310" s="20">
        <f>IFERROR(INDEX(CONFIGURACOES!$H$37:$H$300,MATCH($I1310,CONFIGURACOES!$B$37:$B$300,0)),"")</f>
        <v/>
      </c>
      <c r="L1310" s="20" t="n"/>
      <c r="M1310" s="20">
        <f>IFERROR(INDEX(CONFIGURACOES!$I$37:$I$300,MATCH($I1310,CONFIGURACOES!$B$37:$B$300,0)),"")</f>
        <v/>
      </c>
      <c r="N1310" s="21" t="n"/>
      <c r="O1310" s="21" t="n"/>
      <c r="P1310" s="21" t="n"/>
      <c r="Q1310" s="21" t="n"/>
      <c r="R1310" s="21">
        <f>IF($N1310="","",$N1310*IF($Q1310="",1,$Q1310)*IF($P1310="",1,$P1310)*IF($O1310="",1,$O1310))</f>
        <v/>
      </c>
      <c r="S1310" s="22">
        <f>IFERROR(INDEX(CONFIGURACOES!$J$37:$J$300,MATCH($I1310,CONFIGURACOES!$B$37:$B$300,0)),"")</f>
        <v/>
      </c>
      <c r="T1310" s="22">
        <f>IF(OR($R1310="",$S1310=""),"",$R1310*$S1310)</f>
        <v/>
      </c>
      <c r="U1310" s="20" t="n"/>
      <c r="V1310" s="20" t="n"/>
      <c r="W1310" s="20" t="n"/>
      <c r="X1310">
        <f>IF($A1310="","",$A1310&amp;"|"&amp;$C1310&amp;"|"&amp;$I1310)</f>
        <v/>
      </c>
      <c r="Y1310">
        <f>IF(AND($A1310=RELATORIO_MEDICAO!$C$5,$C1310=RELATORIO_MEDICAO!$F$5,$A1310&lt;&gt;""),COUNTIFS($A$3:$A1310,RELATORIO_MEDICAO!$C$5,$C$3:$C1310,RELATORIO_MEDICAO!$F$5),"")</f>
        <v/>
      </c>
      <c r="Z1310">
        <f>IF(OR($A1310="",PESQUISA!$C$4=""),0,IF(OR(ISNUMBER(SEARCH(PESQUISA!$C$4,$G1310)),ISNUMBER(SEARCH(PESQUISA!$C$4,$K1310)),ISNUMBER(SEARCH(PESQUISA!$C$4,$L1310))),1,0))</f>
        <v/>
      </c>
      <c r="AA1310">
        <f>IF($Z1310=1,SUM($Z$3:$Z1310),"")</f>
        <v/>
      </c>
      <c r="AB1310">
        <f>IF(OR($A1310="",PESQUISA!$C$50=""),0,IF(ISNUMBER(SEARCH(PESQUISA!$C$50,$I1310)),1,0))</f>
        <v/>
      </c>
      <c r="AC1310">
        <f>IF($AB1310=1,SUM($AB$3:$AB1310),"")</f>
        <v/>
      </c>
    </row>
    <row r="1311">
      <c r="A1311" s="20" t="n"/>
      <c r="B1311" s="20" t="n"/>
      <c r="C1311" s="20" t="n"/>
      <c r="D1311" s="20" t="n"/>
      <c r="E1311" s="20" t="n"/>
      <c r="F1311" s="20" t="n"/>
      <c r="G1311" s="20" t="n"/>
      <c r="H1311" s="20" t="n"/>
      <c r="I1311" s="20" t="n"/>
      <c r="J1311" s="20">
        <f>IFERROR(INDEX(CONFIGURACOES!$G$37:$G$300,MATCH($I1311,CONFIGURACOES!$B$37:$B$300,0)),"")</f>
        <v/>
      </c>
      <c r="K1311" s="20">
        <f>IFERROR(INDEX(CONFIGURACOES!$H$37:$H$300,MATCH($I1311,CONFIGURACOES!$B$37:$B$300,0)),"")</f>
        <v/>
      </c>
      <c r="L1311" s="20" t="n"/>
      <c r="M1311" s="20">
        <f>IFERROR(INDEX(CONFIGURACOES!$I$37:$I$300,MATCH($I1311,CONFIGURACOES!$B$37:$B$300,0)),"")</f>
        <v/>
      </c>
      <c r="N1311" s="21" t="n"/>
      <c r="O1311" s="21" t="n"/>
      <c r="P1311" s="21" t="n"/>
      <c r="Q1311" s="21" t="n"/>
      <c r="R1311" s="21">
        <f>IF($N1311="","",$N1311*IF($Q1311="",1,$Q1311)*IF($P1311="",1,$P1311)*IF($O1311="",1,$O1311))</f>
        <v/>
      </c>
      <c r="S1311" s="22">
        <f>IFERROR(INDEX(CONFIGURACOES!$J$37:$J$300,MATCH($I1311,CONFIGURACOES!$B$37:$B$300,0)),"")</f>
        <v/>
      </c>
      <c r="T1311" s="22">
        <f>IF(OR($R1311="",$S1311=""),"",$R1311*$S1311)</f>
        <v/>
      </c>
      <c r="U1311" s="20" t="n"/>
      <c r="V1311" s="20" t="n"/>
      <c r="W1311" s="20" t="n"/>
      <c r="X1311">
        <f>IF($A1311="","",$A1311&amp;"|"&amp;$C1311&amp;"|"&amp;$I1311)</f>
        <v/>
      </c>
      <c r="Y1311">
        <f>IF(AND($A1311=RELATORIO_MEDICAO!$C$5,$C1311=RELATORIO_MEDICAO!$F$5,$A1311&lt;&gt;""),COUNTIFS($A$3:$A1311,RELATORIO_MEDICAO!$C$5,$C$3:$C1311,RELATORIO_MEDICAO!$F$5),"")</f>
        <v/>
      </c>
      <c r="Z1311">
        <f>IF(OR($A1311="",PESQUISA!$C$4=""),0,IF(OR(ISNUMBER(SEARCH(PESQUISA!$C$4,$G1311)),ISNUMBER(SEARCH(PESQUISA!$C$4,$K1311)),ISNUMBER(SEARCH(PESQUISA!$C$4,$L1311))),1,0))</f>
        <v/>
      </c>
      <c r="AA1311">
        <f>IF($Z1311=1,SUM($Z$3:$Z1311),"")</f>
        <v/>
      </c>
      <c r="AB1311">
        <f>IF(OR($A1311="",PESQUISA!$C$50=""),0,IF(ISNUMBER(SEARCH(PESQUISA!$C$50,$I1311)),1,0))</f>
        <v/>
      </c>
      <c r="AC1311">
        <f>IF($AB1311=1,SUM($AB$3:$AB1311),"")</f>
        <v/>
      </c>
    </row>
    <row r="1312">
      <c r="A1312" s="20" t="n"/>
      <c r="B1312" s="20" t="n"/>
      <c r="C1312" s="20" t="n"/>
      <c r="D1312" s="20" t="n"/>
      <c r="E1312" s="20" t="n"/>
      <c r="F1312" s="20" t="n"/>
      <c r="G1312" s="20" t="n"/>
      <c r="H1312" s="20" t="n"/>
      <c r="I1312" s="20" t="n"/>
      <c r="J1312" s="20">
        <f>IFERROR(INDEX(CONFIGURACOES!$G$37:$G$300,MATCH($I1312,CONFIGURACOES!$B$37:$B$300,0)),"")</f>
        <v/>
      </c>
      <c r="K1312" s="20">
        <f>IFERROR(INDEX(CONFIGURACOES!$H$37:$H$300,MATCH($I1312,CONFIGURACOES!$B$37:$B$300,0)),"")</f>
        <v/>
      </c>
      <c r="L1312" s="20" t="n"/>
      <c r="M1312" s="20">
        <f>IFERROR(INDEX(CONFIGURACOES!$I$37:$I$300,MATCH($I1312,CONFIGURACOES!$B$37:$B$300,0)),"")</f>
        <v/>
      </c>
      <c r="N1312" s="21" t="n"/>
      <c r="O1312" s="21" t="n"/>
      <c r="P1312" s="21" t="n"/>
      <c r="Q1312" s="21" t="n"/>
      <c r="R1312" s="21">
        <f>IF($N1312="","",$N1312*IF($Q1312="",1,$Q1312)*IF($P1312="",1,$P1312)*IF($O1312="",1,$O1312))</f>
        <v/>
      </c>
      <c r="S1312" s="22">
        <f>IFERROR(INDEX(CONFIGURACOES!$J$37:$J$300,MATCH($I1312,CONFIGURACOES!$B$37:$B$300,0)),"")</f>
        <v/>
      </c>
      <c r="T1312" s="22">
        <f>IF(OR($R1312="",$S1312=""),"",$R1312*$S1312)</f>
        <v/>
      </c>
      <c r="U1312" s="20" t="n"/>
      <c r="V1312" s="20" t="n"/>
      <c r="W1312" s="20" t="n"/>
      <c r="X1312">
        <f>IF($A1312="","",$A1312&amp;"|"&amp;$C1312&amp;"|"&amp;$I1312)</f>
        <v/>
      </c>
      <c r="Y1312">
        <f>IF(AND($A1312=RELATORIO_MEDICAO!$C$5,$C1312=RELATORIO_MEDICAO!$F$5,$A1312&lt;&gt;""),COUNTIFS($A$3:$A1312,RELATORIO_MEDICAO!$C$5,$C$3:$C1312,RELATORIO_MEDICAO!$F$5),"")</f>
        <v/>
      </c>
      <c r="Z1312">
        <f>IF(OR($A1312="",PESQUISA!$C$4=""),0,IF(OR(ISNUMBER(SEARCH(PESQUISA!$C$4,$G1312)),ISNUMBER(SEARCH(PESQUISA!$C$4,$K1312)),ISNUMBER(SEARCH(PESQUISA!$C$4,$L1312))),1,0))</f>
        <v/>
      </c>
      <c r="AA1312">
        <f>IF($Z1312=1,SUM($Z$3:$Z1312),"")</f>
        <v/>
      </c>
      <c r="AB1312">
        <f>IF(OR($A1312="",PESQUISA!$C$50=""),0,IF(ISNUMBER(SEARCH(PESQUISA!$C$50,$I1312)),1,0))</f>
        <v/>
      </c>
      <c r="AC1312">
        <f>IF($AB1312=1,SUM($AB$3:$AB1312),"")</f>
        <v/>
      </c>
    </row>
    <row r="1313">
      <c r="A1313" s="20" t="n"/>
      <c r="B1313" s="20" t="n"/>
      <c r="C1313" s="20" t="n"/>
      <c r="D1313" s="20" t="n"/>
      <c r="E1313" s="20" t="n"/>
      <c r="F1313" s="20" t="n"/>
      <c r="G1313" s="20" t="n"/>
      <c r="H1313" s="20" t="n"/>
      <c r="I1313" s="20" t="n"/>
      <c r="J1313" s="20">
        <f>IFERROR(INDEX(CONFIGURACOES!$G$37:$G$300,MATCH($I1313,CONFIGURACOES!$B$37:$B$300,0)),"")</f>
        <v/>
      </c>
      <c r="K1313" s="20">
        <f>IFERROR(INDEX(CONFIGURACOES!$H$37:$H$300,MATCH($I1313,CONFIGURACOES!$B$37:$B$300,0)),"")</f>
        <v/>
      </c>
      <c r="L1313" s="20" t="n"/>
      <c r="M1313" s="20">
        <f>IFERROR(INDEX(CONFIGURACOES!$I$37:$I$300,MATCH($I1313,CONFIGURACOES!$B$37:$B$300,0)),"")</f>
        <v/>
      </c>
      <c r="N1313" s="21" t="n"/>
      <c r="O1313" s="21" t="n"/>
      <c r="P1313" s="21" t="n"/>
      <c r="Q1313" s="21" t="n"/>
      <c r="R1313" s="21">
        <f>IF($N1313="","",$N1313*IF($Q1313="",1,$Q1313)*IF($P1313="",1,$P1313)*IF($O1313="",1,$O1313))</f>
        <v/>
      </c>
      <c r="S1313" s="22">
        <f>IFERROR(INDEX(CONFIGURACOES!$J$37:$J$300,MATCH($I1313,CONFIGURACOES!$B$37:$B$300,0)),"")</f>
        <v/>
      </c>
      <c r="T1313" s="22">
        <f>IF(OR($R1313="",$S1313=""),"",$R1313*$S1313)</f>
        <v/>
      </c>
      <c r="U1313" s="20" t="n"/>
      <c r="V1313" s="20" t="n"/>
      <c r="W1313" s="20" t="n"/>
      <c r="X1313">
        <f>IF($A1313="","",$A1313&amp;"|"&amp;$C1313&amp;"|"&amp;$I1313)</f>
        <v/>
      </c>
      <c r="Y1313">
        <f>IF(AND($A1313=RELATORIO_MEDICAO!$C$5,$C1313=RELATORIO_MEDICAO!$F$5,$A1313&lt;&gt;""),COUNTIFS($A$3:$A1313,RELATORIO_MEDICAO!$C$5,$C$3:$C1313,RELATORIO_MEDICAO!$F$5),"")</f>
        <v/>
      </c>
      <c r="Z1313">
        <f>IF(OR($A1313="",PESQUISA!$C$4=""),0,IF(OR(ISNUMBER(SEARCH(PESQUISA!$C$4,$G1313)),ISNUMBER(SEARCH(PESQUISA!$C$4,$K1313)),ISNUMBER(SEARCH(PESQUISA!$C$4,$L1313))),1,0))</f>
        <v/>
      </c>
      <c r="AA1313">
        <f>IF($Z1313=1,SUM($Z$3:$Z1313),"")</f>
        <v/>
      </c>
      <c r="AB1313">
        <f>IF(OR($A1313="",PESQUISA!$C$50=""),0,IF(ISNUMBER(SEARCH(PESQUISA!$C$50,$I1313)),1,0))</f>
        <v/>
      </c>
      <c r="AC1313">
        <f>IF($AB1313=1,SUM($AB$3:$AB1313),"")</f>
        <v/>
      </c>
    </row>
    <row r="1314">
      <c r="A1314" s="20" t="n"/>
      <c r="B1314" s="20" t="n"/>
      <c r="C1314" s="20" t="n"/>
      <c r="D1314" s="20" t="n"/>
      <c r="E1314" s="20" t="n"/>
      <c r="F1314" s="20" t="n"/>
      <c r="G1314" s="20" t="n"/>
      <c r="H1314" s="20" t="n"/>
      <c r="I1314" s="20" t="n"/>
      <c r="J1314" s="20">
        <f>IFERROR(INDEX(CONFIGURACOES!$G$37:$G$300,MATCH($I1314,CONFIGURACOES!$B$37:$B$300,0)),"")</f>
        <v/>
      </c>
      <c r="K1314" s="20">
        <f>IFERROR(INDEX(CONFIGURACOES!$H$37:$H$300,MATCH($I1314,CONFIGURACOES!$B$37:$B$300,0)),"")</f>
        <v/>
      </c>
      <c r="L1314" s="20" t="n"/>
      <c r="M1314" s="20">
        <f>IFERROR(INDEX(CONFIGURACOES!$I$37:$I$300,MATCH($I1314,CONFIGURACOES!$B$37:$B$300,0)),"")</f>
        <v/>
      </c>
      <c r="N1314" s="21" t="n"/>
      <c r="O1314" s="21" t="n"/>
      <c r="P1314" s="21" t="n"/>
      <c r="Q1314" s="21" t="n"/>
      <c r="R1314" s="21">
        <f>IF($N1314="","",$N1314*IF($Q1314="",1,$Q1314)*IF($P1314="",1,$P1314)*IF($O1314="",1,$O1314))</f>
        <v/>
      </c>
      <c r="S1314" s="22">
        <f>IFERROR(INDEX(CONFIGURACOES!$J$37:$J$300,MATCH($I1314,CONFIGURACOES!$B$37:$B$300,0)),"")</f>
        <v/>
      </c>
      <c r="T1314" s="22">
        <f>IF(OR($R1314="",$S1314=""),"",$R1314*$S1314)</f>
        <v/>
      </c>
      <c r="U1314" s="20" t="n"/>
      <c r="V1314" s="20" t="n"/>
      <c r="W1314" s="20" t="n"/>
      <c r="X1314">
        <f>IF($A1314="","",$A1314&amp;"|"&amp;$C1314&amp;"|"&amp;$I1314)</f>
        <v/>
      </c>
      <c r="Y1314">
        <f>IF(AND($A1314=RELATORIO_MEDICAO!$C$5,$C1314=RELATORIO_MEDICAO!$F$5,$A1314&lt;&gt;""),COUNTIFS($A$3:$A1314,RELATORIO_MEDICAO!$C$5,$C$3:$C1314,RELATORIO_MEDICAO!$F$5),"")</f>
        <v/>
      </c>
      <c r="Z1314">
        <f>IF(OR($A1314="",PESQUISA!$C$4=""),0,IF(OR(ISNUMBER(SEARCH(PESQUISA!$C$4,$G1314)),ISNUMBER(SEARCH(PESQUISA!$C$4,$K1314)),ISNUMBER(SEARCH(PESQUISA!$C$4,$L1314))),1,0))</f>
        <v/>
      </c>
      <c r="AA1314">
        <f>IF($Z1314=1,SUM($Z$3:$Z1314),"")</f>
        <v/>
      </c>
      <c r="AB1314">
        <f>IF(OR($A1314="",PESQUISA!$C$50=""),0,IF(ISNUMBER(SEARCH(PESQUISA!$C$50,$I1314)),1,0))</f>
        <v/>
      </c>
      <c r="AC1314">
        <f>IF($AB1314=1,SUM($AB$3:$AB1314),"")</f>
        <v/>
      </c>
    </row>
    <row r="1315">
      <c r="A1315" s="20" t="n"/>
      <c r="B1315" s="20" t="n"/>
      <c r="C1315" s="20" t="n"/>
      <c r="D1315" s="20" t="n"/>
      <c r="E1315" s="20" t="n"/>
      <c r="F1315" s="20" t="n"/>
      <c r="G1315" s="20" t="n"/>
      <c r="H1315" s="20" t="n"/>
      <c r="I1315" s="20" t="n"/>
      <c r="J1315" s="20">
        <f>IFERROR(INDEX(CONFIGURACOES!$G$37:$G$300,MATCH($I1315,CONFIGURACOES!$B$37:$B$300,0)),"")</f>
        <v/>
      </c>
      <c r="K1315" s="20">
        <f>IFERROR(INDEX(CONFIGURACOES!$H$37:$H$300,MATCH($I1315,CONFIGURACOES!$B$37:$B$300,0)),"")</f>
        <v/>
      </c>
      <c r="L1315" s="20" t="n"/>
      <c r="M1315" s="20">
        <f>IFERROR(INDEX(CONFIGURACOES!$I$37:$I$300,MATCH($I1315,CONFIGURACOES!$B$37:$B$300,0)),"")</f>
        <v/>
      </c>
      <c r="N1315" s="21" t="n"/>
      <c r="O1315" s="21" t="n"/>
      <c r="P1315" s="21" t="n"/>
      <c r="Q1315" s="21" t="n"/>
      <c r="R1315" s="21">
        <f>IF($N1315="","",$N1315*IF($Q1315="",1,$Q1315)*IF($P1315="",1,$P1315)*IF($O1315="",1,$O1315))</f>
        <v/>
      </c>
      <c r="S1315" s="22">
        <f>IFERROR(INDEX(CONFIGURACOES!$J$37:$J$300,MATCH($I1315,CONFIGURACOES!$B$37:$B$300,0)),"")</f>
        <v/>
      </c>
      <c r="T1315" s="22">
        <f>IF(OR($R1315="",$S1315=""),"",$R1315*$S1315)</f>
        <v/>
      </c>
      <c r="U1315" s="20" t="n"/>
      <c r="V1315" s="20" t="n"/>
      <c r="W1315" s="20" t="n"/>
      <c r="X1315">
        <f>IF($A1315="","",$A1315&amp;"|"&amp;$C1315&amp;"|"&amp;$I1315)</f>
        <v/>
      </c>
      <c r="Y1315">
        <f>IF(AND($A1315=RELATORIO_MEDICAO!$C$5,$C1315=RELATORIO_MEDICAO!$F$5,$A1315&lt;&gt;""),COUNTIFS($A$3:$A1315,RELATORIO_MEDICAO!$C$5,$C$3:$C1315,RELATORIO_MEDICAO!$F$5),"")</f>
        <v/>
      </c>
      <c r="Z1315">
        <f>IF(OR($A1315="",PESQUISA!$C$4=""),0,IF(OR(ISNUMBER(SEARCH(PESQUISA!$C$4,$G1315)),ISNUMBER(SEARCH(PESQUISA!$C$4,$K1315)),ISNUMBER(SEARCH(PESQUISA!$C$4,$L1315))),1,0))</f>
        <v/>
      </c>
      <c r="AA1315">
        <f>IF($Z1315=1,SUM($Z$3:$Z1315),"")</f>
        <v/>
      </c>
      <c r="AB1315">
        <f>IF(OR($A1315="",PESQUISA!$C$50=""),0,IF(ISNUMBER(SEARCH(PESQUISA!$C$50,$I1315)),1,0))</f>
        <v/>
      </c>
      <c r="AC1315">
        <f>IF($AB1315=1,SUM($AB$3:$AB1315),"")</f>
        <v/>
      </c>
    </row>
    <row r="1316">
      <c r="A1316" s="20" t="n"/>
      <c r="B1316" s="20" t="n"/>
      <c r="C1316" s="20" t="n"/>
      <c r="D1316" s="20" t="n"/>
      <c r="E1316" s="20" t="n"/>
      <c r="F1316" s="20" t="n"/>
      <c r="G1316" s="20" t="n"/>
      <c r="H1316" s="20" t="n"/>
      <c r="I1316" s="20" t="n"/>
      <c r="J1316" s="20">
        <f>IFERROR(INDEX(CONFIGURACOES!$G$37:$G$300,MATCH($I1316,CONFIGURACOES!$B$37:$B$300,0)),"")</f>
        <v/>
      </c>
      <c r="K1316" s="20">
        <f>IFERROR(INDEX(CONFIGURACOES!$H$37:$H$300,MATCH($I1316,CONFIGURACOES!$B$37:$B$300,0)),"")</f>
        <v/>
      </c>
      <c r="L1316" s="20" t="n"/>
      <c r="M1316" s="20">
        <f>IFERROR(INDEX(CONFIGURACOES!$I$37:$I$300,MATCH($I1316,CONFIGURACOES!$B$37:$B$300,0)),"")</f>
        <v/>
      </c>
      <c r="N1316" s="21" t="n"/>
      <c r="O1316" s="21" t="n"/>
      <c r="P1316" s="21" t="n"/>
      <c r="Q1316" s="21" t="n"/>
      <c r="R1316" s="21">
        <f>IF($N1316="","",$N1316*IF($Q1316="",1,$Q1316)*IF($P1316="",1,$P1316)*IF($O1316="",1,$O1316))</f>
        <v/>
      </c>
      <c r="S1316" s="22">
        <f>IFERROR(INDEX(CONFIGURACOES!$J$37:$J$300,MATCH($I1316,CONFIGURACOES!$B$37:$B$300,0)),"")</f>
        <v/>
      </c>
      <c r="T1316" s="22">
        <f>IF(OR($R1316="",$S1316=""),"",$R1316*$S1316)</f>
        <v/>
      </c>
      <c r="U1316" s="20" t="n"/>
      <c r="V1316" s="20" t="n"/>
      <c r="W1316" s="20" t="n"/>
      <c r="X1316">
        <f>IF($A1316="","",$A1316&amp;"|"&amp;$C1316&amp;"|"&amp;$I1316)</f>
        <v/>
      </c>
      <c r="Y1316">
        <f>IF(AND($A1316=RELATORIO_MEDICAO!$C$5,$C1316=RELATORIO_MEDICAO!$F$5,$A1316&lt;&gt;""),COUNTIFS($A$3:$A1316,RELATORIO_MEDICAO!$C$5,$C$3:$C1316,RELATORIO_MEDICAO!$F$5),"")</f>
        <v/>
      </c>
      <c r="Z1316">
        <f>IF(OR($A1316="",PESQUISA!$C$4=""),0,IF(OR(ISNUMBER(SEARCH(PESQUISA!$C$4,$G1316)),ISNUMBER(SEARCH(PESQUISA!$C$4,$K1316)),ISNUMBER(SEARCH(PESQUISA!$C$4,$L1316))),1,0))</f>
        <v/>
      </c>
      <c r="AA1316">
        <f>IF($Z1316=1,SUM($Z$3:$Z1316),"")</f>
        <v/>
      </c>
      <c r="AB1316">
        <f>IF(OR($A1316="",PESQUISA!$C$50=""),0,IF(ISNUMBER(SEARCH(PESQUISA!$C$50,$I1316)),1,0))</f>
        <v/>
      </c>
      <c r="AC1316">
        <f>IF($AB1316=1,SUM($AB$3:$AB1316),"")</f>
        <v/>
      </c>
    </row>
    <row r="1317">
      <c r="A1317" s="20" t="n"/>
      <c r="B1317" s="20" t="n"/>
      <c r="C1317" s="20" t="n"/>
      <c r="D1317" s="20" t="n"/>
      <c r="E1317" s="20" t="n"/>
      <c r="F1317" s="20" t="n"/>
      <c r="G1317" s="20" t="n"/>
      <c r="H1317" s="20" t="n"/>
      <c r="I1317" s="20" t="n"/>
      <c r="J1317" s="20">
        <f>IFERROR(INDEX(CONFIGURACOES!$G$37:$G$300,MATCH($I1317,CONFIGURACOES!$B$37:$B$300,0)),"")</f>
        <v/>
      </c>
      <c r="K1317" s="20">
        <f>IFERROR(INDEX(CONFIGURACOES!$H$37:$H$300,MATCH($I1317,CONFIGURACOES!$B$37:$B$300,0)),"")</f>
        <v/>
      </c>
      <c r="L1317" s="20" t="n"/>
      <c r="M1317" s="20">
        <f>IFERROR(INDEX(CONFIGURACOES!$I$37:$I$300,MATCH($I1317,CONFIGURACOES!$B$37:$B$300,0)),"")</f>
        <v/>
      </c>
      <c r="N1317" s="21" t="n"/>
      <c r="O1317" s="21" t="n"/>
      <c r="P1317" s="21" t="n"/>
      <c r="Q1317" s="21" t="n"/>
      <c r="R1317" s="21">
        <f>IF($N1317="","",$N1317*IF($Q1317="",1,$Q1317)*IF($P1317="",1,$P1317)*IF($O1317="",1,$O1317))</f>
        <v/>
      </c>
      <c r="S1317" s="22">
        <f>IFERROR(INDEX(CONFIGURACOES!$J$37:$J$300,MATCH($I1317,CONFIGURACOES!$B$37:$B$300,0)),"")</f>
        <v/>
      </c>
      <c r="T1317" s="22">
        <f>IF(OR($R1317="",$S1317=""),"",$R1317*$S1317)</f>
        <v/>
      </c>
      <c r="U1317" s="20" t="n"/>
      <c r="V1317" s="20" t="n"/>
      <c r="W1317" s="20" t="n"/>
      <c r="X1317">
        <f>IF($A1317="","",$A1317&amp;"|"&amp;$C1317&amp;"|"&amp;$I1317)</f>
        <v/>
      </c>
      <c r="Y1317">
        <f>IF(AND($A1317=RELATORIO_MEDICAO!$C$5,$C1317=RELATORIO_MEDICAO!$F$5,$A1317&lt;&gt;""),COUNTIFS($A$3:$A1317,RELATORIO_MEDICAO!$C$5,$C$3:$C1317,RELATORIO_MEDICAO!$F$5),"")</f>
        <v/>
      </c>
      <c r="Z1317">
        <f>IF(OR($A1317="",PESQUISA!$C$4=""),0,IF(OR(ISNUMBER(SEARCH(PESQUISA!$C$4,$G1317)),ISNUMBER(SEARCH(PESQUISA!$C$4,$K1317)),ISNUMBER(SEARCH(PESQUISA!$C$4,$L1317))),1,0))</f>
        <v/>
      </c>
      <c r="AA1317">
        <f>IF($Z1317=1,SUM($Z$3:$Z1317),"")</f>
        <v/>
      </c>
      <c r="AB1317">
        <f>IF(OR($A1317="",PESQUISA!$C$50=""),0,IF(ISNUMBER(SEARCH(PESQUISA!$C$50,$I1317)),1,0))</f>
        <v/>
      </c>
      <c r="AC1317">
        <f>IF($AB1317=1,SUM($AB$3:$AB1317),"")</f>
        <v/>
      </c>
    </row>
    <row r="1318">
      <c r="A1318" s="20" t="n"/>
      <c r="B1318" s="20" t="n"/>
      <c r="C1318" s="20" t="n"/>
      <c r="D1318" s="20" t="n"/>
      <c r="E1318" s="20" t="n"/>
      <c r="F1318" s="20" t="n"/>
      <c r="G1318" s="20" t="n"/>
      <c r="H1318" s="20" t="n"/>
      <c r="I1318" s="20" t="n"/>
      <c r="J1318" s="20">
        <f>IFERROR(INDEX(CONFIGURACOES!$G$37:$G$300,MATCH($I1318,CONFIGURACOES!$B$37:$B$300,0)),"")</f>
        <v/>
      </c>
      <c r="K1318" s="20">
        <f>IFERROR(INDEX(CONFIGURACOES!$H$37:$H$300,MATCH($I1318,CONFIGURACOES!$B$37:$B$300,0)),"")</f>
        <v/>
      </c>
      <c r="L1318" s="20" t="n"/>
      <c r="M1318" s="20">
        <f>IFERROR(INDEX(CONFIGURACOES!$I$37:$I$300,MATCH($I1318,CONFIGURACOES!$B$37:$B$300,0)),"")</f>
        <v/>
      </c>
      <c r="N1318" s="21" t="n"/>
      <c r="O1318" s="21" t="n"/>
      <c r="P1318" s="21" t="n"/>
      <c r="Q1318" s="21" t="n"/>
      <c r="R1318" s="21">
        <f>IF($N1318="","",$N1318*IF($Q1318="",1,$Q1318)*IF($P1318="",1,$P1318)*IF($O1318="",1,$O1318))</f>
        <v/>
      </c>
      <c r="S1318" s="22">
        <f>IFERROR(INDEX(CONFIGURACOES!$J$37:$J$300,MATCH($I1318,CONFIGURACOES!$B$37:$B$300,0)),"")</f>
        <v/>
      </c>
      <c r="T1318" s="22">
        <f>IF(OR($R1318="",$S1318=""),"",$R1318*$S1318)</f>
        <v/>
      </c>
      <c r="U1318" s="20" t="n"/>
      <c r="V1318" s="20" t="n"/>
      <c r="W1318" s="20" t="n"/>
      <c r="X1318">
        <f>IF($A1318="","",$A1318&amp;"|"&amp;$C1318&amp;"|"&amp;$I1318)</f>
        <v/>
      </c>
      <c r="Y1318">
        <f>IF(AND($A1318=RELATORIO_MEDICAO!$C$5,$C1318=RELATORIO_MEDICAO!$F$5,$A1318&lt;&gt;""),COUNTIFS($A$3:$A1318,RELATORIO_MEDICAO!$C$5,$C$3:$C1318,RELATORIO_MEDICAO!$F$5),"")</f>
        <v/>
      </c>
      <c r="Z1318">
        <f>IF(OR($A1318="",PESQUISA!$C$4=""),0,IF(OR(ISNUMBER(SEARCH(PESQUISA!$C$4,$G1318)),ISNUMBER(SEARCH(PESQUISA!$C$4,$K1318)),ISNUMBER(SEARCH(PESQUISA!$C$4,$L1318))),1,0))</f>
        <v/>
      </c>
      <c r="AA1318">
        <f>IF($Z1318=1,SUM($Z$3:$Z1318),"")</f>
        <v/>
      </c>
      <c r="AB1318">
        <f>IF(OR($A1318="",PESQUISA!$C$50=""),0,IF(ISNUMBER(SEARCH(PESQUISA!$C$50,$I1318)),1,0))</f>
        <v/>
      </c>
      <c r="AC1318">
        <f>IF($AB1318=1,SUM($AB$3:$AB1318),"")</f>
        <v/>
      </c>
    </row>
    <row r="1319">
      <c r="A1319" s="20" t="n"/>
      <c r="B1319" s="20" t="n"/>
      <c r="C1319" s="20" t="n"/>
      <c r="D1319" s="20" t="n"/>
      <c r="E1319" s="20" t="n"/>
      <c r="F1319" s="20" t="n"/>
      <c r="G1319" s="20" t="n"/>
      <c r="H1319" s="20" t="n"/>
      <c r="I1319" s="20" t="n"/>
      <c r="J1319" s="20">
        <f>IFERROR(INDEX(CONFIGURACOES!$G$37:$G$300,MATCH($I1319,CONFIGURACOES!$B$37:$B$300,0)),"")</f>
        <v/>
      </c>
      <c r="K1319" s="20">
        <f>IFERROR(INDEX(CONFIGURACOES!$H$37:$H$300,MATCH($I1319,CONFIGURACOES!$B$37:$B$300,0)),"")</f>
        <v/>
      </c>
      <c r="L1319" s="20" t="n"/>
      <c r="M1319" s="20">
        <f>IFERROR(INDEX(CONFIGURACOES!$I$37:$I$300,MATCH($I1319,CONFIGURACOES!$B$37:$B$300,0)),"")</f>
        <v/>
      </c>
      <c r="N1319" s="21" t="n"/>
      <c r="O1319" s="21" t="n"/>
      <c r="P1319" s="21" t="n"/>
      <c r="Q1319" s="21" t="n"/>
      <c r="R1319" s="21">
        <f>IF($N1319="","",$N1319*IF($Q1319="",1,$Q1319)*IF($P1319="",1,$P1319)*IF($O1319="",1,$O1319))</f>
        <v/>
      </c>
      <c r="S1319" s="22">
        <f>IFERROR(INDEX(CONFIGURACOES!$J$37:$J$300,MATCH($I1319,CONFIGURACOES!$B$37:$B$300,0)),"")</f>
        <v/>
      </c>
      <c r="T1319" s="22">
        <f>IF(OR($R1319="",$S1319=""),"",$R1319*$S1319)</f>
        <v/>
      </c>
      <c r="U1319" s="20" t="n"/>
      <c r="V1319" s="20" t="n"/>
      <c r="W1319" s="20" t="n"/>
      <c r="X1319">
        <f>IF($A1319="","",$A1319&amp;"|"&amp;$C1319&amp;"|"&amp;$I1319)</f>
        <v/>
      </c>
      <c r="Y1319">
        <f>IF(AND($A1319=RELATORIO_MEDICAO!$C$5,$C1319=RELATORIO_MEDICAO!$F$5,$A1319&lt;&gt;""),COUNTIFS($A$3:$A1319,RELATORIO_MEDICAO!$C$5,$C$3:$C1319,RELATORIO_MEDICAO!$F$5),"")</f>
        <v/>
      </c>
      <c r="Z1319">
        <f>IF(OR($A1319="",PESQUISA!$C$4=""),0,IF(OR(ISNUMBER(SEARCH(PESQUISA!$C$4,$G1319)),ISNUMBER(SEARCH(PESQUISA!$C$4,$K1319)),ISNUMBER(SEARCH(PESQUISA!$C$4,$L1319))),1,0))</f>
        <v/>
      </c>
      <c r="AA1319">
        <f>IF($Z1319=1,SUM($Z$3:$Z1319),"")</f>
        <v/>
      </c>
      <c r="AB1319">
        <f>IF(OR($A1319="",PESQUISA!$C$50=""),0,IF(ISNUMBER(SEARCH(PESQUISA!$C$50,$I1319)),1,0))</f>
        <v/>
      </c>
      <c r="AC1319">
        <f>IF($AB1319=1,SUM($AB$3:$AB1319),"")</f>
        <v/>
      </c>
    </row>
    <row r="1320">
      <c r="A1320" s="20" t="n"/>
      <c r="B1320" s="20" t="n"/>
      <c r="C1320" s="20" t="n"/>
      <c r="D1320" s="20" t="n"/>
      <c r="E1320" s="20" t="n"/>
      <c r="F1320" s="20" t="n"/>
      <c r="G1320" s="20" t="n"/>
      <c r="H1320" s="20" t="n"/>
      <c r="I1320" s="20" t="n"/>
      <c r="J1320" s="20">
        <f>IFERROR(INDEX(CONFIGURACOES!$G$37:$G$300,MATCH($I1320,CONFIGURACOES!$B$37:$B$300,0)),"")</f>
        <v/>
      </c>
      <c r="K1320" s="20">
        <f>IFERROR(INDEX(CONFIGURACOES!$H$37:$H$300,MATCH($I1320,CONFIGURACOES!$B$37:$B$300,0)),"")</f>
        <v/>
      </c>
      <c r="L1320" s="20" t="n"/>
      <c r="M1320" s="20">
        <f>IFERROR(INDEX(CONFIGURACOES!$I$37:$I$300,MATCH($I1320,CONFIGURACOES!$B$37:$B$300,0)),"")</f>
        <v/>
      </c>
      <c r="N1320" s="21" t="n"/>
      <c r="O1320" s="21" t="n"/>
      <c r="P1320" s="21" t="n"/>
      <c r="Q1320" s="21" t="n"/>
      <c r="R1320" s="21">
        <f>IF($N1320="","",$N1320*IF($Q1320="",1,$Q1320)*IF($P1320="",1,$P1320)*IF($O1320="",1,$O1320))</f>
        <v/>
      </c>
      <c r="S1320" s="22">
        <f>IFERROR(INDEX(CONFIGURACOES!$J$37:$J$300,MATCH($I1320,CONFIGURACOES!$B$37:$B$300,0)),"")</f>
        <v/>
      </c>
      <c r="T1320" s="22">
        <f>IF(OR($R1320="",$S1320=""),"",$R1320*$S1320)</f>
        <v/>
      </c>
      <c r="U1320" s="20" t="n"/>
      <c r="V1320" s="20" t="n"/>
      <c r="W1320" s="20" t="n"/>
      <c r="X1320">
        <f>IF($A1320="","",$A1320&amp;"|"&amp;$C1320&amp;"|"&amp;$I1320)</f>
        <v/>
      </c>
      <c r="Y1320">
        <f>IF(AND($A1320=RELATORIO_MEDICAO!$C$5,$C1320=RELATORIO_MEDICAO!$F$5,$A1320&lt;&gt;""),COUNTIFS($A$3:$A1320,RELATORIO_MEDICAO!$C$5,$C$3:$C1320,RELATORIO_MEDICAO!$F$5),"")</f>
        <v/>
      </c>
      <c r="Z1320">
        <f>IF(OR($A1320="",PESQUISA!$C$4=""),0,IF(OR(ISNUMBER(SEARCH(PESQUISA!$C$4,$G1320)),ISNUMBER(SEARCH(PESQUISA!$C$4,$K1320)),ISNUMBER(SEARCH(PESQUISA!$C$4,$L1320))),1,0))</f>
        <v/>
      </c>
      <c r="AA1320">
        <f>IF($Z1320=1,SUM($Z$3:$Z1320),"")</f>
        <v/>
      </c>
      <c r="AB1320">
        <f>IF(OR($A1320="",PESQUISA!$C$50=""),0,IF(ISNUMBER(SEARCH(PESQUISA!$C$50,$I1320)),1,0))</f>
        <v/>
      </c>
      <c r="AC1320">
        <f>IF($AB1320=1,SUM($AB$3:$AB1320),"")</f>
        <v/>
      </c>
    </row>
    <row r="1321">
      <c r="A1321" s="20" t="n"/>
      <c r="B1321" s="20" t="n"/>
      <c r="C1321" s="20" t="n"/>
      <c r="D1321" s="20" t="n"/>
      <c r="E1321" s="20" t="n"/>
      <c r="F1321" s="20" t="n"/>
      <c r="G1321" s="20" t="n"/>
      <c r="H1321" s="20" t="n"/>
      <c r="I1321" s="20" t="n"/>
      <c r="J1321" s="20">
        <f>IFERROR(INDEX(CONFIGURACOES!$G$37:$G$300,MATCH($I1321,CONFIGURACOES!$B$37:$B$300,0)),"")</f>
        <v/>
      </c>
      <c r="K1321" s="20">
        <f>IFERROR(INDEX(CONFIGURACOES!$H$37:$H$300,MATCH($I1321,CONFIGURACOES!$B$37:$B$300,0)),"")</f>
        <v/>
      </c>
      <c r="L1321" s="20" t="n"/>
      <c r="M1321" s="20">
        <f>IFERROR(INDEX(CONFIGURACOES!$I$37:$I$300,MATCH($I1321,CONFIGURACOES!$B$37:$B$300,0)),"")</f>
        <v/>
      </c>
      <c r="N1321" s="21" t="n"/>
      <c r="O1321" s="21" t="n"/>
      <c r="P1321" s="21" t="n"/>
      <c r="Q1321" s="21" t="n"/>
      <c r="R1321" s="21">
        <f>IF($N1321="","",$N1321*IF($Q1321="",1,$Q1321)*IF($P1321="",1,$P1321)*IF($O1321="",1,$O1321))</f>
        <v/>
      </c>
      <c r="S1321" s="22">
        <f>IFERROR(INDEX(CONFIGURACOES!$J$37:$J$300,MATCH($I1321,CONFIGURACOES!$B$37:$B$300,0)),"")</f>
        <v/>
      </c>
      <c r="T1321" s="22">
        <f>IF(OR($R1321="",$S1321=""),"",$R1321*$S1321)</f>
        <v/>
      </c>
      <c r="U1321" s="20" t="n"/>
      <c r="V1321" s="20" t="n"/>
      <c r="W1321" s="20" t="n"/>
      <c r="X1321">
        <f>IF($A1321="","",$A1321&amp;"|"&amp;$C1321&amp;"|"&amp;$I1321)</f>
        <v/>
      </c>
      <c r="Y1321">
        <f>IF(AND($A1321=RELATORIO_MEDICAO!$C$5,$C1321=RELATORIO_MEDICAO!$F$5,$A1321&lt;&gt;""),COUNTIFS($A$3:$A1321,RELATORIO_MEDICAO!$C$5,$C$3:$C1321,RELATORIO_MEDICAO!$F$5),"")</f>
        <v/>
      </c>
      <c r="Z1321">
        <f>IF(OR($A1321="",PESQUISA!$C$4=""),0,IF(OR(ISNUMBER(SEARCH(PESQUISA!$C$4,$G1321)),ISNUMBER(SEARCH(PESQUISA!$C$4,$K1321)),ISNUMBER(SEARCH(PESQUISA!$C$4,$L1321))),1,0))</f>
        <v/>
      </c>
      <c r="AA1321">
        <f>IF($Z1321=1,SUM($Z$3:$Z1321),"")</f>
        <v/>
      </c>
      <c r="AB1321">
        <f>IF(OR($A1321="",PESQUISA!$C$50=""),0,IF(ISNUMBER(SEARCH(PESQUISA!$C$50,$I1321)),1,0))</f>
        <v/>
      </c>
      <c r="AC1321">
        <f>IF($AB1321=1,SUM($AB$3:$AB1321),"")</f>
        <v/>
      </c>
    </row>
    <row r="1322">
      <c r="A1322" s="20" t="n"/>
      <c r="B1322" s="20" t="n"/>
      <c r="C1322" s="20" t="n"/>
      <c r="D1322" s="20" t="n"/>
      <c r="E1322" s="20" t="n"/>
      <c r="F1322" s="20" t="n"/>
      <c r="G1322" s="20" t="n"/>
      <c r="H1322" s="20" t="n"/>
      <c r="I1322" s="20" t="n"/>
      <c r="J1322" s="20">
        <f>IFERROR(INDEX(CONFIGURACOES!$G$37:$G$300,MATCH($I1322,CONFIGURACOES!$B$37:$B$300,0)),"")</f>
        <v/>
      </c>
      <c r="K1322" s="20">
        <f>IFERROR(INDEX(CONFIGURACOES!$H$37:$H$300,MATCH($I1322,CONFIGURACOES!$B$37:$B$300,0)),"")</f>
        <v/>
      </c>
      <c r="L1322" s="20" t="n"/>
      <c r="M1322" s="20">
        <f>IFERROR(INDEX(CONFIGURACOES!$I$37:$I$300,MATCH($I1322,CONFIGURACOES!$B$37:$B$300,0)),"")</f>
        <v/>
      </c>
      <c r="N1322" s="21" t="n"/>
      <c r="O1322" s="21" t="n"/>
      <c r="P1322" s="21" t="n"/>
      <c r="Q1322" s="21" t="n"/>
      <c r="R1322" s="21">
        <f>IF($N1322="","",$N1322*IF($Q1322="",1,$Q1322)*IF($P1322="",1,$P1322)*IF($O1322="",1,$O1322))</f>
        <v/>
      </c>
      <c r="S1322" s="22">
        <f>IFERROR(INDEX(CONFIGURACOES!$J$37:$J$300,MATCH($I1322,CONFIGURACOES!$B$37:$B$300,0)),"")</f>
        <v/>
      </c>
      <c r="T1322" s="22">
        <f>IF(OR($R1322="",$S1322=""),"",$R1322*$S1322)</f>
        <v/>
      </c>
      <c r="U1322" s="20" t="n"/>
      <c r="V1322" s="20" t="n"/>
      <c r="W1322" s="20" t="n"/>
      <c r="X1322">
        <f>IF($A1322="","",$A1322&amp;"|"&amp;$C1322&amp;"|"&amp;$I1322)</f>
        <v/>
      </c>
      <c r="Y1322">
        <f>IF(AND($A1322=RELATORIO_MEDICAO!$C$5,$C1322=RELATORIO_MEDICAO!$F$5,$A1322&lt;&gt;""),COUNTIFS($A$3:$A1322,RELATORIO_MEDICAO!$C$5,$C$3:$C1322,RELATORIO_MEDICAO!$F$5),"")</f>
        <v/>
      </c>
      <c r="Z1322">
        <f>IF(OR($A1322="",PESQUISA!$C$4=""),0,IF(OR(ISNUMBER(SEARCH(PESQUISA!$C$4,$G1322)),ISNUMBER(SEARCH(PESQUISA!$C$4,$K1322)),ISNUMBER(SEARCH(PESQUISA!$C$4,$L1322))),1,0))</f>
        <v/>
      </c>
      <c r="AA1322">
        <f>IF($Z1322=1,SUM($Z$3:$Z1322),"")</f>
        <v/>
      </c>
      <c r="AB1322">
        <f>IF(OR($A1322="",PESQUISA!$C$50=""),0,IF(ISNUMBER(SEARCH(PESQUISA!$C$50,$I1322)),1,0))</f>
        <v/>
      </c>
      <c r="AC1322">
        <f>IF($AB1322=1,SUM($AB$3:$AB1322),"")</f>
        <v/>
      </c>
    </row>
    <row r="1323">
      <c r="A1323" s="20" t="n"/>
      <c r="B1323" s="20" t="n"/>
      <c r="C1323" s="20" t="n"/>
      <c r="D1323" s="20" t="n"/>
      <c r="E1323" s="20" t="n"/>
      <c r="F1323" s="20" t="n"/>
      <c r="G1323" s="20" t="n"/>
      <c r="H1323" s="20" t="n"/>
      <c r="I1323" s="20" t="n"/>
      <c r="J1323" s="20">
        <f>IFERROR(INDEX(CONFIGURACOES!$G$37:$G$300,MATCH($I1323,CONFIGURACOES!$B$37:$B$300,0)),"")</f>
        <v/>
      </c>
      <c r="K1323" s="20">
        <f>IFERROR(INDEX(CONFIGURACOES!$H$37:$H$300,MATCH($I1323,CONFIGURACOES!$B$37:$B$300,0)),"")</f>
        <v/>
      </c>
      <c r="L1323" s="20" t="n"/>
      <c r="M1323" s="20">
        <f>IFERROR(INDEX(CONFIGURACOES!$I$37:$I$300,MATCH($I1323,CONFIGURACOES!$B$37:$B$300,0)),"")</f>
        <v/>
      </c>
      <c r="N1323" s="21" t="n"/>
      <c r="O1323" s="21" t="n"/>
      <c r="P1323" s="21" t="n"/>
      <c r="Q1323" s="21" t="n"/>
      <c r="R1323" s="21">
        <f>IF($N1323="","",$N1323*IF($Q1323="",1,$Q1323)*IF($P1323="",1,$P1323)*IF($O1323="",1,$O1323))</f>
        <v/>
      </c>
      <c r="S1323" s="22">
        <f>IFERROR(INDEX(CONFIGURACOES!$J$37:$J$300,MATCH($I1323,CONFIGURACOES!$B$37:$B$300,0)),"")</f>
        <v/>
      </c>
      <c r="T1323" s="22">
        <f>IF(OR($R1323="",$S1323=""),"",$R1323*$S1323)</f>
        <v/>
      </c>
      <c r="U1323" s="20" t="n"/>
      <c r="V1323" s="20" t="n"/>
      <c r="W1323" s="20" t="n"/>
      <c r="X1323">
        <f>IF($A1323="","",$A1323&amp;"|"&amp;$C1323&amp;"|"&amp;$I1323)</f>
        <v/>
      </c>
      <c r="Y1323">
        <f>IF(AND($A1323=RELATORIO_MEDICAO!$C$5,$C1323=RELATORIO_MEDICAO!$F$5,$A1323&lt;&gt;""),COUNTIFS($A$3:$A1323,RELATORIO_MEDICAO!$C$5,$C$3:$C1323,RELATORIO_MEDICAO!$F$5),"")</f>
        <v/>
      </c>
      <c r="Z1323">
        <f>IF(OR($A1323="",PESQUISA!$C$4=""),0,IF(OR(ISNUMBER(SEARCH(PESQUISA!$C$4,$G1323)),ISNUMBER(SEARCH(PESQUISA!$C$4,$K1323)),ISNUMBER(SEARCH(PESQUISA!$C$4,$L1323))),1,0))</f>
        <v/>
      </c>
      <c r="AA1323">
        <f>IF($Z1323=1,SUM($Z$3:$Z1323),"")</f>
        <v/>
      </c>
      <c r="AB1323">
        <f>IF(OR($A1323="",PESQUISA!$C$50=""),0,IF(ISNUMBER(SEARCH(PESQUISA!$C$50,$I1323)),1,0))</f>
        <v/>
      </c>
      <c r="AC1323">
        <f>IF($AB1323=1,SUM($AB$3:$AB1323),"")</f>
        <v/>
      </c>
    </row>
    <row r="1324">
      <c r="A1324" s="20" t="n"/>
      <c r="B1324" s="20" t="n"/>
      <c r="C1324" s="20" t="n"/>
      <c r="D1324" s="20" t="n"/>
      <c r="E1324" s="20" t="n"/>
      <c r="F1324" s="20" t="n"/>
      <c r="G1324" s="20" t="n"/>
      <c r="H1324" s="20" t="n"/>
      <c r="I1324" s="20" t="n"/>
      <c r="J1324" s="20">
        <f>IFERROR(INDEX(CONFIGURACOES!$G$37:$G$300,MATCH($I1324,CONFIGURACOES!$B$37:$B$300,0)),"")</f>
        <v/>
      </c>
      <c r="K1324" s="20">
        <f>IFERROR(INDEX(CONFIGURACOES!$H$37:$H$300,MATCH($I1324,CONFIGURACOES!$B$37:$B$300,0)),"")</f>
        <v/>
      </c>
      <c r="L1324" s="20" t="n"/>
      <c r="M1324" s="20">
        <f>IFERROR(INDEX(CONFIGURACOES!$I$37:$I$300,MATCH($I1324,CONFIGURACOES!$B$37:$B$300,0)),"")</f>
        <v/>
      </c>
      <c r="N1324" s="21" t="n"/>
      <c r="O1324" s="21" t="n"/>
      <c r="P1324" s="21" t="n"/>
      <c r="Q1324" s="21" t="n"/>
      <c r="R1324" s="21">
        <f>IF($N1324="","",$N1324*IF($Q1324="",1,$Q1324)*IF($P1324="",1,$P1324)*IF($O1324="",1,$O1324))</f>
        <v/>
      </c>
      <c r="S1324" s="22">
        <f>IFERROR(INDEX(CONFIGURACOES!$J$37:$J$300,MATCH($I1324,CONFIGURACOES!$B$37:$B$300,0)),"")</f>
        <v/>
      </c>
      <c r="T1324" s="22">
        <f>IF(OR($R1324="",$S1324=""),"",$R1324*$S1324)</f>
        <v/>
      </c>
      <c r="U1324" s="20" t="n"/>
      <c r="V1324" s="20" t="n"/>
      <c r="W1324" s="20" t="n"/>
      <c r="X1324">
        <f>IF($A1324="","",$A1324&amp;"|"&amp;$C1324&amp;"|"&amp;$I1324)</f>
        <v/>
      </c>
      <c r="Y1324">
        <f>IF(AND($A1324=RELATORIO_MEDICAO!$C$5,$C1324=RELATORIO_MEDICAO!$F$5,$A1324&lt;&gt;""),COUNTIFS($A$3:$A1324,RELATORIO_MEDICAO!$C$5,$C$3:$C1324,RELATORIO_MEDICAO!$F$5),"")</f>
        <v/>
      </c>
      <c r="Z1324">
        <f>IF(OR($A1324="",PESQUISA!$C$4=""),0,IF(OR(ISNUMBER(SEARCH(PESQUISA!$C$4,$G1324)),ISNUMBER(SEARCH(PESQUISA!$C$4,$K1324)),ISNUMBER(SEARCH(PESQUISA!$C$4,$L1324))),1,0))</f>
        <v/>
      </c>
      <c r="AA1324">
        <f>IF($Z1324=1,SUM($Z$3:$Z1324),"")</f>
        <v/>
      </c>
      <c r="AB1324">
        <f>IF(OR($A1324="",PESQUISA!$C$50=""),0,IF(ISNUMBER(SEARCH(PESQUISA!$C$50,$I1324)),1,0))</f>
        <v/>
      </c>
      <c r="AC1324">
        <f>IF($AB1324=1,SUM($AB$3:$AB1324),"")</f>
        <v/>
      </c>
    </row>
    <row r="1325">
      <c r="A1325" s="20" t="n"/>
      <c r="B1325" s="20" t="n"/>
      <c r="C1325" s="20" t="n"/>
      <c r="D1325" s="20" t="n"/>
      <c r="E1325" s="20" t="n"/>
      <c r="F1325" s="20" t="n"/>
      <c r="G1325" s="20" t="n"/>
      <c r="H1325" s="20" t="n"/>
      <c r="I1325" s="20" t="n"/>
      <c r="J1325" s="20">
        <f>IFERROR(INDEX(CONFIGURACOES!$G$37:$G$300,MATCH($I1325,CONFIGURACOES!$B$37:$B$300,0)),"")</f>
        <v/>
      </c>
      <c r="K1325" s="20">
        <f>IFERROR(INDEX(CONFIGURACOES!$H$37:$H$300,MATCH($I1325,CONFIGURACOES!$B$37:$B$300,0)),"")</f>
        <v/>
      </c>
      <c r="L1325" s="20" t="n"/>
      <c r="M1325" s="20">
        <f>IFERROR(INDEX(CONFIGURACOES!$I$37:$I$300,MATCH($I1325,CONFIGURACOES!$B$37:$B$300,0)),"")</f>
        <v/>
      </c>
      <c r="N1325" s="21" t="n"/>
      <c r="O1325" s="21" t="n"/>
      <c r="P1325" s="21" t="n"/>
      <c r="Q1325" s="21" t="n"/>
      <c r="R1325" s="21">
        <f>IF($N1325="","",$N1325*IF($Q1325="",1,$Q1325)*IF($P1325="",1,$P1325)*IF($O1325="",1,$O1325))</f>
        <v/>
      </c>
      <c r="S1325" s="22">
        <f>IFERROR(INDEX(CONFIGURACOES!$J$37:$J$300,MATCH($I1325,CONFIGURACOES!$B$37:$B$300,0)),"")</f>
        <v/>
      </c>
      <c r="T1325" s="22">
        <f>IF(OR($R1325="",$S1325=""),"",$R1325*$S1325)</f>
        <v/>
      </c>
      <c r="U1325" s="20" t="n"/>
      <c r="V1325" s="20" t="n"/>
      <c r="W1325" s="20" t="n"/>
      <c r="X1325">
        <f>IF($A1325="","",$A1325&amp;"|"&amp;$C1325&amp;"|"&amp;$I1325)</f>
        <v/>
      </c>
      <c r="Y1325">
        <f>IF(AND($A1325=RELATORIO_MEDICAO!$C$5,$C1325=RELATORIO_MEDICAO!$F$5,$A1325&lt;&gt;""),COUNTIFS($A$3:$A1325,RELATORIO_MEDICAO!$C$5,$C$3:$C1325,RELATORIO_MEDICAO!$F$5),"")</f>
        <v/>
      </c>
      <c r="Z1325">
        <f>IF(OR($A1325="",PESQUISA!$C$4=""),0,IF(OR(ISNUMBER(SEARCH(PESQUISA!$C$4,$G1325)),ISNUMBER(SEARCH(PESQUISA!$C$4,$K1325)),ISNUMBER(SEARCH(PESQUISA!$C$4,$L1325))),1,0))</f>
        <v/>
      </c>
      <c r="AA1325">
        <f>IF($Z1325=1,SUM($Z$3:$Z1325),"")</f>
        <v/>
      </c>
      <c r="AB1325">
        <f>IF(OR($A1325="",PESQUISA!$C$50=""),0,IF(ISNUMBER(SEARCH(PESQUISA!$C$50,$I1325)),1,0))</f>
        <v/>
      </c>
      <c r="AC1325">
        <f>IF($AB1325=1,SUM($AB$3:$AB1325),"")</f>
        <v/>
      </c>
    </row>
    <row r="1326">
      <c r="A1326" s="20" t="n"/>
      <c r="B1326" s="20" t="n"/>
      <c r="C1326" s="20" t="n"/>
      <c r="D1326" s="20" t="n"/>
      <c r="E1326" s="20" t="n"/>
      <c r="F1326" s="20" t="n"/>
      <c r="G1326" s="20" t="n"/>
      <c r="H1326" s="20" t="n"/>
      <c r="I1326" s="20" t="n"/>
      <c r="J1326" s="20">
        <f>IFERROR(INDEX(CONFIGURACOES!$G$37:$G$300,MATCH($I1326,CONFIGURACOES!$B$37:$B$300,0)),"")</f>
        <v/>
      </c>
      <c r="K1326" s="20">
        <f>IFERROR(INDEX(CONFIGURACOES!$H$37:$H$300,MATCH($I1326,CONFIGURACOES!$B$37:$B$300,0)),"")</f>
        <v/>
      </c>
      <c r="L1326" s="20" t="n"/>
      <c r="M1326" s="20">
        <f>IFERROR(INDEX(CONFIGURACOES!$I$37:$I$300,MATCH($I1326,CONFIGURACOES!$B$37:$B$300,0)),"")</f>
        <v/>
      </c>
      <c r="N1326" s="21" t="n"/>
      <c r="O1326" s="21" t="n"/>
      <c r="P1326" s="21" t="n"/>
      <c r="Q1326" s="21" t="n"/>
      <c r="R1326" s="21">
        <f>IF($N1326="","",$N1326*IF($Q1326="",1,$Q1326)*IF($P1326="",1,$P1326)*IF($O1326="",1,$O1326))</f>
        <v/>
      </c>
      <c r="S1326" s="22">
        <f>IFERROR(INDEX(CONFIGURACOES!$J$37:$J$300,MATCH($I1326,CONFIGURACOES!$B$37:$B$300,0)),"")</f>
        <v/>
      </c>
      <c r="T1326" s="22">
        <f>IF(OR($R1326="",$S1326=""),"",$R1326*$S1326)</f>
        <v/>
      </c>
      <c r="U1326" s="20" t="n"/>
      <c r="V1326" s="20" t="n"/>
      <c r="W1326" s="20" t="n"/>
      <c r="X1326">
        <f>IF($A1326="","",$A1326&amp;"|"&amp;$C1326&amp;"|"&amp;$I1326)</f>
        <v/>
      </c>
      <c r="Y1326">
        <f>IF(AND($A1326=RELATORIO_MEDICAO!$C$5,$C1326=RELATORIO_MEDICAO!$F$5,$A1326&lt;&gt;""),COUNTIFS($A$3:$A1326,RELATORIO_MEDICAO!$C$5,$C$3:$C1326,RELATORIO_MEDICAO!$F$5),"")</f>
        <v/>
      </c>
      <c r="Z1326">
        <f>IF(OR($A1326="",PESQUISA!$C$4=""),0,IF(OR(ISNUMBER(SEARCH(PESQUISA!$C$4,$G1326)),ISNUMBER(SEARCH(PESQUISA!$C$4,$K1326)),ISNUMBER(SEARCH(PESQUISA!$C$4,$L1326))),1,0))</f>
        <v/>
      </c>
      <c r="AA1326">
        <f>IF($Z1326=1,SUM($Z$3:$Z1326),"")</f>
        <v/>
      </c>
      <c r="AB1326">
        <f>IF(OR($A1326="",PESQUISA!$C$50=""),0,IF(ISNUMBER(SEARCH(PESQUISA!$C$50,$I1326)),1,0))</f>
        <v/>
      </c>
      <c r="AC1326">
        <f>IF($AB1326=1,SUM($AB$3:$AB1326),"")</f>
        <v/>
      </c>
    </row>
    <row r="1327">
      <c r="A1327" s="20" t="n"/>
      <c r="B1327" s="20" t="n"/>
      <c r="C1327" s="20" t="n"/>
      <c r="D1327" s="20" t="n"/>
      <c r="E1327" s="20" t="n"/>
      <c r="F1327" s="20" t="n"/>
      <c r="G1327" s="20" t="n"/>
      <c r="H1327" s="20" t="n"/>
      <c r="I1327" s="20" t="n"/>
      <c r="J1327" s="20">
        <f>IFERROR(INDEX(CONFIGURACOES!$G$37:$G$300,MATCH($I1327,CONFIGURACOES!$B$37:$B$300,0)),"")</f>
        <v/>
      </c>
      <c r="K1327" s="20">
        <f>IFERROR(INDEX(CONFIGURACOES!$H$37:$H$300,MATCH($I1327,CONFIGURACOES!$B$37:$B$300,0)),"")</f>
        <v/>
      </c>
      <c r="L1327" s="20" t="n"/>
      <c r="M1327" s="20">
        <f>IFERROR(INDEX(CONFIGURACOES!$I$37:$I$300,MATCH($I1327,CONFIGURACOES!$B$37:$B$300,0)),"")</f>
        <v/>
      </c>
      <c r="N1327" s="21" t="n"/>
      <c r="O1327" s="21" t="n"/>
      <c r="P1327" s="21" t="n"/>
      <c r="Q1327" s="21" t="n"/>
      <c r="R1327" s="21">
        <f>IF($N1327="","",$N1327*IF($Q1327="",1,$Q1327)*IF($P1327="",1,$P1327)*IF($O1327="",1,$O1327))</f>
        <v/>
      </c>
      <c r="S1327" s="22">
        <f>IFERROR(INDEX(CONFIGURACOES!$J$37:$J$300,MATCH($I1327,CONFIGURACOES!$B$37:$B$300,0)),"")</f>
        <v/>
      </c>
      <c r="T1327" s="22">
        <f>IF(OR($R1327="",$S1327=""),"",$R1327*$S1327)</f>
        <v/>
      </c>
      <c r="U1327" s="20" t="n"/>
      <c r="V1327" s="20" t="n"/>
      <c r="W1327" s="20" t="n"/>
      <c r="X1327">
        <f>IF($A1327="","",$A1327&amp;"|"&amp;$C1327&amp;"|"&amp;$I1327)</f>
        <v/>
      </c>
      <c r="Y1327">
        <f>IF(AND($A1327=RELATORIO_MEDICAO!$C$5,$C1327=RELATORIO_MEDICAO!$F$5,$A1327&lt;&gt;""),COUNTIFS($A$3:$A1327,RELATORIO_MEDICAO!$C$5,$C$3:$C1327,RELATORIO_MEDICAO!$F$5),"")</f>
        <v/>
      </c>
      <c r="Z1327">
        <f>IF(OR($A1327="",PESQUISA!$C$4=""),0,IF(OR(ISNUMBER(SEARCH(PESQUISA!$C$4,$G1327)),ISNUMBER(SEARCH(PESQUISA!$C$4,$K1327)),ISNUMBER(SEARCH(PESQUISA!$C$4,$L1327))),1,0))</f>
        <v/>
      </c>
      <c r="AA1327">
        <f>IF($Z1327=1,SUM($Z$3:$Z1327),"")</f>
        <v/>
      </c>
      <c r="AB1327">
        <f>IF(OR($A1327="",PESQUISA!$C$50=""),0,IF(ISNUMBER(SEARCH(PESQUISA!$C$50,$I1327)),1,0))</f>
        <v/>
      </c>
      <c r="AC1327">
        <f>IF($AB1327=1,SUM($AB$3:$AB1327),"")</f>
        <v/>
      </c>
    </row>
    <row r="1328">
      <c r="A1328" s="20" t="n"/>
      <c r="B1328" s="20" t="n"/>
      <c r="C1328" s="20" t="n"/>
      <c r="D1328" s="20" t="n"/>
      <c r="E1328" s="20" t="n"/>
      <c r="F1328" s="20" t="n"/>
      <c r="G1328" s="20" t="n"/>
      <c r="H1328" s="20" t="n"/>
      <c r="I1328" s="20" t="n"/>
      <c r="J1328" s="20">
        <f>IFERROR(INDEX(CONFIGURACOES!$G$37:$G$300,MATCH($I1328,CONFIGURACOES!$B$37:$B$300,0)),"")</f>
        <v/>
      </c>
      <c r="K1328" s="20">
        <f>IFERROR(INDEX(CONFIGURACOES!$H$37:$H$300,MATCH($I1328,CONFIGURACOES!$B$37:$B$300,0)),"")</f>
        <v/>
      </c>
      <c r="L1328" s="20" t="n"/>
      <c r="M1328" s="20">
        <f>IFERROR(INDEX(CONFIGURACOES!$I$37:$I$300,MATCH($I1328,CONFIGURACOES!$B$37:$B$300,0)),"")</f>
        <v/>
      </c>
      <c r="N1328" s="21" t="n"/>
      <c r="O1328" s="21" t="n"/>
      <c r="P1328" s="21" t="n"/>
      <c r="Q1328" s="21" t="n"/>
      <c r="R1328" s="21">
        <f>IF($N1328="","",$N1328*IF($Q1328="",1,$Q1328)*IF($P1328="",1,$P1328)*IF($O1328="",1,$O1328))</f>
        <v/>
      </c>
      <c r="S1328" s="22">
        <f>IFERROR(INDEX(CONFIGURACOES!$J$37:$J$300,MATCH($I1328,CONFIGURACOES!$B$37:$B$300,0)),"")</f>
        <v/>
      </c>
      <c r="T1328" s="22">
        <f>IF(OR($R1328="",$S1328=""),"",$R1328*$S1328)</f>
        <v/>
      </c>
      <c r="U1328" s="20" t="n"/>
      <c r="V1328" s="20" t="n"/>
      <c r="W1328" s="20" t="n"/>
      <c r="X1328">
        <f>IF($A1328="","",$A1328&amp;"|"&amp;$C1328&amp;"|"&amp;$I1328)</f>
        <v/>
      </c>
      <c r="Y1328">
        <f>IF(AND($A1328=RELATORIO_MEDICAO!$C$5,$C1328=RELATORIO_MEDICAO!$F$5,$A1328&lt;&gt;""),COUNTIFS($A$3:$A1328,RELATORIO_MEDICAO!$C$5,$C$3:$C1328,RELATORIO_MEDICAO!$F$5),"")</f>
        <v/>
      </c>
      <c r="Z1328">
        <f>IF(OR($A1328="",PESQUISA!$C$4=""),0,IF(OR(ISNUMBER(SEARCH(PESQUISA!$C$4,$G1328)),ISNUMBER(SEARCH(PESQUISA!$C$4,$K1328)),ISNUMBER(SEARCH(PESQUISA!$C$4,$L1328))),1,0))</f>
        <v/>
      </c>
      <c r="AA1328">
        <f>IF($Z1328=1,SUM($Z$3:$Z1328),"")</f>
        <v/>
      </c>
      <c r="AB1328">
        <f>IF(OR($A1328="",PESQUISA!$C$50=""),0,IF(ISNUMBER(SEARCH(PESQUISA!$C$50,$I1328)),1,0))</f>
        <v/>
      </c>
      <c r="AC1328">
        <f>IF($AB1328=1,SUM($AB$3:$AB1328),"")</f>
        <v/>
      </c>
    </row>
    <row r="1329">
      <c r="A1329" s="20" t="n"/>
      <c r="B1329" s="20" t="n"/>
      <c r="C1329" s="20" t="n"/>
      <c r="D1329" s="20" t="n"/>
      <c r="E1329" s="20" t="n"/>
      <c r="F1329" s="20" t="n"/>
      <c r="G1329" s="20" t="n"/>
      <c r="H1329" s="20" t="n"/>
      <c r="I1329" s="20" t="n"/>
      <c r="J1329" s="20">
        <f>IFERROR(INDEX(CONFIGURACOES!$G$37:$G$300,MATCH($I1329,CONFIGURACOES!$B$37:$B$300,0)),"")</f>
        <v/>
      </c>
      <c r="K1329" s="20">
        <f>IFERROR(INDEX(CONFIGURACOES!$H$37:$H$300,MATCH($I1329,CONFIGURACOES!$B$37:$B$300,0)),"")</f>
        <v/>
      </c>
      <c r="L1329" s="20" t="n"/>
      <c r="M1329" s="20">
        <f>IFERROR(INDEX(CONFIGURACOES!$I$37:$I$300,MATCH($I1329,CONFIGURACOES!$B$37:$B$300,0)),"")</f>
        <v/>
      </c>
      <c r="N1329" s="21" t="n"/>
      <c r="O1329" s="21" t="n"/>
      <c r="P1329" s="21" t="n"/>
      <c r="Q1329" s="21" t="n"/>
      <c r="R1329" s="21">
        <f>IF($N1329="","",$N1329*IF($Q1329="",1,$Q1329)*IF($P1329="",1,$P1329)*IF($O1329="",1,$O1329))</f>
        <v/>
      </c>
      <c r="S1329" s="22">
        <f>IFERROR(INDEX(CONFIGURACOES!$J$37:$J$300,MATCH($I1329,CONFIGURACOES!$B$37:$B$300,0)),"")</f>
        <v/>
      </c>
      <c r="T1329" s="22">
        <f>IF(OR($R1329="",$S1329=""),"",$R1329*$S1329)</f>
        <v/>
      </c>
      <c r="U1329" s="20" t="n"/>
      <c r="V1329" s="20" t="n"/>
      <c r="W1329" s="20" t="n"/>
      <c r="X1329">
        <f>IF($A1329="","",$A1329&amp;"|"&amp;$C1329&amp;"|"&amp;$I1329)</f>
        <v/>
      </c>
      <c r="Y1329">
        <f>IF(AND($A1329=RELATORIO_MEDICAO!$C$5,$C1329=RELATORIO_MEDICAO!$F$5,$A1329&lt;&gt;""),COUNTIFS($A$3:$A1329,RELATORIO_MEDICAO!$C$5,$C$3:$C1329,RELATORIO_MEDICAO!$F$5),"")</f>
        <v/>
      </c>
      <c r="Z1329">
        <f>IF(OR($A1329="",PESQUISA!$C$4=""),0,IF(OR(ISNUMBER(SEARCH(PESQUISA!$C$4,$G1329)),ISNUMBER(SEARCH(PESQUISA!$C$4,$K1329)),ISNUMBER(SEARCH(PESQUISA!$C$4,$L1329))),1,0))</f>
        <v/>
      </c>
      <c r="AA1329">
        <f>IF($Z1329=1,SUM($Z$3:$Z1329),"")</f>
        <v/>
      </c>
      <c r="AB1329">
        <f>IF(OR($A1329="",PESQUISA!$C$50=""),0,IF(ISNUMBER(SEARCH(PESQUISA!$C$50,$I1329)),1,0))</f>
        <v/>
      </c>
      <c r="AC1329">
        <f>IF($AB1329=1,SUM($AB$3:$AB1329),"")</f>
        <v/>
      </c>
    </row>
    <row r="1330">
      <c r="A1330" s="20" t="n"/>
      <c r="B1330" s="20" t="n"/>
      <c r="C1330" s="20" t="n"/>
      <c r="D1330" s="20" t="n"/>
      <c r="E1330" s="20" t="n"/>
      <c r="F1330" s="20" t="n"/>
      <c r="G1330" s="20" t="n"/>
      <c r="H1330" s="20" t="n"/>
      <c r="I1330" s="20" t="n"/>
      <c r="J1330" s="20">
        <f>IFERROR(INDEX(CONFIGURACOES!$G$37:$G$300,MATCH($I1330,CONFIGURACOES!$B$37:$B$300,0)),"")</f>
        <v/>
      </c>
      <c r="K1330" s="20">
        <f>IFERROR(INDEX(CONFIGURACOES!$H$37:$H$300,MATCH($I1330,CONFIGURACOES!$B$37:$B$300,0)),"")</f>
        <v/>
      </c>
      <c r="L1330" s="20" t="n"/>
      <c r="M1330" s="20">
        <f>IFERROR(INDEX(CONFIGURACOES!$I$37:$I$300,MATCH($I1330,CONFIGURACOES!$B$37:$B$300,0)),"")</f>
        <v/>
      </c>
      <c r="N1330" s="21" t="n"/>
      <c r="O1330" s="21" t="n"/>
      <c r="P1330" s="21" t="n"/>
      <c r="Q1330" s="21" t="n"/>
      <c r="R1330" s="21">
        <f>IF($N1330="","",$N1330*IF($Q1330="",1,$Q1330)*IF($P1330="",1,$P1330)*IF($O1330="",1,$O1330))</f>
        <v/>
      </c>
      <c r="S1330" s="22">
        <f>IFERROR(INDEX(CONFIGURACOES!$J$37:$J$300,MATCH($I1330,CONFIGURACOES!$B$37:$B$300,0)),"")</f>
        <v/>
      </c>
      <c r="T1330" s="22">
        <f>IF(OR($R1330="",$S1330=""),"",$R1330*$S1330)</f>
        <v/>
      </c>
      <c r="U1330" s="20" t="n"/>
      <c r="V1330" s="20" t="n"/>
      <c r="W1330" s="20" t="n"/>
      <c r="X1330">
        <f>IF($A1330="","",$A1330&amp;"|"&amp;$C1330&amp;"|"&amp;$I1330)</f>
        <v/>
      </c>
      <c r="Y1330">
        <f>IF(AND($A1330=RELATORIO_MEDICAO!$C$5,$C1330=RELATORIO_MEDICAO!$F$5,$A1330&lt;&gt;""),COUNTIFS($A$3:$A1330,RELATORIO_MEDICAO!$C$5,$C$3:$C1330,RELATORIO_MEDICAO!$F$5),"")</f>
        <v/>
      </c>
      <c r="Z1330">
        <f>IF(OR($A1330="",PESQUISA!$C$4=""),0,IF(OR(ISNUMBER(SEARCH(PESQUISA!$C$4,$G1330)),ISNUMBER(SEARCH(PESQUISA!$C$4,$K1330)),ISNUMBER(SEARCH(PESQUISA!$C$4,$L1330))),1,0))</f>
        <v/>
      </c>
      <c r="AA1330">
        <f>IF($Z1330=1,SUM($Z$3:$Z1330),"")</f>
        <v/>
      </c>
      <c r="AB1330">
        <f>IF(OR($A1330="",PESQUISA!$C$50=""),0,IF(ISNUMBER(SEARCH(PESQUISA!$C$50,$I1330)),1,0))</f>
        <v/>
      </c>
      <c r="AC1330">
        <f>IF($AB1330=1,SUM($AB$3:$AB1330),"")</f>
        <v/>
      </c>
    </row>
    <row r="1331">
      <c r="A1331" s="20" t="n"/>
      <c r="B1331" s="20" t="n"/>
      <c r="C1331" s="20" t="n"/>
      <c r="D1331" s="20" t="n"/>
      <c r="E1331" s="20" t="n"/>
      <c r="F1331" s="20" t="n"/>
      <c r="G1331" s="20" t="n"/>
      <c r="H1331" s="20" t="n"/>
      <c r="I1331" s="20" t="n"/>
      <c r="J1331" s="20">
        <f>IFERROR(INDEX(CONFIGURACOES!$G$37:$G$300,MATCH($I1331,CONFIGURACOES!$B$37:$B$300,0)),"")</f>
        <v/>
      </c>
      <c r="K1331" s="20">
        <f>IFERROR(INDEX(CONFIGURACOES!$H$37:$H$300,MATCH($I1331,CONFIGURACOES!$B$37:$B$300,0)),"")</f>
        <v/>
      </c>
      <c r="L1331" s="20" t="n"/>
      <c r="M1331" s="20">
        <f>IFERROR(INDEX(CONFIGURACOES!$I$37:$I$300,MATCH($I1331,CONFIGURACOES!$B$37:$B$300,0)),"")</f>
        <v/>
      </c>
      <c r="N1331" s="21" t="n"/>
      <c r="O1331" s="21" t="n"/>
      <c r="P1331" s="21" t="n"/>
      <c r="Q1331" s="21" t="n"/>
      <c r="R1331" s="21">
        <f>IF($N1331="","",$N1331*IF($Q1331="",1,$Q1331)*IF($P1331="",1,$P1331)*IF($O1331="",1,$O1331))</f>
        <v/>
      </c>
      <c r="S1331" s="22">
        <f>IFERROR(INDEX(CONFIGURACOES!$J$37:$J$300,MATCH($I1331,CONFIGURACOES!$B$37:$B$300,0)),"")</f>
        <v/>
      </c>
      <c r="T1331" s="22">
        <f>IF(OR($R1331="",$S1331=""),"",$R1331*$S1331)</f>
        <v/>
      </c>
      <c r="U1331" s="20" t="n"/>
      <c r="V1331" s="20" t="n"/>
      <c r="W1331" s="20" t="n"/>
      <c r="X1331">
        <f>IF($A1331="","",$A1331&amp;"|"&amp;$C1331&amp;"|"&amp;$I1331)</f>
        <v/>
      </c>
      <c r="Y1331">
        <f>IF(AND($A1331=RELATORIO_MEDICAO!$C$5,$C1331=RELATORIO_MEDICAO!$F$5,$A1331&lt;&gt;""),COUNTIFS($A$3:$A1331,RELATORIO_MEDICAO!$C$5,$C$3:$C1331,RELATORIO_MEDICAO!$F$5),"")</f>
        <v/>
      </c>
      <c r="Z1331">
        <f>IF(OR($A1331="",PESQUISA!$C$4=""),0,IF(OR(ISNUMBER(SEARCH(PESQUISA!$C$4,$G1331)),ISNUMBER(SEARCH(PESQUISA!$C$4,$K1331)),ISNUMBER(SEARCH(PESQUISA!$C$4,$L1331))),1,0))</f>
        <v/>
      </c>
      <c r="AA1331">
        <f>IF($Z1331=1,SUM($Z$3:$Z1331),"")</f>
        <v/>
      </c>
      <c r="AB1331">
        <f>IF(OR($A1331="",PESQUISA!$C$50=""),0,IF(ISNUMBER(SEARCH(PESQUISA!$C$50,$I1331)),1,0))</f>
        <v/>
      </c>
      <c r="AC1331">
        <f>IF($AB1331=1,SUM($AB$3:$AB1331),"")</f>
        <v/>
      </c>
    </row>
    <row r="1332">
      <c r="A1332" s="20" t="n"/>
      <c r="B1332" s="20" t="n"/>
      <c r="C1332" s="20" t="n"/>
      <c r="D1332" s="20" t="n"/>
      <c r="E1332" s="20" t="n"/>
      <c r="F1332" s="20" t="n"/>
      <c r="G1332" s="20" t="n"/>
      <c r="H1332" s="20" t="n"/>
      <c r="I1332" s="20" t="n"/>
      <c r="J1332" s="20">
        <f>IFERROR(INDEX(CONFIGURACOES!$G$37:$G$300,MATCH($I1332,CONFIGURACOES!$B$37:$B$300,0)),"")</f>
        <v/>
      </c>
      <c r="K1332" s="20">
        <f>IFERROR(INDEX(CONFIGURACOES!$H$37:$H$300,MATCH($I1332,CONFIGURACOES!$B$37:$B$300,0)),"")</f>
        <v/>
      </c>
      <c r="L1332" s="20" t="n"/>
      <c r="M1332" s="20">
        <f>IFERROR(INDEX(CONFIGURACOES!$I$37:$I$300,MATCH($I1332,CONFIGURACOES!$B$37:$B$300,0)),"")</f>
        <v/>
      </c>
      <c r="N1332" s="21" t="n"/>
      <c r="O1332" s="21" t="n"/>
      <c r="P1332" s="21" t="n"/>
      <c r="Q1332" s="21" t="n"/>
      <c r="R1332" s="21">
        <f>IF($N1332="","",$N1332*IF($Q1332="",1,$Q1332)*IF($P1332="",1,$P1332)*IF($O1332="",1,$O1332))</f>
        <v/>
      </c>
      <c r="S1332" s="22">
        <f>IFERROR(INDEX(CONFIGURACOES!$J$37:$J$300,MATCH($I1332,CONFIGURACOES!$B$37:$B$300,0)),"")</f>
        <v/>
      </c>
      <c r="T1332" s="22">
        <f>IF(OR($R1332="",$S1332=""),"",$R1332*$S1332)</f>
        <v/>
      </c>
      <c r="U1332" s="20" t="n"/>
      <c r="V1332" s="20" t="n"/>
      <c r="W1332" s="20" t="n"/>
      <c r="X1332">
        <f>IF($A1332="","",$A1332&amp;"|"&amp;$C1332&amp;"|"&amp;$I1332)</f>
        <v/>
      </c>
      <c r="Y1332">
        <f>IF(AND($A1332=RELATORIO_MEDICAO!$C$5,$C1332=RELATORIO_MEDICAO!$F$5,$A1332&lt;&gt;""),COUNTIFS($A$3:$A1332,RELATORIO_MEDICAO!$C$5,$C$3:$C1332,RELATORIO_MEDICAO!$F$5),"")</f>
        <v/>
      </c>
      <c r="Z1332">
        <f>IF(OR($A1332="",PESQUISA!$C$4=""),0,IF(OR(ISNUMBER(SEARCH(PESQUISA!$C$4,$G1332)),ISNUMBER(SEARCH(PESQUISA!$C$4,$K1332)),ISNUMBER(SEARCH(PESQUISA!$C$4,$L1332))),1,0))</f>
        <v/>
      </c>
      <c r="AA1332">
        <f>IF($Z1332=1,SUM($Z$3:$Z1332),"")</f>
        <v/>
      </c>
      <c r="AB1332">
        <f>IF(OR($A1332="",PESQUISA!$C$50=""),0,IF(ISNUMBER(SEARCH(PESQUISA!$C$50,$I1332)),1,0))</f>
        <v/>
      </c>
      <c r="AC1332">
        <f>IF($AB1332=1,SUM($AB$3:$AB1332),"")</f>
        <v/>
      </c>
    </row>
    <row r="1333">
      <c r="A1333" s="20" t="n"/>
      <c r="B1333" s="20" t="n"/>
      <c r="C1333" s="20" t="n"/>
      <c r="D1333" s="20" t="n"/>
      <c r="E1333" s="20" t="n"/>
      <c r="F1333" s="20" t="n"/>
      <c r="G1333" s="20" t="n"/>
      <c r="H1333" s="20" t="n"/>
      <c r="I1333" s="20" t="n"/>
      <c r="J1333" s="20">
        <f>IFERROR(INDEX(CONFIGURACOES!$G$37:$G$300,MATCH($I1333,CONFIGURACOES!$B$37:$B$300,0)),"")</f>
        <v/>
      </c>
      <c r="K1333" s="20">
        <f>IFERROR(INDEX(CONFIGURACOES!$H$37:$H$300,MATCH($I1333,CONFIGURACOES!$B$37:$B$300,0)),"")</f>
        <v/>
      </c>
      <c r="L1333" s="20" t="n"/>
      <c r="M1333" s="20">
        <f>IFERROR(INDEX(CONFIGURACOES!$I$37:$I$300,MATCH($I1333,CONFIGURACOES!$B$37:$B$300,0)),"")</f>
        <v/>
      </c>
      <c r="N1333" s="21" t="n"/>
      <c r="O1333" s="21" t="n"/>
      <c r="P1333" s="21" t="n"/>
      <c r="Q1333" s="21" t="n"/>
      <c r="R1333" s="21">
        <f>IF($N1333="","",$N1333*IF($Q1333="",1,$Q1333)*IF($P1333="",1,$P1333)*IF($O1333="",1,$O1333))</f>
        <v/>
      </c>
      <c r="S1333" s="22">
        <f>IFERROR(INDEX(CONFIGURACOES!$J$37:$J$300,MATCH($I1333,CONFIGURACOES!$B$37:$B$300,0)),"")</f>
        <v/>
      </c>
      <c r="T1333" s="22">
        <f>IF(OR($R1333="",$S1333=""),"",$R1333*$S1333)</f>
        <v/>
      </c>
      <c r="U1333" s="20" t="n"/>
      <c r="V1333" s="20" t="n"/>
      <c r="W1333" s="20" t="n"/>
      <c r="X1333">
        <f>IF($A1333="","",$A1333&amp;"|"&amp;$C1333&amp;"|"&amp;$I1333)</f>
        <v/>
      </c>
      <c r="Y1333">
        <f>IF(AND($A1333=RELATORIO_MEDICAO!$C$5,$C1333=RELATORIO_MEDICAO!$F$5,$A1333&lt;&gt;""),COUNTIFS($A$3:$A1333,RELATORIO_MEDICAO!$C$5,$C$3:$C1333,RELATORIO_MEDICAO!$F$5),"")</f>
        <v/>
      </c>
      <c r="Z1333">
        <f>IF(OR($A1333="",PESQUISA!$C$4=""),0,IF(OR(ISNUMBER(SEARCH(PESQUISA!$C$4,$G1333)),ISNUMBER(SEARCH(PESQUISA!$C$4,$K1333)),ISNUMBER(SEARCH(PESQUISA!$C$4,$L1333))),1,0))</f>
        <v/>
      </c>
      <c r="AA1333">
        <f>IF($Z1333=1,SUM($Z$3:$Z1333),"")</f>
        <v/>
      </c>
      <c r="AB1333">
        <f>IF(OR($A1333="",PESQUISA!$C$50=""),0,IF(ISNUMBER(SEARCH(PESQUISA!$C$50,$I1333)),1,0))</f>
        <v/>
      </c>
      <c r="AC1333">
        <f>IF($AB1333=1,SUM($AB$3:$AB1333),"")</f>
        <v/>
      </c>
    </row>
    <row r="1334">
      <c r="A1334" s="20" t="n"/>
      <c r="B1334" s="20" t="n"/>
      <c r="C1334" s="20" t="n"/>
      <c r="D1334" s="20" t="n"/>
      <c r="E1334" s="20" t="n"/>
      <c r="F1334" s="20" t="n"/>
      <c r="G1334" s="20" t="n"/>
      <c r="H1334" s="20" t="n"/>
      <c r="I1334" s="20" t="n"/>
      <c r="J1334" s="20">
        <f>IFERROR(INDEX(CONFIGURACOES!$G$37:$G$300,MATCH($I1334,CONFIGURACOES!$B$37:$B$300,0)),"")</f>
        <v/>
      </c>
      <c r="K1334" s="20">
        <f>IFERROR(INDEX(CONFIGURACOES!$H$37:$H$300,MATCH($I1334,CONFIGURACOES!$B$37:$B$300,0)),"")</f>
        <v/>
      </c>
      <c r="L1334" s="20" t="n"/>
      <c r="M1334" s="20">
        <f>IFERROR(INDEX(CONFIGURACOES!$I$37:$I$300,MATCH($I1334,CONFIGURACOES!$B$37:$B$300,0)),"")</f>
        <v/>
      </c>
      <c r="N1334" s="21" t="n"/>
      <c r="O1334" s="21" t="n"/>
      <c r="P1334" s="21" t="n"/>
      <c r="Q1334" s="21" t="n"/>
      <c r="R1334" s="21">
        <f>IF($N1334="","",$N1334*IF($Q1334="",1,$Q1334)*IF($P1334="",1,$P1334)*IF($O1334="",1,$O1334))</f>
        <v/>
      </c>
      <c r="S1334" s="22">
        <f>IFERROR(INDEX(CONFIGURACOES!$J$37:$J$300,MATCH($I1334,CONFIGURACOES!$B$37:$B$300,0)),"")</f>
        <v/>
      </c>
      <c r="T1334" s="22">
        <f>IF(OR($R1334="",$S1334=""),"",$R1334*$S1334)</f>
        <v/>
      </c>
      <c r="U1334" s="20" t="n"/>
      <c r="V1334" s="20" t="n"/>
      <c r="W1334" s="20" t="n"/>
      <c r="X1334">
        <f>IF($A1334="","",$A1334&amp;"|"&amp;$C1334&amp;"|"&amp;$I1334)</f>
        <v/>
      </c>
      <c r="Y1334">
        <f>IF(AND($A1334=RELATORIO_MEDICAO!$C$5,$C1334=RELATORIO_MEDICAO!$F$5,$A1334&lt;&gt;""),COUNTIFS($A$3:$A1334,RELATORIO_MEDICAO!$C$5,$C$3:$C1334,RELATORIO_MEDICAO!$F$5),"")</f>
        <v/>
      </c>
      <c r="Z1334">
        <f>IF(OR($A1334="",PESQUISA!$C$4=""),0,IF(OR(ISNUMBER(SEARCH(PESQUISA!$C$4,$G1334)),ISNUMBER(SEARCH(PESQUISA!$C$4,$K1334)),ISNUMBER(SEARCH(PESQUISA!$C$4,$L1334))),1,0))</f>
        <v/>
      </c>
      <c r="AA1334">
        <f>IF($Z1334=1,SUM($Z$3:$Z1334),"")</f>
        <v/>
      </c>
      <c r="AB1334">
        <f>IF(OR($A1334="",PESQUISA!$C$50=""),0,IF(ISNUMBER(SEARCH(PESQUISA!$C$50,$I1334)),1,0))</f>
        <v/>
      </c>
      <c r="AC1334">
        <f>IF($AB1334=1,SUM($AB$3:$AB1334),"")</f>
        <v/>
      </c>
    </row>
    <row r="1335">
      <c r="A1335" s="20" t="n"/>
      <c r="B1335" s="20" t="n"/>
      <c r="C1335" s="20" t="n"/>
      <c r="D1335" s="20" t="n"/>
      <c r="E1335" s="20" t="n"/>
      <c r="F1335" s="20" t="n"/>
      <c r="G1335" s="20" t="n"/>
      <c r="H1335" s="20" t="n"/>
      <c r="I1335" s="20" t="n"/>
      <c r="J1335" s="20">
        <f>IFERROR(INDEX(CONFIGURACOES!$G$37:$G$300,MATCH($I1335,CONFIGURACOES!$B$37:$B$300,0)),"")</f>
        <v/>
      </c>
      <c r="K1335" s="20">
        <f>IFERROR(INDEX(CONFIGURACOES!$H$37:$H$300,MATCH($I1335,CONFIGURACOES!$B$37:$B$300,0)),"")</f>
        <v/>
      </c>
      <c r="L1335" s="20" t="n"/>
      <c r="M1335" s="20">
        <f>IFERROR(INDEX(CONFIGURACOES!$I$37:$I$300,MATCH($I1335,CONFIGURACOES!$B$37:$B$300,0)),"")</f>
        <v/>
      </c>
      <c r="N1335" s="21" t="n"/>
      <c r="O1335" s="21" t="n"/>
      <c r="P1335" s="21" t="n"/>
      <c r="Q1335" s="21" t="n"/>
      <c r="R1335" s="21">
        <f>IF($N1335="","",$N1335*IF($Q1335="",1,$Q1335)*IF($P1335="",1,$P1335)*IF($O1335="",1,$O1335))</f>
        <v/>
      </c>
      <c r="S1335" s="22">
        <f>IFERROR(INDEX(CONFIGURACOES!$J$37:$J$300,MATCH($I1335,CONFIGURACOES!$B$37:$B$300,0)),"")</f>
        <v/>
      </c>
      <c r="T1335" s="22">
        <f>IF(OR($R1335="",$S1335=""),"",$R1335*$S1335)</f>
        <v/>
      </c>
      <c r="U1335" s="20" t="n"/>
      <c r="V1335" s="20" t="n"/>
      <c r="W1335" s="20" t="n"/>
      <c r="X1335">
        <f>IF($A1335="","",$A1335&amp;"|"&amp;$C1335&amp;"|"&amp;$I1335)</f>
        <v/>
      </c>
      <c r="Y1335">
        <f>IF(AND($A1335=RELATORIO_MEDICAO!$C$5,$C1335=RELATORIO_MEDICAO!$F$5,$A1335&lt;&gt;""),COUNTIFS($A$3:$A1335,RELATORIO_MEDICAO!$C$5,$C$3:$C1335,RELATORIO_MEDICAO!$F$5),"")</f>
        <v/>
      </c>
      <c r="Z1335">
        <f>IF(OR($A1335="",PESQUISA!$C$4=""),0,IF(OR(ISNUMBER(SEARCH(PESQUISA!$C$4,$G1335)),ISNUMBER(SEARCH(PESQUISA!$C$4,$K1335)),ISNUMBER(SEARCH(PESQUISA!$C$4,$L1335))),1,0))</f>
        <v/>
      </c>
      <c r="AA1335">
        <f>IF($Z1335=1,SUM($Z$3:$Z1335),"")</f>
        <v/>
      </c>
      <c r="AB1335">
        <f>IF(OR($A1335="",PESQUISA!$C$50=""),0,IF(ISNUMBER(SEARCH(PESQUISA!$C$50,$I1335)),1,0))</f>
        <v/>
      </c>
      <c r="AC1335">
        <f>IF($AB1335=1,SUM($AB$3:$AB1335),"")</f>
        <v/>
      </c>
    </row>
    <row r="1336">
      <c r="A1336" s="20" t="n"/>
      <c r="B1336" s="20" t="n"/>
      <c r="C1336" s="20" t="n"/>
      <c r="D1336" s="20" t="n"/>
      <c r="E1336" s="20" t="n"/>
      <c r="F1336" s="20" t="n"/>
      <c r="G1336" s="20" t="n"/>
      <c r="H1336" s="20" t="n"/>
      <c r="I1336" s="20" t="n"/>
      <c r="J1336" s="20">
        <f>IFERROR(INDEX(CONFIGURACOES!$G$37:$G$300,MATCH($I1336,CONFIGURACOES!$B$37:$B$300,0)),"")</f>
        <v/>
      </c>
      <c r="K1336" s="20">
        <f>IFERROR(INDEX(CONFIGURACOES!$H$37:$H$300,MATCH($I1336,CONFIGURACOES!$B$37:$B$300,0)),"")</f>
        <v/>
      </c>
      <c r="L1336" s="20" t="n"/>
      <c r="M1336" s="20">
        <f>IFERROR(INDEX(CONFIGURACOES!$I$37:$I$300,MATCH($I1336,CONFIGURACOES!$B$37:$B$300,0)),"")</f>
        <v/>
      </c>
      <c r="N1336" s="21" t="n"/>
      <c r="O1336" s="21" t="n"/>
      <c r="P1336" s="21" t="n"/>
      <c r="Q1336" s="21" t="n"/>
      <c r="R1336" s="21">
        <f>IF($N1336="","",$N1336*IF($Q1336="",1,$Q1336)*IF($P1336="",1,$P1336)*IF($O1336="",1,$O1336))</f>
        <v/>
      </c>
      <c r="S1336" s="22">
        <f>IFERROR(INDEX(CONFIGURACOES!$J$37:$J$300,MATCH($I1336,CONFIGURACOES!$B$37:$B$300,0)),"")</f>
        <v/>
      </c>
      <c r="T1336" s="22">
        <f>IF(OR($R1336="",$S1336=""),"",$R1336*$S1336)</f>
        <v/>
      </c>
      <c r="U1336" s="20" t="n"/>
      <c r="V1336" s="20" t="n"/>
      <c r="W1336" s="20" t="n"/>
      <c r="X1336">
        <f>IF($A1336="","",$A1336&amp;"|"&amp;$C1336&amp;"|"&amp;$I1336)</f>
        <v/>
      </c>
      <c r="Y1336">
        <f>IF(AND($A1336=RELATORIO_MEDICAO!$C$5,$C1336=RELATORIO_MEDICAO!$F$5,$A1336&lt;&gt;""),COUNTIFS($A$3:$A1336,RELATORIO_MEDICAO!$C$5,$C$3:$C1336,RELATORIO_MEDICAO!$F$5),"")</f>
        <v/>
      </c>
      <c r="Z1336">
        <f>IF(OR($A1336="",PESQUISA!$C$4=""),0,IF(OR(ISNUMBER(SEARCH(PESQUISA!$C$4,$G1336)),ISNUMBER(SEARCH(PESQUISA!$C$4,$K1336)),ISNUMBER(SEARCH(PESQUISA!$C$4,$L1336))),1,0))</f>
        <v/>
      </c>
      <c r="AA1336">
        <f>IF($Z1336=1,SUM($Z$3:$Z1336),"")</f>
        <v/>
      </c>
      <c r="AB1336">
        <f>IF(OR($A1336="",PESQUISA!$C$50=""),0,IF(ISNUMBER(SEARCH(PESQUISA!$C$50,$I1336)),1,0))</f>
        <v/>
      </c>
      <c r="AC1336">
        <f>IF($AB1336=1,SUM($AB$3:$AB1336),"")</f>
        <v/>
      </c>
    </row>
    <row r="1337">
      <c r="A1337" s="20" t="n"/>
      <c r="B1337" s="20" t="n"/>
      <c r="C1337" s="20" t="n"/>
      <c r="D1337" s="20" t="n"/>
      <c r="E1337" s="20" t="n"/>
      <c r="F1337" s="20" t="n"/>
      <c r="G1337" s="20" t="n"/>
      <c r="H1337" s="20" t="n"/>
      <c r="I1337" s="20" t="n"/>
      <c r="J1337" s="20">
        <f>IFERROR(INDEX(CONFIGURACOES!$G$37:$G$300,MATCH($I1337,CONFIGURACOES!$B$37:$B$300,0)),"")</f>
        <v/>
      </c>
      <c r="K1337" s="20">
        <f>IFERROR(INDEX(CONFIGURACOES!$H$37:$H$300,MATCH($I1337,CONFIGURACOES!$B$37:$B$300,0)),"")</f>
        <v/>
      </c>
      <c r="L1337" s="20" t="n"/>
      <c r="M1337" s="20">
        <f>IFERROR(INDEX(CONFIGURACOES!$I$37:$I$300,MATCH($I1337,CONFIGURACOES!$B$37:$B$300,0)),"")</f>
        <v/>
      </c>
      <c r="N1337" s="21" t="n"/>
      <c r="O1337" s="21" t="n"/>
      <c r="P1337" s="21" t="n"/>
      <c r="Q1337" s="21" t="n"/>
      <c r="R1337" s="21">
        <f>IF($N1337="","",$N1337*IF($Q1337="",1,$Q1337)*IF($P1337="",1,$P1337)*IF($O1337="",1,$O1337))</f>
        <v/>
      </c>
      <c r="S1337" s="22">
        <f>IFERROR(INDEX(CONFIGURACOES!$J$37:$J$300,MATCH($I1337,CONFIGURACOES!$B$37:$B$300,0)),"")</f>
        <v/>
      </c>
      <c r="T1337" s="22">
        <f>IF(OR($R1337="",$S1337=""),"",$R1337*$S1337)</f>
        <v/>
      </c>
      <c r="U1337" s="20" t="n"/>
      <c r="V1337" s="20" t="n"/>
      <c r="W1337" s="20" t="n"/>
      <c r="X1337">
        <f>IF($A1337="","",$A1337&amp;"|"&amp;$C1337&amp;"|"&amp;$I1337)</f>
        <v/>
      </c>
      <c r="Y1337">
        <f>IF(AND($A1337=RELATORIO_MEDICAO!$C$5,$C1337=RELATORIO_MEDICAO!$F$5,$A1337&lt;&gt;""),COUNTIFS($A$3:$A1337,RELATORIO_MEDICAO!$C$5,$C$3:$C1337,RELATORIO_MEDICAO!$F$5),"")</f>
        <v/>
      </c>
      <c r="Z1337">
        <f>IF(OR($A1337="",PESQUISA!$C$4=""),0,IF(OR(ISNUMBER(SEARCH(PESQUISA!$C$4,$G1337)),ISNUMBER(SEARCH(PESQUISA!$C$4,$K1337)),ISNUMBER(SEARCH(PESQUISA!$C$4,$L1337))),1,0))</f>
        <v/>
      </c>
      <c r="AA1337">
        <f>IF($Z1337=1,SUM($Z$3:$Z1337),"")</f>
        <v/>
      </c>
      <c r="AB1337">
        <f>IF(OR($A1337="",PESQUISA!$C$50=""),0,IF(ISNUMBER(SEARCH(PESQUISA!$C$50,$I1337)),1,0))</f>
        <v/>
      </c>
      <c r="AC1337">
        <f>IF($AB1337=1,SUM($AB$3:$AB1337),"")</f>
        <v/>
      </c>
    </row>
    <row r="1338">
      <c r="A1338" s="20" t="n"/>
      <c r="B1338" s="20" t="n"/>
      <c r="C1338" s="20" t="n"/>
      <c r="D1338" s="20" t="n"/>
      <c r="E1338" s="20" t="n"/>
      <c r="F1338" s="20" t="n"/>
      <c r="G1338" s="20" t="n"/>
      <c r="H1338" s="20" t="n"/>
      <c r="I1338" s="20" t="n"/>
      <c r="J1338" s="20">
        <f>IFERROR(INDEX(CONFIGURACOES!$G$37:$G$300,MATCH($I1338,CONFIGURACOES!$B$37:$B$300,0)),"")</f>
        <v/>
      </c>
      <c r="K1338" s="20">
        <f>IFERROR(INDEX(CONFIGURACOES!$H$37:$H$300,MATCH($I1338,CONFIGURACOES!$B$37:$B$300,0)),"")</f>
        <v/>
      </c>
      <c r="L1338" s="20" t="n"/>
      <c r="M1338" s="20">
        <f>IFERROR(INDEX(CONFIGURACOES!$I$37:$I$300,MATCH($I1338,CONFIGURACOES!$B$37:$B$300,0)),"")</f>
        <v/>
      </c>
      <c r="N1338" s="21" t="n"/>
      <c r="O1338" s="21" t="n"/>
      <c r="P1338" s="21" t="n"/>
      <c r="Q1338" s="21" t="n"/>
      <c r="R1338" s="21">
        <f>IF($N1338="","",$N1338*IF($Q1338="",1,$Q1338)*IF($P1338="",1,$P1338)*IF($O1338="",1,$O1338))</f>
        <v/>
      </c>
      <c r="S1338" s="22">
        <f>IFERROR(INDEX(CONFIGURACOES!$J$37:$J$300,MATCH($I1338,CONFIGURACOES!$B$37:$B$300,0)),"")</f>
        <v/>
      </c>
      <c r="T1338" s="22">
        <f>IF(OR($R1338="",$S1338=""),"",$R1338*$S1338)</f>
        <v/>
      </c>
      <c r="U1338" s="20" t="n"/>
      <c r="V1338" s="20" t="n"/>
      <c r="W1338" s="20" t="n"/>
      <c r="X1338">
        <f>IF($A1338="","",$A1338&amp;"|"&amp;$C1338&amp;"|"&amp;$I1338)</f>
        <v/>
      </c>
      <c r="Y1338">
        <f>IF(AND($A1338=RELATORIO_MEDICAO!$C$5,$C1338=RELATORIO_MEDICAO!$F$5,$A1338&lt;&gt;""),COUNTIFS($A$3:$A1338,RELATORIO_MEDICAO!$C$5,$C$3:$C1338,RELATORIO_MEDICAO!$F$5),"")</f>
        <v/>
      </c>
      <c r="Z1338">
        <f>IF(OR($A1338="",PESQUISA!$C$4=""),0,IF(OR(ISNUMBER(SEARCH(PESQUISA!$C$4,$G1338)),ISNUMBER(SEARCH(PESQUISA!$C$4,$K1338)),ISNUMBER(SEARCH(PESQUISA!$C$4,$L1338))),1,0))</f>
        <v/>
      </c>
      <c r="AA1338">
        <f>IF($Z1338=1,SUM($Z$3:$Z1338),"")</f>
        <v/>
      </c>
      <c r="AB1338">
        <f>IF(OR($A1338="",PESQUISA!$C$50=""),0,IF(ISNUMBER(SEARCH(PESQUISA!$C$50,$I1338)),1,0))</f>
        <v/>
      </c>
      <c r="AC1338">
        <f>IF($AB1338=1,SUM($AB$3:$AB1338),"")</f>
        <v/>
      </c>
    </row>
    <row r="1339">
      <c r="A1339" s="20" t="n"/>
      <c r="B1339" s="20" t="n"/>
      <c r="C1339" s="20" t="n"/>
      <c r="D1339" s="20" t="n"/>
      <c r="E1339" s="20" t="n"/>
      <c r="F1339" s="20" t="n"/>
      <c r="G1339" s="20" t="n"/>
      <c r="H1339" s="20" t="n"/>
      <c r="I1339" s="20" t="n"/>
      <c r="J1339" s="20">
        <f>IFERROR(INDEX(CONFIGURACOES!$G$37:$G$300,MATCH($I1339,CONFIGURACOES!$B$37:$B$300,0)),"")</f>
        <v/>
      </c>
      <c r="K1339" s="20">
        <f>IFERROR(INDEX(CONFIGURACOES!$H$37:$H$300,MATCH($I1339,CONFIGURACOES!$B$37:$B$300,0)),"")</f>
        <v/>
      </c>
      <c r="L1339" s="20" t="n"/>
      <c r="M1339" s="20">
        <f>IFERROR(INDEX(CONFIGURACOES!$I$37:$I$300,MATCH($I1339,CONFIGURACOES!$B$37:$B$300,0)),"")</f>
        <v/>
      </c>
      <c r="N1339" s="21" t="n"/>
      <c r="O1339" s="21" t="n"/>
      <c r="P1339" s="21" t="n"/>
      <c r="Q1339" s="21" t="n"/>
      <c r="R1339" s="21">
        <f>IF($N1339="","",$N1339*IF($Q1339="",1,$Q1339)*IF($P1339="",1,$P1339)*IF($O1339="",1,$O1339))</f>
        <v/>
      </c>
      <c r="S1339" s="22">
        <f>IFERROR(INDEX(CONFIGURACOES!$J$37:$J$300,MATCH($I1339,CONFIGURACOES!$B$37:$B$300,0)),"")</f>
        <v/>
      </c>
      <c r="T1339" s="22">
        <f>IF(OR($R1339="",$S1339=""),"",$R1339*$S1339)</f>
        <v/>
      </c>
      <c r="U1339" s="20" t="n"/>
      <c r="V1339" s="20" t="n"/>
      <c r="W1339" s="20" t="n"/>
      <c r="X1339">
        <f>IF($A1339="","",$A1339&amp;"|"&amp;$C1339&amp;"|"&amp;$I1339)</f>
        <v/>
      </c>
      <c r="Y1339">
        <f>IF(AND($A1339=RELATORIO_MEDICAO!$C$5,$C1339=RELATORIO_MEDICAO!$F$5,$A1339&lt;&gt;""),COUNTIFS($A$3:$A1339,RELATORIO_MEDICAO!$C$5,$C$3:$C1339,RELATORIO_MEDICAO!$F$5),"")</f>
        <v/>
      </c>
      <c r="Z1339">
        <f>IF(OR($A1339="",PESQUISA!$C$4=""),0,IF(OR(ISNUMBER(SEARCH(PESQUISA!$C$4,$G1339)),ISNUMBER(SEARCH(PESQUISA!$C$4,$K1339)),ISNUMBER(SEARCH(PESQUISA!$C$4,$L1339))),1,0))</f>
        <v/>
      </c>
      <c r="AA1339">
        <f>IF($Z1339=1,SUM($Z$3:$Z1339),"")</f>
        <v/>
      </c>
      <c r="AB1339">
        <f>IF(OR($A1339="",PESQUISA!$C$50=""),0,IF(ISNUMBER(SEARCH(PESQUISA!$C$50,$I1339)),1,0))</f>
        <v/>
      </c>
      <c r="AC1339">
        <f>IF($AB1339=1,SUM($AB$3:$AB1339),"")</f>
        <v/>
      </c>
    </row>
    <row r="1340">
      <c r="A1340" s="20" t="n"/>
      <c r="B1340" s="20" t="n"/>
      <c r="C1340" s="20" t="n"/>
      <c r="D1340" s="20" t="n"/>
      <c r="E1340" s="20" t="n"/>
      <c r="F1340" s="20" t="n"/>
      <c r="G1340" s="20" t="n"/>
      <c r="H1340" s="20" t="n"/>
      <c r="I1340" s="20" t="n"/>
      <c r="J1340" s="20">
        <f>IFERROR(INDEX(CONFIGURACOES!$G$37:$G$300,MATCH($I1340,CONFIGURACOES!$B$37:$B$300,0)),"")</f>
        <v/>
      </c>
      <c r="K1340" s="20">
        <f>IFERROR(INDEX(CONFIGURACOES!$H$37:$H$300,MATCH($I1340,CONFIGURACOES!$B$37:$B$300,0)),"")</f>
        <v/>
      </c>
      <c r="L1340" s="20" t="n"/>
      <c r="M1340" s="20">
        <f>IFERROR(INDEX(CONFIGURACOES!$I$37:$I$300,MATCH($I1340,CONFIGURACOES!$B$37:$B$300,0)),"")</f>
        <v/>
      </c>
      <c r="N1340" s="21" t="n"/>
      <c r="O1340" s="21" t="n"/>
      <c r="P1340" s="21" t="n"/>
      <c r="Q1340" s="21" t="n"/>
      <c r="R1340" s="21">
        <f>IF($N1340="","",$N1340*IF($Q1340="",1,$Q1340)*IF($P1340="",1,$P1340)*IF($O1340="",1,$O1340))</f>
        <v/>
      </c>
      <c r="S1340" s="22">
        <f>IFERROR(INDEX(CONFIGURACOES!$J$37:$J$300,MATCH($I1340,CONFIGURACOES!$B$37:$B$300,0)),"")</f>
        <v/>
      </c>
      <c r="T1340" s="22">
        <f>IF(OR($R1340="",$S1340=""),"",$R1340*$S1340)</f>
        <v/>
      </c>
      <c r="U1340" s="20" t="n"/>
      <c r="V1340" s="20" t="n"/>
      <c r="W1340" s="20" t="n"/>
      <c r="X1340">
        <f>IF($A1340="","",$A1340&amp;"|"&amp;$C1340&amp;"|"&amp;$I1340)</f>
        <v/>
      </c>
      <c r="Y1340">
        <f>IF(AND($A1340=RELATORIO_MEDICAO!$C$5,$C1340=RELATORIO_MEDICAO!$F$5,$A1340&lt;&gt;""),COUNTIFS($A$3:$A1340,RELATORIO_MEDICAO!$C$5,$C$3:$C1340,RELATORIO_MEDICAO!$F$5),"")</f>
        <v/>
      </c>
      <c r="Z1340">
        <f>IF(OR($A1340="",PESQUISA!$C$4=""),0,IF(OR(ISNUMBER(SEARCH(PESQUISA!$C$4,$G1340)),ISNUMBER(SEARCH(PESQUISA!$C$4,$K1340)),ISNUMBER(SEARCH(PESQUISA!$C$4,$L1340))),1,0))</f>
        <v/>
      </c>
      <c r="AA1340">
        <f>IF($Z1340=1,SUM($Z$3:$Z1340),"")</f>
        <v/>
      </c>
      <c r="AB1340">
        <f>IF(OR($A1340="",PESQUISA!$C$50=""),0,IF(ISNUMBER(SEARCH(PESQUISA!$C$50,$I1340)),1,0))</f>
        <v/>
      </c>
      <c r="AC1340">
        <f>IF($AB1340=1,SUM($AB$3:$AB1340),"")</f>
        <v/>
      </c>
    </row>
    <row r="1341">
      <c r="A1341" s="20" t="n"/>
      <c r="B1341" s="20" t="n"/>
      <c r="C1341" s="20" t="n"/>
      <c r="D1341" s="20" t="n"/>
      <c r="E1341" s="20" t="n"/>
      <c r="F1341" s="20" t="n"/>
      <c r="G1341" s="20" t="n"/>
      <c r="H1341" s="20" t="n"/>
      <c r="I1341" s="20" t="n"/>
      <c r="J1341" s="20">
        <f>IFERROR(INDEX(CONFIGURACOES!$G$37:$G$300,MATCH($I1341,CONFIGURACOES!$B$37:$B$300,0)),"")</f>
        <v/>
      </c>
      <c r="K1341" s="20">
        <f>IFERROR(INDEX(CONFIGURACOES!$H$37:$H$300,MATCH($I1341,CONFIGURACOES!$B$37:$B$300,0)),"")</f>
        <v/>
      </c>
      <c r="L1341" s="20" t="n"/>
      <c r="M1341" s="20">
        <f>IFERROR(INDEX(CONFIGURACOES!$I$37:$I$300,MATCH($I1341,CONFIGURACOES!$B$37:$B$300,0)),"")</f>
        <v/>
      </c>
      <c r="N1341" s="21" t="n"/>
      <c r="O1341" s="21" t="n"/>
      <c r="P1341" s="21" t="n"/>
      <c r="Q1341" s="21" t="n"/>
      <c r="R1341" s="21">
        <f>IF($N1341="","",$N1341*IF($Q1341="",1,$Q1341)*IF($P1341="",1,$P1341)*IF($O1341="",1,$O1341))</f>
        <v/>
      </c>
      <c r="S1341" s="22">
        <f>IFERROR(INDEX(CONFIGURACOES!$J$37:$J$300,MATCH($I1341,CONFIGURACOES!$B$37:$B$300,0)),"")</f>
        <v/>
      </c>
      <c r="T1341" s="22">
        <f>IF(OR($R1341="",$S1341=""),"",$R1341*$S1341)</f>
        <v/>
      </c>
      <c r="U1341" s="20" t="n"/>
      <c r="V1341" s="20" t="n"/>
      <c r="W1341" s="20" t="n"/>
      <c r="X1341">
        <f>IF($A1341="","",$A1341&amp;"|"&amp;$C1341&amp;"|"&amp;$I1341)</f>
        <v/>
      </c>
      <c r="Y1341">
        <f>IF(AND($A1341=RELATORIO_MEDICAO!$C$5,$C1341=RELATORIO_MEDICAO!$F$5,$A1341&lt;&gt;""),COUNTIFS($A$3:$A1341,RELATORIO_MEDICAO!$C$5,$C$3:$C1341,RELATORIO_MEDICAO!$F$5),"")</f>
        <v/>
      </c>
      <c r="Z1341">
        <f>IF(OR($A1341="",PESQUISA!$C$4=""),0,IF(OR(ISNUMBER(SEARCH(PESQUISA!$C$4,$G1341)),ISNUMBER(SEARCH(PESQUISA!$C$4,$K1341)),ISNUMBER(SEARCH(PESQUISA!$C$4,$L1341))),1,0))</f>
        <v/>
      </c>
      <c r="AA1341">
        <f>IF($Z1341=1,SUM($Z$3:$Z1341),"")</f>
        <v/>
      </c>
      <c r="AB1341">
        <f>IF(OR($A1341="",PESQUISA!$C$50=""),0,IF(ISNUMBER(SEARCH(PESQUISA!$C$50,$I1341)),1,0))</f>
        <v/>
      </c>
      <c r="AC1341">
        <f>IF($AB1341=1,SUM($AB$3:$AB1341),"")</f>
        <v/>
      </c>
    </row>
    <row r="1342">
      <c r="A1342" s="20" t="n"/>
      <c r="B1342" s="20" t="n"/>
      <c r="C1342" s="20" t="n"/>
      <c r="D1342" s="20" t="n"/>
      <c r="E1342" s="20" t="n"/>
      <c r="F1342" s="20" t="n"/>
      <c r="G1342" s="20" t="n"/>
      <c r="H1342" s="20" t="n"/>
      <c r="I1342" s="20" t="n"/>
      <c r="J1342" s="20">
        <f>IFERROR(INDEX(CONFIGURACOES!$G$37:$G$300,MATCH($I1342,CONFIGURACOES!$B$37:$B$300,0)),"")</f>
        <v/>
      </c>
      <c r="K1342" s="20">
        <f>IFERROR(INDEX(CONFIGURACOES!$H$37:$H$300,MATCH($I1342,CONFIGURACOES!$B$37:$B$300,0)),"")</f>
        <v/>
      </c>
      <c r="L1342" s="20" t="n"/>
      <c r="M1342" s="20">
        <f>IFERROR(INDEX(CONFIGURACOES!$I$37:$I$300,MATCH($I1342,CONFIGURACOES!$B$37:$B$300,0)),"")</f>
        <v/>
      </c>
      <c r="N1342" s="21" t="n"/>
      <c r="O1342" s="21" t="n"/>
      <c r="P1342" s="21" t="n"/>
      <c r="Q1342" s="21" t="n"/>
      <c r="R1342" s="21">
        <f>IF($N1342="","",$N1342*IF($Q1342="",1,$Q1342)*IF($P1342="",1,$P1342)*IF($O1342="",1,$O1342))</f>
        <v/>
      </c>
      <c r="S1342" s="22">
        <f>IFERROR(INDEX(CONFIGURACOES!$J$37:$J$300,MATCH($I1342,CONFIGURACOES!$B$37:$B$300,0)),"")</f>
        <v/>
      </c>
      <c r="T1342" s="22">
        <f>IF(OR($R1342="",$S1342=""),"",$R1342*$S1342)</f>
        <v/>
      </c>
      <c r="U1342" s="20" t="n"/>
      <c r="V1342" s="20" t="n"/>
      <c r="W1342" s="20" t="n"/>
      <c r="X1342">
        <f>IF($A1342="","",$A1342&amp;"|"&amp;$C1342&amp;"|"&amp;$I1342)</f>
        <v/>
      </c>
      <c r="Y1342">
        <f>IF(AND($A1342=RELATORIO_MEDICAO!$C$5,$C1342=RELATORIO_MEDICAO!$F$5,$A1342&lt;&gt;""),COUNTIFS($A$3:$A1342,RELATORIO_MEDICAO!$C$5,$C$3:$C1342,RELATORIO_MEDICAO!$F$5),"")</f>
        <v/>
      </c>
      <c r="Z1342">
        <f>IF(OR($A1342="",PESQUISA!$C$4=""),0,IF(OR(ISNUMBER(SEARCH(PESQUISA!$C$4,$G1342)),ISNUMBER(SEARCH(PESQUISA!$C$4,$K1342)),ISNUMBER(SEARCH(PESQUISA!$C$4,$L1342))),1,0))</f>
        <v/>
      </c>
      <c r="AA1342">
        <f>IF($Z1342=1,SUM($Z$3:$Z1342),"")</f>
        <v/>
      </c>
      <c r="AB1342">
        <f>IF(OR($A1342="",PESQUISA!$C$50=""),0,IF(ISNUMBER(SEARCH(PESQUISA!$C$50,$I1342)),1,0))</f>
        <v/>
      </c>
      <c r="AC1342">
        <f>IF($AB1342=1,SUM($AB$3:$AB1342),"")</f>
        <v/>
      </c>
    </row>
    <row r="1343">
      <c r="A1343" s="20" t="n"/>
      <c r="B1343" s="20" t="n"/>
      <c r="C1343" s="20" t="n"/>
      <c r="D1343" s="20" t="n"/>
      <c r="E1343" s="20" t="n"/>
      <c r="F1343" s="20" t="n"/>
      <c r="G1343" s="20" t="n"/>
      <c r="H1343" s="20" t="n"/>
      <c r="I1343" s="20" t="n"/>
      <c r="J1343" s="20">
        <f>IFERROR(INDEX(CONFIGURACOES!$G$37:$G$300,MATCH($I1343,CONFIGURACOES!$B$37:$B$300,0)),"")</f>
        <v/>
      </c>
      <c r="K1343" s="20">
        <f>IFERROR(INDEX(CONFIGURACOES!$H$37:$H$300,MATCH($I1343,CONFIGURACOES!$B$37:$B$300,0)),"")</f>
        <v/>
      </c>
      <c r="L1343" s="20" t="n"/>
      <c r="M1343" s="20">
        <f>IFERROR(INDEX(CONFIGURACOES!$I$37:$I$300,MATCH($I1343,CONFIGURACOES!$B$37:$B$300,0)),"")</f>
        <v/>
      </c>
      <c r="N1343" s="21" t="n"/>
      <c r="O1343" s="21" t="n"/>
      <c r="P1343" s="21" t="n"/>
      <c r="Q1343" s="21" t="n"/>
      <c r="R1343" s="21">
        <f>IF($N1343="","",$N1343*IF($Q1343="",1,$Q1343)*IF($P1343="",1,$P1343)*IF($O1343="",1,$O1343))</f>
        <v/>
      </c>
      <c r="S1343" s="22">
        <f>IFERROR(INDEX(CONFIGURACOES!$J$37:$J$300,MATCH($I1343,CONFIGURACOES!$B$37:$B$300,0)),"")</f>
        <v/>
      </c>
      <c r="T1343" s="22">
        <f>IF(OR($R1343="",$S1343=""),"",$R1343*$S1343)</f>
        <v/>
      </c>
      <c r="U1343" s="20" t="n"/>
      <c r="V1343" s="20" t="n"/>
      <c r="W1343" s="20" t="n"/>
      <c r="X1343">
        <f>IF($A1343="","",$A1343&amp;"|"&amp;$C1343&amp;"|"&amp;$I1343)</f>
        <v/>
      </c>
      <c r="Y1343">
        <f>IF(AND($A1343=RELATORIO_MEDICAO!$C$5,$C1343=RELATORIO_MEDICAO!$F$5,$A1343&lt;&gt;""),COUNTIFS($A$3:$A1343,RELATORIO_MEDICAO!$C$5,$C$3:$C1343,RELATORIO_MEDICAO!$F$5),"")</f>
        <v/>
      </c>
      <c r="Z1343">
        <f>IF(OR($A1343="",PESQUISA!$C$4=""),0,IF(OR(ISNUMBER(SEARCH(PESQUISA!$C$4,$G1343)),ISNUMBER(SEARCH(PESQUISA!$C$4,$K1343)),ISNUMBER(SEARCH(PESQUISA!$C$4,$L1343))),1,0))</f>
        <v/>
      </c>
      <c r="AA1343">
        <f>IF($Z1343=1,SUM($Z$3:$Z1343),"")</f>
        <v/>
      </c>
      <c r="AB1343">
        <f>IF(OR($A1343="",PESQUISA!$C$50=""),0,IF(ISNUMBER(SEARCH(PESQUISA!$C$50,$I1343)),1,0))</f>
        <v/>
      </c>
      <c r="AC1343">
        <f>IF($AB1343=1,SUM($AB$3:$AB1343),"")</f>
        <v/>
      </c>
    </row>
    <row r="1344">
      <c r="A1344" s="20" t="n"/>
      <c r="B1344" s="20" t="n"/>
      <c r="C1344" s="20" t="n"/>
      <c r="D1344" s="20" t="n"/>
      <c r="E1344" s="20" t="n"/>
      <c r="F1344" s="20" t="n"/>
      <c r="G1344" s="20" t="n"/>
      <c r="H1344" s="20" t="n"/>
      <c r="I1344" s="20" t="n"/>
      <c r="J1344" s="20">
        <f>IFERROR(INDEX(CONFIGURACOES!$G$37:$G$300,MATCH($I1344,CONFIGURACOES!$B$37:$B$300,0)),"")</f>
        <v/>
      </c>
      <c r="K1344" s="20">
        <f>IFERROR(INDEX(CONFIGURACOES!$H$37:$H$300,MATCH($I1344,CONFIGURACOES!$B$37:$B$300,0)),"")</f>
        <v/>
      </c>
      <c r="L1344" s="20" t="n"/>
      <c r="M1344" s="20">
        <f>IFERROR(INDEX(CONFIGURACOES!$I$37:$I$300,MATCH($I1344,CONFIGURACOES!$B$37:$B$300,0)),"")</f>
        <v/>
      </c>
      <c r="N1344" s="21" t="n"/>
      <c r="O1344" s="21" t="n"/>
      <c r="P1344" s="21" t="n"/>
      <c r="Q1344" s="21" t="n"/>
      <c r="R1344" s="21">
        <f>IF($N1344="","",$N1344*IF($Q1344="",1,$Q1344)*IF($P1344="",1,$P1344)*IF($O1344="",1,$O1344))</f>
        <v/>
      </c>
      <c r="S1344" s="22">
        <f>IFERROR(INDEX(CONFIGURACOES!$J$37:$J$300,MATCH($I1344,CONFIGURACOES!$B$37:$B$300,0)),"")</f>
        <v/>
      </c>
      <c r="T1344" s="22">
        <f>IF(OR($R1344="",$S1344=""),"",$R1344*$S1344)</f>
        <v/>
      </c>
      <c r="U1344" s="20" t="n"/>
      <c r="V1344" s="20" t="n"/>
      <c r="W1344" s="20" t="n"/>
      <c r="X1344">
        <f>IF($A1344="","",$A1344&amp;"|"&amp;$C1344&amp;"|"&amp;$I1344)</f>
        <v/>
      </c>
      <c r="Y1344">
        <f>IF(AND($A1344=RELATORIO_MEDICAO!$C$5,$C1344=RELATORIO_MEDICAO!$F$5,$A1344&lt;&gt;""),COUNTIFS($A$3:$A1344,RELATORIO_MEDICAO!$C$5,$C$3:$C1344,RELATORIO_MEDICAO!$F$5),"")</f>
        <v/>
      </c>
      <c r="Z1344">
        <f>IF(OR($A1344="",PESQUISA!$C$4=""),0,IF(OR(ISNUMBER(SEARCH(PESQUISA!$C$4,$G1344)),ISNUMBER(SEARCH(PESQUISA!$C$4,$K1344)),ISNUMBER(SEARCH(PESQUISA!$C$4,$L1344))),1,0))</f>
        <v/>
      </c>
      <c r="AA1344">
        <f>IF($Z1344=1,SUM($Z$3:$Z1344),"")</f>
        <v/>
      </c>
      <c r="AB1344">
        <f>IF(OR($A1344="",PESQUISA!$C$50=""),0,IF(ISNUMBER(SEARCH(PESQUISA!$C$50,$I1344)),1,0))</f>
        <v/>
      </c>
      <c r="AC1344">
        <f>IF($AB1344=1,SUM($AB$3:$AB1344),"")</f>
        <v/>
      </c>
    </row>
    <row r="1345">
      <c r="A1345" s="20" t="n"/>
      <c r="B1345" s="20" t="n"/>
      <c r="C1345" s="20" t="n"/>
      <c r="D1345" s="20" t="n"/>
      <c r="E1345" s="20" t="n"/>
      <c r="F1345" s="20" t="n"/>
      <c r="G1345" s="20" t="n"/>
      <c r="H1345" s="20" t="n"/>
      <c r="I1345" s="20" t="n"/>
      <c r="J1345" s="20">
        <f>IFERROR(INDEX(CONFIGURACOES!$G$37:$G$300,MATCH($I1345,CONFIGURACOES!$B$37:$B$300,0)),"")</f>
        <v/>
      </c>
      <c r="K1345" s="20">
        <f>IFERROR(INDEX(CONFIGURACOES!$H$37:$H$300,MATCH($I1345,CONFIGURACOES!$B$37:$B$300,0)),"")</f>
        <v/>
      </c>
      <c r="L1345" s="20" t="n"/>
      <c r="M1345" s="20">
        <f>IFERROR(INDEX(CONFIGURACOES!$I$37:$I$300,MATCH($I1345,CONFIGURACOES!$B$37:$B$300,0)),"")</f>
        <v/>
      </c>
      <c r="N1345" s="21" t="n"/>
      <c r="O1345" s="21" t="n"/>
      <c r="P1345" s="21" t="n"/>
      <c r="Q1345" s="21" t="n"/>
      <c r="R1345" s="21">
        <f>IF($N1345="","",$N1345*IF($Q1345="",1,$Q1345)*IF($P1345="",1,$P1345)*IF($O1345="",1,$O1345))</f>
        <v/>
      </c>
      <c r="S1345" s="22">
        <f>IFERROR(INDEX(CONFIGURACOES!$J$37:$J$300,MATCH($I1345,CONFIGURACOES!$B$37:$B$300,0)),"")</f>
        <v/>
      </c>
      <c r="T1345" s="22">
        <f>IF(OR($R1345="",$S1345=""),"",$R1345*$S1345)</f>
        <v/>
      </c>
      <c r="U1345" s="20" t="n"/>
      <c r="V1345" s="20" t="n"/>
      <c r="W1345" s="20" t="n"/>
      <c r="X1345">
        <f>IF($A1345="","",$A1345&amp;"|"&amp;$C1345&amp;"|"&amp;$I1345)</f>
        <v/>
      </c>
      <c r="Y1345">
        <f>IF(AND($A1345=RELATORIO_MEDICAO!$C$5,$C1345=RELATORIO_MEDICAO!$F$5,$A1345&lt;&gt;""),COUNTIFS($A$3:$A1345,RELATORIO_MEDICAO!$C$5,$C$3:$C1345,RELATORIO_MEDICAO!$F$5),"")</f>
        <v/>
      </c>
      <c r="Z1345">
        <f>IF(OR($A1345="",PESQUISA!$C$4=""),0,IF(OR(ISNUMBER(SEARCH(PESQUISA!$C$4,$G1345)),ISNUMBER(SEARCH(PESQUISA!$C$4,$K1345)),ISNUMBER(SEARCH(PESQUISA!$C$4,$L1345))),1,0))</f>
        <v/>
      </c>
      <c r="AA1345">
        <f>IF($Z1345=1,SUM($Z$3:$Z1345),"")</f>
        <v/>
      </c>
      <c r="AB1345">
        <f>IF(OR($A1345="",PESQUISA!$C$50=""),0,IF(ISNUMBER(SEARCH(PESQUISA!$C$50,$I1345)),1,0))</f>
        <v/>
      </c>
      <c r="AC1345">
        <f>IF($AB1345=1,SUM($AB$3:$AB1345),"")</f>
        <v/>
      </c>
    </row>
    <row r="1346">
      <c r="A1346" s="20" t="n"/>
      <c r="B1346" s="20" t="n"/>
      <c r="C1346" s="20" t="n"/>
      <c r="D1346" s="20" t="n"/>
      <c r="E1346" s="20" t="n"/>
      <c r="F1346" s="20" t="n"/>
      <c r="G1346" s="20" t="n"/>
      <c r="H1346" s="20" t="n"/>
      <c r="I1346" s="20" t="n"/>
      <c r="J1346" s="20">
        <f>IFERROR(INDEX(CONFIGURACOES!$G$37:$G$300,MATCH($I1346,CONFIGURACOES!$B$37:$B$300,0)),"")</f>
        <v/>
      </c>
      <c r="K1346" s="20">
        <f>IFERROR(INDEX(CONFIGURACOES!$H$37:$H$300,MATCH($I1346,CONFIGURACOES!$B$37:$B$300,0)),"")</f>
        <v/>
      </c>
      <c r="L1346" s="20" t="n"/>
      <c r="M1346" s="20">
        <f>IFERROR(INDEX(CONFIGURACOES!$I$37:$I$300,MATCH($I1346,CONFIGURACOES!$B$37:$B$300,0)),"")</f>
        <v/>
      </c>
      <c r="N1346" s="21" t="n"/>
      <c r="O1346" s="21" t="n"/>
      <c r="P1346" s="21" t="n"/>
      <c r="Q1346" s="21" t="n"/>
      <c r="R1346" s="21">
        <f>IF($N1346="","",$N1346*IF($Q1346="",1,$Q1346)*IF($P1346="",1,$P1346)*IF($O1346="",1,$O1346))</f>
        <v/>
      </c>
      <c r="S1346" s="22">
        <f>IFERROR(INDEX(CONFIGURACOES!$J$37:$J$300,MATCH($I1346,CONFIGURACOES!$B$37:$B$300,0)),"")</f>
        <v/>
      </c>
      <c r="T1346" s="22">
        <f>IF(OR($R1346="",$S1346=""),"",$R1346*$S1346)</f>
        <v/>
      </c>
      <c r="U1346" s="20" t="n"/>
      <c r="V1346" s="20" t="n"/>
      <c r="W1346" s="20" t="n"/>
      <c r="X1346">
        <f>IF($A1346="","",$A1346&amp;"|"&amp;$C1346&amp;"|"&amp;$I1346)</f>
        <v/>
      </c>
      <c r="Y1346">
        <f>IF(AND($A1346=RELATORIO_MEDICAO!$C$5,$C1346=RELATORIO_MEDICAO!$F$5,$A1346&lt;&gt;""),COUNTIFS($A$3:$A1346,RELATORIO_MEDICAO!$C$5,$C$3:$C1346,RELATORIO_MEDICAO!$F$5),"")</f>
        <v/>
      </c>
      <c r="Z1346">
        <f>IF(OR($A1346="",PESQUISA!$C$4=""),0,IF(OR(ISNUMBER(SEARCH(PESQUISA!$C$4,$G1346)),ISNUMBER(SEARCH(PESQUISA!$C$4,$K1346)),ISNUMBER(SEARCH(PESQUISA!$C$4,$L1346))),1,0))</f>
        <v/>
      </c>
      <c r="AA1346">
        <f>IF($Z1346=1,SUM($Z$3:$Z1346),"")</f>
        <v/>
      </c>
      <c r="AB1346">
        <f>IF(OR($A1346="",PESQUISA!$C$50=""),0,IF(ISNUMBER(SEARCH(PESQUISA!$C$50,$I1346)),1,0))</f>
        <v/>
      </c>
      <c r="AC1346">
        <f>IF($AB1346=1,SUM($AB$3:$AB1346),"")</f>
        <v/>
      </c>
    </row>
    <row r="1347">
      <c r="A1347" s="20" t="n"/>
      <c r="B1347" s="20" t="n"/>
      <c r="C1347" s="20" t="n"/>
      <c r="D1347" s="20" t="n"/>
      <c r="E1347" s="20" t="n"/>
      <c r="F1347" s="20" t="n"/>
      <c r="G1347" s="20" t="n"/>
      <c r="H1347" s="20" t="n"/>
      <c r="I1347" s="20" t="n"/>
      <c r="J1347" s="20">
        <f>IFERROR(INDEX(CONFIGURACOES!$G$37:$G$300,MATCH($I1347,CONFIGURACOES!$B$37:$B$300,0)),"")</f>
        <v/>
      </c>
      <c r="K1347" s="20">
        <f>IFERROR(INDEX(CONFIGURACOES!$H$37:$H$300,MATCH($I1347,CONFIGURACOES!$B$37:$B$300,0)),"")</f>
        <v/>
      </c>
      <c r="L1347" s="20" t="n"/>
      <c r="M1347" s="20">
        <f>IFERROR(INDEX(CONFIGURACOES!$I$37:$I$300,MATCH($I1347,CONFIGURACOES!$B$37:$B$300,0)),"")</f>
        <v/>
      </c>
      <c r="N1347" s="21" t="n"/>
      <c r="O1347" s="21" t="n"/>
      <c r="P1347" s="21" t="n"/>
      <c r="Q1347" s="21" t="n"/>
      <c r="R1347" s="21">
        <f>IF($N1347="","",$N1347*IF($Q1347="",1,$Q1347)*IF($P1347="",1,$P1347)*IF($O1347="",1,$O1347))</f>
        <v/>
      </c>
      <c r="S1347" s="22">
        <f>IFERROR(INDEX(CONFIGURACOES!$J$37:$J$300,MATCH($I1347,CONFIGURACOES!$B$37:$B$300,0)),"")</f>
        <v/>
      </c>
      <c r="T1347" s="22">
        <f>IF(OR($R1347="",$S1347=""),"",$R1347*$S1347)</f>
        <v/>
      </c>
      <c r="U1347" s="20" t="n"/>
      <c r="V1347" s="20" t="n"/>
      <c r="W1347" s="20" t="n"/>
      <c r="X1347">
        <f>IF($A1347="","",$A1347&amp;"|"&amp;$C1347&amp;"|"&amp;$I1347)</f>
        <v/>
      </c>
      <c r="Y1347">
        <f>IF(AND($A1347=RELATORIO_MEDICAO!$C$5,$C1347=RELATORIO_MEDICAO!$F$5,$A1347&lt;&gt;""),COUNTIFS($A$3:$A1347,RELATORIO_MEDICAO!$C$5,$C$3:$C1347,RELATORIO_MEDICAO!$F$5),"")</f>
        <v/>
      </c>
      <c r="Z1347">
        <f>IF(OR($A1347="",PESQUISA!$C$4=""),0,IF(OR(ISNUMBER(SEARCH(PESQUISA!$C$4,$G1347)),ISNUMBER(SEARCH(PESQUISA!$C$4,$K1347)),ISNUMBER(SEARCH(PESQUISA!$C$4,$L1347))),1,0))</f>
        <v/>
      </c>
      <c r="AA1347">
        <f>IF($Z1347=1,SUM($Z$3:$Z1347),"")</f>
        <v/>
      </c>
      <c r="AB1347">
        <f>IF(OR($A1347="",PESQUISA!$C$50=""),0,IF(ISNUMBER(SEARCH(PESQUISA!$C$50,$I1347)),1,0))</f>
        <v/>
      </c>
      <c r="AC1347">
        <f>IF($AB1347=1,SUM($AB$3:$AB1347),"")</f>
        <v/>
      </c>
    </row>
    <row r="1348">
      <c r="A1348" s="20" t="n"/>
      <c r="B1348" s="20" t="n"/>
      <c r="C1348" s="20" t="n"/>
      <c r="D1348" s="20" t="n"/>
      <c r="E1348" s="20" t="n"/>
      <c r="F1348" s="20" t="n"/>
      <c r="G1348" s="20" t="n"/>
      <c r="H1348" s="20" t="n"/>
      <c r="I1348" s="20" t="n"/>
      <c r="J1348" s="20">
        <f>IFERROR(INDEX(CONFIGURACOES!$G$37:$G$300,MATCH($I1348,CONFIGURACOES!$B$37:$B$300,0)),"")</f>
        <v/>
      </c>
      <c r="K1348" s="20">
        <f>IFERROR(INDEX(CONFIGURACOES!$H$37:$H$300,MATCH($I1348,CONFIGURACOES!$B$37:$B$300,0)),"")</f>
        <v/>
      </c>
      <c r="L1348" s="20" t="n"/>
      <c r="M1348" s="20">
        <f>IFERROR(INDEX(CONFIGURACOES!$I$37:$I$300,MATCH($I1348,CONFIGURACOES!$B$37:$B$300,0)),"")</f>
        <v/>
      </c>
      <c r="N1348" s="21" t="n"/>
      <c r="O1348" s="21" t="n"/>
      <c r="P1348" s="21" t="n"/>
      <c r="Q1348" s="21" t="n"/>
      <c r="R1348" s="21">
        <f>IF($N1348="","",$N1348*IF($Q1348="",1,$Q1348)*IF($P1348="",1,$P1348)*IF($O1348="",1,$O1348))</f>
        <v/>
      </c>
      <c r="S1348" s="22">
        <f>IFERROR(INDEX(CONFIGURACOES!$J$37:$J$300,MATCH($I1348,CONFIGURACOES!$B$37:$B$300,0)),"")</f>
        <v/>
      </c>
      <c r="T1348" s="22">
        <f>IF(OR($R1348="",$S1348=""),"",$R1348*$S1348)</f>
        <v/>
      </c>
      <c r="U1348" s="20" t="n"/>
      <c r="V1348" s="20" t="n"/>
      <c r="W1348" s="20" t="n"/>
      <c r="X1348">
        <f>IF($A1348="","",$A1348&amp;"|"&amp;$C1348&amp;"|"&amp;$I1348)</f>
        <v/>
      </c>
      <c r="Y1348">
        <f>IF(AND($A1348=RELATORIO_MEDICAO!$C$5,$C1348=RELATORIO_MEDICAO!$F$5,$A1348&lt;&gt;""),COUNTIFS($A$3:$A1348,RELATORIO_MEDICAO!$C$5,$C$3:$C1348,RELATORIO_MEDICAO!$F$5),"")</f>
        <v/>
      </c>
      <c r="Z1348">
        <f>IF(OR($A1348="",PESQUISA!$C$4=""),0,IF(OR(ISNUMBER(SEARCH(PESQUISA!$C$4,$G1348)),ISNUMBER(SEARCH(PESQUISA!$C$4,$K1348)),ISNUMBER(SEARCH(PESQUISA!$C$4,$L1348))),1,0))</f>
        <v/>
      </c>
      <c r="AA1348">
        <f>IF($Z1348=1,SUM($Z$3:$Z1348),"")</f>
        <v/>
      </c>
      <c r="AB1348">
        <f>IF(OR($A1348="",PESQUISA!$C$50=""),0,IF(ISNUMBER(SEARCH(PESQUISA!$C$50,$I1348)),1,0))</f>
        <v/>
      </c>
      <c r="AC1348">
        <f>IF($AB1348=1,SUM($AB$3:$AB1348),"")</f>
        <v/>
      </c>
    </row>
    <row r="1349">
      <c r="A1349" s="20" t="n"/>
      <c r="B1349" s="20" t="n"/>
      <c r="C1349" s="20" t="n"/>
      <c r="D1349" s="20" t="n"/>
      <c r="E1349" s="20" t="n"/>
      <c r="F1349" s="20" t="n"/>
      <c r="G1349" s="20" t="n"/>
      <c r="H1349" s="20" t="n"/>
      <c r="I1349" s="20" t="n"/>
      <c r="J1349" s="20">
        <f>IFERROR(INDEX(CONFIGURACOES!$G$37:$G$300,MATCH($I1349,CONFIGURACOES!$B$37:$B$300,0)),"")</f>
        <v/>
      </c>
      <c r="K1349" s="20">
        <f>IFERROR(INDEX(CONFIGURACOES!$H$37:$H$300,MATCH($I1349,CONFIGURACOES!$B$37:$B$300,0)),"")</f>
        <v/>
      </c>
      <c r="L1349" s="20" t="n"/>
      <c r="M1349" s="20">
        <f>IFERROR(INDEX(CONFIGURACOES!$I$37:$I$300,MATCH($I1349,CONFIGURACOES!$B$37:$B$300,0)),"")</f>
        <v/>
      </c>
      <c r="N1349" s="21" t="n"/>
      <c r="O1349" s="21" t="n"/>
      <c r="P1349" s="21" t="n"/>
      <c r="Q1349" s="21" t="n"/>
      <c r="R1349" s="21">
        <f>IF($N1349="","",$N1349*IF($Q1349="",1,$Q1349)*IF($P1349="",1,$P1349)*IF($O1349="",1,$O1349))</f>
        <v/>
      </c>
      <c r="S1349" s="22">
        <f>IFERROR(INDEX(CONFIGURACOES!$J$37:$J$300,MATCH($I1349,CONFIGURACOES!$B$37:$B$300,0)),"")</f>
        <v/>
      </c>
      <c r="T1349" s="22">
        <f>IF(OR($R1349="",$S1349=""),"",$R1349*$S1349)</f>
        <v/>
      </c>
      <c r="U1349" s="20" t="n"/>
      <c r="V1349" s="20" t="n"/>
      <c r="W1349" s="20" t="n"/>
      <c r="X1349">
        <f>IF($A1349="","",$A1349&amp;"|"&amp;$C1349&amp;"|"&amp;$I1349)</f>
        <v/>
      </c>
      <c r="Y1349">
        <f>IF(AND($A1349=RELATORIO_MEDICAO!$C$5,$C1349=RELATORIO_MEDICAO!$F$5,$A1349&lt;&gt;""),COUNTIFS($A$3:$A1349,RELATORIO_MEDICAO!$C$5,$C$3:$C1349,RELATORIO_MEDICAO!$F$5),"")</f>
        <v/>
      </c>
      <c r="Z1349">
        <f>IF(OR($A1349="",PESQUISA!$C$4=""),0,IF(OR(ISNUMBER(SEARCH(PESQUISA!$C$4,$G1349)),ISNUMBER(SEARCH(PESQUISA!$C$4,$K1349)),ISNUMBER(SEARCH(PESQUISA!$C$4,$L1349))),1,0))</f>
        <v/>
      </c>
      <c r="AA1349">
        <f>IF($Z1349=1,SUM($Z$3:$Z1349),"")</f>
        <v/>
      </c>
      <c r="AB1349">
        <f>IF(OR($A1349="",PESQUISA!$C$50=""),0,IF(ISNUMBER(SEARCH(PESQUISA!$C$50,$I1349)),1,0))</f>
        <v/>
      </c>
      <c r="AC1349">
        <f>IF($AB1349=1,SUM($AB$3:$AB1349),"")</f>
        <v/>
      </c>
    </row>
    <row r="1350">
      <c r="A1350" s="20" t="n"/>
      <c r="B1350" s="20" t="n"/>
      <c r="C1350" s="20" t="n"/>
      <c r="D1350" s="20" t="n"/>
      <c r="E1350" s="20" t="n"/>
      <c r="F1350" s="20" t="n"/>
      <c r="G1350" s="20" t="n"/>
      <c r="H1350" s="20" t="n"/>
      <c r="I1350" s="20" t="n"/>
      <c r="J1350" s="20">
        <f>IFERROR(INDEX(CONFIGURACOES!$G$37:$G$300,MATCH($I1350,CONFIGURACOES!$B$37:$B$300,0)),"")</f>
        <v/>
      </c>
      <c r="K1350" s="20">
        <f>IFERROR(INDEX(CONFIGURACOES!$H$37:$H$300,MATCH($I1350,CONFIGURACOES!$B$37:$B$300,0)),"")</f>
        <v/>
      </c>
      <c r="L1350" s="20" t="n"/>
      <c r="M1350" s="20">
        <f>IFERROR(INDEX(CONFIGURACOES!$I$37:$I$300,MATCH($I1350,CONFIGURACOES!$B$37:$B$300,0)),"")</f>
        <v/>
      </c>
      <c r="N1350" s="21" t="n"/>
      <c r="O1350" s="21" t="n"/>
      <c r="P1350" s="21" t="n"/>
      <c r="Q1350" s="21" t="n"/>
      <c r="R1350" s="21">
        <f>IF($N1350="","",$N1350*IF($Q1350="",1,$Q1350)*IF($P1350="",1,$P1350)*IF($O1350="",1,$O1350))</f>
        <v/>
      </c>
      <c r="S1350" s="22">
        <f>IFERROR(INDEX(CONFIGURACOES!$J$37:$J$300,MATCH($I1350,CONFIGURACOES!$B$37:$B$300,0)),"")</f>
        <v/>
      </c>
      <c r="T1350" s="22">
        <f>IF(OR($R1350="",$S1350=""),"",$R1350*$S1350)</f>
        <v/>
      </c>
      <c r="U1350" s="20" t="n"/>
      <c r="V1350" s="20" t="n"/>
      <c r="W1350" s="20" t="n"/>
      <c r="X1350">
        <f>IF($A1350="","",$A1350&amp;"|"&amp;$C1350&amp;"|"&amp;$I1350)</f>
        <v/>
      </c>
      <c r="Y1350">
        <f>IF(AND($A1350=RELATORIO_MEDICAO!$C$5,$C1350=RELATORIO_MEDICAO!$F$5,$A1350&lt;&gt;""),COUNTIFS($A$3:$A1350,RELATORIO_MEDICAO!$C$5,$C$3:$C1350,RELATORIO_MEDICAO!$F$5),"")</f>
        <v/>
      </c>
      <c r="Z1350">
        <f>IF(OR($A1350="",PESQUISA!$C$4=""),0,IF(OR(ISNUMBER(SEARCH(PESQUISA!$C$4,$G1350)),ISNUMBER(SEARCH(PESQUISA!$C$4,$K1350)),ISNUMBER(SEARCH(PESQUISA!$C$4,$L1350))),1,0))</f>
        <v/>
      </c>
      <c r="AA1350">
        <f>IF($Z1350=1,SUM($Z$3:$Z1350),"")</f>
        <v/>
      </c>
      <c r="AB1350">
        <f>IF(OR($A1350="",PESQUISA!$C$50=""),0,IF(ISNUMBER(SEARCH(PESQUISA!$C$50,$I1350)),1,0))</f>
        <v/>
      </c>
      <c r="AC1350">
        <f>IF($AB1350=1,SUM($AB$3:$AB1350),"")</f>
        <v/>
      </c>
    </row>
    <row r="1351">
      <c r="A1351" s="20" t="n"/>
      <c r="B1351" s="20" t="n"/>
      <c r="C1351" s="20" t="n"/>
      <c r="D1351" s="20" t="n"/>
      <c r="E1351" s="20" t="n"/>
      <c r="F1351" s="20" t="n"/>
      <c r="G1351" s="20" t="n"/>
      <c r="H1351" s="20" t="n"/>
      <c r="I1351" s="20" t="n"/>
      <c r="J1351" s="20">
        <f>IFERROR(INDEX(CONFIGURACOES!$G$37:$G$300,MATCH($I1351,CONFIGURACOES!$B$37:$B$300,0)),"")</f>
        <v/>
      </c>
      <c r="K1351" s="20">
        <f>IFERROR(INDEX(CONFIGURACOES!$H$37:$H$300,MATCH($I1351,CONFIGURACOES!$B$37:$B$300,0)),"")</f>
        <v/>
      </c>
      <c r="L1351" s="20" t="n"/>
      <c r="M1351" s="20">
        <f>IFERROR(INDEX(CONFIGURACOES!$I$37:$I$300,MATCH($I1351,CONFIGURACOES!$B$37:$B$300,0)),"")</f>
        <v/>
      </c>
      <c r="N1351" s="21" t="n"/>
      <c r="O1351" s="21" t="n"/>
      <c r="P1351" s="21" t="n"/>
      <c r="Q1351" s="21" t="n"/>
      <c r="R1351" s="21">
        <f>IF($N1351="","",$N1351*IF($Q1351="",1,$Q1351)*IF($P1351="",1,$P1351)*IF($O1351="",1,$O1351))</f>
        <v/>
      </c>
      <c r="S1351" s="22">
        <f>IFERROR(INDEX(CONFIGURACOES!$J$37:$J$300,MATCH($I1351,CONFIGURACOES!$B$37:$B$300,0)),"")</f>
        <v/>
      </c>
      <c r="T1351" s="22">
        <f>IF(OR($R1351="",$S1351=""),"",$R1351*$S1351)</f>
        <v/>
      </c>
      <c r="U1351" s="20" t="n"/>
      <c r="V1351" s="20" t="n"/>
      <c r="W1351" s="20" t="n"/>
      <c r="X1351">
        <f>IF($A1351="","",$A1351&amp;"|"&amp;$C1351&amp;"|"&amp;$I1351)</f>
        <v/>
      </c>
      <c r="Y1351">
        <f>IF(AND($A1351=RELATORIO_MEDICAO!$C$5,$C1351=RELATORIO_MEDICAO!$F$5,$A1351&lt;&gt;""),COUNTIFS($A$3:$A1351,RELATORIO_MEDICAO!$C$5,$C$3:$C1351,RELATORIO_MEDICAO!$F$5),"")</f>
        <v/>
      </c>
      <c r="Z1351">
        <f>IF(OR($A1351="",PESQUISA!$C$4=""),0,IF(OR(ISNUMBER(SEARCH(PESQUISA!$C$4,$G1351)),ISNUMBER(SEARCH(PESQUISA!$C$4,$K1351)),ISNUMBER(SEARCH(PESQUISA!$C$4,$L1351))),1,0))</f>
        <v/>
      </c>
      <c r="AA1351">
        <f>IF($Z1351=1,SUM($Z$3:$Z1351),"")</f>
        <v/>
      </c>
      <c r="AB1351">
        <f>IF(OR($A1351="",PESQUISA!$C$50=""),0,IF(ISNUMBER(SEARCH(PESQUISA!$C$50,$I1351)),1,0))</f>
        <v/>
      </c>
      <c r="AC1351">
        <f>IF($AB1351=1,SUM($AB$3:$AB1351),"")</f>
        <v/>
      </c>
    </row>
    <row r="1352">
      <c r="A1352" s="20" t="n"/>
      <c r="B1352" s="20" t="n"/>
      <c r="C1352" s="20" t="n"/>
      <c r="D1352" s="20" t="n"/>
      <c r="E1352" s="20" t="n"/>
      <c r="F1352" s="20" t="n"/>
      <c r="G1352" s="20" t="n"/>
      <c r="H1352" s="20" t="n"/>
      <c r="I1352" s="20" t="n"/>
      <c r="J1352" s="20">
        <f>IFERROR(INDEX(CONFIGURACOES!$G$37:$G$300,MATCH($I1352,CONFIGURACOES!$B$37:$B$300,0)),"")</f>
        <v/>
      </c>
      <c r="K1352" s="20">
        <f>IFERROR(INDEX(CONFIGURACOES!$H$37:$H$300,MATCH($I1352,CONFIGURACOES!$B$37:$B$300,0)),"")</f>
        <v/>
      </c>
      <c r="L1352" s="20" t="n"/>
      <c r="M1352" s="20">
        <f>IFERROR(INDEX(CONFIGURACOES!$I$37:$I$300,MATCH($I1352,CONFIGURACOES!$B$37:$B$300,0)),"")</f>
        <v/>
      </c>
      <c r="N1352" s="21" t="n"/>
      <c r="O1352" s="21" t="n"/>
      <c r="P1352" s="21" t="n"/>
      <c r="Q1352" s="21" t="n"/>
      <c r="R1352" s="21">
        <f>IF($N1352="","",$N1352*IF($Q1352="",1,$Q1352)*IF($P1352="",1,$P1352)*IF($O1352="",1,$O1352))</f>
        <v/>
      </c>
      <c r="S1352" s="22">
        <f>IFERROR(INDEX(CONFIGURACOES!$J$37:$J$300,MATCH($I1352,CONFIGURACOES!$B$37:$B$300,0)),"")</f>
        <v/>
      </c>
      <c r="T1352" s="22">
        <f>IF(OR($R1352="",$S1352=""),"",$R1352*$S1352)</f>
        <v/>
      </c>
      <c r="U1352" s="20" t="n"/>
      <c r="V1352" s="20" t="n"/>
      <c r="W1352" s="20" t="n"/>
      <c r="X1352">
        <f>IF($A1352="","",$A1352&amp;"|"&amp;$C1352&amp;"|"&amp;$I1352)</f>
        <v/>
      </c>
      <c r="Y1352">
        <f>IF(AND($A1352=RELATORIO_MEDICAO!$C$5,$C1352=RELATORIO_MEDICAO!$F$5,$A1352&lt;&gt;""),COUNTIFS($A$3:$A1352,RELATORIO_MEDICAO!$C$5,$C$3:$C1352,RELATORIO_MEDICAO!$F$5),"")</f>
        <v/>
      </c>
      <c r="Z1352">
        <f>IF(OR($A1352="",PESQUISA!$C$4=""),0,IF(OR(ISNUMBER(SEARCH(PESQUISA!$C$4,$G1352)),ISNUMBER(SEARCH(PESQUISA!$C$4,$K1352)),ISNUMBER(SEARCH(PESQUISA!$C$4,$L1352))),1,0))</f>
        <v/>
      </c>
      <c r="AA1352">
        <f>IF($Z1352=1,SUM($Z$3:$Z1352),"")</f>
        <v/>
      </c>
      <c r="AB1352">
        <f>IF(OR($A1352="",PESQUISA!$C$50=""),0,IF(ISNUMBER(SEARCH(PESQUISA!$C$50,$I1352)),1,0))</f>
        <v/>
      </c>
      <c r="AC1352">
        <f>IF($AB1352=1,SUM($AB$3:$AB1352),"")</f>
        <v/>
      </c>
    </row>
    <row r="1353">
      <c r="A1353" s="20" t="n"/>
      <c r="B1353" s="20" t="n"/>
      <c r="C1353" s="20" t="n"/>
      <c r="D1353" s="20" t="n"/>
      <c r="E1353" s="20" t="n"/>
      <c r="F1353" s="20" t="n"/>
      <c r="G1353" s="20" t="n"/>
      <c r="H1353" s="20" t="n"/>
      <c r="I1353" s="20" t="n"/>
      <c r="J1353" s="20">
        <f>IFERROR(INDEX(CONFIGURACOES!$G$37:$G$300,MATCH($I1353,CONFIGURACOES!$B$37:$B$300,0)),"")</f>
        <v/>
      </c>
      <c r="K1353" s="20">
        <f>IFERROR(INDEX(CONFIGURACOES!$H$37:$H$300,MATCH($I1353,CONFIGURACOES!$B$37:$B$300,0)),"")</f>
        <v/>
      </c>
      <c r="L1353" s="20" t="n"/>
      <c r="M1353" s="20">
        <f>IFERROR(INDEX(CONFIGURACOES!$I$37:$I$300,MATCH($I1353,CONFIGURACOES!$B$37:$B$300,0)),"")</f>
        <v/>
      </c>
      <c r="N1353" s="21" t="n"/>
      <c r="O1353" s="21" t="n"/>
      <c r="P1353" s="21" t="n"/>
      <c r="Q1353" s="21" t="n"/>
      <c r="R1353" s="21">
        <f>IF($N1353="","",$N1353*IF($Q1353="",1,$Q1353)*IF($P1353="",1,$P1353)*IF($O1353="",1,$O1353))</f>
        <v/>
      </c>
      <c r="S1353" s="22">
        <f>IFERROR(INDEX(CONFIGURACOES!$J$37:$J$300,MATCH($I1353,CONFIGURACOES!$B$37:$B$300,0)),"")</f>
        <v/>
      </c>
      <c r="T1353" s="22">
        <f>IF(OR($R1353="",$S1353=""),"",$R1353*$S1353)</f>
        <v/>
      </c>
      <c r="U1353" s="20" t="n"/>
      <c r="V1353" s="20" t="n"/>
      <c r="W1353" s="20" t="n"/>
      <c r="X1353">
        <f>IF($A1353="","",$A1353&amp;"|"&amp;$C1353&amp;"|"&amp;$I1353)</f>
        <v/>
      </c>
      <c r="Y1353">
        <f>IF(AND($A1353=RELATORIO_MEDICAO!$C$5,$C1353=RELATORIO_MEDICAO!$F$5,$A1353&lt;&gt;""),COUNTIFS($A$3:$A1353,RELATORIO_MEDICAO!$C$5,$C$3:$C1353,RELATORIO_MEDICAO!$F$5),"")</f>
        <v/>
      </c>
      <c r="Z1353">
        <f>IF(OR($A1353="",PESQUISA!$C$4=""),0,IF(OR(ISNUMBER(SEARCH(PESQUISA!$C$4,$G1353)),ISNUMBER(SEARCH(PESQUISA!$C$4,$K1353)),ISNUMBER(SEARCH(PESQUISA!$C$4,$L1353))),1,0))</f>
        <v/>
      </c>
      <c r="AA1353">
        <f>IF($Z1353=1,SUM($Z$3:$Z1353),"")</f>
        <v/>
      </c>
      <c r="AB1353">
        <f>IF(OR($A1353="",PESQUISA!$C$50=""),0,IF(ISNUMBER(SEARCH(PESQUISA!$C$50,$I1353)),1,0))</f>
        <v/>
      </c>
      <c r="AC1353">
        <f>IF($AB1353=1,SUM($AB$3:$AB1353),"")</f>
        <v/>
      </c>
    </row>
    <row r="1354">
      <c r="A1354" s="20" t="n"/>
      <c r="B1354" s="20" t="n"/>
      <c r="C1354" s="20" t="n"/>
      <c r="D1354" s="20" t="n"/>
      <c r="E1354" s="20" t="n"/>
      <c r="F1354" s="20" t="n"/>
      <c r="G1354" s="20" t="n"/>
      <c r="H1354" s="20" t="n"/>
      <c r="I1354" s="20" t="n"/>
      <c r="J1354" s="20">
        <f>IFERROR(INDEX(CONFIGURACOES!$G$37:$G$300,MATCH($I1354,CONFIGURACOES!$B$37:$B$300,0)),"")</f>
        <v/>
      </c>
      <c r="K1354" s="20">
        <f>IFERROR(INDEX(CONFIGURACOES!$H$37:$H$300,MATCH($I1354,CONFIGURACOES!$B$37:$B$300,0)),"")</f>
        <v/>
      </c>
      <c r="L1354" s="20" t="n"/>
      <c r="M1354" s="20">
        <f>IFERROR(INDEX(CONFIGURACOES!$I$37:$I$300,MATCH($I1354,CONFIGURACOES!$B$37:$B$300,0)),"")</f>
        <v/>
      </c>
      <c r="N1354" s="21" t="n"/>
      <c r="O1354" s="21" t="n"/>
      <c r="P1354" s="21" t="n"/>
      <c r="Q1354" s="21" t="n"/>
      <c r="R1354" s="21">
        <f>IF($N1354="","",$N1354*IF($Q1354="",1,$Q1354)*IF($P1354="",1,$P1354)*IF($O1354="",1,$O1354))</f>
        <v/>
      </c>
      <c r="S1354" s="22">
        <f>IFERROR(INDEX(CONFIGURACOES!$J$37:$J$300,MATCH($I1354,CONFIGURACOES!$B$37:$B$300,0)),"")</f>
        <v/>
      </c>
      <c r="T1354" s="22">
        <f>IF(OR($R1354="",$S1354=""),"",$R1354*$S1354)</f>
        <v/>
      </c>
      <c r="U1354" s="20" t="n"/>
      <c r="V1354" s="20" t="n"/>
      <c r="W1354" s="20" t="n"/>
      <c r="X1354">
        <f>IF($A1354="","",$A1354&amp;"|"&amp;$C1354&amp;"|"&amp;$I1354)</f>
        <v/>
      </c>
      <c r="Y1354">
        <f>IF(AND($A1354=RELATORIO_MEDICAO!$C$5,$C1354=RELATORIO_MEDICAO!$F$5,$A1354&lt;&gt;""),COUNTIFS($A$3:$A1354,RELATORIO_MEDICAO!$C$5,$C$3:$C1354,RELATORIO_MEDICAO!$F$5),"")</f>
        <v/>
      </c>
      <c r="Z1354">
        <f>IF(OR($A1354="",PESQUISA!$C$4=""),0,IF(OR(ISNUMBER(SEARCH(PESQUISA!$C$4,$G1354)),ISNUMBER(SEARCH(PESQUISA!$C$4,$K1354)),ISNUMBER(SEARCH(PESQUISA!$C$4,$L1354))),1,0))</f>
        <v/>
      </c>
      <c r="AA1354">
        <f>IF($Z1354=1,SUM($Z$3:$Z1354),"")</f>
        <v/>
      </c>
      <c r="AB1354">
        <f>IF(OR($A1354="",PESQUISA!$C$50=""),0,IF(ISNUMBER(SEARCH(PESQUISA!$C$50,$I1354)),1,0))</f>
        <v/>
      </c>
      <c r="AC1354">
        <f>IF($AB1354=1,SUM($AB$3:$AB1354),"")</f>
        <v/>
      </c>
    </row>
    <row r="1355">
      <c r="A1355" s="20" t="n"/>
      <c r="B1355" s="20" t="n"/>
      <c r="C1355" s="20" t="n"/>
      <c r="D1355" s="20" t="n"/>
      <c r="E1355" s="20" t="n"/>
      <c r="F1355" s="20" t="n"/>
      <c r="G1355" s="20" t="n"/>
      <c r="H1355" s="20" t="n"/>
      <c r="I1355" s="20" t="n"/>
      <c r="J1355" s="20">
        <f>IFERROR(INDEX(CONFIGURACOES!$G$37:$G$300,MATCH($I1355,CONFIGURACOES!$B$37:$B$300,0)),"")</f>
        <v/>
      </c>
      <c r="K1355" s="20">
        <f>IFERROR(INDEX(CONFIGURACOES!$H$37:$H$300,MATCH($I1355,CONFIGURACOES!$B$37:$B$300,0)),"")</f>
        <v/>
      </c>
      <c r="L1355" s="20" t="n"/>
      <c r="M1355" s="20">
        <f>IFERROR(INDEX(CONFIGURACOES!$I$37:$I$300,MATCH($I1355,CONFIGURACOES!$B$37:$B$300,0)),"")</f>
        <v/>
      </c>
      <c r="N1355" s="21" t="n"/>
      <c r="O1355" s="21" t="n"/>
      <c r="P1355" s="21" t="n"/>
      <c r="Q1355" s="21" t="n"/>
      <c r="R1355" s="21">
        <f>IF($N1355="","",$N1355*IF($Q1355="",1,$Q1355)*IF($P1355="",1,$P1355)*IF($O1355="",1,$O1355))</f>
        <v/>
      </c>
      <c r="S1355" s="22">
        <f>IFERROR(INDEX(CONFIGURACOES!$J$37:$J$300,MATCH($I1355,CONFIGURACOES!$B$37:$B$300,0)),"")</f>
        <v/>
      </c>
      <c r="T1355" s="22">
        <f>IF(OR($R1355="",$S1355=""),"",$R1355*$S1355)</f>
        <v/>
      </c>
      <c r="U1355" s="20" t="n"/>
      <c r="V1355" s="20" t="n"/>
      <c r="W1355" s="20" t="n"/>
      <c r="X1355">
        <f>IF($A1355="","",$A1355&amp;"|"&amp;$C1355&amp;"|"&amp;$I1355)</f>
        <v/>
      </c>
      <c r="Y1355">
        <f>IF(AND($A1355=RELATORIO_MEDICAO!$C$5,$C1355=RELATORIO_MEDICAO!$F$5,$A1355&lt;&gt;""),COUNTIFS($A$3:$A1355,RELATORIO_MEDICAO!$C$5,$C$3:$C1355,RELATORIO_MEDICAO!$F$5),"")</f>
        <v/>
      </c>
      <c r="Z1355">
        <f>IF(OR($A1355="",PESQUISA!$C$4=""),0,IF(OR(ISNUMBER(SEARCH(PESQUISA!$C$4,$G1355)),ISNUMBER(SEARCH(PESQUISA!$C$4,$K1355)),ISNUMBER(SEARCH(PESQUISA!$C$4,$L1355))),1,0))</f>
        <v/>
      </c>
      <c r="AA1355">
        <f>IF($Z1355=1,SUM($Z$3:$Z1355),"")</f>
        <v/>
      </c>
      <c r="AB1355">
        <f>IF(OR($A1355="",PESQUISA!$C$50=""),0,IF(ISNUMBER(SEARCH(PESQUISA!$C$50,$I1355)),1,0))</f>
        <v/>
      </c>
      <c r="AC1355">
        <f>IF($AB1355=1,SUM($AB$3:$AB1355),"")</f>
        <v/>
      </c>
    </row>
    <row r="1356">
      <c r="A1356" s="20" t="n"/>
      <c r="B1356" s="20" t="n"/>
      <c r="C1356" s="20" t="n"/>
      <c r="D1356" s="20" t="n"/>
      <c r="E1356" s="20" t="n"/>
      <c r="F1356" s="20" t="n"/>
      <c r="G1356" s="20" t="n"/>
      <c r="H1356" s="20" t="n"/>
      <c r="I1356" s="20" t="n"/>
      <c r="J1356" s="20">
        <f>IFERROR(INDEX(CONFIGURACOES!$G$37:$G$300,MATCH($I1356,CONFIGURACOES!$B$37:$B$300,0)),"")</f>
        <v/>
      </c>
      <c r="K1356" s="20">
        <f>IFERROR(INDEX(CONFIGURACOES!$H$37:$H$300,MATCH($I1356,CONFIGURACOES!$B$37:$B$300,0)),"")</f>
        <v/>
      </c>
      <c r="L1356" s="20" t="n"/>
      <c r="M1356" s="20">
        <f>IFERROR(INDEX(CONFIGURACOES!$I$37:$I$300,MATCH($I1356,CONFIGURACOES!$B$37:$B$300,0)),"")</f>
        <v/>
      </c>
      <c r="N1356" s="21" t="n"/>
      <c r="O1356" s="21" t="n"/>
      <c r="P1356" s="21" t="n"/>
      <c r="Q1356" s="21" t="n"/>
      <c r="R1356" s="21">
        <f>IF($N1356="","",$N1356*IF($Q1356="",1,$Q1356)*IF($P1356="",1,$P1356)*IF($O1356="",1,$O1356))</f>
        <v/>
      </c>
      <c r="S1356" s="22">
        <f>IFERROR(INDEX(CONFIGURACOES!$J$37:$J$300,MATCH($I1356,CONFIGURACOES!$B$37:$B$300,0)),"")</f>
        <v/>
      </c>
      <c r="T1356" s="22">
        <f>IF(OR($R1356="",$S1356=""),"",$R1356*$S1356)</f>
        <v/>
      </c>
      <c r="U1356" s="20" t="n"/>
      <c r="V1356" s="20" t="n"/>
      <c r="W1356" s="20" t="n"/>
      <c r="X1356">
        <f>IF($A1356="","",$A1356&amp;"|"&amp;$C1356&amp;"|"&amp;$I1356)</f>
        <v/>
      </c>
      <c r="Y1356">
        <f>IF(AND($A1356=RELATORIO_MEDICAO!$C$5,$C1356=RELATORIO_MEDICAO!$F$5,$A1356&lt;&gt;""),COUNTIFS($A$3:$A1356,RELATORIO_MEDICAO!$C$5,$C$3:$C1356,RELATORIO_MEDICAO!$F$5),"")</f>
        <v/>
      </c>
      <c r="Z1356">
        <f>IF(OR($A1356="",PESQUISA!$C$4=""),0,IF(OR(ISNUMBER(SEARCH(PESQUISA!$C$4,$G1356)),ISNUMBER(SEARCH(PESQUISA!$C$4,$K1356)),ISNUMBER(SEARCH(PESQUISA!$C$4,$L1356))),1,0))</f>
        <v/>
      </c>
      <c r="AA1356">
        <f>IF($Z1356=1,SUM($Z$3:$Z1356),"")</f>
        <v/>
      </c>
      <c r="AB1356">
        <f>IF(OR($A1356="",PESQUISA!$C$50=""),0,IF(ISNUMBER(SEARCH(PESQUISA!$C$50,$I1356)),1,0))</f>
        <v/>
      </c>
      <c r="AC1356">
        <f>IF($AB1356=1,SUM($AB$3:$AB1356),"")</f>
        <v/>
      </c>
    </row>
    <row r="1357">
      <c r="A1357" s="20" t="n"/>
      <c r="B1357" s="20" t="n"/>
      <c r="C1357" s="20" t="n"/>
      <c r="D1357" s="20" t="n"/>
      <c r="E1357" s="20" t="n"/>
      <c r="F1357" s="20" t="n"/>
      <c r="G1357" s="20" t="n"/>
      <c r="H1357" s="20" t="n"/>
      <c r="I1357" s="20" t="n"/>
      <c r="J1357" s="20">
        <f>IFERROR(INDEX(CONFIGURACOES!$G$37:$G$300,MATCH($I1357,CONFIGURACOES!$B$37:$B$300,0)),"")</f>
        <v/>
      </c>
      <c r="K1357" s="20">
        <f>IFERROR(INDEX(CONFIGURACOES!$H$37:$H$300,MATCH($I1357,CONFIGURACOES!$B$37:$B$300,0)),"")</f>
        <v/>
      </c>
      <c r="L1357" s="20" t="n"/>
      <c r="M1357" s="20">
        <f>IFERROR(INDEX(CONFIGURACOES!$I$37:$I$300,MATCH($I1357,CONFIGURACOES!$B$37:$B$300,0)),"")</f>
        <v/>
      </c>
      <c r="N1357" s="21" t="n"/>
      <c r="O1357" s="21" t="n"/>
      <c r="P1357" s="21" t="n"/>
      <c r="Q1357" s="21" t="n"/>
      <c r="R1357" s="21">
        <f>IF($N1357="","",$N1357*IF($Q1357="",1,$Q1357)*IF($P1357="",1,$P1357)*IF($O1357="",1,$O1357))</f>
        <v/>
      </c>
      <c r="S1357" s="22">
        <f>IFERROR(INDEX(CONFIGURACOES!$J$37:$J$300,MATCH($I1357,CONFIGURACOES!$B$37:$B$300,0)),"")</f>
        <v/>
      </c>
      <c r="T1357" s="22">
        <f>IF(OR($R1357="",$S1357=""),"",$R1357*$S1357)</f>
        <v/>
      </c>
      <c r="U1357" s="20" t="n"/>
      <c r="V1357" s="20" t="n"/>
      <c r="W1357" s="20" t="n"/>
      <c r="X1357">
        <f>IF($A1357="","",$A1357&amp;"|"&amp;$C1357&amp;"|"&amp;$I1357)</f>
        <v/>
      </c>
      <c r="Y1357">
        <f>IF(AND($A1357=RELATORIO_MEDICAO!$C$5,$C1357=RELATORIO_MEDICAO!$F$5,$A1357&lt;&gt;""),COUNTIFS($A$3:$A1357,RELATORIO_MEDICAO!$C$5,$C$3:$C1357,RELATORIO_MEDICAO!$F$5),"")</f>
        <v/>
      </c>
      <c r="Z1357">
        <f>IF(OR($A1357="",PESQUISA!$C$4=""),0,IF(OR(ISNUMBER(SEARCH(PESQUISA!$C$4,$G1357)),ISNUMBER(SEARCH(PESQUISA!$C$4,$K1357)),ISNUMBER(SEARCH(PESQUISA!$C$4,$L1357))),1,0))</f>
        <v/>
      </c>
      <c r="AA1357">
        <f>IF($Z1357=1,SUM($Z$3:$Z1357),"")</f>
        <v/>
      </c>
      <c r="AB1357">
        <f>IF(OR($A1357="",PESQUISA!$C$50=""),0,IF(ISNUMBER(SEARCH(PESQUISA!$C$50,$I1357)),1,0))</f>
        <v/>
      </c>
      <c r="AC1357">
        <f>IF($AB1357=1,SUM($AB$3:$AB1357),"")</f>
        <v/>
      </c>
    </row>
    <row r="1358">
      <c r="A1358" s="20" t="n"/>
      <c r="B1358" s="20" t="n"/>
      <c r="C1358" s="20" t="n"/>
      <c r="D1358" s="20" t="n"/>
      <c r="E1358" s="20" t="n"/>
      <c r="F1358" s="20" t="n"/>
      <c r="G1358" s="20" t="n"/>
      <c r="H1358" s="20" t="n"/>
      <c r="I1358" s="20" t="n"/>
      <c r="J1358" s="20">
        <f>IFERROR(INDEX(CONFIGURACOES!$G$37:$G$300,MATCH($I1358,CONFIGURACOES!$B$37:$B$300,0)),"")</f>
        <v/>
      </c>
      <c r="K1358" s="20">
        <f>IFERROR(INDEX(CONFIGURACOES!$H$37:$H$300,MATCH($I1358,CONFIGURACOES!$B$37:$B$300,0)),"")</f>
        <v/>
      </c>
      <c r="L1358" s="20" t="n"/>
      <c r="M1358" s="20">
        <f>IFERROR(INDEX(CONFIGURACOES!$I$37:$I$300,MATCH($I1358,CONFIGURACOES!$B$37:$B$300,0)),"")</f>
        <v/>
      </c>
      <c r="N1358" s="21" t="n"/>
      <c r="O1358" s="21" t="n"/>
      <c r="P1358" s="21" t="n"/>
      <c r="Q1358" s="21" t="n"/>
      <c r="R1358" s="21">
        <f>IF($N1358="","",$N1358*IF($Q1358="",1,$Q1358)*IF($P1358="",1,$P1358)*IF($O1358="",1,$O1358))</f>
        <v/>
      </c>
      <c r="S1358" s="22">
        <f>IFERROR(INDEX(CONFIGURACOES!$J$37:$J$300,MATCH($I1358,CONFIGURACOES!$B$37:$B$300,0)),"")</f>
        <v/>
      </c>
      <c r="T1358" s="22">
        <f>IF(OR($R1358="",$S1358=""),"",$R1358*$S1358)</f>
        <v/>
      </c>
      <c r="U1358" s="20" t="n"/>
      <c r="V1358" s="20" t="n"/>
      <c r="W1358" s="20" t="n"/>
      <c r="X1358">
        <f>IF($A1358="","",$A1358&amp;"|"&amp;$C1358&amp;"|"&amp;$I1358)</f>
        <v/>
      </c>
      <c r="Y1358">
        <f>IF(AND($A1358=RELATORIO_MEDICAO!$C$5,$C1358=RELATORIO_MEDICAO!$F$5,$A1358&lt;&gt;""),COUNTIFS($A$3:$A1358,RELATORIO_MEDICAO!$C$5,$C$3:$C1358,RELATORIO_MEDICAO!$F$5),"")</f>
        <v/>
      </c>
      <c r="Z1358">
        <f>IF(OR($A1358="",PESQUISA!$C$4=""),0,IF(OR(ISNUMBER(SEARCH(PESQUISA!$C$4,$G1358)),ISNUMBER(SEARCH(PESQUISA!$C$4,$K1358)),ISNUMBER(SEARCH(PESQUISA!$C$4,$L1358))),1,0))</f>
        <v/>
      </c>
      <c r="AA1358">
        <f>IF($Z1358=1,SUM($Z$3:$Z1358),"")</f>
        <v/>
      </c>
      <c r="AB1358">
        <f>IF(OR($A1358="",PESQUISA!$C$50=""),0,IF(ISNUMBER(SEARCH(PESQUISA!$C$50,$I1358)),1,0))</f>
        <v/>
      </c>
      <c r="AC1358">
        <f>IF($AB1358=1,SUM($AB$3:$AB1358),"")</f>
        <v/>
      </c>
    </row>
    <row r="1359">
      <c r="A1359" s="20" t="n"/>
      <c r="B1359" s="20" t="n"/>
      <c r="C1359" s="20" t="n"/>
      <c r="D1359" s="20" t="n"/>
      <c r="E1359" s="20" t="n"/>
      <c r="F1359" s="20" t="n"/>
      <c r="G1359" s="20" t="n"/>
      <c r="H1359" s="20" t="n"/>
      <c r="I1359" s="20" t="n"/>
      <c r="J1359" s="20">
        <f>IFERROR(INDEX(CONFIGURACOES!$G$37:$G$300,MATCH($I1359,CONFIGURACOES!$B$37:$B$300,0)),"")</f>
        <v/>
      </c>
      <c r="K1359" s="20">
        <f>IFERROR(INDEX(CONFIGURACOES!$H$37:$H$300,MATCH($I1359,CONFIGURACOES!$B$37:$B$300,0)),"")</f>
        <v/>
      </c>
      <c r="L1359" s="20" t="n"/>
      <c r="M1359" s="20">
        <f>IFERROR(INDEX(CONFIGURACOES!$I$37:$I$300,MATCH($I1359,CONFIGURACOES!$B$37:$B$300,0)),"")</f>
        <v/>
      </c>
      <c r="N1359" s="21" t="n"/>
      <c r="O1359" s="21" t="n"/>
      <c r="P1359" s="21" t="n"/>
      <c r="Q1359" s="21" t="n"/>
      <c r="R1359" s="21">
        <f>IF($N1359="","",$N1359*IF($Q1359="",1,$Q1359)*IF($P1359="",1,$P1359)*IF($O1359="",1,$O1359))</f>
        <v/>
      </c>
      <c r="S1359" s="22">
        <f>IFERROR(INDEX(CONFIGURACOES!$J$37:$J$300,MATCH($I1359,CONFIGURACOES!$B$37:$B$300,0)),"")</f>
        <v/>
      </c>
      <c r="T1359" s="22">
        <f>IF(OR($R1359="",$S1359=""),"",$R1359*$S1359)</f>
        <v/>
      </c>
      <c r="U1359" s="20" t="n"/>
      <c r="V1359" s="20" t="n"/>
      <c r="W1359" s="20" t="n"/>
      <c r="X1359">
        <f>IF($A1359="","",$A1359&amp;"|"&amp;$C1359&amp;"|"&amp;$I1359)</f>
        <v/>
      </c>
      <c r="Y1359">
        <f>IF(AND($A1359=RELATORIO_MEDICAO!$C$5,$C1359=RELATORIO_MEDICAO!$F$5,$A1359&lt;&gt;""),COUNTIFS($A$3:$A1359,RELATORIO_MEDICAO!$C$5,$C$3:$C1359,RELATORIO_MEDICAO!$F$5),"")</f>
        <v/>
      </c>
      <c r="Z1359">
        <f>IF(OR($A1359="",PESQUISA!$C$4=""),0,IF(OR(ISNUMBER(SEARCH(PESQUISA!$C$4,$G1359)),ISNUMBER(SEARCH(PESQUISA!$C$4,$K1359)),ISNUMBER(SEARCH(PESQUISA!$C$4,$L1359))),1,0))</f>
        <v/>
      </c>
      <c r="AA1359">
        <f>IF($Z1359=1,SUM($Z$3:$Z1359),"")</f>
        <v/>
      </c>
      <c r="AB1359">
        <f>IF(OR($A1359="",PESQUISA!$C$50=""),0,IF(ISNUMBER(SEARCH(PESQUISA!$C$50,$I1359)),1,0))</f>
        <v/>
      </c>
      <c r="AC1359">
        <f>IF($AB1359=1,SUM($AB$3:$AB1359),"")</f>
        <v/>
      </c>
    </row>
    <row r="1360">
      <c r="A1360" s="20" t="n"/>
      <c r="B1360" s="20" t="n"/>
      <c r="C1360" s="20" t="n"/>
      <c r="D1360" s="20" t="n"/>
      <c r="E1360" s="20" t="n"/>
      <c r="F1360" s="20" t="n"/>
      <c r="G1360" s="20" t="n"/>
      <c r="H1360" s="20" t="n"/>
      <c r="I1360" s="20" t="n"/>
      <c r="J1360" s="20">
        <f>IFERROR(INDEX(CONFIGURACOES!$G$37:$G$300,MATCH($I1360,CONFIGURACOES!$B$37:$B$300,0)),"")</f>
        <v/>
      </c>
      <c r="K1360" s="20">
        <f>IFERROR(INDEX(CONFIGURACOES!$H$37:$H$300,MATCH($I1360,CONFIGURACOES!$B$37:$B$300,0)),"")</f>
        <v/>
      </c>
      <c r="L1360" s="20" t="n"/>
      <c r="M1360" s="20">
        <f>IFERROR(INDEX(CONFIGURACOES!$I$37:$I$300,MATCH($I1360,CONFIGURACOES!$B$37:$B$300,0)),"")</f>
        <v/>
      </c>
      <c r="N1360" s="21" t="n"/>
      <c r="O1360" s="21" t="n"/>
      <c r="P1360" s="21" t="n"/>
      <c r="Q1360" s="21" t="n"/>
      <c r="R1360" s="21">
        <f>IF($N1360="","",$N1360*IF($Q1360="",1,$Q1360)*IF($P1360="",1,$P1360)*IF($O1360="",1,$O1360))</f>
        <v/>
      </c>
      <c r="S1360" s="22">
        <f>IFERROR(INDEX(CONFIGURACOES!$J$37:$J$300,MATCH($I1360,CONFIGURACOES!$B$37:$B$300,0)),"")</f>
        <v/>
      </c>
      <c r="T1360" s="22">
        <f>IF(OR($R1360="",$S1360=""),"",$R1360*$S1360)</f>
        <v/>
      </c>
      <c r="U1360" s="20" t="n"/>
      <c r="V1360" s="20" t="n"/>
      <c r="W1360" s="20" t="n"/>
      <c r="X1360">
        <f>IF($A1360="","",$A1360&amp;"|"&amp;$C1360&amp;"|"&amp;$I1360)</f>
        <v/>
      </c>
      <c r="Y1360">
        <f>IF(AND($A1360=RELATORIO_MEDICAO!$C$5,$C1360=RELATORIO_MEDICAO!$F$5,$A1360&lt;&gt;""),COUNTIFS($A$3:$A1360,RELATORIO_MEDICAO!$C$5,$C$3:$C1360,RELATORIO_MEDICAO!$F$5),"")</f>
        <v/>
      </c>
      <c r="Z1360">
        <f>IF(OR($A1360="",PESQUISA!$C$4=""),0,IF(OR(ISNUMBER(SEARCH(PESQUISA!$C$4,$G1360)),ISNUMBER(SEARCH(PESQUISA!$C$4,$K1360)),ISNUMBER(SEARCH(PESQUISA!$C$4,$L1360))),1,0))</f>
        <v/>
      </c>
      <c r="AA1360">
        <f>IF($Z1360=1,SUM($Z$3:$Z1360),"")</f>
        <v/>
      </c>
      <c r="AB1360">
        <f>IF(OR($A1360="",PESQUISA!$C$50=""),0,IF(ISNUMBER(SEARCH(PESQUISA!$C$50,$I1360)),1,0))</f>
        <v/>
      </c>
      <c r="AC1360">
        <f>IF($AB1360=1,SUM($AB$3:$AB1360),"")</f>
        <v/>
      </c>
    </row>
    <row r="1361">
      <c r="A1361" s="20" t="n"/>
      <c r="B1361" s="20" t="n"/>
      <c r="C1361" s="20" t="n"/>
      <c r="D1361" s="20" t="n"/>
      <c r="E1361" s="20" t="n"/>
      <c r="F1361" s="20" t="n"/>
      <c r="G1361" s="20" t="n"/>
      <c r="H1361" s="20" t="n"/>
      <c r="I1361" s="20" t="n"/>
      <c r="J1361" s="20">
        <f>IFERROR(INDEX(CONFIGURACOES!$G$37:$G$300,MATCH($I1361,CONFIGURACOES!$B$37:$B$300,0)),"")</f>
        <v/>
      </c>
      <c r="K1361" s="20">
        <f>IFERROR(INDEX(CONFIGURACOES!$H$37:$H$300,MATCH($I1361,CONFIGURACOES!$B$37:$B$300,0)),"")</f>
        <v/>
      </c>
      <c r="L1361" s="20" t="n"/>
      <c r="M1361" s="20">
        <f>IFERROR(INDEX(CONFIGURACOES!$I$37:$I$300,MATCH($I1361,CONFIGURACOES!$B$37:$B$300,0)),"")</f>
        <v/>
      </c>
      <c r="N1361" s="21" t="n"/>
      <c r="O1361" s="21" t="n"/>
      <c r="P1361" s="21" t="n"/>
      <c r="Q1361" s="21" t="n"/>
      <c r="R1361" s="21">
        <f>IF($N1361="","",$N1361*IF($Q1361="",1,$Q1361)*IF($P1361="",1,$P1361)*IF($O1361="",1,$O1361))</f>
        <v/>
      </c>
      <c r="S1361" s="22">
        <f>IFERROR(INDEX(CONFIGURACOES!$J$37:$J$300,MATCH($I1361,CONFIGURACOES!$B$37:$B$300,0)),"")</f>
        <v/>
      </c>
      <c r="T1361" s="22">
        <f>IF(OR($R1361="",$S1361=""),"",$R1361*$S1361)</f>
        <v/>
      </c>
      <c r="U1361" s="20" t="n"/>
      <c r="V1361" s="20" t="n"/>
      <c r="W1361" s="20" t="n"/>
      <c r="X1361">
        <f>IF($A1361="","",$A1361&amp;"|"&amp;$C1361&amp;"|"&amp;$I1361)</f>
        <v/>
      </c>
      <c r="Y1361">
        <f>IF(AND($A1361=RELATORIO_MEDICAO!$C$5,$C1361=RELATORIO_MEDICAO!$F$5,$A1361&lt;&gt;""),COUNTIFS($A$3:$A1361,RELATORIO_MEDICAO!$C$5,$C$3:$C1361,RELATORIO_MEDICAO!$F$5),"")</f>
        <v/>
      </c>
      <c r="Z1361">
        <f>IF(OR($A1361="",PESQUISA!$C$4=""),0,IF(OR(ISNUMBER(SEARCH(PESQUISA!$C$4,$G1361)),ISNUMBER(SEARCH(PESQUISA!$C$4,$K1361)),ISNUMBER(SEARCH(PESQUISA!$C$4,$L1361))),1,0))</f>
        <v/>
      </c>
      <c r="AA1361">
        <f>IF($Z1361=1,SUM($Z$3:$Z1361),"")</f>
        <v/>
      </c>
      <c r="AB1361">
        <f>IF(OR($A1361="",PESQUISA!$C$50=""),0,IF(ISNUMBER(SEARCH(PESQUISA!$C$50,$I1361)),1,0))</f>
        <v/>
      </c>
      <c r="AC1361">
        <f>IF($AB1361=1,SUM($AB$3:$AB1361),"")</f>
        <v/>
      </c>
    </row>
    <row r="1362">
      <c r="A1362" s="20" t="n"/>
      <c r="B1362" s="20" t="n"/>
      <c r="C1362" s="20" t="n"/>
      <c r="D1362" s="20" t="n"/>
      <c r="E1362" s="20" t="n"/>
      <c r="F1362" s="20" t="n"/>
      <c r="G1362" s="20" t="n"/>
      <c r="H1362" s="20" t="n"/>
      <c r="I1362" s="20" t="n"/>
      <c r="J1362" s="20">
        <f>IFERROR(INDEX(CONFIGURACOES!$G$37:$G$300,MATCH($I1362,CONFIGURACOES!$B$37:$B$300,0)),"")</f>
        <v/>
      </c>
      <c r="K1362" s="20">
        <f>IFERROR(INDEX(CONFIGURACOES!$H$37:$H$300,MATCH($I1362,CONFIGURACOES!$B$37:$B$300,0)),"")</f>
        <v/>
      </c>
      <c r="L1362" s="20" t="n"/>
      <c r="M1362" s="20">
        <f>IFERROR(INDEX(CONFIGURACOES!$I$37:$I$300,MATCH($I1362,CONFIGURACOES!$B$37:$B$300,0)),"")</f>
        <v/>
      </c>
      <c r="N1362" s="21" t="n"/>
      <c r="O1362" s="21" t="n"/>
      <c r="P1362" s="21" t="n"/>
      <c r="Q1362" s="21" t="n"/>
      <c r="R1362" s="21">
        <f>IF($N1362="","",$N1362*IF($Q1362="",1,$Q1362)*IF($P1362="",1,$P1362)*IF($O1362="",1,$O1362))</f>
        <v/>
      </c>
      <c r="S1362" s="22">
        <f>IFERROR(INDEX(CONFIGURACOES!$J$37:$J$300,MATCH($I1362,CONFIGURACOES!$B$37:$B$300,0)),"")</f>
        <v/>
      </c>
      <c r="T1362" s="22">
        <f>IF(OR($R1362="",$S1362=""),"",$R1362*$S1362)</f>
        <v/>
      </c>
      <c r="U1362" s="20" t="n"/>
      <c r="V1362" s="20" t="n"/>
      <c r="W1362" s="20" t="n"/>
      <c r="X1362">
        <f>IF($A1362="","",$A1362&amp;"|"&amp;$C1362&amp;"|"&amp;$I1362)</f>
        <v/>
      </c>
      <c r="Y1362">
        <f>IF(AND($A1362=RELATORIO_MEDICAO!$C$5,$C1362=RELATORIO_MEDICAO!$F$5,$A1362&lt;&gt;""),COUNTIFS($A$3:$A1362,RELATORIO_MEDICAO!$C$5,$C$3:$C1362,RELATORIO_MEDICAO!$F$5),"")</f>
        <v/>
      </c>
      <c r="Z1362">
        <f>IF(OR($A1362="",PESQUISA!$C$4=""),0,IF(OR(ISNUMBER(SEARCH(PESQUISA!$C$4,$G1362)),ISNUMBER(SEARCH(PESQUISA!$C$4,$K1362)),ISNUMBER(SEARCH(PESQUISA!$C$4,$L1362))),1,0))</f>
        <v/>
      </c>
      <c r="AA1362">
        <f>IF($Z1362=1,SUM($Z$3:$Z1362),"")</f>
        <v/>
      </c>
      <c r="AB1362">
        <f>IF(OR($A1362="",PESQUISA!$C$50=""),0,IF(ISNUMBER(SEARCH(PESQUISA!$C$50,$I1362)),1,0))</f>
        <v/>
      </c>
      <c r="AC1362">
        <f>IF($AB1362=1,SUM($AB$3:$AB1362),"")</f>
        <v/>
      </c>
    </row>
    <row r="1363">
      <c r="A1363" s="20" t="n"/>
      <c r="B1363" s="20" t="n"/>
      <c r="C1363" s="20" t="n"/>
      <c r="D1363" s="20" t="n"/>
      <c r="E1363" s="20" t="n"/>
      <c r="F1363" s="20" t="n"/>
      <c r="G1363" s="20" t="n"/>
      <c r="H1363" s="20" t="n"/>
      <c r="I1363" s="20" t="n"/>
      <c r="J1363" s="20">
        <f>IFERROR(INDEX(CONFIGURACOES!$G$37:$G$300,MATCH($I1363,CONFIGURACOES!$B$37:$B$300,0)),"")</f>
        <v/>
      </c>
      <c r="K1363" s="20">
        <f>IFERROR(INDEX(CONFIGURACOES!$H$37:$H$300,MATCH($I1363,CONFIGURACOES!$B$37:$B$300,0)),"")</f>
        <v/>
      </c>
      <c r="L1363" s="20" t="n"/>
      <c r="M1363" s="20">
        <f>IFERROR(INDEX(CONFIGURACOES!$I$37:$I$300,MATCH($I1363,CONFIGURACOES!$B$37:$B$300,0)),"")</f>
        <v/>
      </c>
      <c r="N1363" s="21" t="n"/>
      <c r="O1363" s="21" t="n"/>
      <c r="P1363" s="21" t="n"/>
      <c r="Q1363" s="21" t="n"/>
      <c r="R1363" s="21">
        <f>IF($N1363="","",$N1363*IF($Q1363="",1,$Q1363)*IF($P1363="",1,$P1363)*IF($O1363="",1,$O1363))</f>
        <v/>
      </c>
      <c r="S1363" s="22">
        <f>IFERROR(INDEX(CONFIGURACOES!$J$37:$J$300,MATCH($I1363,CONFIGURACOES!$B$37:$B$300,0)),"")</f>
        <v/>
      </c>
      <c r="T1363" s="22">
        <f>IF(OR($R1363="",$S1363=""),"",$R1363*$S1363)</f>
        <v/>
      </c>
      <c r="U1363" s="20" t="n"/>
      <c r="V1363" s="20" t="n"/>
      <c r="W1363" s="20" t="n"/>
      <c r="X1363">
        <f>IF($A1363="","",$A1363&amp;"|"&amp;$C1363&amp;"|"&amp;$I1363)</f>
        <v/>
      </c>
      <c r="Y1363">
        <f>IF(AND($A1363=RELATORIO_MEDICAO!$C$5,$C1363=RELATORIO_MEDICAO!$F$5,$A1363&lt;&gt;""),COUNTIFS($A$3:$A1363,RELATORIO_MEDICAO!$C$5,$C$3:$C1363,RELATORIO_MEDICAO!$F$5),"")</f>
        <v/>
      </c>
      <c r="Z1363">
        <f>IF(OR($A1363="",PESQUISA!$C$4=""),0,IF(OR(ISNUMBER(SEARCH(PESQUISA!$C$4,$G1363)),ISNUMBER(SEARCH(PESQUISA!$C$4,$K1363)),ISNUMBER(SEARCH(PESQUISA!$C$4,$L1363))),1,0))</f>
        <v/>
      </c>
      <c r="AA1363">
        <f>IF($Z1363=1,SUM($Z$3:$Z1363),"")</f>
        <v/>
      </c>
      <c r="AB1363">
        <f>IF(OR($A1363="",PESQUISA!$C$50=""),0,IF(ISNUMBER(SEARCH(PESQUISA!$C$50,$I1363)),1,0))</f>
        <v/>
      </c>
      <c r="AC1363">
        <f>IF($AB1363=1,SUM($AB$3:$AB1363),"")</f>
        <v/>
      </c>
    </row>
    <row r="1364">
      <c r="A1364" s="20" t="n"/>
      <c r="B1364" s="20" t="n"/>
      <c r="C1364" s="20" t="n"/>
      <c r="D1364" s="20" t="n"/>
      <c r="E1364" s="20" t="n"/>
      <c r="F1364" s="20" t="n"/>
      <c r="G1364" s="20" t="n"/>
      <c r="H1364" s="20" t="n"/>
      <c r="I1364" s="20" t="n"/>
      <c r="J1364" s="20">
        <f>IFERROR(INDEX(CONFIGURACOES!$G$37:$G$300,MATCH($I1364,CONFIGURACOES!$B$37:$B$300,0)),"")</f>
        <v/>
      </c>
      <c r="K1364" s="20">
        <f>IFERROR(INDEX(CONFIGURACOES!$H$37:$H$300,MATCH($I1364,CONFIGURACOES!$B$37:$B$300,0)),"")</f>
        <v/>
      </c>
      <c r="L1364" s="20" t="n"/>
      <c r="M1364" s="20">
        <f>IFERROR(INDEX(CONFIGURACOES!$I$37:$I$300,MATCH($I1364,CONFIGURACOES!$B$37:$B$300,0)),"")</f>
        <v/>
      </c>
      <c r="N1364" s="21" t="n"/>
      <c r="O1364" s="21" t="n"/>
      <c r="P1364" s="21" t="n"/>
      <c r="Q1364" s="21" t="n"/>
      <c r="R1364" s="21">
        <f>IF($N1364="","",$N1364*IF($Q1364="",1,$Q1364)*IF($P1364="",1,$P1364)*IF($O1364="",1,$O1364))</f>
        <v/>
      </c>
      <c r="S1364" s="22">
        <f>IFERROR(INDEX(CONFIGURACOES!$J$37:$J$300,MATCH($I1364,CONFIGURACOES!$B$37:$B$300,0)),"")</f>
        <v/>
      </c>
      <c r="T1364" s="22">
        <f>IF(OR($R1364="",$S1364=""),"",$R1364*$S1364)</f>
        <v/>
      </c>
      <c r="U1364" s="20" t="n"/>
      <c r="V1364" s="20" t="n"/>
      <c r="W1364" s="20" t="n"/>
      <c r="X1364">
        <f>IF($A1364="","",$A1364&amp;"|"&amp;$C1364&amp;"|"&amp;$I1364)</f>
        <v/>
      </c>
      <c r="Y1364">
        <f>IF(AND($A1364=RELATORIO_MEDICAO!$C$5,$C1364=RELATORIO_MEDICAO!$F$5,$A1364&lt;&gt;""),COUNTIFS($A$3:$A1364,RELATORIO_MEDICAO!$C$5,$C$3:$C1364,RELATORIO_MEDICAO!$F$5),"")</f>
        <v/>
      </c>
      <c r="Z1364">
        <f>IF(OR($A1364="",PESQUISA!$C$4=""),0,IF(OR(ISNUMBER(SEARCH(PESQUISA!$C$4,$G1364)),ISNUMBER(SEARCH(PESQUISA!$C$4,$K1364)),ISNUMBER(SEARCH(PESQUISA!$C$4,$L1364))),1,0))</f>
        <v/>
      </c>
      <c r="AA1364">
        <f>IF($Z1364=1,SUM($Z$3:$Z1364),"")</f>
        <v/>
      </c>
      <c r="AB1364">
        <f>IF(OR($A1364="",PESQUISA!$C$50=""),0,IF(ISNUMBER(SEARCH(PESQUISA!$C$50,$I1364)),1,0))</f>
        <v/>
      </c>
      <c r="AC1364">
        <f>IF($AB1364=1,SUM($AB$3:$AB1364),"")</f>
        <v/>
      </c>
    </row>
    <row r="1365">
      <c r="A1365" s="20" t="n"/>
      <c r="B1365" s="20" t="n"/>
      <c r="C1365" s="20" t="n"/>
      <c r="D1365" s="20" t="n"/>
      <c r="E1365" s="20" t="n"/>
      <c r="F1365" s="20" t="n"/>
      <c r="G1365" s="20" t="n"/>
      <c r="H1365" s="20" t="n"/>
      <c r="I1365" s="20" t="n"/>
      <c r="J1365" s="20">
        <f>IFERROR(INDEX(CONFIGURACOES!$G$37:$G$300,MATCH($I1365,CONFIGURACOES!$B$37:$B$300,0)),"")</f>
        <v/>
      </c>
      <c r="K1365" s="20">
        <f>IFERROR(INDEX(CONFIGURACOES!$H$37:$H$300,MATCH($I1365,CONFIGURACOES!$B$37:$B$300,0)),"")</f>
        <v/>
      </c>
      <c r="L1365" s="20" t="n"/>
      <c r="M1365" s="20">
        <f>IFERROR(INDEX(CONFIGURACOES!$I$37:$I$300,MATCH($I1365,CONFIGURACOES!$B$37:$B$300,0)),"")</f>
        <v/>
      </c>
      <c r="N1365" s="21" t="n"/>
      <c r="O1365" s="21" t="n"/>
      <c r="P1365" s="21" t="n"/>
      <c r="Q1365" s="21" t="n"/>
      <c r="R1365" s="21">
        <f>IF($N1365="","",$N1365*IF($Q1365="",1,$Q1365)*IF($P1365="",1,$P1365)*IF($O1365="",1,$O1365))</f>
        <v/>
      </c>
      <c r="S1365" s="22">
        <f>IFERROR(INDEX(CONFIGURACOES!$J$37:$J$300,MATCH($I1365,CONFIGURACOES!$B$37:$B$300,0)),"")</f>
        <v/>
      </c>
      <c r="T1365" s="22">
        <f>IF(OR($R1365="",$S1365=""),"",$R1365*$S1365)</f>
        <v/>
      </c>
      <c r="U1365" s="20" t="n"/>
      <c r="V1365" s="20" t="n"/>
      <c r="W1365" s="20" t="n"/>
      <c r="X1365">
        <f>IF($A1365="","",$A1365&amp;"|"&amp;$C1365&amp;"|"&amp;$I1365)</f>
        <v/>
      </c>
      <c r="Y1365">
        <f>IF(AND($A1365=RELATORIO_MEDICAO!$C$5,$C1365=RELATORIO_MEDICAO!$F$5,$A1365&lt;&gt;""),COUNTIFS($A$3:$A1365,RELATORIO_MEDICAO!$C$5,$C$3:$C1365,RELATORIO_MEDICAO!$F$5),"")</f>
        <v/>
      </c>
      <c r="Z1365">
        <f>IF(OR($A1365="",PESQUISA!$C$4=""),0,IF(OR(ISNUMBER(SEARCH(PESQUISA!$C$4,$G1365)),ISNUMBER(SEARCH(PESQUISA!$C$4,$K1365)),ISNUMBER(SEARCH(PESQUISA!$C$4,$L1365))),1,0))</f>
        <v/>
      </c>
      <c r="AA1365">
        <f>IF($Z1365=1,SUM($Z$3:$Z1365),"")</f>
        <v/>
      </c>
      <c r="AB1365">
        <f>IF(OR($A1365="",PESQUISA!$C$50=""),0,IF(ISNUMBER(SEARCH(PESQUISA!$C$50,$I1365)),1,0))</f>
        <v/>
      </c>
      <c r="AC1365">
        <f>IF($AB1365=1,SUM($AB$3:$AB1365),"")</f>
        <v/>
      </c>
    </row>
    <row r="1366">
      <c r="A1366" s="20" t="n"/>
      <c r="B1366" s="20" t="n"/>
      <c r="C1366" s="20" t="n"/>
      <c r="D1366" s="20" t="n"/>
      <c r="E1366" s="20" t="n"/>
      <c r="F1366" s="20" t="n"/>
      <c r="G1366" s="20" t="n"/>
      <c r="H1366" s="20" t="n"/>
      <c r="I1366" s="20" t="n"/>
      <c r="J1366" s="20">
        <f>IFERROR(INDEX(CONFIGURACOES!$G$37:$G$300,MATCH($I1366,CONFIGURACOES!$B$37:$B$300,0)),"")</f>
        <v/>
      </c>
      <c r="K1366" s="20">
        <f>IFERROR(INDEX(CONFIGURACOES!$H$37:$H$300,MATCH($I1366,CONFIGURACOES!$B$37:$B$300,0)),"")</f>
        <v/>
      </c>
      <c r="L1366" s="20" t="n"/>
      <c r="M1366" s="20">
        <f>IFERROR(INDEX(CONFIGURACOES!$I$37:$I$300,MATCH($I1366,CONFIGURACOES!$B$37:$B$300,0)),"")</f>
        <v/>
      </c>
      <c r="N1366" s="21" t="n"/>
      <c r="O1366" s="21" t="n"/>
      <c r="P1366" s="21" t="n"/>
      <c r="Q1366" s="21" t="n"/>
      <c r="R1366" s="21">
        <f>IF($N1366="","",$N1366*IF($Q1366="",1,$Q1366)*IF($P1366="",1,$P1366)*IF($O1366="",1,$O1366))</f>
        <v/>
      </c>
      <c r="S1366" s="22">
        <f>IFERROR(INDEX(CONFIGURACOES!$J$37:$J$300,MATCH($I1366,CONFIGURACOES!$B$37:$B$300,0)),"")</f>
        <v/>
      </c>
      <c r="T1366" s="22">
        <f>IF(OR($R1366="",$S1366=""),"",$R1366*$S1366)</f>
        <v/>
      </c>
      <c r="U1366" s="20" t="n"/>
      <c r="V1366" s="20" t="n"/>
      <c r="W1366" s="20" t="n"/>
      <c r="X1366">
        <f>IF($A1366="","",$A1366&amp;"|"&amp;$C1366&amp;"|"&amp;$I1366)</f>
        <v/>
      </c>
      <c r="Y1366">
        <f>IF(AND($A1366=RELATORIO_MEDICAO!$C$5,$C1366=RELATORIO_MEDICAO!$F$5,$A1366&lt;&gt;""),COUNTIFS($A$3:$A1366,RELATORIO_MEDICAO!$C$5,$C$3:$C1366,RELATORIO_MEDICAO!$F$5),"")</f>
        <v/>
      </c>
      <c r="Z1366">
        <f>IF(OR($A1366="",PESQUISA!$C$4=""),0,IF(OR(ISNUMBER(SEARCH(PESQUISA!$C$4,$G1366)),ISNUMBER(SEARCH(PESQUISA!$C$4,$K1366)),ISNUMBER(SEARCH(PESQUISA!$C$4,$L1366))),1,0))</f>
        <v/>
      </c>
      <c r="AA1366">
        <f>IF($Z1366=1,SUM($Z$3:$Z1366),"")</f>
        <v/>
      </c>
      <c r="AB1366">
        <f>IF(OR($A1366="",PESQUISA!$C$50=""),0,IF(ISNUMBER(SEARCH(PESQUISA!$C$50,$I1366)),1,0))</f>
        <v/>
      </c>
      <c r="AC1366">
        <f>IF($AB1366=1,SUM($AB$3:$AB1366),"")</f>
        <v/>
      </c>
    </row>
    <row r="1367">
      <c r="A1367" s="20" t="n"/>
      <c r="B1367" s="20" t="n"/>
      <c r="C1367" s="20" t="n"/>
      <c r="D1367" s="20" t="n"/>
      <c r="E1367" s="20" t="n"/>
      <c r="F1367" s="20" t="n"/>
      <c r="G1367" s="20" t="n"/>
      <c r="H1367" s="20" t="n"/>
      <c r="I1367" s="20" t="n"/>
      <c r="J1367" s="20">
        <f>IFERROR(INDEX(CONFIGURACOES!$G$37:$G$300,MATCH($I1367,CONFIGURACOES!$B$37:$B$300,0)),"")</f>
        <v/>
      </c>
      <c r="K1367" s="20">
        <f>IFERROR(INDEX(CONFIGURACOES!$H$37:$H$300,MATCH($I1367,CONFIGURACOES!$B$37:$B$300,0)),"")</f>
        <v/>
      </c>
      <c r="L1367" s="20" t="n"/>
      <c r="M1367" s="20">
        <f>IFERROR(INDEX(CONFIGURACOES!$I$37:$I$300,MATCH($I1367,CONFIGURACOES!$B$37:$B$300,0)),"")</f>
        <v/>
      </c>
      <c r="N1367" s="21" t="n"/>
      <c r="O1367" s="21" t="n"/>
      <c r="P1367" s="21" t="n"/>
      <c r="Q1367" s="21" t="n"/>
      <c r="R1367" s="21">
        <f>IF($N1367="","",$N1367*IF($Q1367="",1,$Q1367)*IF($P1367="",1,$P1367)*IF($O1367="",1,$O1367))</f>
        <v/>
      </c>
      <c r="S1367" s="22">
        <f>IFERROR(INDEX(CONFIGURACOES!$J$37:$J$300,MATCH($I1367,CONFIGURACOES!$B$37:$B$300,0)),"")</f>
        <v/>
      </c>
      <c r="T1367" s="22">
        <f>IF(OR($R1367="",$S1367=""),"",$R1367*$S1367)</f>
        <v/>
      </c>
      <c r="U1367" s="20" t="n"/>
      <c r="V1367" s="20" t="n"/>
      <c r="W1367" s="20" t="n"/>
      <c r="X1367">
        <f>IF($A1367="","",$A1367&amp;"|"&amp;$C1367&amp;"|"&amp;$I1367)</f>
        <v/>
      </c>
      <c r="Y1367">
        <f>IF(AND($A1367=RELATORIO_MEDICAO!$C$5,$C1367=RELATORIO_MEDICAO!$F$5,$A1367&lt;&gt;""),COUNTIFS($A$3:$A1367,RELATORIO_MEDICAO!$C$5,$C$3:$C1367,RELATORIO_MEDICAO!$F$5),"")</f>
        <v/>
      </c>
      <c r="Z1367">
        <f>IF(OR($A1367="",PESQUISA!$C$4=""),0,IF(OR(ISNUMBER(SEARCH(PESQUISA!$C$4,$G1367)),ISNUMBER(SEARCH(PESQUISA!$C$4,$K1367)),ISNUMBER(SEARCH(PESQUISA!$C$4,$L1367))),1,0))</f>
        <v/>
      </c>
      <c r="AA1367">
        <f>IF($Z1367=1,SUM($Z$3:$Z1367),"")</f>
        <v/>
      </c>
      <c r="AB1367">
        <f>IF(OR($A1367="",PESQUISA!$C$50=""),0,IF(ISNUMBER(SEARCH(PESQUISA!$C$50,$I1367)),1,0))</f>
        <v/>
      </c>
      <c r="AC1367">
        <f>IF($AB1367=1,SUM($AB$3:$AB1367),"")</f>
        <v/>
      </c>
    </row>
    <row r="1368">
      <c r="A1368" s="20" t="n"/>
      <c r="B1368" s="20" t="n"/>
      <c r="C1368" s="20" t="n"/>
      <c r="D1368" s="20" t="n"/>
      <c r="E1368" s="20" t="n"/>
      <c r="F1368" s="20" t="n"/>
      <c r="G1368" s="20" t="n"/>
      <c r="H1368" s="20" t="n"/>
      <c r="I1368" s="20" t="n"/>
      <c r="J1368" s="20">
        <f>IFERROR(INDEX(CONFIGURACOES!$G$37:$G$300,MATCH($I1368,CONFIGURACOES!$B$37:$B$300,0)),"")</f>
        <v/>
      </c>
      <c r="K1368" s="20">
        <f>IFERROR(INDEX(CONFIGURACOES!$H$37:$H$300,MATCH($I1368,CONFIGURACOES!$B$37:$B$300,0)),"")</f>
        <v/>
      </c>
      <c r="L1368" s="20" t="n"/>
      <c r="M1368" s="20">
        <f>IFERROR(INDEX(CONFIGURACOES!$I$37:$I$300,MATCH($I1368,CONFIGURACOES!$B$37:$B$300,0)),"")</f>
        <v/>
      </c>
      <c r="N1368" s="21" t="n"/>
      <c r="O1368" s="21" t="n"/>
      <c r="P1368" s="21" t="n"/>
      <c r="Q1368" s="21" t="n"/>
      <c r="R1368" s="21">
        <f>IF($N1368="","",$N1368*IF($Q1368="",1,$Q1368)*IF($P1368="",1,$P1368)*IF($O1368="",1,$O1368))</f>
        <v/>
      </c>
      <c r="S1368" s="22">
        <f>IFERROR(INDEX(CONFIGURACOES!$J$37:$J$300,MATCH($I1368,CONFIGURACOES!$B$37:$B$300,0)),"")</f>
        <v/>
      </c>
      <c r="T1368" s="22">
        <f>IF(OR($R1368="",$S1368=""),"",$R1368*$S1368)</f>
        <v/>
      </c>
      <c r="U1368" s="20" t="n"/>
      <c r="V1368" s="20" t="n"/>
      <c r="W1368" s="20" t="n"/>
      <c r="X1368">
        <f>IF($A1368="","",$A1368&amp;"|"&amp;$C1368&amp;"|"&amp;$I1368)</f>
        <v/>
      </c>
      <c r="Y1368">
        <f>IF(AND($A1368=RELATORIO_MEDICAO!$C$5,$C1368=RELATORIO_MEDICAO!$F$5,$A1368&lt;&gt;""),COUNTIFS($A$3:$A1368,RELATORIO_MEDICAO!$C$5,$C$3:$C1368,RELATORIO_MEDICAO!$F$5),"")</f>
        <v/>
      </c>
      <c r="Z1368">
        <f>IF(OR($A1368="",PESQUISA!$C$4=""),0,IF(OR(ISNUMBER(SEARCH(PESQUISA!$C$4,$G1368)),ISNUMBER(SEARCH(PESQUISA!$C$4,$K1368)),ISNUMBER(SEARCH(PESQUISA!$C$4,$L1368))),1,0))</f>
        <v/>
      </c>
      <c r="AA1368">
        <f>IF($Z1368=1,SUM($Z$3:$Z1368),"")</f>
        <v/>
      </c>
      <c r="AB1368">
        <f>IF(OR($A1368="",PESQUISA!$C$50=""),0,IF(ISNUMBER(SEARCH(PESQUISA!$C$50,$I1368)),1,0))</f>
        <v/>
      </c>
      <c r="AC1368">
        <f>IF($AB1368=1,SUM($AB$3:$AB1368),"")</f>
        <v/>
      </c>
    </row>
    <row r="1369">
      <c r="A1369" s="20" t="n"/>
      <c r="B1369" s="20" t="n"/>
      <c r="C1369" s="20" t="n"/>
      <c r="D1369" s="20" t="n"/>
      <c r="E1369" s="20" t="n"/>
      <c r="F1369" s="20" t="n"/>
      <c r="G1369" s="20" t="n"/>
      <c r="H1369" s="20" t="n"/>
      <c r="I1369" s="20" t="n"/>
      <c r="J1369" s="20">
        <f>IFERROR(INDEX(CONFIGURACOES!$G$37:$G$300,MATCH($I1369,CONFIGURACOES!$B$37:$B$300,0)),"")</f>
        <v/>
      </c>
      <c r="K1369" s="20">
        <f>IFERROR(INDEX(CONFIGURACOES!$H$37:$H$300,MATCH($I1369,CONFIGURACOES!$B$37:$B$300,0)),"")</f>
        <v/>
      </c>
      <c r="L1369" s="20" t="n"/>
      <c r="M1369" s="20">
        <f>IFERROR(INDEX(CONFIGURACOES!$I$37:$I$300,MATCH($I1369,CONFIGURACOES!$B$37:$B$300,0)),"")</f>
        <v/>
      </c>
      <c r="N1369" s="21" t="n"/>
      <c r="O1369" s="21" t="n"/>
      <c r="P1369" s="21" t="n"/>
      <c r="Q1369" s="21" t="n"/>
      <c r="R1369" s="21">
        <f>IF($N1369="","",$N1369*IF($Q1369="",1,$Q1369)*IF($P1369="",1,$P1369)*IF($O1369="",1,$O1369))</f>
        <v/>
      </c>
      <c r="S1369" s="22">
        <f>IFERROR(INDEX(CONFIGURACOES!$J$37:$J$300,MATCH($I1369,CONFIGURACOES!$B$37:$B$300,0)),"")</f>
        <v/>
      </c>
      <c r="T1369" s="22">
        <f>IF(OR($R1369="",$S1369=""),"",$R1369*$S1369)</f>
        <v/>
      </c>
      <c r="U1369" s="20" t="n"/>
      <c r="V1369" s="20" t="n"/>
      <c r="W1369" s="20" t="n"/>
      <c r="X1369">
        <f>IF($A1369="","",$A1369&amp;"|"&amp;$C1369&amp;"|"&amp;$I1369)</f>
        <v/>
      </c>
      <c r="Y1369">
        <f>IF(AND($A1369=RELATORIO_MEDICAO!$C$5,$C1369=RELATORIO_MEDICAO!$F$5,$A1369&lt;&gt;""),COUNTIFS($A$3:$A1369,RELATORIO_MEDICAO!$C$5,$C$3:$C1369,RELATORIO_MEDICAO!$F$5),"")</f>
        <v/>
      </c>
      <c r="Z1369">
        <f>IF(OR($A1369="",PESQUISA!$C$4=""),0,IF(OR(ISNUMBER(SEARCH(PESQUISA!$C$4,$G1369)),ISNUMBER(SEARCH(PESQUISA!$C$4,$K1369)),ISNUMBER(SEARCH(PESQUISA!$C$4,$L1369))),1,0))</f>
        <v/>
      </c>
      <c r="AA1369">
        <f>IF($Z1369=1,SUM($Z$3:$Z1369),"")</f>
        <v/>
      </c>
      <c r="AB1369">
        <f>IF(OR($A1369="",PESQUISA!$C$50=""),0,IF(ISNUMBER(SEARCH(PESQUISA!$C$50,$I1369)),1,0))</f>
        <v/>
      </c>
      <c r="AC1369">
        <f>IF($AB1369=1,SUM($AB$3:$AB1369),"")</f>
        <v/>
      </c>
    </row>
    <row r="1370">
      <c r="A1370" s="20" t="n"/>
      <c r="B1370" s="20" t="n"/>
      <c r="C1370" s="20" t="n"/>
      <c r="D1370" s="20" t="n"/>
      <c r="E1370" s="20" t="n"/>
      <c r="F1370" s="20" t="n"/>
      <c r="G1370" s="20" t="n"/>
      <c r="H1370" s="20" t="n"/>
      <c r="I1370" s="20" t="n"/>
      <c r="J1370" s="20">
        <f>IFERROR(INDEX(CONFIGURACOES!$G$37:$G$300,MATCH($I1370,CONFIGURACOES!$B$37:$B$300,0)),"")</f>
        <v/>
      </c>
      <c r="K1370" s="20">
        <f>IFERROR(INDEX(CONFIGURACOES!$H$37:$H$300,MATCH($I1370,CONFIGURACOES!$B$37:$B$300,0)),"")</f>
        <v/>
      </c>
      <c r="L1370" s="20" t="n"/>
      <c r="M1370" s="20">
        <f>IFERROR(INDEX(CONFIGURACOES!$I$37:$I$300,MATCH($I1370,CONFIGURACOES!$B$37:$B$300,0)),"")</f>
        <v/>
      </c>
      <c r="N1370" s="21" t="n"/>
      <c r="O1370" s="21" t="n"/>
      <c r="P1370" s="21" t="n"/>
      <c r="Q1370" s="21" t="n"/>
      <c r="R1370" s="21">
        <f>IF($N1370="","",$N1370*IF($Q1370="",1,$Q1370)*IF($P1370="",1,$P1370)*IF($O1370="",1,$O1370))</f>
        <v/>
      </c>
      <c r="S1370" s="22">
        <f>IFERROR(INDEX(CONFIGURACOES!$J$37:$J$300,MATCH($I1370,CONFIGURACOES!$B$37:$B$300,0)),"")</f>
        <v/>
      </c>
      <c r="T1370" s="22">
        <f>IF(OR($R1370="",$S1370=""),"",$R1370*$S1370)</f>
        <v/>
      </c>
      <c r="U1370" s="20" t="n"/>
      <c r="V1370" s="20" t="n"/>
      <c r="W1370" s="20" t="n"/>
      <c r="X1370">
        <f>IF($A1370="","",$A1370&amp;"|"&amp;$C1370&amp;"|"&amp;$I1370)</f>
        <v/>
      </c>
      <c r="Y1370">
        <f>IF(AND($A1370=RELATORIO_MEDICAO!$C$5,$C1370=RELATORIO_MEDICAO!$F$5,$A1370&lt;&gt;""),COUNTIFS($A$3:$A1370,RELATORIO_MEDICAO!$C$5,$C$3:$C1370,RELATORIO_MEDICAO!$F$5),"")</f>
        <v/>
      </c>
      <c r="Z1370">
        <f>IF(OR($A1370="",PESQUISA!$C$4=""),0,IF(OR(ISNUMBER(SEARCH(PESQUISA!$C$4,$G1370)),ISNUMBER(SEARCH(PESQUISA!$C$4,$K1370)),ISNUMBER(SEARCH(PESQUISA!$C$4,$L1370))),1,0))</f>
        <v/>
      </c>
      <c r="AA1370">
        <f>IF($Z1370=1,SUM($Z$3:$Z1370),"")</f>
        <v/>
      </c>
      <c r="AB1370">
        <f>IF(OR($A1370="",PESQUISA!$C$50=""),0,IF(ISNUMBER(SEARCH(PESQUISA!$C$50,$I1370)),1,0))</f>
        <v/>
      </c>
      <c r="AC1370">
        <f>IF($AB1370=1,SUM($AB$3:$AB1370),"")</f>
        <v/>
      </c>
    </row>
    <row r="1371">
      <c r="A1371" s="20" t="n"/>
      <c r="B1371" s="20" t="n"/>
      <c r="C1371" s="20" t="n"/>
      <c r="D1371" s="20" t="n"/>
      <c r="E1371" s="20" t="n"/>
      <c r="F1371" s="20" t="n"/>
      <c r="G1371" s="20" t="n"/>
      <c r="H1371" s="20" t="n"/>
      <c r="I1371" s="20" t="n"/>
      <c r="J1371" s="20">
        <f>IFERROR(INDEX(CONFIGURACOES!$G$37:$G$300,MATCH($I1371,CONFIGURACOES!$B$37:$B$300,0)),"")</f>
        <v/>
      </c>
      <c r="K1371" s="20">
        <f>IFERROR(INDEX(CONFIGURACOES!$H$37:$H$300,MATCH($I1371,CONFIGURACOES!$B$37:$B$300,0)),"")</f>
        <v/>
      </c>
      <c r="L1371" s="20" t="n"/>
      <c r="M1371" s="20">
        <f>IFERROR(INDEX(CONFIGURACOES!$I$37:$I$300,MATCH($I1371,CONFIGURACOES!$B$37:$B$300,0)),"")</f>
        <v/>
      </c>
      <c r="N1371" s="21" t="n"/>
      <c r="O1371" s="21" t="n"/>
      <c r="P1371" s="21" t="n"/>
      <c r="Q1371" s="21" t="n"/>
      <c r="R1371" s="21">
        <f>IF($N1371="","",$N1371*IF($Q1371="",1,$Q1371)*IF($P1371="",1,$P1371)*IF($O1371="",1,$O1371))</f>
        <v/>
      </c>
      <c r="S1371" s="22">
        <f>IFERROR(INDEX(CONFIGURACOES!$J$37:$J$300,MATCH($I1371,CONFIGURACOES!$B$37:$B$300,0)),"")</f>
        <v/>
      </c>
      <c r="T1371" s="22">
        <f>IF(OR($R1371="",$S1371=""),"",$R1371*$S1371)</f>
        <v/>
      </c>
      <c r="U1371" s="20" t="n"/>
      <c r="V1371" s="20" t="n"/>
      <c r="W1371" s="20" t="n"/>
      <c r="X1371">
        <f>IF($A1371="","",$A1371&amp;"|"&amp;$C1371&amp;"|"&amp;$I1371)</f>
        <v/>
      </c>
      <c r="Y1371">
        <f>IF(AND($A1371=RELATORIO_MEDICAO!$C$5,$C1371=RELATORIO_MEDICAO!$F$5,$A1371&lt;&gt;""),COUNTIFS($A$3:$A1371,RELATORIO_MEDICAO!$C$5,$C$3:$C1371,RELATORIO_MEDICAO!$F$5),"")</f>
        <v/>
      </c>
      <c r="Z1371">
        <f>IF(OR($A1371="",PESQUISA!$C$4=""),0,IF(OR(ISNUMBER(SEARCH(PESQUISA!$C$4,$G1371)),ISNUMBER(SEARCH(PESQUISA!$C$4,$K1371)),ISNUMBER(SEARCH(PESQUISA!$C$4,$L1371))),1,0))</f>
        <v/>
      </c>
      <c r="AA1371">
        <f>IF($Z1371=1,SUM($Z$3:$Z1371),"")</f>
        <v/>
      </c>
      <c r="AB1371">
        <f>IF(OR($A1371="",PESQUISA!$C$50=""),0,IF(ISNUMBER(SEARCH(PESQUISA!$C$50,$I1371)),1,0))</f>
        <v/>
      </c>
      <c r="AC1371">
        <f>IF($AB1371=1,SUM($AB$3:$AB1371),"")</f>
        <v/>
      </c>
    </row>
    <row r="1372">
      <c r="A1372" s="20" t="n"/>
      <c r="B1372" s="20" t="n"/>
      <c r="C1372" s="20" t="n"/>
      <c r="D1372" s="20" t="n"/>
      <c r="E1372" s="20" t="n"/>
      <c r="F1372" s="20" t="n"/>
      <c r="G1372" s="20" t="n"/>
      <c r="H1372" s="20" t="n"/>
      <c r="I1372" s="20" t="n"/>
      <c r="J1372" s="20">
        <f>IFERROR(INDEX(CONFIGURACOES!$G$37:$G$300,MATCH($I1372,CONFIGURACOES!$B$37:$B$300,0)),"")</f>
        <v/>
      </c>
      <c r="K1372" s="20">
        <f>IFERROR(INDEX(CONFIGURACOES!$H$37:$H$300,MATCH($I1372,CONFIGURACOES!$B$37:$B$300,0)),"")</f>
        <v/>
      </c>
      <c r="L1372" s="20" t="n"/>
      <c r="M1372" s="20">
        <f>IFERROR(INDEX(CONFIGURACOES!$I$37:$I$300,MATCH($I1372,CONFIGURACOES!$B$37:$B$300,0)),"")</f>
        <v/>
      </c>
      <c r="N1372" s="21" t="n"/>
      <c r="O1372" s="21" t="n"/>
      <c r="P1372" s="21" t="n"/>
      <c r="Q1372" s="21" t="n"/>
      <c r="R1372" s="21">
        <f>IF($N1372="","",$N1372*IF($Q1372="",1,$Q1372)*IF($P1372="",1,$P1372)*IF($O1372="",1,$O1372))</f>
        <v/>
      </c>
      <c r="S1372" s="22">
        <f>IFERROR(INDEX(CONFIGURACOES!$J$37:$J$300,MATCH($I1372,CONFIGURACOES!$B$37:$B$300,0)),"")</f>
        <v/>
      </c>
      <c r="T1372" s="22">
        <f>IF(OR($R1372="",$S1372=""),"",$R1372*$S1372)</f>
        <v/>
      </c>
      <c r="U1372" s="20" t="n"/>
      <c r="V1372" s="20" t="n"/>
      <c r="W1372" s="20" t="n"/>
      <c r="X1372">
        <f>IF($A1372="","",$A1372&amp;"|"&amp;$C1372&amp;"|"&amp;$I1372)</f>
        <v/>
      </c>
      <c r="Y1372">
        <f>IF(AND($A1372=RELATORIO_MEDICAO!$C$5,$C1372=RELATORIO_MEDICAO!$F$5,$A1372&lt;&gt;""),COUNTIFS($A$3:$A1372,RELATORIO_MEDICAO!$C$5,$C$3:$C1372,RELATORIO_MEDICAO!$F$5),"")</f>
        <v/>
      </c>
      <c r="Z1372">
        <f>IF(OR($A1372="",PESQUISA!$C$4=""),0,IF(OR(ISNUMBER(SEARCH(PESQUISA!$C$4,$G1372)),ISNUMBER(SEARCH(PESQUISA!$C$4,$K1372)),ISNUMBER(SEARCH(PESQUISA!$C$4,$L1372))),1,0))</f>
        <v/>
      </c>
      <c r="AA1372">
        <f>IF($Z1372=1,SUM($Z$3:$Z1372),"")</f>
        <v/>
      </c>
      <c r="AB1372">
        <f>IF(OR($A1372="",PESQUISA!$C$50=""),0,IF(ISNUMBER(SEARCH(PESQUISA!$C$50,$I1372)),1,0))</f>
        <v/>
      </c>
      <c r="AC1372">
        <f>IF($AB1372=1,SUM($AB$3:$AB1372),"")</f>
        <v/>
      </c>
    </row>
    <row r="1373">
      <c r="A1373" s="20" t="n"/>
      <c r="B1373" s="20" t="n"/>
      <c r="C1373" s="20" t="n"/>
      <c r="D1373" s="20" t="n"/>
      <c r="E1373" s="20" t="n"/>
      <c r="F1373" s="20" t="n"/>
      <c r="G1373" s="20" t="n"/>
      <c r="H1373" s="20" t="n"/>
      <c r="I1373" s="20" t="n"/>
      <c r="J1373" s="20">
        <f>IFERROR(INDEX(CONFIGURACOES!$G$37:$G$300,MATCH($I1373,CONFIGURACOES!$B$37:$B$300,0)),"")</f>
        <v/>
      </c>
      <c r="K1373" s="20">
        <f>IFERROR(INDEX(CONFIGURACOES!$H$37:$H$300,MATCH($I1373,CONFIGURACOES!$B$37:$B$300,0)),"")</f>
        <v/>
      </c>
      <c r="L1373" s="20" t="n"/>
      <c r="M1373" s="20">
        <f>IFERROR(INDEX(CONFIGURACOES!$I$37:$I$300,MATCH($I1373,CONFIGURACOES!$B$37:$B$300,0)),"")</f>
        <v/>
      </c>
      <c r="N1373" s="21" t="n"/>
      <c r="O1373" s="21" t="n"/>
      <c r="P1373" s="21" t="n"/>
      <c r="Q1373" s="21" t="n"/>
      <c r="R1373" s="21">
        <f>IF($N1373="","",$N1373*IF($Q1373="",1,$Q1373)*IF($P1373="",1,$P1373)*IF($O1373="",1,$O1373))</f>
        <v/>
      </c>
      <c r="S1373" s="22">
        <f>IFERROR(INDEX(CONFIGURACOES!$J$37:$J$300,MATCH($I1373,CONFIGURACOES!$B$37:$B$300,0)),"")</f>
        <v/>
      </c>
      <c r="T1373" s="22">
        <f>IF(OR($R1373="",$S1373=""),"",$R1373*$S1373)</f>
        <v/>
      </c>
      <c r="U1373" s="20" t="n"/>
      <c r="V1373" s="20" t="n"/>
      <c r="W1373" s="20" t="n"/>
      <c r="X1373">
        <f>IF($A1373="","",$A1373&amp;"|"&amp;$C1373&amp;"|"&amp;$I1373)</f>
        <v/>
      </c>
      <c r="Y1373">
        <f>IF(AND($A1373=RELATORIO_MEDICAO!$C$5,$C1373=RELATORIO_MEDICAO!$F$5,$A1373&lt;&gt;""),COUNTIFS($A$3:$A1373,RELATORIO_MEDICAO!$C$5,$C$3:$C1373,RELATORIO_MEDICAO!$F$5),"")</f>
        <v/>
      </c>
      <c r="Z1373">
        <f>IF(OR($A1373="",PESQUISA!$C$4=""),0,IF(OR(ISNUMBER(SEARCH(PESQUISA!$C$4,$G1373)),ISNUMBER(SEARCH(PESQUISA!$C$4,$K1373)),ISNUMBER(SEARCH(PESQUISA!$C$4,$L1373))),1,0))</f>
        <v/>
      </c>
      <c r="AA1373">
        <f>IF($Z1373=1,SUM($Z$3:$Z1373),"")</f>
        <v/>
      </c>
      <c r="AB1373">
        <f>IF(OR($A1373="",PESQUISA!$C$50=""),0,IF(ISNUMBER(SEARCH(PESQUISA!$C$50,$I1373)),1,0))</f>
        <v/>
      </c>
      <c r="AC1373">
        <f>IF($AB1373=1,SUM($AB$3:$AB1373),"")</f>
        <v/>
      </c>
    </row>
    <row r="1374">
      <c r="A1374" s="20" t="n"/>
      <c r="B1374" s="20" t="n"/>
      <c r="C1374" s="20" t="n"/>
      <c r="D1374" s="20" t="n"/>
      <c r="E1374" s="20" t="n"/>
      <c r="F1374" s="20" t="n"/>
      <c r="G1374" s="20" t="n"/>
      <c r="H1374" s="20" t="n"/>
      <c r="I1374" s="20" t="n"/>
      <c r="J1374" s="20">
        <f>IFERROR(INDEX(CONFIGURACOES!$G$37:$G$300,MATCH($I1374,CONFIGURACOES!$B$37:$B$300,0)),"")</f>
        <v/>
      </c>
      <c r="K1374" s="20">
        <f>IFERROR(INDEX(CONFIGURACOES!$H$37:$H$300,MATCH($I1374,CONFIGURACOES!$B$37:$B$300,0)),"")</f>
        <v/>
      </c>
      <c r="L1374" s="20" t="n"/>
      <c r="M1374" s="20">
        <f>IFERROR(INDEX(CONFIGURACOES!$I$37:$I$300,MATCH($I1374,CONFIGURACOES!$B$37:$B$300,0)),"")</f>
        <v/>
      </c>
      <c r="N1374" s="21" t="n"/>
      <c r="O1374" s="21" t="n"/>
      <c r="P1374" s="21" t="n"/>
      <c r="Q1374" s="21" t="n"/>
      <c r="R1374" s="21">
        <f>IF($N1374="","",$N1374*IF($Q1374="",1,$Q1374)*IF($P1374="",1,$P1374)*IF($O1374="",1,$O1374))</f>
        <v/>
      </c>
      <c r="S1374" s="22">
        <f>IFERROR(INDEX(CONFIGURACOES!$J$37:$J$300,MATCH($I1374,CONFIGURACOES!$B$37:$B$300,0)),"")</f>
        <v/>
      </c>
      <c r="T1374" s="22">
        <f>IF(OR($R1374="",$S1374=""),"",$R1374*$S1374)</f>
        <v/>
      </c>
      <c r="U1374" s="20" t="n"/>
      <c r="V1374" s="20" t="n"/>
      <c r="W1374" s="20" t="n"/>
      <c r="X1374">
        <f>IF($A1374="","",$A1374&amp;"|"&amp;$C1374&amp;"|"&amp;$I1374)</f>
        <v/>
      </c>
      <c r="Y1374">
        <f>IF(AND($A1374=RELATORIO_MEDICAO!$C$5,$C1374=RELATORIO_MEDICAO!$F$5,$A1374&lt;&gt;""),COUNTIFS($A$3:$A1374,RELATORIO_MEDICAO!$C$5,$C$3:$C1374,RELATORIO_MEDICAO!$F$5),"")</f>
        <v/>
      </c>
      <c r="Z1374">
        <f>IF(OR($A1374="",PESQUISA!$C$4=""),0,IF(OR(ISNUMBER(SEARCH(PESQUISA!$C$4,$G1374)),ISNUMBER(SEARCH(PESQUISA!$C$4,$K1374)),ISNUMBER(SEARCH(PESQUISA!$C$4,$L1374))),1,0))</f>
        <v/>
      </c>
      <c r="AA1374">
        <f>IF($Z1374=1,SUM($Z$3:$Z1374),"")</f>
        <v/>
      </c>
      <c r="AB1374">
        <f>IF(OR($A1374="",PESQUISA!$C$50=""),0,IF(ISNUMBER(SEARCH(PESQUISA!$C$50,$I1374)),1,0))</f>
        <v/>
      </c>
      <c r="AC1374">
        <f>IF($AB1374=1,SUM($AB$3:$AB1374),"")</f>
        <v/>
      </c>
    </row>
    <row r="1375">
      <c r="A1375" s="20" t="n"/>
      <c r="B1375" s="20" t="n"/>
      <c r="C1375" s="20" t="n"/>
      <c r="D1375" s="20" t="n"/>
      <c r="E1375" s="20" t="n"/>
      <c r="F1375" s="20" t="n"/>
      <c r="G1375" s="20" t="n"/>
      <c r="H1375" s="20" t="n"/>
      <c r="I1375" s="20" t="n"/>
      <c r="J1375" s="20">
        <f>IFERROR(INDEX(CONFIGURACOES!$G$37:$G$300,MATCH($I1375,CONFIGURACOES!$B$37:$B$300,0)),"")</f>
        <v/>
      </c>
      <c r="K1375" s="20">
        <f>IFERROR(INDEX(CONFIGURACOES!$H$37:$H$300,MATCH($I1375,CONFIGURACOES!$B$37:$B$300,0)),"")</f>
        <v/>
      </c>
      <c r="L1375" s="20" t="n"/>
      <c r="M1375" s="20">
        <f>IFERROR(INDEX(CONFIGURACOES!$I$37:$I$300,MATCH($I1375,CONFIGURACOES!$B$37:$B$300,0)),"")</f>
        <v/>
      </c>
      <c r="N1375" s="21" t="n"/>
      <c r="O1375" s="21" t="n"/>
      <c r="P1375" s="21" t="n"/>
      <c r="Q1375" s="21" t="n"/>
      <c r="R1375" s="21">
        <f>IF($N1375="","",$N1375*IF($Q1375="",1,$Q1375)*IF($P1375="",1,$P1375)*IF($O1375="",1,$O1375))</f>
        <v/>
      </c>
      <c r="S1375" s="22">
        <f>IFERROR(INDEX(CONFIGURACOES!$J$37:$J$300,MATCH($I1375,CONFIGURACOES!$B$37:$B$300,0)),"")</f>
        <v/>
      </c>
      <c r="T1375" s="22">
        <f>IF(OR($R1375="",$S1375=""),"",$R1375*$S1375)</f>
        <v/>
      </c>
      <c r="U1375" s="20" t="n"/>
      <c r="V1375" s="20" t="n"/>
      <c r="W1375" s="20" t="n"/>
      <c r="X1375">
        <f>IF($A1375="","",$A1375&amp;"|"&amp;$C1375&amp;"|"&amp;$I1375)</f>
        <v/>
      </c>
      <c r="Y1375">
        <f>IF(AND($A1375=RELATORIO_MEDICAO!$C$5,$C1375=RELATORIO_MEDICAO!$F$5,$A1375&lt;&gt;""),COUNTIFS($A$3:$A1375,RELATORIO_MEDICAO!$C$5,$C$3:$C1375,RELATORIO_MEDICAO!$F$5),"")</f>
        <v/>
      </c>
      <c r="Z1375">
        <f>IF(OR($A1375="",PESQUISA!$C$4=""),0,IF(OR(ISNUMBER(SEARCH(PESQUISA!$C$4,$G1375)),ISNUMBER(SEARCH(PESQUISA!$C$4,$K1375)),ISNUMBER(SEARCH(PESQUISA!$C$4,$L1375))),1,0))</f>
        <v/>
      </c>
      <c r="AA1375">
        <f>IF($Z1375=1,SUM($Z$3:$Z1375),"")</f>
        <v/>
      </c>
      <c r="AB1375">
        <f>IF(OR($A1375="",PESQUISA!$C$50=""),0,IF(ISNUMBER(SEARCH(PESQUISA!$C$50,$I1375)),1,0))</f>
        <v/>
      </c>
      <c r="AC1375">
        <f>IF($AB1375=1,SUM($AB$3:$AB1375),"")</f>
        <v/>
      </c>
    </row>
    <row r="1376">
      <c r="A1376" s="20" t="n"/>
      <c r="B1376" s="20" t="n"/>
      <c r="C1376" s="20" t="n"/>
      <c r="D1376" s="20" t="n"/>
      <c r="E1376" s="20" t="n"/>
      <c r="F1376" s="20" t="n"/>
      <c r="G1376" s="20" t="n"/>
      <c r="H1376" s="20" t="n"/>
      <c r="I1376" s="20" t="n"/>
      <c r="J1376" s="20">
        <f>IFERROR(INDEX(CONFIGURACOES!$G$37:$G$300,MATCH($I1376,CONFIGURACOES!$B$37:$B$300,0)),"")</f>
        <v/>
      </c>
      <c r="K1376" s="20">
        <f>IFERROR(INDEX(CONFIGURACOES!$H$37:$H$300,MATCH($I1376,CONFIGURACOES!$B$37:$B$300,0)),"")</f>
        <v/>
      </c>
      <c r="L1376" s="20" t="n"/>
      <c r="M1376" s="20">
        <f>IFERROR(INDEX(CONFIGURACOES!$I$37:$I$300,MATCH($I1376,CONFIGURACOES!$B$37:$B$300,0)),"")</f>
        <v/>
      </c>
      <c r="N1376" s="21" t="n"/>
      <c r="O1376" s="21" t="n"/>
      <c r="P1376" s="21" t="n"/>
      <c r="Q1376" s="21" t="n"/>
      <c r="R1376" s="21">
        <f>IF($N1376="","",$N1376*IF($Q1376="",1,$Q1376)*IF($P1376="",1,$P1376)*IF($O1376="",1,$O1376))</f>
        <v/>
      </c>
      <c r="S1376" s="22">
        <f>IFERROR(INDEX(CONFIGURACOES!$J$37:$J$300,MATCH($I1376,CONFIGURACOES!$B$37:$B$300,0)),"")</f>
        <v/>
      </c>
      <c r="T1376" s="22">
        <f>IF(OR($R1376="",$S1376=""),"",$R1376*$S1376)</f>
        <v/>
      </c>
      <c r="U1376" s="20" t="n"/>
      <c r="V1376" s="20" t="n"/>
      <c r="W1376" s="20" t="n"/>
      <c r="X1376">
        <f>IF($A1376="","",$A1376&amp;"|"&amp;$C1376&amp;"|"&amp;$I1376)</f>
        <v/>
      </c>
      <c r="Y1376">
        <f>IF(AND($A1376=RELATORIO_MEDICAO!$C$5,$C1376=RELATORIO_MEDICAO!$F$5,$A1376&lt;&gt;""),COUNTIFS($A$3:$A1376,RELATORIO_MEDICAO!$C$5,$C$3:$C1376,RELATORIO_MEDICAO!$F$5),"")</f>
        <v/>
      </c>
      <c r="Z1376">
        <f>IF(OR($A1376="",PESQUISA!$C$4=""),0,IF(OR(ISNUMBER(SEARCH(PESQUISA!$C$4,$G1376)),ISNUMBER(SEARCH(PESQUISA!$C$4,$K1376)),ISNUMBER(SEARCH(PESQUISA!$C$4,$L1376))),1,0))</f>
        <v/>
      </c>
      <c r="AA1376">
        <f>IF($Z1376=1,SUM($Z$3:$Z1376),"")</f>
        <v/>
      </c>
      <c r="AB1376">
        <f>IF(OR($A1376="",PESQUISA!$C$50=""),0,IF(ISNUMBER(SEARCH(PESQUISA!$C$50,$I1376)),1,0))</f>
        <v/>
      </c>
      <c r="AC1376">
        <f>IF($AB1376=1,SUM($AB$3:$AB1376),"")</f>
        <v/>
      </c>
    </row>
    <row r="1377">
      <c r="A1377" s="20" t="n"/>
      <c r="B1377" s="20" t="n"/>
      <c r="C1377" s="20" t="n"/>
      <c r="D1377" s="20" t="n"/>
      <c r="E1377" s="20" t="n"/>
      <c r="F1377" s="20" t="n"/>
      <c r="G1377" s="20" t="n"/>
      <c r="H1377" s="20" t="n"/>
      <c r="I1377" s="20" t="n"/>
      <c r="J1377" s="20">
        <f>IFERROR(INDEX(CONFIGURACOES!$G$37:$G$300,MATCH($I1377,CONFIGURACOES!$B$37:$B$300,0)),"")</f>
        <v/>
      </c>
      <c r="K1377" s="20">
        <f>IFERROR(INDEX(CONFIGURACOES!$H$37:$H$300,MATCH($I1377,CONFIGURACOES!$B$37:$B$300,0)),"")</f>
        <v/>
      </c>
      <c r="L1377" s="20" t="n"/>
      <c r="M1377" s="20">
        <f>IFERROR(INDEX(CONFIGURACOES!$I$37:$I$300,MATCH($I1377,CONFIGURACOES!$B$37:$B$300,0)),"")</f>
        <v/>
      </c>
      <c r="N1377" s="21" t="n"/>
      <c r="O1377" s="21" t="n"/>
      <c r="P1377" s="21" t="n"/>
      <c r="Q1377" s="21" t="n"/>
      <c r="R1377" s="21">
        <f>IF($N1377="","",$N1377*IF($Q1377="",1,$Q1377)*IF($P1377="",1,$P1377)*IF($O1377="",1,$O1377))</f>
        <v/>
      </c>
      <c r="S1377" s="22">
        <f>IFERROR(INDEX(CONFIGURACOES!$J$37:$J$300,MATCH($I1377,CONFIGURACOES!$B$37:$B$300,0)),"")</f>
        <v/>
      </c>
      <c r="T1377" s="22">
        <f>IF(OR($R1377="",$S1377=""),"",$R1377*$S1377)</f>
        <v/>
      </c>
      <c r="U1377" s="20" t="n"/>
      <c r="V1377" s="20" t="n"/>
      <c r="W1377" s="20" t="n"/>
      <c r="X1377">
        <f>IF($A1377="","",$A1377&amp;"|"&amp;$C1377&amp;"|"&amp;$I1377)</f>
        <v/>
      </c>
      <c r="Y1377">
        <f>IF(AND($A1377=RELATORIO_MEDICAO!$C$5,$C1377=RELATORIO_MEDICAO!$F$5,$A1377&lt;&gt;""),COUNTIFS($A$3:$A1377,RELATORIO_MEDICAO!$C$5,$C$3:$C1377,RELATORIO_MEDICAO!$F$5),"")</f>
        <v/>
      </c>
      <c r="Z1377">
        <f>IF(OR($A1377="",PESQUISA!$C$4=""),0,IF(OR(ISNUMBER(SEARCH(PESQUISA!$C$4,$G1377)),ISNUMBER(SEARCH(PESQUISA!$C$4,$K1377)),ISNUMBER(SEARCH(PESQUISA!$C$4,$L1377))),1,0))</f>
        <v/>
      </c>
      <c r="AA1377">
        <f>IF($Z1377=1,SUM($Z$3:$Z1377),"")</f>
        <v/>
      </c>
      <c r="AB1377">
        <f>IF(OR($A1377="",PESQUISA!$C$50=""),0,IF(ISNUMBER(SEARCH(PESQUISA!$C$50,$I1377)),1,0))</f>
        <v/>
      </c>
      <c r="AC1377">
        <f>IF($AB1377=1,SUM($AB$3:$AB1377),"")</f>
        <v/>
      </c>
    </row>
    <row r="1378">
      <c r="A1378" s="20" t="n"/>
      <c r="B1378" s="20" t="n"/>
      <c r="C1378" s="20" t="n"/>
      <c r="D1378" s="20" t="n"/>
      <c r="E1378" s="20" t="n"/>
      <c r="F1378" s="20" t="n"/>
      <c r="G1378" s="20" t="n"/>
      <c r="H1378" s="20" t="n"/>
      <c r="I1378" s="20" t="n"/>
      <c r="J1378" s="20">
        <f>IFERROR(INDEX(CONFIGURACOES!$G$37:$G$300,MATCH($I1378,CONFIGURACOES!$B$37:$B$300,0)),"")</f>
        <v/>
      </c>
      <c r="K1378" s="20">
        <f>IFERROR(INDEX(CONFIGURACOES!$H$37:$H$300,MATCH($I1378,CONFIGURACOES!$B$37:$B$300,0)),"")</f>
        <v/>
      </c>
      <c r="L1378" s="20" t="n"/>
      <c r="M1378" s="20">
        <f>IFERROR(INDEX(CONFIGURACOES!$I$37:$I$300,MATCH($I1378,CONFIGURACOES!$B$37:$B$300,0)),"")</f>
        <v/>
      </c>
      <c r="N1378" s="21" t="n"/>
      <c r="O1378" s="21" t="n"/>
      <c r="P1378" s="21" t="n"/>
      <c r="Q1378" s="21" t="n"/>
      <c r="R1378" s="21">
        <f>IF($N1378="","",$N1378*IF($Q1378="",1,$Q1378)*IF($P1378="",1,$P1378)*IF($O1378="",1,$O1378))</f>
        <v/>
      </c>
      <c r="S1378" s="22">
        <f>IFERROR(INDEX(CONFIGURACOES!$J$37:$J$300,MATCH($I1378,CONFIGURACOES!$B$37:$B$300,0)),"")</f>
        <v/>
      </c>
      <c r="T1378" s="22">
        <f>IF(OR($R1378="",$S1378=""),"",$R1378*$S1378)</f>
        <v/>
      </c>
      <c r="U1378" s="20" t="n"/>
      <c r="V1378" s="20" t="n"/>
      <c r="W1378" s="20" t="n"/>
      <c r="X1378">
        <f>IF($A1378="","",$A1378&amp;"|"&amp;$C1378&amp;"|"&amp;$I1378)</f>
        <v/>
      </c>
      <c r="Y1378">
        <f>IF(AND($A1378=RELATORIO_MEDICAO!$C$5,$C1378=RELATORIO_MEDICAO!$F$5,$A1378&lt;&gt;""),COUNTIFS($A$3:$A1378,RELATORIO_MEDICAO!$C$5,$C$3:$C1378,RELATORIO_MEDICAO!$F$5),"")</f>
        <v/>
      </c>
      <c r="Z1378">
        <f>IF(OR($A1378="",PESQUISA!$C$4=""),0,IF(OR(ISNUMBER(SEARCH(PESQUISA!$C$4,$G1378)),ISNUMBER(SEARCH(PESQUISA!$C$4,$K1378)),ISNUMBER(SEARCH(PESQUISA!$C$4,$L1378))),1,0))</f>
        <v/>
      </c>
      <c r="AA1378">
        <f>IF($Z1378=1,SUM($Z$3:$Z1378),"")</f>
        <v/>
      </c>
      <c r="AB1378">
        <f>IF(OR($A1378="",PESQUISA!$C$50=""),0,IF(ISNUMBER(SEARCH(PESQUISA!$C$50,$I1378)),1,0))</f>
        <v/>
      </c>
      <c r="AC1378">
        <f>IF($AB1378=1,SUM($AB$3:$AB1378),"")</f>
        <v/>
      </c>
    </row>
    <row r="1379">
      <c r="A1379" s="20" t="n"/>
      <c r="B1379" s="20" t="n"/>
      <c r="C1379" s="20" t="n"/>
      <c r="D1379" s="20" t="n"/>
      <c r="E1379" s="20" t="n"/>
      <c r="F1379" s="20" t="n"/>
      <c r="G1379" s="20" t="n"/>
      <c r="H1379" s="20" t="n"/>
      <c r="I1379" s="20" t="n"/>
      <c r="J1379" s="20">
        <f>IFERROR(INDEX(CONFIGURACOES!$G$37:$G$300,MATCH($I1379,CONFIGURACOES!$B$37:$B$300,0)),"")</f>
        <v/>
      </c>
      <c r="K1379" s="20">
        <f>IFERROR(INDEX(CONFIGURACOES!$H$37:$H$300,MATCH($I1379,CONFIGURACOES!$B$37:$B$300,0)),"")</f>
        <v/>
      </c>
      <c r="L1379" s="20" t="n"/>
      <c r="M1379" s="20">
        <f>IFERROR(INDEX(CONFIGURACOES!$I$37:$I$300,MATCH($I1379,CONFIGURACOES!$B$37:$B$300,0)),"")</f>
        <v/>
      </c>
      <c r="N1379" s="21" t="n"/>
      <c r="O1379" s="21" t="n"/>
      <c r="P1379" s="21" t="n"/>
      <c r="Q1379" s="21" t="n"/>
      <c r="R1379" s="21">
        <f>IF($N1379="","",$N1379*IF($Q1379="",1,$Q1379)*IF($P1379="",1,$P1379)*IF($O1379="",1,$O1379))</f>
        <v/>
      </c>
      <c r="S1379" s="22">
        <f>IFERROR(INDEX(CONFIGURACOES!$J$37:$J$300,MATCH($I1379,CONFIGURACOES!$B$37:$B$300,0)),"")</f>
        <v/>
      </c>
      <c r="T1379" s="22">
        <f>IF(OR($R1379="",$S1379=""),"",$R1379*$S1379)</f>
        <v/>
      </c>
      <c r="U1379" s="20" t="n"/>
      <c r="V1379" s="20" t="n"/>
      <c r="W1379" s="20" t="n"/>
      <c r="X1379">
        <f>IF($A1379="","",$A1379&amp;"|"&amp;$C1379&amp;"|"&amp;$I1379)</f>
        <v/>
      </c>
      <c r="Y1379">
        <f>IF(AND($A1379=RELATORIO_MEDICAO!$C$5,$C1379=RELATORIO_MEDICAO!$F$5,$A1379&lt;&gt;""),COUNTIFS($A$3:$A1379,RELATORIO_MEDICAO!$C$5,$C$3:$C1379,RELATORIO_MEDICAO!$F$5),"")</f>
        <v/>
      </c>
      <c r="Z1379">
        <f>IF(OR($A1379="",PESQUISA!$C$4=""),0,IF(OR(ISNUMBER(SEARCH(PESQUISA!$C$4,$G1379)),ISNUMBER(SEARCH(PESQUISA!$C$4,$K1379)),ISNUMBER(SEARCH(PESQUISA!$C$4,$L1379))),1,0))</f>
        <v/>
      </c>
      <c r="AA1379">
        <f>IF($Z1379=1,SUM($Z$3:$Z1379),"")</f>
        <v/>
      </c>
      <c r="AB1379">
        <f>IF(OR($A1379="",PESQUISA!$C$50=""),0,IF(ISNUMBER(SEARCH(PESQUISA!$C$50,$I1379)),1,0))</f>
        <v/>
      </c>
      <c r="AC1379">
        <f>IF($AB1379=1,SUM($AB$3:$AB1379),"")</f>
        <v/>
      </c>
    </row>
    <row r="1380">
      <c r="A1380" s="20" t="n"/>
      <c r="B1380" s="20" t="n"/>
      <c r="C1380" s="20" t="n"/>
      <c r="D1380" s="20" t="n"/>
      <c r="E1380" s="20" t="n"/>
      <c r="F1380" s="20" t="n"/>
      <c r="G1380" s="20" t="n"/>
      <c r="H1380" s="20" t="n"/>
      <c r="I1380" s="20" t="n"/>
      <c r="J1380" s="20">
        <f>IFERROR(INDEX(CONFIGURACOES!$G$37:$G$300,MATCH($I1380,CONFIGURACOES!$B$37:$B$300,0)),"")</f>
        <v/>
      </c>
      <c r="K1380" s="20">
        <f>IFERROR(INDEX(CONFIGURACOES!$H$37:$H$300,MATCH($I1380,CONFIGURACOES!$B$37:$B$300,0)),"")</f>
        <v/>
      </c>
      <c r="L1380" s="20" t="n"/>
      <c r="M1380" s="20">
        <f>IFERROR(INDEX(CONFIGURACOES!$I$37:$I$300,MATCH($I1380,CONFIGURACOES!$B$37:$B$300,0)),"")</f>
        <v/>
      </c>
      <c r="N1380" s="21" t="n"/>
      <c r="O1380" s="21" t="n"/>
      <c r="P1380" s="21" t="n"/>
      <c r="Q1380" s="21" t="n"/>
      <c r="R1380" s="21">
        <f>IF($N1380="","",$N1380*IF($Q1380="",1,$Q1380)*IF($P1380="",1,$P1380)*IF($O1380="",1,$O1380))</f>
        <v/>
      </c>
      <c r="S1380" s="22">
        <f>IFERROR(INDEX(CONFIGURACOES!$J$37:$J$300,MATCH($I1380,CONFIGURACOES!$B$37:$B$300,0)),"")</f>
        <v/>
      </c>
      <c r="T1380" s="22">
        <f>IF(OR($R1380="",$S1380=""),"",$R1380*$S1380)</f>
        <v/>
      </c>
      <c r="U1380" s="20" t="n"/>
      <c r="V1380" s="20" t="n"/>
      <c r="W1380" s="20" t="n"/>
      <c r="X1380">
        <f>IF($A1380="","",$A1380&amp;"|"&amp;$C1380&amp;"|"&amp;$I1380)</f>
        <v/>
      </c>
      <c r="Y1380">
        <f>IF(AND($A1380=RELATORIO_MEDICAO!$C$5,$C1380=RELATORIO_MEDICAO!$F$5,$A1380&lt;&gt;""),COUNTIFS($A$3:$A1380,RELATORIO_MEDICAO!$C$5,$C$3:$C1380,RELATORIO_MEDICAO!$F$5),"")</f>
        <v/>
      </c>
      <c r="Z1380">
        <f>IF(OR($A1380="",PESQUISA!$C$4=""),0,IF(OR(ISNUMBER(SEARCH(PESQUISA!$C$4,$G1380)),ISNUMBER(SEARCH(PESQUISA!$C$4,$K1380)),ISNUMBER(SEARCH(PESQUISA!$C$4,$L1380))),1,0))</f>
        <v/>
      </c>
      <c r="AA1380">
        <f>IF($Z1380=1,SUM($Z$3:$Z1380),"")</f>
        <v/>
      </c>
      <c r="AB1380">
        <f>IF(OR($A1380="",PESQUISA!$C$50=""),0,IF(ISNUMBER(SEARCH(PESQUISA!$C$50,$I1380)),1,0))</f>
        <v/>
      </c>
      <c r="AC1380">
        <f>IF($AB1380=1,SUM($AB$3:$AB1380),"")</f>
        <v/>
      </c>
    </row>
    <row r="1381">
      <c r="A1381" s="20" t="n"/>
      <c r="B1381" s="20" t="n"/>
      <c r="C1381" s="20" t="n"/>
      <c r="D1381" s="20" t="n"/>
      <c r="E1381" s="20" t="n"/>
      <c r="F1381" s="20" t="n"/>
      <c r="G1381" s="20" t="n"/>
      <c r="H1381" s="20" t="n"/>
      <c r="I1381" s="20" t="n"/>
      <c r="J1381" s="20">
        <f>IFERROR(INDEX(CONFIGURACOES!$G$37:$G$300,MATCH($I1381,CONFIGURACOES!$B$37:$B$300,0)),"")</f>
        <v/>
      </c>
      <c r="K1381" s="20">
        <f>IFERROR(INDEX(CONFIGURACOES!$H$37:$H$300,MATCH($I1381,CONFIGURACOES!$B$37:$B$300,0)),"")</f>
        <v/>
      </c>
      <c r="L1381" s="20" t="n"/>
      <c r="M1381" s="20">
        <f>IFERROR(INDEX(CONFIGURACOES!$I$37:$I$300,MATCH($I1381,CONFIGURACOES!$B$37:$B$300,0)),"")</f>
        <v/>
      </c>
      <c r="N1381" s="21" t="n"/>
      <c r="O1381" s="21" t="n"/>
      <c r="P1381" s="21" t="n"/>
      <c r="Q1381" s="21" t="n"/>
      <c r="R1381" s="21">
        <f>IF($N1381="","",$N1381*IF($Q1381="",1,$Q1381)*IF($P1381="",1,$P1381)*IF($O1381="",1,$O1381))</f>
        <v/>
      </c>
      <c r="S1381" s="22">
        <f>IFERROR(INDEX(CONFIGURACOES!$J$37:$J$300,MATCH($I1381,CONFIGURACOES!$B$37:$B$300,0)),"")</f>
        <v/>
      </c>
      <c r="T1381" s="22">
        <f>IF(OR($R1381="",$S1381=""),"",$R1381*$S1381)</f>
        <v/>
      </c>
      <c r="U1381" s="20" t="n"/>
      <c r="V1381" s="20" t="n"/>
      <c r="W1381" s="20" t="n"/>
      <c r="X1381">
        <f>IF($A1381="","",$A1381&amp;"|"&amp;$C1381&amp;"|"&amp;$I1381)</f>
        <v/>
      </c>
      <c r="Y1381">
        <f>IF(AND($A1381=RELATORIO_MEDICAO!$C$5,$C1381=RELATORIO_MEDICAO!$F$5,$A1381&lt;&gt;""),COUNTIFS($A$3:$A1381,RELATORIO_MEDICAO!$C$5,$C$3:$C1381,RELATORIO_MEDICAO!$F$5),"")</f>
        <v/>
      </c>
      <c r="Z1381">
        <f>IF(OR($A1381="",PESQUISA!$C$4=""),0,IF(OR(ISNUMBER(SEARCH(PESQUISA!$C$4,$G1381)),ISNUMBER(SEARCH(PESQUISA!$C$4,$K1381)),ISNUMBER(SEARCH(PESQUISA!$C$4,$L1381))),1,0))</f>
        <v/>
      </c>
      <c r="AA1381">
        <f>IF($Z1381=1,SUM($Z$3:$Z1381),"")</f>
        <v/>
      </c>
      <c r="AB1381">
        <f>IF(OR($A1381="",PESQUISA!$C$50=""),0,IF(ISNUMBER(SEARCH(PESQUISA!$C$50,$I1381)),1,0))</f>
        <v/>
      </c>
      <c r="AC1381">
        <f>IF($AB1381=1,SUM($AB$3:$AB1381),"")</f>
        <v/>
      </c>
    </row>
    <row r="1382">
      <c r="A1382" s="20" t="n"/>
      <c r="B1382" s="20" t="n"/>
      <c r="C1382" s="20" t="n"/>
      <c r="D1382" s="20" t="n"/>
      <c r="E1382" s="20" t="n"/>
      <c r="F1382" s="20" t="n"/>
      <c r="G1382" s="20" t="n"/>
      <c r="H1382" s="20" t="n"/>
      <c r="I1382" s="20" t="n"/>
      <c r="J1382" s="20">
        <f>IFERROR(INDEX(CONFIGURACOES!$G$37:$G$300,MATCH($I1382,CONFIGURACOES!$B$37:$B$300,0)),"")</f>
        <v/>
      </c>
      <c r="K1382" s="20">
        <f>IFERROR(INDEX(CONFIGURACOES!$H$37:$H$300,MATCH($I1382,CONFIGURACOES!$B$37:$B$300,0)),"")</f>
        <v/>
      </c>
      <c r="L1382" s="20" t="n"/>
      <c r="M1382" s="20">
        <f>IFERROR(INDEX(CONFIGURACOES!$I$37:$I$300,MATCH($I1382,CONFIGURACOES!$B$37:$B$300,0)),"")</f>
        <v/>
      </c>
      <c r="N1382" s="21" t="n"/>
      <c r="O1382" s="21" t="n"/>
      <c r="P1382" s="21" t="n"/>
      <c r="Q1382" s="21" t="n"/>
      <c r="R1382" s="21">
        <f>IF($N1382="","",$N1382*IF($Q1382="",1,$Q1382)*IF($P1382="",1,$P1382)*IF($O1382="",1,$O1382))</f>
        <v/>
      </c>
      <c r="S1382" s="22">
        <f>IFERROR(INDEX(CONFIGURACOES!$J$37:$J$300,MATCH($I1382,CONFIGURACOES!$B$37:$B$300,0)),"")</f>
        <v/>
      </c>
      <c r="T1382" s="22">
        <f>IF(OR($R1382="",$S1382=""),"",$R1382*$S1382)</f>
        <v/>
      </c>
      <c r="U1382" s="20" t="n"/>
      <c r="V1382" s="20" t="n"/>
      <c r="W1382" s="20" t="n"/>
      <c r="X1382">
        <f>IF($A1382="","",$A1382&amp;"|"&amp;$C1382&amp;"|"&amp;$I1382)</f>
        <v/>
      </c>
      <c r="Y1382">
        <f>IF(AND($A1382=RELATORIO_MEDICAO!$C$5,$C1382=RELATORIO_MEDICAO!$F$5,$A1382&lt;&gt;""),COUNTIFS($A$3:$A1382,RELATORIO_MEDICAO!$C$5,$C$3:$C1382,RELATORIO_MEDICAO!$F$5),"")</f>
        <v/>
      </c>
      <c r="Z1382">
        <f>IF(OR($A1382="",PESQUISA!$C$4=""),0,IF(OR(ISNUMBER(SEARCH(PESQUISA!$C$4,$G1382)),ISNUMBER(SEARCH(PESQUISA!$C$4,$K1382)),ISNUMBER(SEARCH(PESQUISA!$C$4,$L1382))),1,0))</f>
        <v/>
      </c>
      <c r="AA1382">
        <f>IF($Z1382=1,SUM($Z$3:$Z1382),"")</f>
        <v/>
      </c>
      <c r="AB1382">
        <f>IF(OR($A1382="",PESQUISA!$C$50=""),0,IF(ISNUMBER(SEARCH(PESQUISA!$C$50,$I1382)),1,0))</f>
        <v/>
      </c>
      <c r="AC1382">
        <f>IF($AB1382=1,SUM($AB$3:$AB1382),"")</f>
        <v/>
      </c>
    </row>
    <row r="1383">
      <c r="A1383" s="20" t="n"/>
      <c r="B1383" s="20" t="n"/>
      <c r="C1383" s="20" t="n"/>
      <c r="D1383" s="20" t="n"/>
      <c r="E1383" s="20" t="n"/>
      <c r="F1383" s="20" t="n"/>
      <c r="G1383" s="20" t="n"/>
      <c r="H1383" s="20" t="n"/>
      <c r="I1383" s="20" t="n"/>
      <c r="J1383" s="20">
        <f>IFERROR(INDEX(CONFIGURACOES!$G$37:$G$300,MATCH($I1383,CONFIGURACOES!$B$37:$B$300,0)),"")</f>
        <v/>
      </c>
      <c r="K1383" s="20">
        <f>IFERROR(INDEX(CONFIGURACOES!$H$37:$H$300,MATCH($I1383,CONFIGURACOES!$B$37:$B$300,0)),"")</f>
        <v/>
      </c>
      <c r="L1383" s="20" t="n"/>
      <c r="M1383" s="20">
        <f>IFERROR(INDEX(CONFIGURACOES!$I$37:$I$300,MATCH($I1383,CONFIGURACOES!$B$37:$B$300,0)),"")</f>
        <v/>
      </c>
      <c r="N1383" s="21" t="n"/>
      <c r="O1383" s="21" t="n"/>
      <c r="P1383" s="21" t="n"/>
      <c r="Q1383" s="21" t="n"/>
      <c r="R1383" s="21">
        <f>IF($N1383="","",$N1383*IF($Q1383="",1,$Q1383)*IF($P1383="",1,$P1383)*IF($O1383="",1,$O1383))</f>
        <v/>
      </c>
      <c r="S1383" s="22">
        <f>IFERROR(INDEX(CONFIGURACOES!$J$37:$J$300,MATCH($I1383,CONFIGURACOES!$B$37:$B$300,0)),"")</f>
        <v/>
      </c>
      <c r="T1383" s="22">
        <f>IF(OR($R1383="",$S1383=""),"",$R1383*$S1383)</f>
        <v/>
      </c>
      <c r="U1383" s="20" t="n"/>
      <c r="V1383" s="20" t="n"/>
      <c r="W1383" s="20" t="n"/>
      <c r="X1383">
        <f>IF($A1383="","",$A1383&amp;"|"&amp;$C1383&amp;"|"&amp;$I1383)</f>
        <v/>
      </c>
      <c r="Y1383">
        <f>IF(AND($A1383=RELATORIO_MEDICAO!$C$5,$C1383=RELATORIO_MEDICAO!$F$5,$A1383&lt;&gt;""),COUNTIFS($A$3:$A1383,RELATORIO_MEDICAO!$C$5,$C$3:$C1383,RELATORIO_MEDICAO!$F$5),"")</f>
        <v/>
      </c>
      <c r="Z1383">
        <f>IF(OR($A1383="",PESQUISA!$C$4=""),0,IF(OR(ISNUMBER(SEARCH(PESQUISA!$C$4,$G1383)),ISNUMBER(SEARCH(PESQUISA!$C$4,$K1383)),ISNUMBER(SEARCH(PESQUISA!$C$4,$L1383))),1,0))</f>
        <v/>
      </c>
      <c r="AA1383">
        <f>IF($Z1383=1,SUM($Z$3:$Z1383),"")</f>
        <v/>
      </c>
      <c r="AB1383">
        <f>IF(OR($A1383="",PESQUISA!$C$50=""),0,IF(ISNUMBER(SEARCH(PESQUISA!$C$50,$I1383)),1,0))</f>
        <v/>
      </c>
      <c r="AC1383">
        <f>IF($AB1383=1,SUM($AB$3:$AB1383),"")</f>
        <v/>
      </c>
    </row>
    <row r="1384">
      <c r="A1384" s="20" t="n"/>
      <c r="B1384" s="20" t="n"/>
      <c r="C1384" s="20" t="n"/>
      <c r="D1384" s="20" t="n"/>
      <c r="E1384" s="20" t="n"/>
      <c r="F1384" s="20" t="n"/>
      <c r="G1384" s="20" t="n"/>
      <c r="H1384" s="20" t="n"/>
      <c r="I1384" s="20" t="n"/>
      <c r="J1384" s="20">
        <f>IFERROR(INDEX(CONFIGURACOES!$G$37:$G$300,MATCH($I1384,CONFIGURACOES!$B$37:$B$300,0)),"")</f>
        <v/>
      </c>
      <c r="K1384" s="20">
        <f>IFERROR(INDEX(CONFIGURACOES!$H$37:$H$300,MATCH($I1384,CONFIGURACOES!$B$37:$B$300,0)),"")</f>
        <v/>
      </c>
      <c r="L1384" s="20" t="n"/>
      <c r="M1384" s="20">
        <f>IFERROR(INDEX(CONFIGURACOES!$I$37:$I$300,MATCH($I1384,CONFIGURACOES!$B$37:$B$300,0)),"")</f>
        <v/>
      </c>
      <c r="N1384" s="21" t="n"/>
      <c r="O1384" s="21" t="n"/>
      <c r="P1384" s="21" t="n"/>
      <c r="Q1384" s="21" t="n"/>
      <c r="R1384" s="21">
        <f>IF($N1384="","",$N1384*IF($Q1384="",1,$Q1384)*IF($P1384="",1,$P1384)*IF($O1384="",1,$O1384))</f>
        <v/>
      </c>
      <c r="S1384" s="22">
        <f>IFERROR(INDEX(CONFIGURACOES!$J$37:$J$300,MATCH($I1384,CONFIGURACOES!$B$37:$B$300,0)),"")</f>
        <v/>
      </c>
      <c r="T1384" s="22">
        <f>IF(OR($R1384="",$S1384=""),"",$R1384*$S1384)</f>
        <v/>
      </c>
      <c r="U1384" s="20" t="n"/>
      <c r="V1384" s="20" t="n"/>
      <c r="W1384" s="20" t="n"/>
      <c r="X1384">
        <f>IF($A1384="","",$A1384&amp;"|"&amp;$C1384&amp;"|"&amp;$I1384)</f>
        <v/>
      </c>
      <c r="Y1384">
        <f>IF(AND($A1384=RELATORIO_MEDICAO!$C$5,$C1384=RELATORIO_MEDICAO!$F$5,$A1384&lt;&gt;""),COUNTIFS($A$3:$A1384,RELATORIO_MEDICAO!$C$5,$C$3:$C1384,RELATORIO_MEDICAO!$F$5),"")</f>
        <v/>
      </c>
      <c r="Z1384">
        <f>IF(OR($A1384="",PESQUISA!$C$4=""),0,IF(OR(ISNUMBER(SEARCH(PESQUISA!$C$4,$G1384)),ISNUMBER(SEARCH(PESQUISA!$C$4,$K1384)),ISNUMBER(SEARCH(PESQUISA!$C$4,$L1384))),1,0))</f>
        <v/>
      </c>
      <c r="AA1384">
        <f>IF($Z1384=1,SUM($Z$3:$Z1384),"")</f>
        <v/>
      </c>
      <c r="AB1384">
        <f>IF(OR($A1384="",PESQUISA!$C$50=""),0,IF(ISNUMBER(SEARCH(PESQUISA!$C$50,$I1384)),1,0))</f>
        <v/>
      </c>
      <c r="AC1384">
        <f>IF($AB1384=1,SUM($AB$3:$AB1384),"")</f>
        <v/>
      </c>
    </row>
    <row r="1385">
      <c r="A1385" s="20" t="n"/>
      <c r="B1385" s="20" t="n"/>
      <c r="C1385" s="20" t="n"/>
      <c r="D1385" s="20" t="n"/>
      <c r="E1385" s="20" t="n"/>
      <c r="F1385" s="20" t="n"/>
      <c r="G1385" s="20" t="n"/>
      <c r="H1385" s="20" t="n"/>
      <c r="I1385" s="20" t="n"/>
      <c r="J1385" s="20">
        <f>IFERROR(INDEX(CONFIGURACOES!$G$37:$G$300,MATCH($I1385,CONFIGURACOES!$B$37:$B$300,0)),"")</f>
        <v/>
      </c>
      <c r="K1385" s="20">
        <f>IFERROR(INDEX(CONFIGURACOES!$H$37:$H$300,MATCH($I1385,CONFIGURACOES!$B$37:$B$300,0)),"")</f>
        <v/>
      </c>
      <c r="L1385" s="20" t="n"/>
      <c r="M1385" s="20">
        <f>IFERROR(INDEX(CONFIGURACOES!$I$37:$I$300,MATCH($I1385,CONFIGURACOES!$B$37:$B$300,0)),"")</f>
        <v/>
      </c>
      <c r="N1385" s="21" t="n"/>
      <c r="O1385" s="21" t="n"/>
      <c r="P1385" s="21" t="n"/>
      <c r="Q1385" s="21" t="n"/>
      <c r="R1385" s="21">
        <f>IF($N1385="","",$N1385*IF($Q1385="",1,$Q1385)*IF($P1385="",1,$P1385)*IF($O1385="",1,$O1385))</f>
        <v/>
      </c>
      <c r="S1385" s="22">
        <f>IFERROR(INDEX(CONFIGURACOES!$J$37:$J$300,MATCH($I1385,CONFIGURACOES!$B$37:$B$300,0)),"")</f>
        <v/>
      </c>
      <c r="T1385" s="22">
        <f>IF(OR($R1385="",$S1385=""),"",$R1385*$S1385)</f>
        <v/>
      </c>
      <c r="U1385" s="20" t="n"/>
      <c r="V1385" s="20" t="n"/>
      <c r="W1385" s="20" t="n"/>
      <c r="X1385">
        <f>IF($A1385="","",$A1385&amp;"|"&amp;$C1385&amp;"|"&amp;$I1385)</f>
        <v/>
      </c>
      <c r="Y1385">
        <f>IF(AND($A1385=RELATORIO_MEDICAO!$C$5,$C1385=RELATORIO_MEDICAO!$F$5,$A1385&lt;&gt;""),COUNTIFS($A$3:$A1385,RELATORIO_MEDICAO!$C$5,$C$3:$C1385,RELATORIO_MEDICAO!$F$5),"")</f>
        <v/>
      </c>
      <c r="Z1385">
        <f>IF(OR($A1385="",PESQUISA!$C$4=""),0,IF(OR(ISNUMBER(SEARCH(PESQUISA!$C$4,$G1385)),ISNUMBER(SEARCH(PESQUISA!$C$4,$K1385)),ISNUMBER(SEARCH(PESQUISA!$C$4,$L1385))),1,0))</f>
        <v/>
      </c>
      <c r="AA1385">
        <f>IF($Z1385=1,SUM($Z$3:$Z1385),"")</f>
        <v/>
      </c>
      <c r="AB1385">
        <f>IF(OR($A1385="",PESQUISA!$C$50=""),0,IF(ISNUMBER(SEARCH(PESQUISA!$C$50,$I1385)),1,0))</f>
        <v/>
      </c>
      <c r="AC1385">
        <f>IF($AB1385=1,SUM($AB$3:$AB1385),"")</f>
        <v/>
      </c>
    </row>
    <row r="1386">
      <c r="A1386" s="20" t="n"/>
      <c r="B1386" s="20" t="n"/>
      <c r="C1386" s="20" t="n"/>
      <c r="D1386" s="20" t="n"/>
      <c r="E1386" s="20" t="n"/>
      <c r="F1386" s="20" t="n"/>
      <c r="G1386" s="20" t="n"/>
      <c r="H1386" s="20" t="n"/>
      <c r="I1386" s="20" t="n"/>
      <c r="J1386" s="20">
        <f>IFERROR(INDEX(CONFIGURACOES!$G$37:$G$300,MATCH($I1386,CONFIGURACOES!$B$37:$B$300,0)),"")</f>
        <v/>
      </c>
      <c r="K1386" s="20">
        <f>IFERROR(INDEX(CONFIGURACOES!$H$37:$H$300,MATCH($I1386,CONFIGURACOES!$B$37:$B$300,0)),"")</f>
        <v/>
      </c>
      <c r="L1386" s="20" t="n"/>
      <c r="M1386" s="20">
        <f>IFERROR(INDEX(CONFIGURACOES!$I$37:$I$300,MATCH($I1386,CONFIGURACOES!$B$37:$B$300,0)),"")</f>
        <v/>
      </c>
      <c r="N1386" s="21" t="n"/>
      <c r="O1386" s="21" t="n"/>
      <c r="P1386" s="21" t="n"/>
      <c r="Q1386" s="21" t="n"/>
      <c r="R1386" s="21">
        <f>IF($N1386="","",$N1386*IF($Q1386="",1,$Q1386)*IF($P1386="",1,$P1386)*IF($O1386="",1,$O1386))</f>
        <v/>
      </c>
      <c r="S1386" s="22">
        <f>IFERROR(INDEX(CONFIGURACOES!$J$37:$J$300,MATCH($I1386,CONFIGURACOES!$B$37:$B$300,0)),"")</f>
        <v/>
      </c>
      <c r="T1386" s="22">
        <f>IF(OR($R1386="",$S1386=""),"",$R1386*$S1386)</f>
        <v/>
      </c>
      <c r="U1386" s="20" t="n"/>
      <c r="V1386" s="20" t="n"/>
      <c r="W1386" s="20" t="n"/>
      <c r="X1386">
        <f>IF($A1386="","",$A1386&amp;"|"&amp;$C1386&amp;"|"&amp;$I1386)</f>
        <v/>
      </c>
      <c r="Y1386">
        <f>IF(AND($A1386=RELATORIO_MEDICAO!$C$5,$C1386=RELATORIO_MEDICAO!$F$5,$A1386&lt;&gt;""),COUNTIFS($A$3:$A1386,RELATORIO_MEDICAO!$C$5,$C$3:$C1386,RELATORIO_MEDICAO!$F$5),"")</f>
        <v/>
      </c>
      <c r="Z1386">
        <f>IF(OR($A1386="",PESQUISA!$C$4=""),0,IF(OR(ISNUMBER(SEARCH(PESQUISA!$C$4,$G1386)),ISNUMBER(SEARCH(PESQUISA!$C$4,$K1386)),ISNUMBER(SEARCH(PESQUISA!$C$4,$L1386))),1,0))</f>
        <v/>
      </c>
      <c r="AA1386">
        <f>IF($Z1386=1,SUM($Z$3:$Z1386),"")</f>
        <v/>
      </c>
      <c r="AB1386">
        <f>IF(OR($A1386="",PESQUISA!$C$50=""),0,IF(ISNUMBER(SEARCH(PESQUISA!$C$50,$I1386)),1,0))</f>
        <v/>
      </c>
      <c r="AC1386">
        <f>IF($AB1386=1,SUM($AB$3:$AB1386),"")</f>
        <v/>
      </c>
    </row>
    <row r="1387">
      <c r="A1387" s="20" t="n"/>
      <c r="B1387" s="20" t="n"/>
      <c r="C1387" s="20" t="n"/>
      <c r="D1387" s="20" t="n"/>
      <c r="E1387" s="20" t="n"/>
      <c r="F1387" s="20" t="n"/>
      <c r="G1387" s="20" t="n"/>
      <c r="H1387" s="20" t="n"/>
      <c r="I1387" s="20" t="n"/>
      <c r="J1387" s="20">
        <f>IFERROR(INDEX(CONFIGURACOES!$G$37:$G$300,MATCH($I1387,CONFIGURACOES!$B$37:$B$300,0)),"")</f>
        <v/>
      </c>
      <c r="K1387" s="20">
        <f>IFERROR(INDEX(CONFIGURACOES!$H$37:$H$300,MATCH($I1387,CONFIGURACOES!$B$37:$B$300,0)),"")</f>
        <v/>
      </c>
      <c r="L1387" s="20" t="n"/>
      <c r="M1387" s="20">
        <f>IFERROR(INDEX(CONFIGURACOES!$I$37:$I$300,MATCH($I1387,CONFIGURACOES!$B$37:$B$300,0)),"")</f>
        <v/>
      </c>
      <c r="N1387" s="21" t="n"/>
      <c r="O1387" s="21" t="n"/>
      <c r="P1387" s="21" t="n"/>
      <c r="Q1387" s="21" t="n"/>
      <c r="R1387" s="21">
        <f>IF($N1387="","",$N1387*IF($Q1387="",1,$Q1387)*IF($P1387="",1,$P1387)*IF($O1387="",1,$O1387))</f>
        <v/>
      </c>
      <c r="S1387" s="22">
        <f>IFERROR(INDEX(CONFIGURACOES!$J$37:$J$300,MATCH($I1387,CONFIGURACOES!$B$37:$B$300,0)),"")</f>
        <v/>
      </c>
      <c r="T1387" s="22">
        <f>IF(OR($R1387="",$S1387=""),"",$R1387*$S1387)</f>
        <v/>
      </c>
      <c r="U1387" s="20" t="n"/>
      <c r="V1387" s="20" t="n"/>
      <c r="W1387" s="20" t="n"/>
      <c r="X1387">
        <f>IF($A1387="","",$A1387&amp;"|"&amp;$C1387&amp;"|"&amp;$I1387)</f>
        <v/>
      </c>
      <c r="Y1387">
        <f>IF(AND($A1387=RELATORIO_MEDICAO!$C$5,$C1387=RELATORIO_MEDICAO!$F$5,$A1387&lt;&gt;""),COUNTIFS($A$3:$A1387,RELATORIO_MEDICAO!$C$5,$C$3:$C1387,RELATORIO_MEDICAO!$F$5),"")</f>
        <v/>
      </c>
      <c r="Z1387">
        <f>IF(OR($A1387="",PESQUISA!$C$4=""),0,IF(OR(ISNUMBER(SEARCH(PESQUISA!$C$4,$G1387)),ISNUMBER(SEARCH(PESQUISA!$C$4,$K1387)),ISNUMBER(SEARCH(PESQUISA!$C$4,$L1387))),1,0))</f>
        <v/>
      </c>
      <c r="AA1387">
        <f>IF($Z1387=1,SUM($Z$3:$Z1387),"")</f>
        <v/>
      </c>
      <c r="AB1387">
        <f>IF(OR($A1387="",PESQUISA!$C$50=""),0,IF(ISNUMBER(SEARCH(PESQUISA!$C$50,$I1387)),1,0))</f>
        <v/>
      </c>
      <c r="AC1387">
        <f>IF($AB1387=1,SUM($AB$3:$AB1387),"")</f>
        <v/>
      </c>
    </row>
    <row r="1388">
      <c r="A1388" s="20" t="n"/>
      <c r="B1388" s="20" t="n"/>
      <c r="C1388" s="20" t="n"/>
      <c r="D1388" s="20" t="n"/>
      <c r="E1388" s="20" t="n"/>
      <c r="F1388" s="20" t="n"/>
      <c r="G1388" s="20" t="n"/>
      <c r="H1388" s="20" t="n"/>
      <c r="I1388" s="20" t="n"/>
      <c r="J1388" s="20">
        <f>IFERROR(INDEX(CONFIGURACOES!$G$37:$G$300,MATCH($I1388,CONFIGURACOES!$B$37:$B$300,0)),"")</f>
        <v/>
      </c>
      <c r="K1388" s="20">
        <f>IFERROR(INDEX(CONFIGURACOES!$H$37:$H$300,MATCH($I1388,CONFIGURACOES!$B$37:$B$300,0)),"")</f>
        <v/>
      </c>
      <c r="L1388" s="20" t="n"/>
      <c r="M1388" s="20">
        <f>IFERROR(INDEX(CONFIGURACOES!$I$37:$I$300,MATCH($I1388,CONFIGURACOES!$B$37:$B$300,0)),"")</f>
        <v/>
      </c>
      <c r="N1388" s="21" t="n"/>
      <c r="O1388" s="21" t="n"/>
      <c r="P1388" s="21" t="n"/>
      <c r="Q1388" s="21" t="n"/>
      <c r="R1388" s="21">
        <f>IF($N1388="","",$N1388*IF($Q1388="",1,$Q1388)*IF($P1388="",1,$P1388)*IF($O1388="",1,$O1388))</f>
        <v/>
      </c>
      <c r="S1388" s="22">
        <f>IFERROR(INDEX(CONFIGURACOES!$J$37:$J$300,MATCH($I1388,CONFIGURACOES!$B$37:$B$300,0)),"")</f>
        <v/>
      </c>
      <c r="T1388" s="22">
        <f>IF(OR($R1388="",$S1388=""),"",$R1388*$S1388)</f>
        <v/>
      </c>
      <c r="U1388" s="20" t="n"/>
      <c r="V1388" s="20" t="n"/>
      <c r="W1388" s="20" t="n"/>
      <c r="X1388">
        <f>IF($A1388="","",$A1388&amp;"|"&amp;$C1388&amp;"|"&amp;$I1388)</f>
        <v/>
      </c>
      <c r="Y1388">
        <f>IF(AND($A1388=RELATORIO_MEDICAO!$C$5,$C1388=RELATORIO_MEDICAO!$F$5,$A1388&lt;&gt;""),COUNTIFS($A$3:$A1388,RELATORIO_MEDICAO!$C$5,$C$3:$C1388,RELATORIO_MEDICAO!$F$5),"")</f>
        <v/>
      </c>
      <c r="Z1388">
        <f>IF(OR($A1388="",PESQUISA!$C$4=""),0,IF(OR(ISNUMBER(SEARCH(PESQUISA!$C$4,$G1388)),ISNUMBER(SEARCH(PESQUISA!$C$4,$K1388)),ISNUMBER(SEARCH(PESQUISA!$C$4,$L1388))),1,0))</f>
        <v/>
      </c>
      <c r="AA1388">
        <f>IF($Z1388=1,SUM($Z$3:$Z1388),"")</f>
        <v/>
      </c>
      <c r="AB1388">
        <f>IF(OR($A1388="",PESQUISA!$C$50=""),0,IF(ISNUMBER(SEARCH(PESQUISA!$C$50,$I1388)),1,0))</f>
        <v/>
      </c>
      <c r="AC1388">
        <f>IF($AB1388=1,SUM($AB$3:$AB1388),"")</f>
        <v/>
      </c>
    </row>
    <row r="1389">
      <c r="A1389" s="20" t="n"/>
      <c r="B1389" s="20" t="n"/>
      <c r="C1389" s="20" t="n"/>
      <c r="D1389" s="20" t="n"/>
      <c r="E1389" s="20" t="n"/>
      <c r="F1389" s="20" t="n"/>
      <c r="G1389" s="20" t="n"/>
      <c r="H1389" s="20" t="n"/>
      <c r="I1389" s="20" t="n"/>
      <c r="J1389" s="20">
        <f>IFERROR(INDEX(CONFIGURACOES!$G$37:$G$300,MATCH($I1389,CONFIGURACOES!$B$37:$B$300,0)),"")</f>
        <v/>
      </c>
      <c r="K1389" s="20">
        <f>IFERROR(INDEX(CONFIGURACOES!$H$37:$H$300,MATCH($I1389,CONFIGURACOES!$B$37:$B$300,0)),"")</f>
        <v/>
      </c>
      <c r="L1389" s="20" t="n"/>
      <c r="M1389" s="20">
        <f>IFERROR(INDEX(CONFIGURACOES!$I$37:$I$300,MATCH($I1389,CONFIGURACOES!$B$37:$B$300,0)),"")</f>
        <v/>
      </c>
      <c r="N1389" s="21" t="n"/>
      <c r="O1389" s="21" t="n"/>
      <c r="P1389" s="21" t="n"/>
      <c r="Q1389" s="21" t="n"/>
      <c r="R1389" s="21">
        <f>IF($N1389="","",$N1389*IF($Q1389="",1,$Q1389)*IF($P1389="",1,$P1389)*IF($O1389="",1,$O1389))</f>
        <v/>
      </c>
      <c r="S1389" s="22">
        <f>IFERROR(INDEX(CONFIGURACOES!$J$37:$J$300,MATCH($I1389,CONFIGURACOES!$B$37:$B$300,0)),"")</f>
        <v/>
      </c>
      <c r="T1389" s="22">
        <f>IF(OR($R1389="",$S1389=""),"",$R1389*$S1389)</f>
        <v/>
      </c>
      <c r="U1389" s="20" t="n"/>
      <c r="V1389" s="20" t="n"/>
      <c r="W1389" s="20" t="n"/>
      <c r="X1389">
        <f>IF($A1389="","",$A1389&amp;"|"&amp;$C1389&amp;"|"&amp;$I1389)</f>
        <v/>
      </c>
      <c r="Y1389">
        <f>IF(AND($A1389=RELATORIO_MEDICAO!$C$5,$C1389=RELATORIO_MEDICAO!$F$5,$A1389&lt;&gt;""),COUNTIFS($A$3:$A1389,RELATORIO_MEDICAO!$C$5,$C$3:$C1389,RELATORIO_MEDICAO!$F$5),"")</f>
        <v/>
      </c>
      <c r="Z1389">
        <f>IF(OR($A1389="",PESQUISA!$C$4=""),0,IF(OR(ISNUMBER(SEARCH(PESQUISA!$C$4,$G1389)),ISNUMBER(SEARCH(PESQUISA!$C$4,$K1389)),ISNUMBER(SEARCH(PESQUISA!$C$4,$L1389))),1,0))</f>
        <v/>
      </c>
      <c r="AA1389">
        <f>IF($Z1389=1,SUM($Z$3:$Z1389),"")</f>
        <v/>
      </c>
      <c r="AB1389">
        <f>IF(OR($A1389="",PESQUISA!$C$50=""),0,IF(ISNUMBER(SEARCH(PESQUISA!$C$50,$I1389)),1,0))</f>
        <v/>
      </c>
      <c r="AC1389">
        <f>IF($AB1389=1,SUM($AB$3:$AB1389),"")</f>
        <v/>
      </c>
    </row>
    <row r="1390">
      <c r="A1390" s="20" t="n"/>
      <c r="B1390" s="20" t="n"/>
      <c r="C1390" s="20" t="n"/>
      <c r="D1390" s="20" t="n"/>
      <c r="E1390" s="20" t="n"/>
      <c r="F1390" s="20" t="n"/>
      <c r="G1390" s="20" t="n"/>
      <c r="H1390" s="20" t="n"/>
      <c r="I1390" s="20" t="n"/>
      <c r="J1390" s="20">
        <f>IFERROR(INDEX(CONFIGURACOES!$G$37:$G$300,MATCH($I1390,CONFIGURACOES!$B$37:$B$300,0)),"")</f>
        <v/>
      </c>
      <c r="K1390" s="20">
        <f>IFERROR(INDEX(CONFIGURACOES!$H$37:$H$300,MATCH($I1390,CONFIGURACOES!$B$37:$B$300,0)),"")</f>
        <v/>
      </c>
      <c r="L1390" s="20" t="n"/>
      <c r="M1390" s="20">
        <f>IFERROR(INDEX(CONFIGURACOES!$I$37:$I$300,MATCH($I1390,CONFIGURACOES!$B$37:$B$300,0)),"")</f>
        <v/>
      </c>
      <c r="N1390" s="21" t="n"/>
      <c r="O1390" s="21" t="n"/>
      <c r="P1390" s="21" t="n"/>
      <c r="Q1390" s="21" t="n"/>
      <c r="R1390" s="21">
        <f>IF($N1390="","",$N1390*IF($Q1390="",1,$Q1390)*IF($P1390="",1,$P1390)*IF($O1390="",1,$O1390))</f>
        <v/>
      </c>
      <c r="S1390" s="22">
        <f>IFERROR(INDEX(CONFIGURACOES!$J$37:$J$300,MATCH($I1390,CONFIGURACOES!$B$37:$B$300,0)),"")</f>
        <v/>
      </c>
      <c r="T1390" s="22">
        <f>IF(OR($R1390="",$S1390=""),"",$R1390*$S1390)</f>
        <v/>
      </c>
      <c r="U1390" s="20" t="n"/>
      <c r="V1390" s="20" t="n"/>
      <c r="W1390" s="20" t="n"/>
      <c r="X1390">
        <f>IF($A1390="","",$A1390&amp;"|"&amp;$C1390&amp;"|"&amp;$I1390)</f>
        <v/>
      </c>
      <c r="Y1390">
        <f>IF(AND($A1390=RELATORIO_MEDICAO!$C$5,$C1390=RELATORIO_MEDICAO!$F$5,$A1390&lt;&gt;""),COUNTIFS($A$3:$A1390,RELATORIO_MEDICAO!$C$5,$C$3:$C1390,RELATORIO_MEDICAO!$F$5),"")</f>
        <v/>
      </c>
      <c r="Z1390">
        <f>IF(OR($A1390="",PESQUISA!$C$4=""),0,IF(OR(ISNUMBER(SEARCH(PESQUISA!$C$4,$G1390)),ISNUMBER(SEARCH(PESQUISA!$C$4,$K1390)),ISNUMBER(SEARCH(PESQUISA!$C$4,$L1390))),1,0))</f>
        <v/>
      </c>
      <c r="AA1390">
        <f>IF($Z1390=1,SUM($Z$3:$Z1390),"")</f>
        <v/>
      </c>
      <c r="AB1390">
        <f>IF(OR($A1390="",PESQUISA!$C$50=""),0,IF(ISNUMBER(SEARCH(PESQUISA!$C$50,$I1390)),1,0))</f>
        <v/>
      </c>
      <c r="AC1390">
        <f>IF($AB1390=1,SUM($AB$3:$AB1390),"")</f>
        <v/>
      </c>
    </row>
    <row r="1391">
      <c r="A1391" s="20" t="n"/>
      <c r="B1391" s="20" t="n"/>
      <c r="C1391" s="20" t="n"/>
      <c r="D1391" s="20" t="n"/>
      <c r="E1391" s="20" t="n"/>
      <c r="F1391" s="20" t="n"/>
      <c r="G1391" s="20" t="n"/>
      <c r="H1391" s="20" t="n"/>
      <c r="I1391" s="20" t="n"/>
      <c r="J1391" s="20">
        <f>IFERROR(INDEX(CONFIGURACOES!$G$37:$G$300,MATCH($I1391,CONFIGURACOES!$B$37:$B$300,0)),"")</f>
        <v/>
      </c>
      <c r="K1391" s="20">
        <f>IFERROR(INDEX(CONFIGURACOES!$H$37:$H$300,MATCH($I1391,CONFIGURACOES!$B$37:$B$300,0)),"")</f>
        <v/>
      </c>
      <c r="L1391" s="20" t="n"/>
      <c r="M1391" s="20">
        <f>IFERROR(INDEX(CONFIGURACOES!$I$37:$I$300,MATCH($I1391,CONFIGURACOES!$B$37:$B$300,0)),"")</f>
        <v/>
      </c>
      <c r="N1391" s="21" t="n"/>
      <c r="O1391" s="21" t="n"/>
      <c r="P1391" s="21" t="n"/>
      <c r="Q1391" s="21" t="n"/>
      <c r="R1391" s="21">
        <f>IF($N1391="","",$N1391*IF($Q1391="",1,$Q1391)*IF($P1391="",1,$P1391)*IF($O1391="",1,$O1391))</f>
        <v/>
      </c>
      <c r="S1391" s="22">
        <f>IFERROR(INDEX(CONFIGURACOES!$J$37:$J$300,MATCH($I1391,CONFIGURACOES!$B$37:$B$300,0)),"")</f>
        <v/>
      </c>
      <c r="T1391" s="22">
        <f>IF(OR($R1391="",$S1391=""),"",$R1391*$S1391)</f>
        <v/>
      </c>
      <c r="U1391" s="20" t="n"/>
      <c r="V1391" s="20" t="n"/>
      <c r="W1391" s="20" t="n"/>
      <c r="X1391">
        <f>IF($A1391="","",$A1391&amp;"|"&amp;$C1391&amp;"|"&amp;$I1391)</f>
        <v/>
      </c>
      <c r="Y1391">
        <f>IF(AND($A1391=RELATORIO_MEDICAO!$C$5,$C1391=RELATORIO_MEDICAO!$F$5,$A1391&lt;&gt;""),COUNTIFS($A$3:$A1391,RELATORIO_MEDICAO!$C$5,$C$3:$C1391,RELATORIO_MEDICAO!$F$5),"")</f>
        <v/>
      </c>
      <c r="Z1391">
        <f>IF(OR($A1391="",PESQUISA!$C$4=""),0,IF(OR(ISNUMBER(SEARCH(PESQUISA!$C$4,$G1391)),ISNUMBER(SEARCH(PESQUISA!$C$4,$K1391)),ISNUMBER(SEARCH(PESQUISA!$C$4,$L1391))),1,0))</f>
        <v/>
      </c>
      <c r="AA1391">
        <f>IF($Z1391=1,SUM($Z$3:$Z1391),"")</f>
        <v/>
      </c>
      <c r="AB1391">
        <f>IF(OR($A1391="",PESQUISA!$C$50=""),0,IF(ISNUMBER(SEARCH(PESQUISA!$C$50,$I1391)),1,0))</f>
        <v/>
      </c>
      <c r="AC1391">
        <f>IF($AB1391=1,SUM($AB$3:$AB1391),"")</f>
        <v/>
      </c>
    </row>
    <row r="1392">
      <c r="A1392" s="20" t="n"/>
      <c r="B1392" s="20" t="n"/>
      <c r="C1392" s="20" t="n"/>
      <c r="D1392" s="20" t="n"/>
      <c r="E1392" s="20" t="n"/>
      <c r="F1392" s="20" t="n"/>
      <c r="G1392" s="20" t="n"/>
      <c r="H1392" s="20" t="n"/>
      <c r="I1392" s="20" t="n"/>
      <c r="J1392" s="20">
        <f>IFERROR(INDEX(CONFIGURACOES!$G$37:$G$300,MATCH($I1392,CONFIGURACOES!$B$37:$B$300,0)),"")</f>
        <v/>
      </c>
      <c r="K1392" s="20">
        <f>IFERROR(INDEX(CONFIGURACOES!$H$37:$H$300,MATCH($I1392,CONFIGURACOES!$B$37:$B$300,0)),"")</f>
        <v/>
      </c>
      <c r="L1392" s="20" t="n"/>
      <c r="M1392" s="20">
        <f>IFERROR(INDEX(CONFIGURACOES!$I$37:$I$300,MATCH($I1392,CONFIGURACOES!$B$37:$B$300,0)),"")</f>
        <v/>
      </c>
      <c r="N1392" s="21" t="n"/>
      <c r="O1392" s="21" t="n"/>
      <c r="P1392" s="21" t="n"/>
      <c r="Q1392" s="21" t="n"/>
      <c r="R1392" s="21">
        <f>IF($N1392="","",$N1392*IF($Q1392="",1,$Q1392)*IF($P1392="",1,$P1392)*IF($O1392="",1,$O1392))</f>
        <v/>
      </c>
      <c r="S1392" s="22">
        <f>IFERROR(INDEX(CONFIGURACOES!$J$37:$J$300,MATCH($I1392,CONFIGURACOES!$B$37:$B$300,0)),"")</f>
        <v/>
      </c>
      <c r="T1392" s="22">
        <f>IF(OR($R1392="",$S1392=""),"",$R1392*$S1392)</f>
        <v/>
      </c>
      <c r="U1392" s="20" t="n"/>
      <c r="V1392" s="20" t="n"/>
      <c r="W1392" s="20" t="n"/>
      <c r="X1392">
        <f>IF($A1392="","",$A1392&amp;"|"&amp;$C1392&amp;"|"&amp;$I1392)</f>
        <v/>
      </c>
      <c r="Y1392">
        <f>IF(AND($A1392=RELATORIO_MEDICAO!$C$5,$C1392=RELATORIO_MEDICAO!$F$5,$A1392&lt;&gt;""),COUNTIFS($A$3:$A1392,RELATORIO_MEDICAO!$C$5,$C$3:$C1392,RELATORIO_MEDICAO!$F$5),"")</f>
        <v/>
      </c>
      <c r="Z1392">
        <f>IF(OR($A1392="",PESQUISA!$C$4=""),0,IF(OR(ISNUMBER(SEARCH(PESQUISA!$C$4,$G1392)),ISNUMBER(SEARCH(PESQUISA!$C$4,$K1392)),ISNUMBER(SEARCH(PESQUISA!$C$4,$L1392))),1,0))</f>
        <v/>
      </c>
      <c r="AA1392">
        <f>IF($Z1392=1,SUM($Z$3:$Z1392),"")</f>
        <v/>
      </c>
      <c r="AB1392">
        <f>IF(OR($A1392="",PESQUISA!$C$50=""),0,IF(ISNUMBER(SEARCH(PESQUISA!$C$50,$I1392)),1,0))</f>
        <v/>
      </c>
      <c r="AC1392">
        <f>IF($AB1392=1,SUM($AB$3:$AB1392),"")</f>
        <v/>
      </c>
    </row>
    <row r="1393">
      <c r="A1393" s="20" t="n"/>
      <c r="B1393" s="20" t="n"/>
      <c r="C1393" s="20" t="n"/>
      <c r="D1393" s="20" t="n"/>
      <c r="E1393" s="20" t="n"/>
      <c r="F1393" s="20" t="n"/>
      <c r="G1393" s="20" t="n"/>
      <c r="H1393" s="20" t="n"/>
      <c r="I1393" s="20" t="n"/>
      <c r="J1393" s="20">
        <f>IFERROR(INDEX(CONFIGURACOES!$G$37:$G$300,MATCH($I1393,CONFIGURACOES!$B$37:$B$300,0)),"")</f>
        <v/>
      </c>
      <c r="K1393" s="20">
        <f>IFERROR(INDEX(CONFIGURACOES!$H$37:$H$300,MATCH($I1393,CONFIGURACOES!$B$37:$B$300,0)),"")</f>
        <v/>
      </c>
      <c r="L1393" s="20" t="n"/>
      <c r="M1393" s="20">
        <f>IFERROR(INDEX(CONFIGURACOES!$I$37:$I$300,MATCH($I1393,CONFIGURACOES!$B$37:$B$300,0)),"")</f>
        <v/>
      </c>
      <c r="N1393" s="21" t="n"/>
      <c r="O1393" s="21" t="n"/>
      <c r="P1393" s="21" t="n"/>
      <c r="Q1393" s="21" t="n"/>
      <c r="R1393" s="21">
        <f>IF($N1393="","",$N1393*IF($Q1393="",1,$Q1393)*IF($P1393="",1,$P1393)*IF($O1393="",1,$O1393))</f>
        <v/>
      </c>
      <c r="S1393" s="22">
        <f>IFERROR(INDEX(CONFIGURACOES!$J$37:$J$300,MATCH($I1393,CONFIGURACOES!$B$37:$B$300,0)),"")</f>
        <v/>
      </c>
      <c r="T1393" s="22">
        <f>IF(OR($R1393="",$S1393=""),"",$R1393*$S1393)</f>
        <v/>
      </c>
      <c r="U1393" s="20" t="n"/>
      <c r="V1393" s="20" t="n"/>
      <c r="W1393" s="20" t="n"/>
      <c r="X1393">
        <f>IF($A1393="","",$A1393&amp;"|"&amp;$C1393&amp;"|"&amp;$I1393)</f>
        <v/>
      </c>
      <c r="Y1393">
        <f>IF(AND($A1393=RELATORIO_MEDICAO!$C$5,$C1393=RELATORIO_MEDICAO!$F$5,$A1393&lt;&gt;""),COUNTIFS($A$3:$A1393,RELATORIO_MEDICAO!$C$5,$C$3:$C1393,RELATORIO_MEDICAO!$F$5),"")</f>
        <v/>
      </c>
      <c r="Z1393">
        <f>IF(OR($A1393="",PESQUISA!$C$4=""),0,IF(OR(ISNUMBER(SEARCH(PESQUISA!$C$4,$G1393)),ISNUMBER(SEARCH(PESQUISA!$C$4,$K1393)),ISNUMBER(SEARCH(PESQUISA!$C$4,$L1393))),1,0))</f>
        <v/>
      </c>
      <c r="AA1393">
        <f>IF($Z1393=1,SUM($Z$3:$Z1393),"")</f>
        <v/>
      </c>
      <c r="AB1393">
        <f>IF(OR($A1393="",PESQUISA!$C$50=""),0,IF(ISNUMBER(SEARCH(PESQUISA!$C$50,$I1393)),1,0))</f>
        <v/>
      </c>
      <c r="AC1393">
        <f>IF($AB1393=1,SUM($AB$3:$AB1393),"")</f>
        <v/>
      </c>
    </row>
    <row r="1394">
      <c r="A1394" s="20" t="n"/>
      <c r="B1394" s="20" t="n"/>
      <c r="C1394" s="20" t="n"/>
      <c r="D1394" s="20" t="n"/>
      <c r="E1394" s="20" t="n"/>
      <c r="F1394" s="20" t="n"/>
      <c r="G1394" s="20" t="n"/>
      <c r="H1394" s="20" t="n"/>
      <c r="I1394" s="20" t="n"/>
      <c r="J1394" s="20">
        <f>IFERROR(INDEX(CONFIGURACOES!$G$37:$G$300,MATCH($I1394,CONFIGURACOES!$B$37:$B$300,0)),"")</f>
        <v/>
      </c>
      <c r="K1394" s="20">
        <f>IFERROR(INDEX(CONFIGURACOES!$H$37:$H$300,MATCH($I1394,CONFIGURACOES!$B$37:$B$300,0)),"")</f>
        <v/>
      </c>
      <c r="L1394" s="20" t="n"/>
      <c r="M1394" s="20">
        <f>IFERROR(INDEX(CONFIGURACOES!$I$37:$I$300,MATCH($I1394,CONFIGURACOES!$B$37:$B$300,0)),"")</f>
        <v/>
      </c>
      <c r="N1394" s="21" t="n"/>
      <c r="O1394" s="21" t="n"/>
      <c r="P1394" s="21" t="n"/>
      <c r="Q1394" s="21" t="n"/>
      <c r="R1394" s="21">
        <f>IF($N1394="","",$N1394*IF($Q1394="",1,$Q1394)*IF($P1394="",1,$P1394)*IF($O1394="",1,$O1394))</f>
        <v/>
      </c>
      <c r="S1394" s="22">
        <f>IFERROR(INDEX(CONFIGURACOES!$J$37:$J$300,MATCH($I1394,CONFIGURACOES!$B$37:$B$300,0)),"")</f>
        <v/>
      </c>
      <c r="T1394" s="22">
        <f>IF(OR($R1394="",$S1394=""),"",$R1394*$S1394)</f>
        <v/>
      </c>
      <c r="U1394" s="20" t="n"/>
      <c r="V1394" s="20" t="n"/>
      <c r="W1394" s="20" t="n"/>
      <c r="X1394">
        <f>IF($A1394="","",$A1394&amp;"|"&amp;$C1394&amp;"|"&amp;$I1394)</f>
        <v/>
      </c>
      <c r="Y1394">
        <f>IF(AND($A1394=RELATORIO_MEDICAO!$C$5,$C1394=RELATORIO_MEDICAO!$F$5,$A1394&lt;&gt;""),COUNTIFS($A$3:$A1394,RELATORIO_MEDICAO!$C$5,$C$3:$C1394,RELATORIO_MEDICAO!$F$5),"")</f>
        <v/>
      </c>
      <c r="Z1394">
        <f>IF(OR($A1394="",PESQUISA!$C$4=""),0,IF(OR(ISNUMBER(SEARCH(PESQUISA!$C$4,$G1394)),ISNUMBER(SEARCH(PESQUISA!$C$4,$K1394)),ISNUMBER(SEARCH(PESQUISA!$C$4,$L1394))),1,0))</f>
        <v/>
      </c>
      <c r="AA1394">
        <f>IF($Z1394=1,SUM($Z$3:$Z1394),"")</f>
        <v/>
      </c>
      <c r="AB1394">
        <f>IF(OR($A1394="",PESQUISA!$C$50=""),0,IF(ISNUMBER(SEARCH(PESQUISA!$C$50,$I1394)),1,0))</f>
        <v/>
      </c>
      <c r="AC1394">
        <f>IF($AB1394=1,SUM($AB$3:$AB1394),"")</f>
        <v/>
      </c>
    </row>
    <row r="1395">
      <c r="A1395" s="20" t="n"/>
      <c r="B1395" s="20" t="n"/>
      <c r="C1395" s="20" t="n"/>
      <c r="D1395" s="20" t="n"/>
      <c r="E1395" s="20" t="n"/>
      <c r="F1395" s="20" t="n"/>
      <c r="G1395" s="20" t="n"/>
      <c r="H1395" s="20" t="n"/>
      <c r="I1395" s="20" t="n"/>
      <c r="J1395" s="20">
        <f>IFERROR(INDEX(CONFIGURACOES!$G$37:$G$300,MATCH($I1395,CONFIGURACOES!$B$37:$B$300,0)),"")</f>
        <v/>
      </c>
      <c r="K1395" s="20">
        <f>IFERROR(INDEX(CONFIGURACOES!$H$37:$H$300,MATCH($I1395,CONFIGURACOES!$B$37:$B$300,0)),"")</f>
        <v/>
      </c>
      <c r="L1395" s="20" t="n"/>
      <c r="M1395" s="20">
        <f>IFERROR(INDEX(CONFIGURACOES!$I$37:$I$300,MATCH($I1395,CONFIGURACOES!$B$37:$B$300,0)),"")</f>
        <v/>
      </c>
      <c r="N1395" s="21" t="n"/>
      <c r="O1395" s="21" t="n"/>
      <c r="P1395" s="21" t="n"/>
      <c r="Q1395" s="21" t="n"/>
      <c r="R1395" s="21">
        <f>IF($N1395="","",$N1395*IF($Q1395="",1,$Q1395)*IF($P1395="",1,$P1395)*IF($O1395="",1,$O1395))</f>
        <v/>
      </c>
      <c r="S1395" s="22">
        <f>IFERROR(INDEX(CONFIGURACOES!$J$37:$J$300,MATCH($I1395,CONFIGURACOES!$B$37:$B$300,0)),"")</f>
        <v/>
      </c>
      <c r="T1395" s="22">
        <f>IF(OR($R1395="",$S1395=""),"",$R1395*$S1395)</f>
        <v/>
      </c>
      <c r="U1395" s="20" t="n"/>
      <c r="V1395" s="20" t="n"/>
      <c r="W1395" s="20" t="n"/>
      <c r="X1395">
        <f>IF($A1395="","",$A1395&amp;"|"&amp;$C1395&amp;"|"&amp;$I1395)</f>
        <v/>
      </c>
      <c r="Y1395">
        <f>IF(AND($A1395=RELATORIO_MEDICAO!$C$5,$C1395=RELATORIO_MEDICAO!$F$5,$A1395&lt;&gt;""),COUNTIFS($A$3:$A1395,RELATORIO_MEDICAO!$C$5,$C$3:$C1395,RELATORIO_MEDICAO!$F$5),"")</f>
        <v/>
      </c>
      <c r="Z1395">
        <f>IF(OR($A1395="",PESQUISA!$C$4=""),0,IF(OR(ISNUMBER(SEARCH(PESQUISA!$C$4,$G1395)),ISNUMBER(SEARCH(PESQUISA!$C$4,$K1395)),ISNUMBER(SEARCH(PESQUISA!$C$4,$L1395))),1,0))</f>
        <v/>
      </c>
      <c r="AA1395">
        <f>IF($Z1395=1,SUM($Z$3:$Z1395),"")</f>
        <v/>
      </c>
      <c r="AB1395">
        <f>IF(OR($A1395="",PESQUISA!$C$50=""),0,IF(ISNUMBER(SEARCH(PESQUISA!$C$50,$I1395)),1,0))</f>
        <v/>
      </c>
      <c r="AC1395">
        <f>IF($AB1395=1,SUM($AB$3:$AB1395),"")</f>
        <v/>
      </c>
    </row>
    <row r="1396">
      <c r="A1396" s="20" t="n"/>
      <c r="B1396" s="20" t="n"/>
      <c r="C1396" s="20" t="n"/>
      <c r="D1396" s="20" t="n"/>
      <c r="E1396" s="20" t="n"/>
      <c r="F1396" s="20" t="n"/>
      <c r="G1396" s="20" t="n"/>
      <c r="H1396" s="20" t="n"/>
      <c r="I1396" s="20" t="n"/>
      <c r="J1396" s="20">
        <f>IFERROR(INDEX(CONFIGURACOES!$G$37:$G$300,MATCH($I1396,CONFIGURACOES!$B$37:$B$300,0)),"")</f>
        <v/>
      </c>
      <c r="K1396" s="20">
        <f>IFERROR(INDEX(CONFIGURACOES!$H$37:$H$300,MATCH($I1396,CONFIGURACOES!$B$37:$B$300,0)),"")</f>
        <v/>
      </c>
      <c r="L1396" s="20" t="n"/>
      <c r="M1396" s="20">
        <f>IFERROR(INDEX(CONFIGURACOES!$I$37:$I$300,MATCH($I1396,CONFIGURACOES!$B$37:$B$300,0)),"")</f>
        <v/>
      </c>
      <c r="N1396" s="21" t="n"/>
      <c r="O1396" s="21" t="n"/>
      <c r="P1396" s="21" t="n"/>
      <c r="Q1396" s="21" t="n"/>
      <c r="R1396" s="21">
        <f>IF($N1396="","",$N1396*IF($Q1396="",1,$Q1396)*IF($P1396="",1,$P1396)*IF($O1396="",1,$O1396))</f>
        <v/>
      </c>
      <c r="S1396" s="22">
        <f>IFERROR(INDEX(CONFIGURACOES!$J$37:$J$300,MATCH($I1396,CONFIGURACOES!$B$37:$B$300,0)),"")</f>
        <v/>
      </c>
      <c r="T1396" s="22">
        <f>IF(OR($R1396="",$S1396=""),"",$R1396*$S1396)</f>
        <v/>
      </c>
      <c r="U1396" s="20" t="n"/>
      <c r="V1396" s="20" t="n"/>
      <c r="W1396" s="20" t="n"/>
      <c r="X1396">
        <f>IF($A1396="","",$A1396&amp;"|"&amp;$C1396&amp;"|"&amp;$I1396)</f>
        <v/>
      </c>
      <c r="Y1396">
        <f>IF(AND($A1396=RELATORIO_MEDICAO!$C$5,$C1396=RELATORIO_MEDICAO!$F$5,$A1396&lt;&gt;""),COUNTIFS($A$3:$A1396,RELATORIO_MEDICAO!$C$5,$C$3:$C1396,RELATORIO_MEDICAO!$F$5),"")</f>
        <v/>
      </c>
      <c r="Z1396">
        <f>IF(OR($A1396="",PESQUISA!$C$4=""),0,IF(OR(ISNUMBER(SEARCH(PESQUISA!$C$4,$G1396)),ISNUMBER(SEARCH(PESQUISA!$C$4,$K1396)),ISNUMBER(SEARCH(PESQUISA!$C$4,$L1396))),1,0))</f>
        <v/>
      </c>
      <c r="AA1396">
        <f>IF($Z1396=1,SUM($Z$3:$Z1396),"")</f>
        <v/>
      </c>
      <c r="AB1396">
        <f>IF(OR($A1396="",PESQUISA!$C$50=""),0,IF(ISNUMBER(SEARCH(PESQUISA!$C$50,$I1396)),1,0))</f>
        <v/>
      </c>
      <c r="AC1396">
        <f>IF($AB1396=1,SUM($AB$3:$AB1396),"")</f>
        <v/>
      </c>
    </row>
    <row r="1397">
      <c r="A1397" s="20" t="n"/>
      <c r="B1397" s="20" t="n"/>
      <c r="C1397" s="20" t="n"/>
      <c r="D1397" s="20" t="n"/>
      <c r="E1397" s="20" t="n"/>
      <c r="F1397" s="20" t="n"/>
      <c r="G1397" s="20" t="n"/>
      <c r="H1397" s="20" t="n"/>
      <c r="I1397" s="20" t="n"/>
      <c r="J1397" s="20">
        <f>IFERROR(INDEX(CONFIGURACOES!$G$37:$G$300,MATCH($I1397,CONFIGURACOES!$B$37:$B$300,0)),"")</f>
        <v/>
      </c>
      <c r="K1397" s="20">
        <f>IFERROR(INDEX(CONFIGURACOES!$H$37:$H$300,MATCH($I1397,CONFIGURACOES!$B$37:$B$300,0)),"")</f>
        <v/>
      </c>
      <c r="L1397" s="20" t="n"/>
      <c r="M1397" s="20">
        <f>IFERROR(INDEX(CONFIGURACOES!$I$37:$I$300,MATCH($I1397,CONFIGURACOES!$B$37:$B$300,0)),"")</f>
        <v/>
      </c>
      <c r="N1397" s="21" t="n"/>
      <c r="O1397" s="21" t="n"/>
      <c r="P1397" s="21" t="n"/>
      <c r="Q1397" s="21" t="n"/>
      <c r="R1397" s="21">
        <f>IF($N1397="","",$N1397*IF($Q1397="",1,$Q1397)*IF($P1397="",1,$P1397)*IF($O1397="",1,$O1397))</f>
        <v/>
      </c>
      <c r="S1397" s="22">
        <f>IFERROR(INDEX(CONFIGURACOES!$J$37:$J$300,MATCH($I1397,CONFIGURACOES!$B$37:$B$300,0)),"")</f>
        <v/>
      </c>
      <c r="T1397" s="22">
        <f>IF(OR($R1397="",$S1397=""),"",$R1397*$S1397)</f>
        <v/>
      </c>
      <c r="U1397" s="20" t="n"/>
      <c r="V1397" s="20" t="n"/>
      <c r="W1397" s="20" t="n"/>
      <c r="X1397">
        <f>IF($A1397="","",$A1397&amp;"|"&amp;$C1397&amp;"|"&amp;$I1397)</f>
        <v/>
      </c>
      <c r="Y1397">
        <f>IF(AND($A1397=RELATORIO_MEDICAO!$C$5,$C1397=RELATORIO_MEDICAO!$F$5,$A1397&lt;&gt;""),COUNTIFS($A$3:$A1397,RELATORIO_MEDICAO!$C$5,$C$3:$C1397,RELATORIO_MEDICAO!$F$5),"")</f>
        <v/>
      </c>
      <c r="Z1397">
        <f>IF(OR($A1397="",PESQUISA!$C$4=""),0,IF(OR(ISNUMBER(SEARCH(PESQUISA!$C$4,$G1397)),ISNUMBER(SEARCH(PESQUISA!$C$4,$K1397)),ISNUMBER(SEARCH(PESQUISA!$C$4,$L1397))),1,0))</f>
        <v/>
      </c>
      <c r="AA1397">
        <f>IF($Z1397=1,SUM($Z$3:$Z1397),"")</f>
        <v/>
      </c>
      <c r="AB1397">
        <f>IF(OR($A1397="",PESQUISA!$C$50=""),0,IF(ISNUMBER(SEARCH(PESQUISA!$C$50,$I1397)),1,0))</f>
        <v/>
      </c>
      <c r="AC1397">
        <f>IF($AB1397=1,SUM($AB$3:$AB1397),"")</f>
        <v/>
      </c>
    </row>
    <row r="1398">
      <c r="A1398" s="20" t="n"/>
      <c r="B1398" s="20" t="n"/>
      <c r="C1398" s="20" t="n"/>
      <c r="D1398" s="20" t="n"/>
      <c r="E1398" s="20" t="n"/>
      <c r="F1398" s="20" t="n"/>
      <c r="G1398" s="20" t="n"/>
      <c r="H1398" s="20" t="n"/>
      <c r="I1398" s="20" t="n"/>
      <c r="J1398" s="20">
        <f>IFERROR(INDEX(CONFIGURACOES!$G$37:$G$300,MATCH($I1398,CONFIGURACOES!$B$37:$B$300,0)),"")</f>
        <v/>
      </c>
      <c r="K1398" s="20">
        <f>IFERROR(INDEX(CONFIGURACOES!$H$37:$H$300,MATCH($I1398,CONFIGURACOES!$B$37:$B$300,0)),"")</f>
        <v/>
      </c>
      <c r="L1398" s="20" t="n"/>
      <c r="M1398" s="20">
        <f>IFERROR(INDEX(CONFIGURACOES!$I$37:$I$300,MATCH($I1398,CONFIGURACOES!$B$37:$B$300,0)),"")</f>
        <v/>
      </c>
      <c r="N1398" s="21" t="n"/>
      <c r="O1398" s="21" t="n"/>
      <c r="P1398" s="21" t="n"/>
      <c r="Q1398" s="21" t="n"/>
      <c r="R1398" s="21">
        <f>IF($N1398="","",$N1398*IF($Q1398="",1,$Q1398)*IF($P1398="",1,$P1398)*IF($O1398="",1,$O1398))</f>
        <v/>
      </c>
      <c r="S1398" s="22">
        <f>IFERROR(INDEX(CONFIGURACOES!$J$37:$J$300,MATCH($I1398,CONFIGURACOES!$B$37:$B$300,0)),"")</f>
        <v/>
      </c>
      <c r="T1398" s="22">
        <f>IF(OR($R1398="",$S1398=""),"",$R1398*$S1398)</f>
        <v/>
      </c>
      <c r="U1398" s="20" t="n"/>
      <c r="V1398" s="20" t="n"/>
      <c r="W1398" s="20" t="n"/>
      <c r="X1398">
        <f>IF($A1398="","",$A1398&amp;"|"&amp;$C1398&amp;"|"&amp;$I1398)</f>
        <v/>
      </c>
      <c r="Y1398">
        <f>IF(AND($A1398=RELATORIO_MEDICAO!$C$5,$C1398=RELATORIO_MEDICAO!$F$5,$A1398&lt;&gt;""),COUNTIFS($A$3:$A1398,RELATORIO_MEDICAO!$C$5,$C$3:$C1398,RELATORIO_MEDICAO!$F$5),"")</f>
        <v/>
      </c>
      <c r="Z1398">
        <f>IF(OR($A1398="",PESQUISA!$C$4=""),0,IF(OR(ISNUMBER(SEARCH(PESQUISA!$C$4,$G1398)),ISNUMBER(SEARCH(PESQUISA!$C$4,$K1398)),ISNUMBER(SEARCH(PESQUISA!$C$4,$L1398))),1,0))</f>
        <v/>
      </c>
      <c r="AA1398">
        <f>IF($Z1398=1,SUM($Z$3:$Z1398),"")</f>
        <v/>
      </c>
      <c r="AB1398">
        <f>IF(OR($A1398="",PESQUISA!$C$50=""),0,IF(ISNUMBER(SEARCH(PESQUISA!$C$50,$I1398)),1,0))</f>
        <v/>
      </c>
      <c r="AC1398">
        <f>IF($AB1398=1,SUM($AB$3:$AB1398),"")</f>
        <v/>
      </c>
    </row>
    <row r="1399">
      <c r="A1399" s="20" t="n"/>
      <c r="B1399" s="20" t="n"/>
      <c r="C1399" s="20" t="n"/>
      <c r="D1399" s="20" t="n"/>
      <c r="E1399" s="20" t="n"/>
      <c r="F1399" s="20" t="n"/>
      <c r="G1399" s="20" t="n"/>
      <c r="H1399" s="20" t="n"/>
      <c r="I1399" s="20" t="n"/>
      <c r="J1399" s="20">
        <f>IFERROR(INDEX(CONFIGURACOES!$G$37:$G$300,MATCH($I1399,CONFIGURACOES!$B$37:$B$300,0)),"")</f>
        <v/>
      </c>
      <c r="K1399" s="20">
        <f>IFERROR(INDEX(CONFIGURACOES!$H$37:$H$300,MATCH($I1399,CONFIGURACOES!$B$37:$B$300,0)),"")</f>
        <v/>
      </c>
      <c r="L1399" s="20" t="n"/>
      <c r="M1399" s="20">
        <f>IFERROR(INDEX(CONFIGURACOES!$I$37:$I$300,MATCH($I1399,CONFIGURACOES!$B$37:$B$300,0)),"")</f>
        <v/>
      </c>
      <c r="N1399" s="21" t="n"/>
      <c r="O1399" s="21" t="n"/>
      <c r="P1399" s="21" t="n"/>
      <c r="Q1399" s="21" t="n"/>
      <c r="R1399" s="21">
        <f>IF($N1399="","",$N1399*IF($Q1399="",1,$Q1399)*IF($P1399="",1,$P1399)*IF($O1399="",1,$O1399))</f>
        <v/>
      </c>
      <c r="S1399" s="22">
        <f>IFERROR(INDEX(CONFIGURACOES!$J$37:$J$300,MATCH($I1399,CONFIGURACOES!$B$37:$B$300,0)),"")</f>
        <v/>
      </c>
      <c r="T1399" s="22">
        <f>IF(OR($R1399="",$S1399=""),"",$R1399*$S1399)</f>
        <v/>
      </c>
      <c r="U1399" s="20" t="n"/>
      <c r="V1399" s="20" t="n"/>
      <c r="W1399" s="20" t="n"/>
      <c r="X1399">
        <f>IF($A1399="","",$A1399&amp;"|"&amp;$C1399&amp;"|"&amp;$I1399)</f>
        <v/>
      </c>
      <c r="Y1399">
        <f>IF(AND($A1399=RELATORIO_MEDICAO!$C$5,$C1399=RELATORIO_MEDICAO!$F$5,$A1399&lt;&gt;""),COUNTIFS($A$3:$A1399,RELATORIO_MEDICAO!$C$5,$C$3:$C1399,RELATORIO_MEDICAO!$F$5),"")</f>
        <v/>
      </c>
      <c r="Z1399">
        <f>IF(OR($A1399="",PESQUISA!$C$4=""),0,IF(OR(ISNUMBER(SEARCH(PESQUISA!$C$4,$G1399)),ISNUMBER(SEARCH(PESQUISA!$C$4,$K1399)),ISNUMBER(SEARCH(PESQUISA!$C$4,$L1399))),1,0))</f>
        <v/>
      </c>
      <c r="AA1399">
        <f>IF($Z1399=1,SUM($Z$3:$Z1399),"")</f>
        <v/>
      </c>
      <c r="AB1399">
        <f>IF(OR($A1399="",PESQUISA!$C$50=""),0,IF(ISNUMBER(SEARCH(PESQUISA!$C$50,$I1399)),1,0))</f>
        <v/>
      </c>
      <c r="AC1399">
        <f>IF($AB1399=1,SUM($AB$3:$AB1399),"")</f>
        <v/>
      </c>
    </row>
    <row r="1400">
      <c r="A1400" s="20" t="n"/>
      <c r="B1400" s="20" t="n"/>
      <c r="C1400" s="20" t="n"/>
      <c r="D1400" s="20" t="n"/>
      <c r="E1400" s="20" t="n"/>
      <c r="F1400" s="20" t="n"/>
      <c r="G1400" s="20" t="n"/>
      <c r="H1400" s="20" t="n"/>
      <c r="I1400" s="20" t="n"/>
      <c r="J1400" s="20">
        <f>IFERROR(INDEX(CONFIGURACOES!$G$37:$G$300,MATCH($I1400,CONFIGURACOES!$B$37:$B$300,0)),"")</f>
        <v/>
      </c>
      <c r="K1400" s="20">
        <f>IFERROR(INDEX(CONFIGURACOES!$H$37:$H$300,MATCH($I1400,CONFIGURACOES!$B$37:$B$300,0)),"")</f>
        <v/>
      </c>
      <c r="L1400" s="20" t="n"/>
      <c r="M1400" s="20">
        <f>IFERROR(INDEX(CONFIGURACOES!$I$37:$I$300,MATCH($I1400,CONFIGURACOES!$B$37:$B$300,0)),"")</f>
        <v/>
      </c>
      <c r="N1400" s="21" t="n"/>
      <c r="O1400" s="21" t="n"/>
      <c r="P1400" s="21" t="n"/>
      <c r="Q1400" s="21" t="n"/>
      <c r="R1400" s="21">
        <f>IF($N1400="","",$N1400*IF($Q1400="",1,$Q1400)*IF($P1400="",1,$P1400)*IF($O1400="",1,$O1400))</f>
        <v/>
      </c>
      <c r="S1400" s="22">
        <f>IFERROR(INDEX(CONFIGURACOES!$J$37:$J$300,MATCH($I1400,CONFIGURACOES!$B$37:$B$300,0)),"")</f>
        <v/>
      </c>
      <c r="T1400" s="22">
        <f>IF(OR($R1400="",$S1400=""),"",$R1400*$S1400)</f>
        <v/>
      </c>
      <c r="U1400" s="20" t="n"/>
      <c r="V1400" s="20" t="n"/>
      <c r="W1400" s="20" t="n"/>
      <c r="X1400">
        <f>IF($A1400="","",$A1400&amp;"|"&amp;$C1400&amp;"|"&amp;$I1400)</f>
        <v/>
      </c>
      <c r="Y1400">
        <f>IF(AND($A1400=RELATORIO_MEDICAO!$C$5,$C1400=RELATORIO_MEDICAO!$F$5,$A1400&lt;&gt;""),COUNTIFS($A$3:$A1400,RELATORIO_MEDICAO!$C$5,$C$3:$C1400,RELATORIO_MEDICAO!$F$5),"")</f>
        <v/>
      </c>
      <c r="Z1400">
        <f>IF(OR($A1400="",PESQUISA!$C$4=""),0,IF(OR(ISNUMBER(SEARCH(PESQUISA!$C$4,$G1400)),ISNUMBER(SEARCH(PESQUISA!$C$4,$K1400)),ISNUMBER(SEARCH(PESQUISA!$C$4,$L1400))),1,0))</f>
        <v/>
      </c>
      <c r="AA1400">
        <f>IF($Z1400=1,SUM($Z$3:$Z1400),"")</f>
        <v/>
      </c>
      <c r="AB1400">
        <f>IF(OR($A1400="",PESQUISA!$C$50=""),0,IF(ISNUMBER(SEARCH(PESQUISA!$C$50,$I1400)),1,0))</f>
        <v/>
      </c>
      <c r="AC1400">
        <f>IF($AB1400=1,SUM($AB$3:$AB1400),"")</f>
        <v/>
      </c>
    </row>
    <row r="1401">
      <c r="A1401" s="20" t="n"/>
      <c r="B1401" s="20" t="n"/>
      <c r="C1401" s="20" t="n"/>
      <c r="D1401" s="20" t="n"/>
      <c r="E1401" s="20" t="n"/>
      <c r="F1401" s="20" t="n"/>
      <c r="G1401" s="20" t="n"/>
      <c r="H1401" s="20" t="n"/>
      <c r="I1401" s="20" t="n"/>
      <c r="J1401" s="20">
        <f>IFERROR(INDEX(CONFIGURACOES!$G$37:$G$300,MATCH($I1401,CONFIGURACOES!$B$37:$B$300,0)),"")</f>
        <v/>
      </c>
      <c r="K1401" s="20">
        <f>IFERROR(INDEX(CONFIGURACOES!$H$37:$H$300,MATCH($I1401,CONFIGURACOES!$B$37:$B$300,0)),"")</f>
        <v/>
      </c>
      <c r="L1401" s="20" t="n"/>
      <c r="M1401" s="20">
        <f>IFERROR(INDEX(CONFIGURACOES!$I$37:$I$300,MATCH($I1401,CONFIGURACOES!$B$37:$B$300,0)),"")</f>
        <v/>
      </c>
      <c r="N1401" s="21" t="n"/>
      <c r="O1401" s="21" t="n"/>
      <c r="P1401" s="21" t="n"/>
      <c r="Q1401" s="21" t="n"/>
      <c r="R1401" s="21">
        <f>IF($N1401="","",$N1401*IF($Q1401="",1,$Q1401)*IF($P1401="",1,$P1401)*IF($O1401="",1,$O1401))</f>
        <v/>
      </c>
      <c r="S1401" s="22">
        <f>IFERROR(INDEX(CONFIGURACOES!$J$37:$J$300,MATCH($I1401,CONFIGURACOES!$B$37:$B$300,0)),"")</f>
        <v/>
      </c>
      <c r="T1401" s="22">
        <f>IF(OR($R1401="",$S1401=""),"",$R1401*$S1401)</f>
        <v/>
      </c>
      <c r="U1401" s="20" t="n"/>
      <c r="V1401" s="20" t="n"/>
      <c r="W1401" s="20" t="n"/>
      <c r="X1401">
        <f>IF($A1401="","",$A1401&amp;"|"&amp;$C1401&amp;"|"&amp;$I1401)</f>
        <v/>
      </c>
      <c r="Y1401">
        <f>IF(AND($A1401=RELATORIO_MEDICAO!$C$5,$C1401=RELATORIO_MEDICAO!$F$5,$A1401&lt;&gt;""),COUNTIFS($A$3:$A1401,RELATORIO_MEDICAO!$C$5,$C$3:$C1401,RELATORIO_MEDICAO!$F$5),"")</f>
        <v/>
      </c>
      <c r="Z1401">
        <f>IF(OR($A1401="",PESQUISA!$C$4=""),0,IF(OR(ISNUMBER(SEARCH(PESQUISA!$C$4,$G1401)),ISNUMBER(SEARCH(PESQUISA!$C$4,$K1401)),ISNUMBER(SEARCH(PESQUISA!$C$4,$L1401))),1,0))</f>
        <v/>
      </c>
      <c r="AA1401">
        <f>IF($Z1401=1,SUM($Z$3:$Z1401),"")</f>
        <v/>
      </c>
      <c r="AB1401">
        <f>IF(OR($A1401="",PESQUISA!$C$50=""),0,IF(ISNUMBER(SEARCH(PESQUISA!$C$50,$I1401)),1,0))</f>
        <v/>
      </c>
      <c r="AC1401">
        <f>IF($AB1401=1,SUM($AB$3:$AB1401),"")</f>
        <v/>
      </c>
    </row>
    <row r="1402">
      <c r="A1402" s="20" t="n"/>
      <c r="B1402" s="20" t="n"/>
      <c r="C1402" s="20" t="n"/>
      <c r="D1402" s="20" t="n"/>
      <c r="E1402" s="20" t="n"/>
      <c r="F1402" s="20" t="n"/>
      <c r="G1402" s="20" t="n"/>
      <c r="H1402" s="20" t="n"/>
      <c r="I1402" s="20" t="n"/>
      <c r="J1402" s="20">
        <f>IFERROR(INDEX(CONFIGURACOES!$G$37:$G$300,MATCH($I1402,CONFIGURACOES!$B$37:$B$300,0)),"")</f>
        <v/>
      </c>
      <c r="K1402" s="20">
        <f>IFERROR(INDEX(CONFIGURACOES!$H$37:$H$300,MATCH($I1402,CONFIGURACOES!$B$37:$B$300,0)),"")</f>
        <v/>
      </c>
      <c r="L1402" s="20" t="n"/>
      <c r="M1402" s="20">
        <f>IFERROR(INDEX(CONFIGURACOES!$I$37:$I$300,MATCH($I1402,CONFIGURACOES!$B$37:$B$300,0)),"")</f>
        <v/>
      </c>
      <c r="N1402" s="21" t="n"/>
      <c r="O1402" s="21" t="n"/>
      <c r="P1402" s="21" t="n"/>
      <c r="Q1402" s="21" t="n"/>
      <c r="R1402" s="21">
        <f>IF($N1402="","",$N1402*IF($Q1402="",1,$Q1402)*IF($P1402="",1,$P1402)*IF($O1402="",1,$O1402))</f>
        <v/>
      </c>
      <c r="S1402" s="22">
        <f>IFERROR(INDEX(CONFIGURACOES!$J$37:$J$300,MATCH($I1402,CONFIGURACOES!$B$37:$B$300,0)),"")</f>
        <v/>
      </c>
      <c r="T1402" s="22">
        <f>IF(OR($R1402="",$S1402=""),"",$R1402*$S1402)</f>
        <v/>
      </c>
      <c r="U1402" s="20" t="n"/>
      <c r="V1402" s="20" t="n"/>
      <c r="W1402" s="20" t="n"/>
      <c r="X1402">
        <f>IF($A1402="","",$A1402&amp;"|"&amp;$C1402&amp;"|"&amp;$I1402)</f>
        <v/>
      </c>
      <c r="Y1402">
        <f>IF(AND($A1402=RELATORIO_MEDICAO!$C$5,$C1402=RELATORIO_MEDICAO!$F$5,$A1402&lt;&gt;""),COUNTIFS($A$3:$A1402,RELATORIO_MEDICAO!$C$5,$C$3:$C1402,RELATORIO_MEDICAO!$F$5),"")</f>
        <v/>
      </c>
      <c r="Z1402">
        <f>IF(OR($A1402="",PESQUISA!$C$4=""),0,IF(OR(ISNUMBER(SEARCH(PESQUISA!$C$4,$G1402)),ISNUMBER(SEARCH(PESQUISA!$C$4,$K1402)),ISNUMBER(SEARCH(PESQUISA!$C$4,$L1402))),1,0))</f>
        <v/>
      </c>
      <c r="AA1402">
        <f>IF($Z1402=1,SUM($Z$3:$Z1402),"")</f>
        <v/>
      </c>
      <c r="AB1402">
        <f>IF(OR($A1402="",PESQUISA!$C$50=""),0,IF(ISNUMBER(SEARCH(PESQUISA!$C$50,$I1402)),1,0))</f>
        <v/>
      </c>
      <c r="AC1402">
        <f>IF($AB1402=1,SUM($AB$3:$AB1402),"")</f>
        <v/>
      </c>
    </row>
    <row r="1403">
      <c r="A1403" s="20" t="n"/>
      <c r="B1403" s="20" t="n"/>
      <c r="C1403" s="20" t="n"/>
      <c r="D1403" s="20" t="n"/>
      <c r="E1403" s="20" t="n"/>
      <c r="F1403" s="20" t="n"/>
      <c r="G1403" s="20" t="n"/>
      <c r="H1403" s="20" t="n"/>
      <c r="I1403" s="20" t="n"/>
      <c r="J1403" s="20">
        <f>IFERROR(INDEX(CONFIGURACOES!$G$37:$G$300,MATCH($I1403,CONFIGURACOES!$B$37:$B$300,0)),"")</f>
        <v/>
      </c>
      <c r="K1403" s="20">
        <f>IFERROR(INDEX(CONFIGURACOES!$H$37:$H$300,MATCH($I1403,CONFIGURACOES!$B$37:$B$300,0)),"")</f>
        <v/>
      </c>
      <c r="L1403" s="20" t="n"/>
      <c r="M1403" s="20">
        <f>IFERROR(INDEX(CONFIGURACOES!$I$37:$I$300,MATCH($I1403,CONFIGURACOES!$B$37:$B$300,0)),"")</f>
        <v/>
      </c>
      <c r="N1403" s="21" t="n"/>
      <c r="O1403" s="21" t="n"/>
      <c r="P1403" s="21" t="n"/>
      <c r="Q1403" s="21" t="n"/>
      <c r="R1403" s="21">
        <f>IF($N1403="","",$N1403*IF($Q1403="",1,$Q1403)*IF($P1403="",1,$P1403)*IF($O1403="",1,$O1403))</f>
        <v/>
      </c>
      <c r="S1403" s="22">
        <f>IFERROR(INDEX(CONFIGURACOES!$J$37:$J$300,MATCH($I1403,CONFIGURACOES!$B$37:$B$300,0)),"")</f>
        <v/>
      </c>
      <c r="T1403" s="22">
        <f>IF(OR($R1403="",$S1403=""),"",$R1403*$S1403)</f>
        <v/>
      </c>
      <c r="U1403" s="20" t="n"/>
      <c r="V1403" s="20" t="n"/>
      <c r="W1403" s="20" t="n"/>
      <c r="X1403">
        <f>IF($A1403="","",$A1403&amp;"|"&amp;$C1403&amp;"|"&amp;$I1403)</f>
        <v/>
      </c>
      <c r="Y1403">
        <f>IF(AND($A1403=RELATORIO_MEDICAO!$C$5,$C1403=RELATORIO_MEDICAO!$F$5,$A1403&lt;&gt;""),COUNTIFS($A$3:$A1403,RELATORIO_MEDICAO!$C$5,$C$3:$C1403,RELATORIO_MEDICAO!$F$5),"")</f>
        <v/>
      </c>
      <c r="Z1403">
        <f>IF(OR($A1403="",PESQUISA!$C$4=""),0,IF(OR(ISNUMBER(SEARCH(PESQUISA!$C$4,$G1403)),ISNUMBER(SEARCH(PESQUISA!$C$4,$K1403)),ISNUMBER(SEARCH(PESQUISA!$C$4,$L1403))),1,0))</f>
        <v/>
      </c>
      <c r="AA1403">
        <f>IF($Z1403=1,SUM($Z$3:$Z1403),"")</f>
        <v/>
      </c>
      <c r="AB1403">
        <f>IF(OR($A1403="",PESQUISA!$C$50=""),0,IF(ISNUMBER(SEARCH(PESQUISA!$C$50,$I1403)),1,0))</f>
        <v/>
      </c>
      <c r="AC1403">
        <f>IF($AB1403=1,SUM($AB$3:$AB1403),"")</f>
        <v/>
      </c>
    </row>
    <row r="1404">
      <c r="A1404" s="20" t="n"/>
      <c r="B1404" s="20" t="n"/>
      <c r="C1404" s="20" t="n"/>
      <c r="D1404" s="20" t="n"/>
      <c r="E1404" s="20" t="n"/>
      <c r="F1404" s="20" t="n"/>
      <c r="G1404" s="20" t="n"/>
      <c r="H1404" s="20" t="n"/>
      <c r="I1404" s="20" t="n"/>
      <c r="J1404" s="20">
        <f>IFERROR(INDEX(CONFIGURACOES!$G$37:$G$300,MATCH($I1404,CONFIGURACOES!$B$37:$B$300,0)),"")</f>
        <v/>
      </c>
      <c r="K1404" s="20">
        <f>IFERROR(INDEX(CONFIGURACOES!$H$37:$H$300,MATCH($I1404,CONFIGURACOES!$B$37:$B$300,0)),"")</f>
        <v/>
      </c>
      <c r="L1404" s="20" t="n"/>
      <c r="M1404" s="20">
        <f>IFERROR(INDEX(CONFIGURACOES!$I$37:$I$300,MATCH($I1404,CONFIGURACOES!$B$37:$B$300,0)),"")</f>
        <v/>
      </c>
      <c r="N1404" s="21" t="n"/>
      <c r="O1404" s="21" t="n"/>
      <c r="P1404" s="21" t="n"/>
      <c r="Q1404" s="21" t="n"/>
      <c r="R1404" s="21">
        <f>IF($N1404="","",$N1404*IF($Q1404="",1,$Q1404)*IF($P1404="",1,$P1404)*IF($O1404="",1,$O1404))</f>
        <v/>
      </c>
      <c r="S1404" s="22">
        <f>IFERROR(INDEX(CONFIGURACOES!$J$37:$J$300,MATCH($I1404,CONFIGURACOES!$B$37:$B$300,0)),"")</f>
        <v/>
      </c>
      <c r="T1404" s="22">
        <f>IF(OR($R1404="",$S1404=""),"",$R1404*$S1404)</f>
        <v/>
      </c>
      <c r="U1404" s="20" t="n"/>
      <c r="V1404" s="20" t="n"/>
      <c r="W1404" s="20" t="n"/>
      <c r="X1404">
        <f>IF($A1404="","",$A1404&amp;"|"&amp;$C1404&amp;"|"&amp;$I1404)</f>
        <v/>
      </c>
      <c r="Y1404">
        <f>IF(AND($A1404=RELATORIO_MEDICAO!$C$5,$C1404=RELATORIO_MEDICAO!$F$5,$A1404&lt;&gt;""),COUNTIFS($A$3:$A1404,RELATORIO_MEDICAO!$C$5,$C$3:$C1404,RELATORIO_MEDICAO!$F$5),"")</f>
        <v/>
      </c>
      <c r="Z1404">
        <f>IF(OR($A1404="",PESQUISA!$C$4=""),0,IF(OR(ISNUMBER(SEARCH(PESQUISA!$C$4,$G1404)),ISNUMBER(SEARCH(PESQUISA!$C$4,$K1404)),ISNUMBER(SEARCH(PESQUISA!$C$4,$L1404))),1,0))</f>
        <v/>
      </c>
      <c r="AA1404">
        <f>IF($Z1404=1,SUM($Z$3:$Z1404),"")</f>
        <v/>
      </c>
      <c r="AB1404">
        <f>IF(OR($A1404="",PESQUISA!$C$50=""),0,IF(ISNUMBER(SEARCH(PESQUISA!$C$50,$I1404)),1,0))</f>
        <v/>
      </c>
      <c r="AC1404">
        <f>IF($AB1404=1,SUM($AB$3:$AB1404),"")</f>
        <v/>
      </c>
    </row>
    <row r="1405">
      <c r="A1405" s="20" t="n"/>
      <c r="B1405" s="20" t="n"/>
      <c r="C1405" s="20" t="n"/>
      <c r="D1405" s="20" t="n"/>
      <c r="E1405" s="20" t="n"/>
      <c r="F1405" s="20" t="n"/>
      <c r="G1405" s="20" t="n"/>
      <c r="H1405" s="20" t="n"/>
      <c r="I1405" s="20" t="n"/>
      <c r="J1405" s="20">
        <f>IFERROR(INDEX(CONFIGURACOES!$G$37:$G$300,MATCH($I1405,CONFIGURACOES!$B$37:$B$300,0)),"")</f>
        <v/>
      </c>
      <c r="K1405" s="20">
        <f>IFERROR(INDEX(CONFIGURACOES!$H$37:$H$300,MATCH($I1405,CONFIGURACOES!$B$37:$B$300,0)),"")</f>
        <v/>
      </c>
      <c r="L1405" s="20" t="n"/>
      <c r="M1405" s="20">
        <f>IFERROR(INDEX(CONFIGURACOES!$I$37:$I$300,MATCH($I1405,CONFIGURACOES!$B$37:$B$300,0)),"")</f>
        <v/>
      </c>
      <c r="N1405" s="21" t="n"/>
      <c r="O1405" s="21" t="n"/>
      <c r="P1405" s="21" t="n"/>
      <c r="Q1405" s="21" t="n"/>
      <c r="R1405" s="21">
        <f>IF($N1405="","",$N1405*IF($Q1405="",1,$Q1405)*IF($P1405="",1,$P1405)*IF($O1405="",1,$O1405))</f>
        <v/>
      </c>
      <c r="S1405" s="22">
        <f>IFERROR(INDEX(CONFIGURACOES!$J$37:$J$300,MATCH($I1405,CONFIGURACOES!$B$37:$B$300,0)),"")</f>
        <v/>
      </c>
      <c r="T1405" s="22">
        <f>IF(OR($R1405="",$S1405=""),"",$R1405*$S1405)</f>
        <v/>
      </c>
      <c r="U1405" s="20" t="n"/>
      <c r="V1405" s="20" t="n"/>
      <c r="W1405" s="20" t="n"/>
      <c r="X1405">
        <f>IF($A1405="","",$A1405&amp;"|"&amp;$C1405&amp;"|"&amp;$I1405)</f>
        <v/>
      </c>
      <c r="Y1405">
        <f>IF(AND($A1405=RELATORIO_MEDICAO!$C$5,$C1405=RELATORIO_MEDICAO!$F$5,$A1405&lt;&gt;""),COUNTIFS($A$3:$A1405,RELATORIO_MEDICAO!$C$5,$C$3:$C1405,RELATORIO_MEDICAO!$F$5),"")</f>
        <v/>
      </c>
      <c r="Z1405">
        <f>IF(OR($A1405="",PESQUISA!$C$4=""),0,IF(OR(ISNUMBER(SEARCH(PESQUISA!$C$4,$G1405)),ISNUMBER(SEARCH(PESQUISA!$C$4,$K1405)),ISNUMBER(SEARCH(PESQUISA!$C$4,$L1405))),1,0))</f>
        <v/>
      </c>
      <c r="AA1405">
        <f>IF($Z1405=1,SUM($Z$3:$Z1405),"")</f>
        <v/>
      </c>
      <c r="AB1405">
        <f>IF(OR($A1405="",PESQUISA!$C$50=""),0,IF(ISNUMBER(SEARCH(PESQUISA!$C$50,$I1405)),1,0))</f>
        <v/>
      </c>
      <c r="AC1405">
        <f>IF($AB1405=1,SUM($AB$3:$AB1405),"")</f>
        <v/>
      </c>
    </row>
    <row r="1406">
      <c r="A1406" s="20" t="n"/>
      <c r="B1406" s="20" t="n"/>
      <c r="C1406" s="20" t="n"/>
      <c r="D1406" s="20" t="n"/>
      <c r="E1406" s="20" t="n"/>
      <c r="F1406" s="20" t="n"/>
      <c r="G1406" s="20" t="n"/>
      <c r="H1406" s="20" t="n"/>
      <c r="I1406" s="20" t="n"/>
      <c r="J1406" s="20">
        <f>IFERROR(INDEX(CONFIGURACOES!$G$37:$G$300,MATCH($I1406,CONFIGURACOES!$B$37:$B$300,0)),"")</f>
        <v/>
      </c>
      <c r="K1406" s="20">
        <f>IFERROR(INDEX(CONFIGURACOES!$H$37:$H$300,MATCH($I1406,CONFIGURACOES!$B$37:$B$300,0)),"")</f>
        <v/>
      </c>
      <c r="L1406" s="20" t="n"/>
      <c r="M1406" s="20">
        <f>IFERROR(INDEX(CONFIGURACOES!$I$37:$I$300,MATCH($I1406,CONFIGURACOES!$B$37:$B$300,0)),"")</f>
        <v/>
      </c>
      <c r="N1406" s="21" t="n"/>
      <c r="O1406" s="21" t="n"/>
      <c r="P1406" s="21" t="n"/>
      <c r="Q1406" s="21" t="n"/>
      <c r="R1406" s="21">
        <f>IF($N1406="","",$N1406*IF($Q1406="",1,$Q1406)*IF($P1406="",1,$P1406)*IF($O1406="",1,$O1406))</f>
        <v/>
      </c>
      <c r="S1406" s="22">
        <f>IFERROR(INDEX(CONFIGURACOES!$J$37:$J$300,MATCH($I1406,CONFIGURACOES!$B$37:$B$300,0)),"")</f>
        <v/>
      </c>
      <c r="T1406" s="22">
        <f>IF(OR($R1406="",$S1406=""),"",$R1406*$S1406)</f>
        <v/>
      </c>
      <c r="U1406" s="20" t="n"/>
      <c r="V1406" s="20" t="n"/>
      <c r="W1406" s="20" t="n"/>
      <c r="X1406">
        <f>IF($A1406="","",$A1406&amp;"|"&amp;$C1406&amp;"|"&amp;$I1406)</f>
        <v/>
      </c>
      <c r="Y1406">
        <f>IF(AND($A1406=RELATORIO_MEDICAO!$C$5,$C1406=RELATORIO_MEDICAO!$F$5,$A1406&lt;&gt;""),COUNTIFS($A$3:$A1406,RELATORIO_MEDICAO!$C$5,$C$3:$C1406,RELATORIO_MEDICAO!$F$5),"")</f>
        <v/>
      </c>
      <c r="Z1406">
        <f>IF(OR($A1406="",PESQUISA!$C$4=""),0,IF(OR(ISNUMBER(SEARCH(PESQUISA!$C$4,$G1406)),ISNUMBER(SEARCH(PESQUISA!$C$4,$K1406)),ISNUMBER(SEARCH(PESQUISA!$C$4,$L1406))),1,0))</f>
        <v/>
      </c>
      <c r="AA1406">
        <f>IF($Z1406=1,SUM($Z$3:$Z1406),"")</f>
        <v/>
      </c>
      <c r="AB1406">
        <f>IF(OR($A1406="",PESQUISA!$C$50=""),0,IF(ISNUMBER(SEARCH(PESQUISA!$C$50,$I1406)),1,0))</f>
        <v/>
      </c>
      <c r="AC1406">
        <f>IF($AB1406=1,SUM($AB$3:$AB1406),"")</f>
        <v/>
      </c>
    </row>
    <row r="1407">
      <c r="A1407" s="20" t="n"/>
      <c r="B1407" s="20" t="n"/>
      <c r="C1407" s="20" t="n"/>
      <c r="D1407" s="20" t="n"/>
      <c r="E1407" s="20" t="n"/>
      <c r="F1407" s="20" t="n"/>
      <c r="G1407" s="20" t="n"/>
      <c r="H1407" s="20" t="n"/>
      <c r="I1407" s="20" t="n"/>
      <c r="J1407" s="20">
        <f>IFERROR(INDEX(CONFIGURACOES!$G$37:$G$300,MATCH($I1407,CONFIGURACOES!$B$37:$B$300,0)),"")</f>
        <v/>
      </c>
      <c r="K1407" s="20">
        <f>IFERROR(INDEX(CONFIGURACOES!$H$37:$H$300,MATCH($I1407,CONFIGURACOES!$B$37:$B$300,0)),"")</f>
        <v/>
      </c>
      <c r="L1407" s="20" t="n"/>
      <c r="M1407" s="20">
        <f>IFERROR(INDEX(CONFIGURACOES!$I$37:$I$300,MATCH($I1407,CONFIGURACOES!$B$37:$B$300,0)),"")</f>
        <v/>
      </c>
      <c r="N1407" s="21" t="n"/>
      <c r="O1407" s="21" t="n"/>
      <c r="P1407" s="21" t="n"/>
      <c r="Q1407" s="21" t="n"/>
      <c r="R1407" s="21">
        <f>IF($N1407="","",$N1407*IF($Q1407="",1,$Q1407)*IF($P1407="",1,$P1407)*IF($O1407="",1,$O1407))</f>
        <v/>
      </c>
      <c r="S1407" s="22">
        <f>IFERROR(INDEX(CONFIGURACOES!$J$37:$J$300,MATCH($I1407,CONFIGURACOES!$B$37:$B$300,0)),"")</f>
        <v/>
      </c>
      <c r="T1407" s="22">
        <f>IF(OR($R1407="",$S1407=""),"",$R1407*$S1407)</f>
        <v/>
      </c>
      <c r="U1407" s="20" t="n"/>
      <c r="V1407" s="20" t="n"/>
      <c r="W1407" s="20" t="n"/>
      <c r="X1407">
        <f>IF($A1407="","",$A1407&amp;"|"&amp;$C1407&amp;"|"&amp;$I1407)</f>
        <v/>
      </c>
      <c r="Y1407">
        <f>IF(AND($A1407=RELATORIO_MEDICAO!$C$5,$C1407=RELATORIO_MEDICAO!$F$5,$A1407&lt;&gt;""),COUNTIFS($A$3:$A1407,RELATORIO_MEDICAO!$C$5,$C$3:$C1407,RELATORIO_MEDICAO!$F$5),"")</f>
        <v/>
      </c>
      <c r="Z1407">
        <f>IF(OR($A1407="",PESQUISA!$C$4=""),0,IF(OR(ISNUMBER(SEARCH(PESQUISA!$C$4,$G1407)),ISNUMBER(SEARCH(PESQUISA!$C$4,$K1407)),ISNUMBER(SEARCH(PESQUISA!$C$4,$L1407))),1,0))</f>
        <v/>
      </c>
      <c r="AA1407">
        <f>IF($Z1407=1,SUM($Z$3:$Z1407),"")</f>
        <v/>
      </c>
      <c r="AB1407">
        <f>IF(OR($A1407="",PESQUISA!$C$50=""),0,IF(ISNUMBER(SEARCH(PESQUISA!$C$50,$I1407)),1,0))</f>
        <v/>
      </c>
      <c r="AC1407">
        <f>IF($AB1407=1,SUM($AB$3:$AB1407),"")</f>
        <v/>
      </c>
    </row>
    <row r="1408">
      <c r="A1408" s="20" t="n"/>
      <c r="B1408" s="20" t="n"/>
      <c r="C1408" s="20" t="n"/>
      <c r="D1408" s="20" t="n"/>
      <c r="E1408" s="20" t="n"/>
      <c r="F1408" s="20" t="n"/>
      <c r="G1408" s="20" t="n"/>
      <c r="H1408" s="20" t="n"/>
      <c r="I1408" s="20" t="n"/>
      <c r="J1408" s="20">
        <f>IFERROR(INDEX(CONFIGURACOES!$G$37:$G$300,MATCH($I1408,CONFIGURACOES!$B$37:$B$300,0)),"")</f>
        <v/>
      </c>
      <c r="K1408" s="20">
        <f>IFERROR(INDEX(CONFIGURACOES!$H$37:$H$300,MATCH($I1408,CONFIGURACOES!$B$37:$B$300,0)),"")</f>
        <v/>
      </c>
      <c r="L1408" s="20" t="n"/>
      <c r="M1408" s="20">
        <f>IFERROR(INDEX(CONFIGURACOES!$I$37:$I$300,MATCH($I1408,CONFIGURACOES!$B$37:$B$300,0)),"")</f>
        <v/>
      </c>
      <c r="N1408" s="21" t="n"/>
      <c r="O1408" s="21" t="n"/>
      <c r="P1408" s="21" t="n"/>
      <c r="Q1408" s="21" t="n"/>
      <c r="R1408" s="21">
        <f>IF($N1408="","",$N1408*IF($Q1408="",1,$Q1408)*IF($P1408="",1,$P1408)*IF($O1408="",1,$O1408))</f>
        <v/>
      </c>
      <c r="S1408" s="22">
        <f>IFERROR(INDEX(CONFIGURACOES!$J$37:$J$300,MATCH($I1408,CONFIGURACOES!$B$37:$B$300,0)),"")</f>
        <v/>
      </c>
      <c r="T1408" s="22">
        <f>IF(OR($R1408="",$S1408=""),"",$R1408*$S1408)</f>
        <v/>
      </c>
      <c r="U1408" s="20" t="n"/>
      <c r="V1408" s="20" t="n"/>
      <c r="W1408" s="20" t="n"/>
      <c r="X1408">
        <f>IF($A1408="","",$A1408&amp;"|"&amp;$C1408&amp;"|"&amp;$I1408)</f>
        <v/>
      </c>
      <c r="Y1408">
        <f>IF(AND($A1408=RELATORIO_MEDICAO!$C$5,$C1408=RELATORIO_MEDICAO!$F$5,$A1408&lt;&gt;""),COUNTIFS($A$3:$A1408,RELATORIO_MEDICAO!$C$5,$C$3:$C1408,RELATORIO_MEDICAO!$F$5),"")</f>
        <v/>
      </c>
      <c r="Z1408">
        <f>IF(OR($A1408="",PESQUISA!$C$4=""),0,IF(OR(ISNUMBER(SEARCH(PESQUISA!$C$4,$G1408)),ISNUMBER(SEARCH(PESQUISA!$C$4,$K1408)),ISNUMBER(SEARCH(PESQUISA!$C$4,$L1408))),1,0))</f>
        <v/>
      </c>
      <c r="AA1408">
        <f>IF($Z1408=1,SUM($Z$3:$Z1408),"")</f>
        <v/>
      </c>
      <c r="AB1408">
        <f>IF(OR($A1408="",PESQUISA!$C$50=""),0,IF(ISNUMBER(SEARCH(PESQUISA!$C$50,$I1408)),1,0))</f>
        <v/>
      </c>
      <c r="AC1408">
        <f>IF($AB1408=1,SUM($AB$3:$AB1408),"")</f>
        <v/>
      </c>
    </row>
    <row r="1409">
      <c r="A1409" s="20" t="n"/>
      <c r="B1409" s="20" t="n"/>
      <c r="C1409" s="20" t="n"/>
      <c r="D1409" s="20" t="n"/>
      <c r="E1409" s="20" t="n"/>
      <c r="F1409" s="20" t="n"/>
      <c r="G1409" s="20" t="n"/>
      <c r="H1409" s="20" t="n"/>
      <c r="I1409" s="20" t="n"/>
      <c r="J1409" s="20">
        <f>IFERROR(INDEX(CONFIGURACOES!$G$37:$G$300,MATCH($I1409,CONFIGURACOES!$B$37:$B$300,0)),"")</f>
        <v/>
      </c>
      <c r="K1409" s="20">
        <f>IFERROR(INDEX(CONFIGURACOES!$H$37:$H$300,MATCH($I1409,CONFIGURACOES!$B$37:$B$300,0)),"")</f>
        <v/>
      </c>
      <c r="L1409" s="20" t="n"/>
      <c r="M1409" s="20">
        <f>IFERROR(INDEX(CONFIGURACOES!$I$37:$I$300,MATCH($I1409,CONFIGURACOES!$B$37:$B$300,0)),"")</f>
        <v/>
      </c>
      <c r="N1409" s="21" t="n"/>
      <c r="O1409" s="21" t="n"/>
      <c r="P1409" s="21" t="n"/>
      <c r="Q1409" s="21" t="n"/>
      <c r="R1409" s="21">
        <f>IF($N1409="","",$N1409*IF($Q1409="",1,$Q1409)*IF($P1409="",1,$P1409)*IF($O1409="",1,$O1409))</f>
        <v/>
      </c>
      <c r="S1409" s="22">
        <f>IFERROR(INDEX(CONFIGURACOES!$J$37:$J$300,MATCH($I1409,CONFIGURACOES!$B$37:$B$300,0)),"")</f>
        <v/>
      </c>
      <c r="T1409" s="22">
        <f>IF(OR($R1409="",$S1409=""),"",$R1409*$S1409)</f>
        <v/>
      </c>
      <c r="U1409" s="20" t="n"/>
      <c r="V1409" s="20" t="n"/>
      <c r="W1409" s="20" t="n"/>
      <c r="X1409">
        <f>IF($A1409="","",$A1409&amp;"|"&amp;$C1409&amp;"|"&amp;$I1409)</f>
        <v/>
      </c>
      <c r="Y1409">
        <f>IF(AND($A1409=RELATORIO_MEDICAO!$C$5,$C1409=RELATORIO_MEDICAO!$F$5,$A1409&lt;&gt;""),COUNTIFS($A$3:$A1409,RELATORIO_MEDICAO!$C$5,$C$3:$C1409,RELATORIO_MEDICAO!$F$5),"")</f>
        <v/>
      </c>
      <c r="Z1409">
        <f>IF(OR($A1409="",PESQUISA!$C$4=""),0,IF(OR(ISNUMBER(SEARCH(PESQUISA!$C$4,$G1409)),ISNUMBER(SEARCH(PESQUISA!$C$4,$K1409)),ISNUMBER(SEARCH(PESQUISA!$C$4,$L1409))),1,0))</f>
        <v/>
      </c>
      <c r="AA1409">
        <f>IF($Z1409=1,SUM($Z$3:$Z1409),"")</f>
        <v/>
      </c>
      <c r="AB1409">
        <f>IF(OR($A1409="",PESQUISA!$C$50=""),0,IF(ISNUMBER(SEARCH(PESQUISA!$C$50,$I1409)),1,0))</f>
        <v/>
      </c>
      <c r="AC1409">
        <f>IF($AB1409=1,SUM($AB$3:$AB1409),"")</f>
        <v/>
      </c>
    </row>
    <row r="1410">
      <c r="A1410" s="20" t="n"/>
      <c r="B1410" s="20" t="n"/>
      <c r="C1410" s="20" t="n"/>
      <c r="D1410" s="20" t="n"/>
      <c r="E1410" s="20" t="n"/>
      <c r="F1410" s="20" t="n"/>
      <c r="G1410" s="20" t="n"/>
      <c r="H1410" s="20" t="n"/>
      <c r="I1410" s="20" t="n"/>
      <c r="J1410" s="20">
        <f>IFERROR(INDEX(CONFIGURACOES!$G$37:$G$300,MATCH($I1410,CONFIGURACOES!$B$37:$B$300,0)),"")</f>
        <v/>
      </c>
      <c r="K1410" s="20">
        <f>IFERROR(INDEX(CONFIGURACOES!$H$37:$H$300,MATCH($I1410,CONFIGURACOES!$B$37:$B$300,0)),"")</f>
        <v/>
      </c>
      <c r="L1410" s="20" t="n"/>
      <c r="M1410" s="20">
        <f>IFERROR(INDEX(CONFIGURACOES!$I$37:$I$300,MATCH($I1410,CONFIGURACOES!$B$37:$B$300,0)),"")</f>
        <v/>
      </c>
      <c r="N1410" s="21" t="n"/>
      <c r="O1410" s="21" t="n"/>
      <c r="P1410" s="21" t="n"/>
      <c r="Q1410" s="21" t="n"/>
      <c r="R1410" s="21">
        <f>IF($N1410="","",$N1410*IF($Q1410="",1,$Q1410)*IF($P1410="",1,$P1410)*IF($O1410="",1,$O1410))</f>
        <v/>
      </c>
      <c r="S1410" s="22">
        <f>IFERROR(INDEX(CONFIGURACOES!$J$37:$J$300,MATCH($I1410,CONFIGURACOES!$B$37:$B$300,0)),"")</f>
        <v/>
      </c>
      <c r="T1410" s="22">
        <f>IF(OR($R1410="",$S1410=""),"",$R1410*$S1410)</f>
        <v/>
      </c>
      <c r="U1410" s="20" t="n"/>
      <c r="V1410" s="20" t="n"/>
      <c r="W1410" s="20" t="n"/>
      <c r="X1410">
        <f>IF($A1410="","",$A1410&amp;"|"&amp;$C1410&amp;"|"&amp;$I1410)</f>
        <v/>
      </c>
      <c r="Y1410">
        <f>IF(AND($A1410=RELATORIO_MEDICAO!$C$5,$C1410=RELATORIO_MEDICAO!$F$5,$A1410&lt;&gt;""),COUNTIFS($A$3:$A1410,RELATORIO_MEDICAO!$C$5,$C$3:$C1410,RELATORIO_MEDICAO!$F$5),"")</f>
        <v/>
      </c>
      <c r="Z1410">
        <f>IF(OR($A1410="",PESQUISA!$C$4=""),0,IF(OR(ISNUMBER(SEARCH(PESQUISA!$C$4,$G1410)),ISNUMBER(SEARCH(PESQUISA!$C$4,$K1410)),ISNUMBER(SEARCH(PESQUISA!$C$4,$L1410))),1,0))</f>
        <v/>
      </c>
      <c r="AA1410">
        <f>IF($Z1410=1,SUM($Z$3:$Z1410),"")</f>
        <v/>
      </c>
      <c r="AB1410">
        <f>IF(OR($A1410="",PESQUISA!$C$50=""),0,IF(ISNUMBER(SEARCH(PESQUISA!$C$50,$I1410)),1,0))</f>
        <v/>
      </c>
      <c r="AC1410">
        <f>IF($AB1410=1,SUM($AB$3:$AB1410),"")</f>
        <v/>
      </c>
    </row>
    <row r="1411">
      <c r="A1411" s="20" t="n"/>
      <c r="B1411" s="20" t="n"/>
      <c r="C1411" s="20" t="n"/>
      <c r="D1411" s="20" t="n"/>
      <c r="E1411" s="20" t="n"/>
      <c r="F1411" s="20" t="n"/>
      <c r="G1411" s="20" t="n"/>
      <c r="H1411" s="20" t="n"/>
      <c r="I1411" s="20" t="n"/>
      <c r="J1411" s="20">
        <f>IFERROR(INDEX(CONFIGURACOES!$G$37:$G$300,MATCH($I1411,CONFIGURACOES!$B$37:$B$300,0)),"")</f>
        <v/>
      </c>
      <c r="K1411" s="20">
        <f>IFERROR(INDEX(CONFIGURACOES!$H$37:$H$300,MATCH($I1411,CONFIGURACOES!$B$37:$B$300,0)),"")</f>
        <v/>
      </c>
      <c r="L1411" s="20" t="n"/>
      <c r="M1411" s="20">
        <f>IFERROR(INDEX(CONFIGURACOES!$I$37:$I$300,MATCH($I1411,CONFIGURACOES!$B$37:$B$300,0)),"")</f>
        <v/>
      </c>
      <c r="N1411" s="21" t="n"/>
      <c r="O1411" s="21" t="n"/>
      <c r="P1411" s="21" t="n"/>
      <c r="Q1411" s="21" t="n"/>
      <c r="R1411" s="21">
        <f>IF($N1411="","",$N1411*IF($Q1411="",1,$Q1411)*IF($P1411="",1,$P1411)*IF($O1411="",1,$O1411))</f>
        <v/>
      </c>
      <c r="S1411" s="22">
        <f>IFERROR(INDEX(CONFIGURACOES!$J$37:$J$300,MATCH($I1411,CONFIGURACOES!$B$37:$B$300,0)),"")</f>
        <v/>
      </c>
      <c r="T1411" s="22">
        <f>IF(OR($R1411="",$S1411=""),"",$R1411*$S1411)</f>
        <v/>
      </c>
      <c r="U1411" s="20" t="n"/>
      <c r="V1411" s="20" t="n"/>
      <c r="W1411" s="20" t="n"/>
      <c r="X1411">
        <f>IF($A1411="","",$A1411&amp;"|"&amp;$C1411&amp;"|"&amp;$I1411)</f>
        <v/>
      </c>
      <c r="Y1411">
        <f>IF(AND($A1411=RELATORIO_MEDICAO!$C$5,$C1411=RELATORIO_MEDICAO!$F$5,$A1411&lt;&gt;""),COUNTIFS($A$3:$A1411,RELATORIO_MEDICAO!$C$5,$C$3:$C1411,RELATORIO_MEDICAO!$F$5),"")</f>
        <v/>
      </c>
      <c r="Z1411">
        <f>IF(OR($A1411="",PESQUISA!$C$4=""),0,IF(OR(ISNUMBER(SEARCH(PESQUISA!$C$4,$G1411)),ISNUMBER(SEARCH(PESQUISA!$C$4,$K1411)),ISNUMBER(SEARCH(PESQUISA!$C$4,$L1411))),1,0))</f>
        <v/>
      </c>
      <c r="AA1411">
        <f>IF($Z1411=1,SUM($Z$3:$Z1411),"")</f>
        <v/>
      </c>
      <c r="AB1411">
        <f>IF(OR($A1411="",PESQUISA!$C$50=""),0,IF(ISNUMBER(SEARCH(PESQUISA!$C$50,$I1411)),1,0))</f>
        <v/>
      </c>
      <c r="AC1411">
        <f>IF($AB1411=1,SUM($AB$3:$AB1411),"")</f>
        <v/>
      </c>
    </row>
    <row r="1412">
      <c r="A1412" s="20" t="n"/>
      <c r="B1412" s="20" t="n"/>
      <c r="C1412" s="20" t="n"/>
      <c r="D1412" s="20" t="n"/>
      <c r="E1412" s="20" t="n"/>
      <c r="F1412" s="20" t="n"/>
      <c r="G1412" s="20" t="n"/>
      <c r="H1412" s="20" t="n"/>
      <c r="I1412" s="20" t="n"/>
      <c r="J1412" s="20">
        <f>IFERROR(INDEX(CONFIGURACOES!$G$37:$G$300,MATCH($I1412,CONFIGURACOES!$B$37:$B$300,0)),"")</f>
        <v/>
      </c>
      <c r="K1412" s="20">
        <f>IFERROR(INDEX(CONFIGURACOES!$H$37:$H$300,MATCH($I1412,CONFIGURACOES!$B$37:$B$300,0)),"")</f>
        <v/>
      </c>
      <c r="L1412" s="20" t="n"/>
      <c r="M1412" s="20">
        <f>IFERROR(INDEX(CONFIGURACOES!$I$37:$I$300,MATCH($I1412,CONFIGURACOES!$B$37:$B$300,0)),"")</f>
        <v/>
      </c>
      <c r="N1412" s="21" t="n"/>
      <c r="O1412" s="21" t="n"/>
      <c r="P1412" s="21" t="n"/>
      <c r="Q1412" s="21" t="n"/>
      <c r="R1412" s="21">
        <f>IF($N1412="","",$N1412*IF($Q1412="",1,$Q1412)*IF($P1412="",1,$P1412)*IF($O1412="",1,$O1412))</f>
        <v/>
      </c>
      <c r="S1412" s="22">
        <f>IFERROR(INDEX(CONFIGURACOES!$J$37:$J$300,MATCH($I1412,CONFIGURACOES!$B$37:$B$300,0)),"")</f>
        <v/>
      </c>
      <c r="T1412" s="22">
        <f>IF(OR($R1412="",$S1412=""),"",$R1412*$S1412)</f>
        <v/>
      </c>
      <c r="U1412" s="20" t="n"/>
      <c r="V1412" s="20" t="n"/>
      <c r="W1412" s="20" t="n"/>
      <c r="X1412">
        <f>IF($A1412="","",$A1412&amp;"|"&amp;$C1412&amp;"|"&amp;$I1412)</f>
        <v/>
      </c>
      <c r="Y1412">
        <f>IF(AND($A1412=RELATORIO_MEDICAO!$C$5,$C1412=RELATORIO_MEDICAO!$F$5,$A1412&lt;&gt;""),COUNTIFS($A$3:$A1412,RELATORIO_MEDICAO!$C$5,$C$3:$C1412,RELATORIO_MEDICAO!$F$5),"")</f>
        <v/>
      </c>
      <c r="Z1412">
        <f>IF(OR($A1412="",PESQUISA!$C$4=""),0,IF(OR(ISNUMBER(SEARCH(PESQUISA!$C$4,$G1412)),ISNUMBER(SEARCH(PESQUISA!$C$4,$K1412)),ISNUMBER(SEARCH(PESQUISA!$C$4,$L1412))),1,0))</f>
        <v/>
      </c>
      <c r="AA1412">
        <f>IF($Z1412=1,SUM($Z$3:$Z1412),"")</f>
        <v/>
      </c>
      <c r="AB1412">
        <f>IF(OR($A1412="",PESQUISA!$C$50=""),0,IF(ISNUMBER(SEARCH(PESQUISA!$C$50,$I1412)),1,0))</f>
        <v/>
      </c>
      <c r="AC1412">
        <f>IF($AB1412=1,SUM($AB$3:$AB1412),"")</f>
        <v/>
      </c>
    </row>
    <row r="1413">
      <c r="A1413" s="20" t="n"/>
      <c r="B1413" s="20" t="n"/>
      <c r="C1413" s="20" t="n"/>
      <c r="D1413" s="20" t="n"/>
      <c r="E1413" s="20" t="n"/>
      <c r="F1413" s="20" t="n"/>
      <c r="G1413" s="20" t="n"/>
      <c r="H1413" s="20" t="n"/>
      <c r="I1413" s="20" t="n"/>
      <c r="J1413" s="20">
        <f>IFERROR(INDEX(CONFIGURACOES!$G$37:$G$300,MATCH($I1413,CONFIGURACOES!$B$37:$B$300,0)),"")</f>
        <v/>
      </c>
      <c r="K1413" s="20">
        <f>IFERROR(INDEX(CONFIGURACOES!$H$37:$H$300,MATCH($I1413,CONFIGURACOES!$B$37:$B$300,0)),"")</f>
        <v/>
      </c>
      <c r="L1413" s="20" t="n"/>
      <c r="M1413" s="20">
        <f>IFERROR(INDEX(CONFIGURACOES!$I$37:$I$300,MATCH($I1413,CONFIGURACOES!$B$37:$B$300,0)),"")</f>
        <v/>
      </c>
      <c r="N1413" s="21" t="n"/>
      <c r="O1413" s="21" t="n"/>
      <c r="P1413" s="21" t="n"/>
      <c r="Q1413" s="21" t="n"/>
      <c r="R1413" s="21">
        <f>IF($N1413="","",$N1413*IF($Q1413="",1,$Q1413)*IF($P1413="",1,$P1413)*IF($O1413="",1,$O1413))</f>
        <v/>
      </c>
      <c r="S1413" s="22">
        <f>IFERROR(INDEX(CONFIGURACOES!$J$37:$J$300,MATCH($I1413,CONFIGURACOES!$B$37:$B$300,0)),"")</f>
        <v/>
      </c>
      <c r="T1413" s="22">
        <f>IF(OR($R1413="",$S1413=""),"",$R1413*$S1413)</f>
        <v/>
      </c>
      <c r="U1413" s="20" t="n"/>
      <c r="V1413" s="20" t="n"/>
      <c r="W1413" s="20" t="n"/>
      <c r="X1413">
        <f>IF($A1413="","",$A1413&amp;"|"&amp;$C1413&amp;"|"&amp;$I1413)</f>
        <v/>
      </c>
      <c r="Y1413">
        <f>IF(AND($A1413=RELATORIO_MEDICAO!$C$5,$C1413=RELATORIO_MEDICAO!$F$5,$A1413&lt;&gt;""),COUNTIFS($A$3:$A1413,RELATORIO_MEDICAO!$C$5,$C$3:$C1413,RELATORIO_MEDICAO!$F$5),"")</f>
        <v/>
      </c>
      <c r="Z1413">
        <f>IF(OR($A1413="",PESQUISA!$C$4=""),0,IF(OR(ISNUMBER(SEARCH(PESQUISA!$C$4,$G1413)),ISNUMBER(SEARCH(PESQUISA!$C$4,$K1413)),ISNUMBER(SEARCH(PESQUISA!$C$4,$L1413))),1,0))</f>
        <v/>
      </c>
      <c r="AA1413">
        <f>IF($Z1413=1,SUM($Z$3:$Z1413),"")</f>
        <v/>
      </c>
      <c r="AB1413">
        <f>IF(OR($A1413="",PESQUISA!$C$50=""),0,IF(ISNUMBER(SEARCH(PESQUISA!$C$50,$I1413)),1,0))</f>
        <v/>
      </c>
      <c r="AC1413">
        <f>IF($AB1413=1,SUM($AB$3:$AB1413),"")</f>
        <v/>
      </c>
    </row>
    <row r="1414">
      <c r="A1414" s="20" t="n"/>
      <c r="B1414" s="20" t="n"/>
      <c r="C1414" s="20" t="n"/>
      <c r="D1414" s="20" t="n"/>
      <c r="E1414" s="20" t="n"/>
      <c r="F1414" s="20" t="n"/>
      <c r="G1414" s="20" t="n"/>
      <c r="H1414" s="20" t="n"/>
      <c r="I1414" s="20" t="n"/>
      <c r="J1414" s="20">
        <f>IFERROR(INDEX(CONFIGURACOES!$G$37:$G$300,MATCH($I1414,CONFIGURACOES!$B$37:$B$300,0)),"")</f>
        <v/>
      </c>
      <c r="K1414" s="20">
        <f>IFERROR(INDEX(CONFIGURACOES!$H$37:$H$300,MATCH($I1414,CONFIGURACOES!$B$37:$B$300,0)),"")</f>
        <v/>
      </c>
      <c r="L1414" s="20" t="n"/>
      <c r="M1414" s="20">
        <f>IFERROR(INDEX(CONFIGURACOES!$I$37:$I$300,MATCH($I1414,CONFIGURACOES!$B$37:$B$300,0)),"")</f>
        <v/>
      </c>
      <c r="N1414" s="21" t="n"/>
      <c r="O1414" s="21" t="n"/>
      <c r="P1414" s="21" t="n"/>
      <c r="Q1414" s="21" t="n"/>
      <c r="R1414" s="21">
        <f>IF($N1414="","",$N1414*IF($Q1414="",1,$Q1414)*IF($P1414="",1,$P1414)*IF($O1414="",1,$O1414))</f>
        <v/>
      </c>
      <c r="S1414" s="22">
        <f>IFERROR(INDEX(CONFIGURACOES!$J$37:$J$300,MATCH($I1414,CONFIGURACOES!$B$37:$B$300,0)),"")</f>
        <v/>
      </c>
      <c r="T1414" s="22">
        <f>IF(OR($R1414="",$S1414=""),"",$R1414*$S1414)</f>
        <v/>
      </c>
      <c r="U1414" s="20" t="n"/>
      <c r="V1414" s="20" t="n"/>
      <c r="W1414" s="20" t="n"/>
      <c r="X1414">
        <f>IF($A1414="","",$A1414&amp;"|"&amp;$C1414&amp;"|"&amp;$I1414)</f>
        <v/>
      </c>
      <c r="Y1414">
        <f>IF(AND($A1414=RELATORIO_MEDICAO!$C$5,$C1414=RELATORIO_MEDICAO!$F$5,$A1414&lt;&gt;""),COUNTIFS($A$3:$A1414,RELATORIO_MEDICAO!$C$5,$C$3:$C1414,RELATORIO_MEDICAO!$F$5),"")</f>
        <v/>
      </c>
      <c r="Z1414">
        <f>IF(OR($A1414="",PESQUISA!$C$4=""),0,IF(OR(ISNUMBER(SEARCH(PESQUISA!$C$4,$G1414)),ISNUMBER(SEARCH(PESQUISA!$C$4,$K1414)),ISNUMBER(SEARCH(PESQUISA!$C$4,$L1414))),1,0))</f>
        <v/>
      </c>
      <c r="AA1414">
        <f>IF($Z1414=1,SUM($Z$3:$Z1414),"")</f>
        <v/>
      </c>
      <c r="AB1414">
        <f>IF(OR($A1414="",PESQUISA!$C$50=""),0,IF(ISNUMBER(SEARCH(PESQUISA!$C$50,$I1414)),1,0))</f>
        <v/>
      </c>
      <c r="AC1414">
        <f>IF($AB1414=1,SUM($AB$3:$AB1414),"")</f>
        <v/>
      </c>
    </row>
    <row r="1415">
      <c r="A1415" s="20" t="n"/>
      <c r="B1415" s="20" t="n"/>
      <c r="C1415" s="20" t="n"/>
      <c r="D1415" s="20" t="n"/>
      <c r="E1415" s="20" t="n"/>
      <c r="F1415" s="20" t="n"/>
      <c r="G1415" s="20" t="n"/>
      <c r="H1415" s="20" t="n"/>
      <c r="I1415" s="20" t="n"/>
      <c r="J1415" s="20">
        <f>IFERROR(INDEX(CONFIGURACOES!$G$37:$G$300,MATCH($I1415,CONFIGURACOES!$B$37:$B$300,0)),"")</f>
        <v/>
      </c>
      <c r="K1415" s="20">
        <f>IFERROR(INDEX(CONFIGURACOES!$H$37:$H$300,MATCH($I1415,CONFIGURACOES!$B$37:$B$300,0)),"")</f>
        <v/>
      </c>
      <c r="L1415" s="20" t="n"/>
      <c r="M1415" s="20">
        <f>IFERROR(INDEX(CONFIGURACOES!$I$37:$I$300,MATCH($I1415,CONFIGURACOES!$B$37:$B$300,0)),"")</f>
        <v/>
      </c>
      <c r="N1415" s="21" t="n"/>
      <c r="O1415" s="21" t="n"/>
      <c r="P1415" s="21" t="n"/>
      <c r="Q1415" s="21" t="n"/>
      <c r="R1415" s="21">
        <f>IF($N1415="","",$N1415*IF($Q1415="",1,$Q1415)*IF($P1415="",1,$P1415)*IF($O1415="",1,$O1415))</f>
        <v/>
      </c>
      <c r="S1415" s="22">
        <f>IFERROR(INDEX(CONFIGURACOES!$J$37:$J$300,MATCH($I1415,CONFIGURACOES!$B$37:$B$300,0)),"")</f>
        <v/>
      </c>
      <c r="T1415" s="22">
        <f>IF(OR($R1415="",$S1415=""),"",$R1415*$S1415)</f>
        <v/>
      </c>
      <c r="U1415" s="20" t="n"/>
      <c r="V1415" s="20" t="n"/>
      <c r="W1415" s="20" t="n"/>
      <c r="X1415">
        <f>IF($A1415="","",$A1415&amp;"|"&amp;$C1415&amp;"|"&amp;$I1415)</f>
        <v/>
      </c>
      <c r="Y1415">
        <f>IF(AND($A1415=RELATORIO_MEDICAO!$C$5,$C1415=RELATORIO_MEDICAO!$F$5,$A1415&lt;&gt;""),COUNTIFS($A$3:$A1415,RELATORIO_MEDICAO!$C$5,$C$3:$C1415,RELATORIO_MEDICAO!$F$5),"")</f>
        <v/>
      </c>
      <c r="Z1415">
        <f>IF(OR($A1415="",PESQUISA!$C$4=""),0,IF(OR(ISNUMBER(SEARCH(PESQUISA!$C$4,$G1415)),ISNUMBER(SEARCH(PESQUISA!$C$4,$K1415)),ISNUMBER(SEARCH(PESQUISA!$C$4,$L1415))),1,0))</f>
        <v/>
      </c>
      <c r="AA1415">
        <f>IF($Z1415=1,SUM($Z$3:$Z1415),"")</f>
        <v/>
      </c>
      <c r="AB1415">
        <f>IF(OR($A1415="",PESQUISA!$C$50=""),0,IF(ISNUMBER(SEARCH(PESQUISA!$C$50,$I1415)),1,0))</f>
        <v/>
      </c>
      <c r="AC1415">
        <f>IF($AB1415=1,SUM($AB$3:$AB1415),"")</f>
        <v/>
      </c>
    </row>
    <row r="1416">
      <c r="A1416" s="20" t="n"/>
      <c r="B1416" s="20" t="n"/>
      <c r="C1416" s="20" t="n"/>
      <c r="D1416" s="20" t="n"/>
      <c r="E1416" s="20" t="n"/>
      <c r="F1416" s="20" t="n"/>
      <c r="G1416" s="20" t="n"/>
      <c r="H1416" s="20" t="n"/>
      <c r="I1416" s="20" t="n"/>
      <c r="J1416" s="20">
        <f>IFERROR(INDEX(CONFIGURACOES!$G$37:$G$300,MATCH($I1416,CONFIGURACOES!$B$37:$B$300,0)),"")</f>
        <v/>
      </c>
      <c r="K1416" s="20">
        <f>IFERROR(INDEX(CONFIGURACOES!$H$37:$H$300,MATCH($I1416,CONFIGURACOES!$B$37:$B$300,0)),"")</f>
        <v/>
      </c>
      <c r="L1416" s="20" t="n"/>
      <c r="M1416" s="20">
        <f>IFERROR(INDEX(CONFIGURACOES!$I$37:$I$300,MATCH($I1416,CONFIGURACOES!$B$37:$B$300,0)),"")</f>
        <v/>
      </c>
      <c r="N1416" s="21" t="n"/>
      <c r="O1416" s="21" t="n"/>
      <c r="P1416" s="21" t="n"/>
      <c r="Q1416" s="21" t="n"/>
      <c r="R1416" s="21">
        <f>IF($N1416="","",$N1416*IF($Q1416="",1,$Q1416)*IF($P1416="",1,$P1416)*IF($O1416="",1,$O1416))</f>
        <v/>
      </c>
      <c r="S1416" s="22">
        <f>IFERROR(INDEX(CONFIGURACOES!$J$37:$J$300,MATCH($I1416,CONFIGURACOES!$B$37:$B$300,0)),"")</f>
        <v/>
      </c>
      <c r="T1416" s="22">
        <f>IF(OR($R1416="",$S1416=""),"",$R1416*$S1416)</f>
        <v/>
      </c>
      <c r="U1416" s="20" t="n"/>
      <c r="V1416" s="20" t="n"/>
      <c r="W1416" s="20" t="n"/>
      <c r="X1416">
        <f>IF($A1416="","",$A1416&amp;"|"&amp;$C1416&amp;"|"&amp;$I1416)</f>
        <v/>
      </c>
      <c r="Y1416">
        <f>IF(AND($A1416=RELATORIO_MEDICAO!$C$5,$C1416=RELATORIO_MEDICAO!$F$5,$A1416&lt;&gt;""),COUNTIFS($A$3:$A1416,RELATORIO_MEDICAO!$C$5,$C$3:$C1416,RELATORIO_MEDICAO!$F$5),"")</f>
        <v/>
      </c>
      <c r="Z1416">
        <f>IF(OR($A1416="",PESQUISA!$C$4=""),0,IF(OR(ISNUMBER(SEARCH(PESQUISA!$C$4,$G1416)),ISNUMBER(SEARCH(PESQUISA!$C$4,$K1416)),ISNUMBER(SEARCH(PESQUISA!$C$4,$L1416))),1,0))</f>
        <v/>
      </c>
      <c r="AA1416">
        <f>IF($Z1416=1,SUM($Z$3:$Z1416),"")</f>
        <v/>
      </c>
      <c r="AB1416">
        <f>IF(OR($A1416="",PESQUISA!$C$50=""),0,IF(ISNUMBER(SEARCH(PESQUISA!$C$50,$I1416)),1,0))</f>
        <v/>
      </c>
      <c r="AC1416">
        <f>IF($AB1416=1,SUM($AB$3:$AB1416),"")</f>
        <v/>
      </c>
    </row>
    <row r="1417">
      <c r="A1417" s="20" t="n"/>
      <c r="B1417" s="20" t="n"/>
      <c r="C1417" s="20" t="n"/>
      <c r="D1417" s="20" t="n"/>
      <c r="E1417" s="20" t="n"/>
      <c r="F1417" s="20" t="n"/>
      <c r="G1417" s="20" t="n"/>
      <c r="H1417" s="20" t="n"/>
      <c r="I1417" s="20" t="n"/>
      <c r="J1417" s="20">
        <f>IFERROR(INDEX(CONFIGURACOES!$G$37:$G$300,MATCH($I1417,CONFIGURACOES!$B$37:$B$300,0)),"")</f>
        <v/>
      </c>
      <c r="K1417" s="20">
        <f>IFERROR(INDEX(CONFIGURACOES!$H$37:$H$300,MATCH($I1417,CONFIGURACOES!$B$37:$B$300,0)),"")</f>
        <v/>
      </c>
      <c r="L1417" s="20" t="n"/>
      <c r="M1417" s="20">
        <f>IFERROR(INDEX(CONFIGURACOES!$I$37:$I$300,MATCH($I1417,CONFIGURACOES!$B$37:$B$300,0)),"")</f>
        <v/>
      </c>
      <c r="N1417" s="21" t="n"/>
      <c r="O1417" s="21" t="n"/>
      <c r="P1417" s="21" t="n"/>
      <c r="Q1417" s="21" t="n"/>
      <c r="R1417" s="21">
        <f>IF($N1417="","",$N1417*IF($Q1417="",1,$Q1417)*IF($P1417="",1,$P1417)*IF($O1417="",1,$O1417))</f>
        <v/>
      </c>
      <c r="S1417" s="22">
        <f>IFERROR(INDEX(CONFIGURACOES!$J$37:$J$300,MATCH($I1417,CONFIGURACOES!$B$37:$B$300,0)),"")</f>
        <v/>
      </c>
      <c r="T1417" s="22">
        <f>IF(OR($R1417="",$S1417=""),"",$R1417*$S1417)</f>
        <v/>
      </c>
      <c r="U1417" s="20" t="n"/>
      <c r="V1417" s="20" t="n"/>
      <c r="W1417" s="20" t="n"/>
      <c r="X1417">
        <f>IF($A1417="","",$A1417&amp;"|"&amp;$C1417&amp;"|"&amp;$I1417)</f>
        <v/>
      </c>
      <c r="Y1417">
        <f>IF(AND($A1417=RELATORIO_MEDICAO!$C$5,$C1417=RELATORIO_MEDICAO!$F$5,$A1417&lt;&gt;""),COUNTIFS($A$3:$A1417,RELATORIO_MEDICAO!$C$5,$C$3:$C1417,RELATORIO_MEDICAO!$F$5),"")</f>
        <v/>
      </c>
      <c r="Z1417">
        <f>IF(OR($A1417="",PESQUISA!$C$4=""),0,IF(OR(ISNUMBER(SEARCH(PESQUISA!$C$4,$G1417)),ISNUMBER(SEARCH(PESQUISA!$C$4,$K1417)),ISNUMBER(SEARCH(PESQUISA!$C$4,$L1417))),1,0))</f>
        <v/>
      </c>
      <c r="AA1417">
        <f>IF($Z1417=1,SUM($Z$3:$Z1417),"")</f>
        <v/>
      </c>
      <c r="AB1417">
        <f>IF(OR($A1417="",PESQUISA!$C$50=""),0,IF(ISNUMBER(SEARCH(PESQUISA!$C$50,$I1417)),1,0))</f>
        <v/>
      </c>
      <c r="AC1417">
        <f>IF($AB1417=1,SUM($AB$3:$AB1417),"")</f>
        <v/>
      </c>
    </row>
    <row r="1418">
      <c r="A1418" s="20" t="n"/>
      <c r="B1418" s="20" t="n"/>
      <c r="C1418" s="20" t="n"/>
      <c r="D1418" s="20" t="n"/>
      <c r="E1418" s="20" t="n"/>
      <c r="F1418" s="20" t="n"/>
      <c r="G1418" s="20" t="n"/>
      <c r="H1418" s="20" t="n"/>
      <c r="I1418" s="20" t="n"/>
      <c r="J1418" s="20">
        <f>IFERROR(INDEX(CONFIGURACOES!$G$37:$G$300,MATCH($I1418,CONFIGURACOES!$B$37:$B$300,0)),"")</f>
        <v/>
      </c>
      <c r="K1418" s="20">
        <f>IFERROR(INDEX(CONFIGURACOES!$H$37:$H$300,MATCH($I1418,CONFIGURACOES!$B$37:$B$300,0)),"")</f>
        <v/>
      </c>
      <c r="L1418" s="20" t="n"/>
      <c r="M1418" s="20">
        <f>IFERROR(INDEX(CONFIGURACOES!$I$37:$I$300,MATCH($I1418,CONFIGURACOES!$B$37:$B$300,0)),"")</f>
        <v/>
      </c>
      <c r="N1418" s="21" t="n"/>
      <c r="O1418" s="21" t="n"/>
      <c r="P1418" s="21" t="n"/>
      <c r="Q1418" s="21" t="n"/>
      <c r="R1418" s="21">
        <f>IF($N1418="","",$N1418*IF($Q1418="",1,$Q1418)*IF($P1418="",1,$P1418)*IF($O1418="",1,$O1418))</f>
        <v/>
      </c>
      <c r="S1418" s="22">
        <f>IFERROR(INDEX(CONFIGURACOES!$J$37:$J$300,MATCH($I1418,CONFIGURACOES!$B$37:$B$300,0)),"")</f>
        <v/>
      </c>
      <c r="T1418" s="22">
        <f>IF(OR($R1418="",$S1418=""),"",$R1418*$S1418)</f>
        <v/>
      </c>
      <c r="U1418" s="20" t="n"/>
      <c r="V1418" s="20" t="n"/>
      <c r="W1418" s="20" t="n"/>
      <c r="X1418">
        <f>IF($A1418="","",$A1418&amp;"|"&amp;$C1418&amp;"|"&amp;$I1418)</f>
        <v/>
      </c>
      <c r="Y1418">
        <f>IF(AND($A1418=RELATORIO_MEDICAO!$C$5,$C1418=RELATORIO_MEDICAO!$F$5,$A1418&lt;&gt;""),COUNTIFS($A$3:$A1418,RELATORIO_MEDICAO!$C$5,$C$3:$C1418,RELATORIO_MEDICAO!$F$5),"")</f>
        <v/>
      </c>
      <c r="Z1418">
        <f>IF(OR($A1418="",PESQUISA!$C$4=""),0,IF(OR(ISNUMBER(SEARCH(PESQUISA!$C$4,$G1418)),ISNUMBER(SEARCH(PESQUISA!$C$4,$K1418)),ISNUMBER(SEARCH(PESQUISA!$C$4,$L1418))),1,0))</f>
        <v/>
      </c>
      <c r="AA1418">
        <f>IF($Z1418=1,SUM($Z$3:$Z1418),"")</f>
        <v/>
      </c>
      <c r="AB1418">
        <f>IF(OR($A1418="",PESQUISA!$C$50=""),0,IF(ISNUMBER(SEARCH(PESQUISA!$C$50,$I1418)),1,0))</f>
        <v/>
      </c>
      <c r="AC1418">
        <f>IF($AB1418=1,SUM($AB$3:$AB1418),"")</f>
        <v/>
      </c>
    </row>
    <row r="1419">
      <c r="A1419" s="20" t="n"/>
      <c r="B1419" s="20" t="n"/>
      <c r="C1419" s="20" t="n"/>
      <c r="D1419" s="20" t="n"/>
      <c r="E1419" s="20" t="n"/>
      <c r="F1419" s="20" t="n"/>
      <c r="G1419" s="20" t="n"/>
      <c r="H1419" s="20" t="n"/>
      <c r="I1419" s="20" t="n"/>
      <c r="J1419" s="20">
        <f>IFERROR(INDEX(CONFIGURACOES!$G$37:$G$300,MATCH($I1419,CONFIGURACOES!$B$37:$B$300,0)),"")</f>
        <v/>
      </c>
      <c r="K1419" s="20">
        <f>IFERROR(INDEX(CONFIGURACOES!$H$37:$H$300,MATCH($I1419,CONFIGURACOES!$B$37:$B$300,0)),"")</f>
        <v/>
      </c>
      <c r="L1419" s="20" t="n"/>
      <c r="M1419" s="20">
        <f>IFERROR(INDEX(CONFIGURACOES!$I$37:$I$300,MATCH($I1419,CONFIGURACOES!$B$37:$B$300,0)),"")</f>
        <v/>
      </c>
      <c r="N1419" s="21" t="n"/>
      <c r="O1419" s="21" t="n"/>
      <c r="P1419" s="21" t="n"/>
      <c r="Q1419" s="21" t="n"/>
      <c r="R1419" s="21">
        <f>IF($N1419="","",$N1419*IF($Q1419="",1,$Q1419)*IF($P1419="",1,$P1419)*IF($O1419="",1,$O1419))</f>
        <v/>
      </c>
      <c r="S1419" s="22">
        <f>IFERROR(INDEX(CONFIGURACOES!$J$37:$J$300,MATCH($I1419,CONFIGURACOES!$B$37:$B$300,0)),"")</f>
        <v/>
      </c>
      <c r="T1419" s="22">
        <f>IF(OR($R1419="",$S1419=""),"",$R1419*$S1419)</f>
        <v/>
      </c>
      <c r="U1419" s="20" t="n"/>
      <c r="V1419" s="20" t="n"/>
      <c r="W1419" s="20" t="n"/>
      <c r="X1419">
        <f>IF($A1419="","",$A1419&amp;"|"&amp;$C1419&amp;"|"&amp;$I1419)</f>
        <v/>
      </c>
      <c r="Y1419">
        <f>IF(AND($A1419=RELATORIO_MEDICAO!$C$5,$C1419=RELATORIO_MEDICAO!$F$5,$A1419&lt;&gt;""),COUNTIFS($A$3:$A1419,RELATORIO_MEDICAO!$C$5,$C$3:$C1419,RELATORIO_MEDICAO!$F$5),"")</f>
        <v/>
      </c>
      <c r="Z1419">
        <f>IF(OR($A1419="",PESQUISA!$C$4=""),0,IF(OR(ISNUMBER(SEARCH(PESQUISA!$C$4,$G1419)),ISNUMBER(SEARCH(PESQUISA!$C$4,$K1419)),ISNUMBER(SEARCH(PESQUISA!$C$4,$L1419))),1,0))</f>
        <v/>
      </c>
      <c r="AA1419">
        <f>IF($Z1419=1,SUM($Z$3:$Z1419),"")</f>
        <v/>
      </c>
      <c r="AB1419">
        <f>IF(OR($A1419="",PESQUISA!$C$50=""),0,IF(ISNUMBER(SEARCH(PESQUISA!$C$50,$I1419)),1,0))</f>
        <v/>
      </c>
      <c r="AC1419">
        <f>IF($AB1419=1,SUM($AB$3:$AB1419),"")</f>
        <v/>
      </c>
    </row>
    <row r="1420">
      <c r="A1420" s="20" t="n"/>
      <c r="B1420" s="20" t="n"/>
      <c r="C1420" s="20" t="n"/>
      <c r="D1420" s="20" t="n"/>
      <c r="E1420" s="20" t="n"/>
      <c r="F1420" s="20" t="n"/>
      <c r="G1420" s="20" t="n"/>
      <c r="H1420" s="20" t="n"/>
      <c r="I1420" s="20" t="n"/>
      <c r="J1420" s="20">
        <f>IFERROR(INDEX(CONFIGURACOES!$G$37:$G$300,MATCH($I1420,CONFIGURACOES!$B$37:$B$300,0)),"")</f>
        <v/>
      </c>
      <c r="K1420" s="20">
        <f>IFERROR(INDEX(CONFIGURACOES!$H$37:$H$300,MATCH($I1420,CONFIGURACOES!$B$37:$B$300,0)),"")</f>
        <v/>
      </c>
      <c r="L1420" s="20" t="n"/>
      <c r="M1420" s="20">
        <f>IFERROR(INDEX(CONFIGURACOES!$I$37:$I$300,MATCH($I1420,CONFIGURACOES!$B$37:$B$300,0)),"")</f>
        <v/>
      </c>
      <c r="N1420" s="21" t="n"/>
      <c r="O1420" s="21" t="n"/>
      <c r="P1420" s="21" t="n"/>
      <c r="Q1420" s="21" t="n"/>
      <c r="R1420" s="21">
        <f>IF($N1420="","",$N1420*IF($Q1420="",1,$Q1420)*IF($P1420="",1,$P1420)*IF($O1420="",1,$O1420))</f>
        <v/>
      </c>
      <c r="S1420" s="22">
        <f>IFERROR(INDEX(CONFIGURACOES!$J$37:$J$300,MATCH($I1420,CONFIGURACOES!$B$37:$B$300,0)),"")</f>
        <v/>
      </c>
      <c r="T1420" s="22">
        <f>IF(OR($R1420="",$S1420=""),"",$R1420*$S1420)</f>
        <v/>
      </c>
      <c r="U1420" s="20" t="n"/>
      <c r="V1420" s="20" t="n"/>
      <c r="W1420" s="20" t="n"/>
      <c r="X1420">
        <f>IF($A1420="","",$A1420&amp;"|"&amp;$C1420&amp;"|"&amp;$I1420)</f>
        <v/>
      </c>
      <c r="Y1420">
        <f>IF(AND($A1420=RELATORIO_MEDICAO!$C$5,$C1420=RELATORIO_MEDICAO!$F$5,$A1420&lt;&gt;""),COUNTIFS($A$3:$A1420,RELATORIO_MEDICAO!$C$5,$C$3:$C1420,RELATORIO_MEDICAO!$F$5),"")</f>
        <v/>
      </c>
      <c r="Z1420">
        <f>IF(OR($A1420="",PESQUISA!$C$4=""),0,IF(OR(ISNUMBER(SEARCH(PESQUISA!$C$4,$G1420)),ISNUMBER(SEARCH(PESQUISA!$C$4,$K1420)),ISNUMBER(SEARCH(PESQUISA!$C$4,$L1420))),1,0))</f>
        <v/>
      </c>
      <c r="AA1420">
        <f>IF($Z1420=1,SUM($Z$3:$Z1420),"")</f>
        <v/>
      </c>
      <c r="AB1420">
        <f>IF(OR($A1420="",PESQUISA!$C$50=""),0,IF(ISNUMBER(SEARCH(PESQUISA!$C$50,$I1420)),1,0))</f>
        <v/>
      </c>
      <c r="AC1420">
        <f>IF($AB1420=1,SUM($AB$3:$AB1420),"")</f>
        <v/>
      </c>
    </row>
    <row r="1421">
      <c r="A1421" s="20" t="n"/>
      <c r="B1421" s="20" t="n"/>
      <c r="C1421" s="20" t="n"/>
      <c r="D1421" s="20" t="n"/>
      <c r="E1421" s="20" t="n"/>
      <c r="F1421" s="20" t="n"/>
      <c r="G1421" s="20" t="n"/>
      <c r="H1421" s="20" t="n"/>
      <c r="I1421" s="20" t="n"/>
      <c r="J1421" s="20">
        <f>IFERROR(INDEX(CONFIGURACOES!$G$37:$G$300,MATCH($I1421,CONFIGURACOES!$B$37:$B$300,0)),"")</f>
        <v/>
      </c>
      <c r="K1421" s="20">
        <f>IFERROR(INDEX(CONFIGURACOES!$H$37:$H$300,MATCH($I1421,CONFIGURACOES!$B$37:$B$300,0)),"")</f>
        <v/>
      </c>
      <c r="L1421" s="20" t="n"/>
      <c r="M1421" s="20">
        <f>IFERROR(INDEX(CONFIGURACOES!$I$37:$I$300,MATCH($I1421,CONFIGURACOES!$B$37:$B$300,0)),"")</f>
        <v/>
      </c>
      <c r="N1421" s="21" t="n"/>
      <c r="O1421" s="21" t="n"/>
      <c r="P1421" s="21" t="n"/>
      <c r="Q1421" s="21" t="n"/>
      <c r="R1421" s="21">
        <f>IF($N1421="","",$N1421*IF($Q1421="",1,$Q1421)*IF($P1421="",1,$P1421)*IF($O1421="",1,$O1421))</f>
        <v/>
      </c>
      <c r="S1421" s="22">
        <f>IFERROR(INDEX(CONFIGURACOES!$J$37:$J$300,MATCH($I1421,CONFIGURACOES!$B$37:$B$300,0)),"")</f>
        <v/>
      </c>
      <c r="T1421" s="22">
        <f>IF(OR($R1421="",$S1421=""),"",$R1421*$S1421)</f>
        <v/>
      </c>
      <c r="U1421" s="20" t="n"/>
      <c r="V1421" s="20" t="n"/>
      <c r="W1421" s="20" t="n"/>
      <c r="X1421">
        <f>IF($A1421="","",$A1421&amp;"|"&amp;$C1421&amp;"|"&amp;$I1421)</f>
        <v/>
      </c>
      <c r="Y1421">
        <f>IF(AND($A1421=RELATORIO_MEDICAO!$C$5,$C1421=RELATORIO_MEDICAO!$F$5,$A1421&lt;&gt;""),COUNTIFS($A$3:$A1421,RELATORIO_MEDICAO!$C$5,$C$3:$C1421,RELATORIO_MEDICAO!$F$5),"")</f>
        <v/>
      </c>
      <c r="Z1421">
        <f>IF(OR($A1421="",PESQUISA!$C$4=""),0,IF(OR(ISNUMBER(SEARCH(PESQUISA!$C$4,$G1421)),ISNUMBER(SEARCH(PESQUISA!$C$4,$K1421)),ISNUMBER(SEARCH(PESQUISA!$C$4,$L1421))),1,0))</f>
        <v/>
      </c>
      <c r="AA1421">
        <f>IF($Z1421=1,SUM($Z$3:$Z1421),"")</f>
        <v/>
      </c>
      <c r="AB1421">
        <f>IF(OR($A1421="",PESQUISA!$C$50=""),0,IF(ISNUMBER(SEARCH(PESQUISA!$C$50,$I1421)),1,0))</f>
        <v/>
      </c>
      <c r="AC1421">
        <f>IF($AB1421=1,SUM($AB$3:$AB1421),"")</f>
        <v/>
      </c>
    </row>
    <row r="1422">
      <c r="A1422" s="20" t="n"/>
      <c r="B1422" s="20" t="n"/>
      <c r="C1422" s="20" t="n"/>
      <c r="D1422" s="20" t="n"/>
      <c r="E1422" s="20" t="n"/>
      <c r="F1422" s="20" t="n"/>
      <c r="G1422" s="20" t="n"/>
      <c r="H1422" s="20" t="n"/>
      <c r="I1422" s="20" t="n"/>
      <c r="J1422" s="20">
        <f>IFERROR(INDEX(CONFIGURACOES!$G$37:$G$300,MATCH($I1422,CONFIGURACOES!$B$37:$B$300,0)),"")</f>
        <v/>
      </c>
      <c r="K1422" s="20">
        <f>IFERROR(INDEX(CONFIGURACOES!$H$37:$H$300,MATCH($I1422,CONFIGURACOES!$B$37:$B$300,0)),"")</f>
        <v/>
      </c>
      <c r="L1422" s="20" t="n"/>
      <c r="M1422" s="20">
        <f>IFERROR(INDEX(CONFIGURACOES!$I$37:$I$300,MATCH($I1422,CONFIGURACOES!$B$37:$B$300,0)),"")</f>
        <v/>
      </c>
      <c r="N1422" s="21" t="n"/>
      <c r="O1422" s="21" t="n"/>
      <c r="P1422" s="21" t="n"/>
      <c r="Q1422" s="21" t="n"/>
      <c r="R1422" s="21">
        <f>IF($N1422="","",$N1422*IF($Q1422="",1,$Q1422)*IF($P1422="",1,$P1422)*IF($O1422="",1,$O1422))</f>
        <v/>
      </c>
      <c r="S1422" s="22">
        <f>IFERROR(INDEX(CONFIGURACOES!$J$37:$J$300,MATCH($I1422,CONFIGURACOES!$B$37:$B$300,0)),"")</f>
        <v/>
      </c>
      <c r="T1422" s="22">
        <f>IF(OR($R1422="",$S1422=""),"",$R1422*$S1422)</f>
        <v/>
      </c>
      <c r="U1422" s="20" t="n"/>
      <c r="V1422" s="20" t="n"/>
      <c r="W1422" s="20" t="n"/>
      <c r="X1422">
        <f>IF($A1422="","",$A1422&amp;"|"&amp;$C1422&amp;"|"&amp;$I1422)</f>
        <v/>
      </c>
      <c r="Y1422">
        <f>IF(AND($A1422=RELATORIO_MEDICAO!$C$5,$C1422=RELATORIO_MEDICAO!$F$5,$A1422&lt;&gt;""),COUNTIFS($A$3:$A1422,RELATORIO_MEDICAO!$C$5,$C$3:$C1422,RELATORIO_MEDICAO!$F$5),"")</f>
        <v/>
      </c>
      <c r="Z1422">
        <f>IF(OR($A1422="",PESQUISA!$C$4=""),0,IF(OR(ISNUMBER(SEARCH(PESQUISA!$C$4,$G1422)),ISNUMBER(SEARCH(PESQUISA!$C$4,$K1422)),ISNUMBER(SEARCH(PESQUISA!$C$4,$L1422))),1,0))</f>
        <v/>
      </c>
      <c r="AA1422">
        <f>IF($Z1422=1,SUM($Z$3:$Z1422),"")</f>
        <v/>
      </c>
      <c r="AB1422">
        <f>IF(OR($A1422="",PESQUISA!$C$50=""),0,IF(ISNUMBER(SEARCH(PESQUISA!$C$50,$I1422)),1,0))</f>
        <v/>
      </c>
      <c r="AC1422">
        <f>IF($AB1422=1,SUM($AB$3:$AB1422),"")</f>
        <v/>
      </c>
    </row>
    <row r="1423">
      <c r="A1423" s="20" t="n"/>
      <c r="B1423" s="20" t="n"/>
      <c r="C1423" s="20" t="n"/>
      <c r="D1423" s="20" t="n"/>
      <c r="E1423" s="20" t="n"/>
      <c r="F1423" s="20" t="n"/>
      <c r="G1423" s="20" t="n"/>
      <c r="H1423" s="20" t="n"/>
      <c r="I1423" s="20" t="n"/>
      <c r="J1423" s="20">
        <f>IFERROR(INDEX(CONFIGURACOES!$G$37:$G$300,MATCH($I1423,CONFIGURACOES!$B$37:$B$300,0)),"")</f>
        <v/>
      </c>
      <c r="K1423" s="20">
        <f>IFERROR(INDEX(CONFIGURACOES!$H$37:$H$300,MATCH($I1423,CONFIGURACOES!$B$37:$B$300,0)),"")</f>
        <v/>
      </c>
      <c r="L1423" s="20" t="n"/>
      <c r="M1423" s="20">
        <f>IFERROR(INDEX(CONFIGURACOES!$I$37:$I$300,MATCH($I1423,CONFIGURACOES!$B$37:$B$300,0)),"")</f>
        <v/>
      </c>
      <c r="N1423" s="21" t="n"/>
      <c r="O1423" s="21" t="n"/>
      <c r="P1423" s="21" t="n"/>
      <c r="Q1423" s="21" t="n"/>
      <c r="R1423" s="21">
        <f>IF($N1423="","",$N1423*IF($Q1423="",1,$Q1423)*IF($P1423="",1,$P1423)*IF($O1423="",1,$O1423))</f>
        <v/>
      </c>
      <c r="S1423" s="22">
        <f>IFERROR(INDEX(CONFIGURACOES!$J$37:$J$300,MATCH($I1423,CONFIGURACOES!$B$37:$B$300,0)),"")</f>
        <v/>
      </c>
      <c r="T1423" s="22">
        <f>IF(OR($R1423="",$S1423=""),"",$R1423*$S1423)</f>
        <v/>
      </c>
      <c r="U1423" s="20" t="n"/>
      <c r="V1423" s="20" t="n"/>
      <c r="W1423" s="20" t="n"/>
      <c r="X1423">
        <f>IF($A1423="","",$A1423&amp;"|"&amp;$C1423&amp;"|"&amp;$I1423)</f>
        <v/>
      </c>
      <c r="Y1423">
        <f>IF(AND($A1423=RELATORIO_MEDICAO!$C$5,$C1423=RELATORIO_MEDICAO!$F$5,$A1423&lt;&gt;""),COUNTIFS($A$3:$A1423,RELATORIO_MEDICAO!$C$5,$C$3:$C1423,RELATORIO_MEDICAO!$F$5),"")</f>
        <v/>
      </c>
      <c r="Z1423">
        <f>IF(OR($A1423="",PESQUISA!$C$4=""),0,IF(OR(ISNUMBER(SEARCH(PESQUISA!$C$4,$G1423)),ISNUMBER(SEARCH(PESQUISA!$C$4,$K1423)),ISNUMBER(SEARCH(PESQUISA!$C$4,$L1423))),1,0))</f>
        <v/>
      </c>
      <c r="AA1423">
        <f>IF($Z1423=1,SUM($Z$3:$Z1423),"")</f>
        <v/>
      </c>
      <c r="AB1423">
        <f>IF(OR($A1423="",PESQUISA!$C$50=""),0,IF(ISNUMBER(SEARCH(PESQUISA!$C$50,$I1423)),1,0))</f>
        <v/>
      </c>
      <c r="AC1423">
        <f>IF($AB1423=1,SUM($AB$3:$AB1423),"")</f>
        <v/>
      </c>
    </row>
    <row r="1424">
      <c r="A1424" s="20" t="n"/>
      <c r="B1424" s="20" t="n"/>
      <c r="C1424" s="20" t="n"/>
      <c r="D1424" s="20" t="n"/>
      <c r="E1424" s="20" t="n"/>
      <c r="F1424" s="20" t="n"/>
      <c r="G1424" s="20" t="n"/>
      <c r="H1424" s="20" t="n"/>
      <c r="I1424" s="20" t="n"/>
      <c r="J1424" s="20">
        <f>IFERROR(INDEX(CONFIGURACOES!$G$37:$G$300,MATCH($I1424,CONFIGURACOES!$B$37:$B$300,0)),"")</f>
        <v/>
      </c>
      <c r="K1424" s="20">
        <f>IFERROR(INDEX(CONFIGURACOES!$H$37:$H$300,MATCH($I1424,CONFIGURACOES!$B$37:$B$300,0)),"")</f>
        <v/>
      </c>
      <c r="L1424" s="20" t="n"/>
      <c r="M1424" s="20">
        <f>IFERROR(INDEX(CONFIGURACOES!$I$37:$I$300,MATCH($I1424,CONFIGURACOES!$B$37:$B$300,0)),"")</f>
        <v/>
      </c>
      <c r="N1424" s="21" t="n"/>
      <c r="O1424" s="21" t="n"/>
      <c r="P1424" s="21" t="n"/>
      <c r="Q1424" s="21" t="n"/>
      <c r="R1424" s="21">
        <f>IF($N1424="","",$N1424*IF($Q1424="",1,$Q1424)*IF($P1424="",1,$P1424)*IF($O1424="",1,$O1424))</f>
        <v/>
      </c>
      <c r="S1424" s="22">
        <f>IFERROR(INDEX(CONFIGURACOES!$J$37:$J$300,MATCH($I1424,CONFIGURACOES!$B$37:$B$300,0)),"")</f>
        <v/>
      </c>
      <c r="T1424" s="22">
        <f>IF(OR($R1424="",$S1424=""),"",$R1424*$S1424)</f>
        <v/>
      </c>
      <c r="U1424" s="20" t="n"/>
      <c r="V1424" s="20" t="n"/>
      <c r="W1424" s="20" t="n"/>
      <c r="X1424">
        <f>IF($A1424="","",$A1424&amp;"|"&amp;$C1424&amp;"|"&amp;$I1424)</f>
        <v/>
      </c>
      <c r="Y1424">
        <f>IF(AND($A1424=RELATORIO_MEDICAO!$C$5,$C1424=RELATORIO_MEDICAO!$F$5,$A1424&lt;&gt;""),COUNTIFS($A$3:$A1424,RELATORIO_MEDICAO!$C$5,$C$3:$C1424,RELATORIO_MEDICAO!$F$5),"")</f>
        <v/>
      </c>
      <c r="Z1424">
        <f>IF(OR($A1424="",PESQUISA!$C$4=""),0,IF(OR(ISNUMBER(SEARCH(PESQUISA!$C$4,$G1424)),ISNUMBER(SEARCH(PESQUISA!$C$4,$K1424)),ISNUMBER(SEARCH(PESQUISA!$C$4,$L1424))),1,0))</f>
        <v/>
      </c>
      <c r="AA1424">
        <f>IF($Z1424=1,SUM($Z$3:$Z1424),"")</f>
        <v/>
      </c>
      <c r="AB1424">
        <f>IF(OR($A1424="",PESQUISA!$C$50=""),0,IF(ISNUMBER(SEARCH(PESQUISA!$C$50,$I1424)),1,0))</f>
        <v/>
      </c>
      <c r="AC1424">
        <f>IF($AB1424=1,SUM($AB$3:$AB1424),"")</f>
        <v/>
      </c>
    </row>
    <row r="1425">
      <c r="A1425" s="20" t="n"/>
      <c r="B1425" s="20" t="n"/>
      <c r="C1425" s="20" t="n"/>
      <c r="D1425" s="20" t="n"/>
      <c r="E1425" s="20" t="n"/>
      <c r="F1425" s="20" t="n"/>
      <c r="G1425" s="20" t="n"/>
      <c r="H1425" s="20" t="n"/>
      <c r="I1425" s="20" t="n"/>
      <c r="J1425" s="20">
        <f>IFERROR(INDEX(CONFIGURACOES!$G$37:$G$300,MATCH($I1425,CONFIGURACOES!$B$37:$B$300,0)),"")</f>
        <v/>
      </c>
      <c r="K1425" s="20">
        <f>IFERROR(INDEX(CONFIGURACOES!$H$37:$H$300,MATCH($I1425,CONFIGURACOES!$B$37:$B$300,0)),"")</f>
        <v/>
      </c>
      <c r="L1425" s="20" t="n"/>
      <c r="M1425" s="20">
        <f>IFERROR(INDEX(CONFIGURACOES!$I$37:$I$300,MATCH($I1425,CONFIGURACOES!$B$37:$B$300,0)),"")</f>
        <v/>
      </c>
      <c r="N1425" s="21" t="n"/>
      <c r="O1425" s="21" t="n"/>
      <c r="P1425" s="21" t="n"/>
      <c r="Q1425" s="21" t="n"/>
      <c r="R1425" s="21">
        <f>IF($N1425="","",$N1425*IF($Q1425="",1,$Q1425)*IF($P1425="",1,$P1425)*IF($O1425="",1,$O1425))</f>
        <v/>
      </c>
      <c r="S1425" s="22">
        <f>IFERROR(INDEX(CONFIGURACOES!$J$37:$J$300,MATCH($I1425,CONFIGURACOES!$B$37:$B$300,0)),"")</f>
        <v/>
      </c>
      <c r="T1425" s="22">
        <f>IF(OR($R1425="",$S1425=""),"",$R1425*$S1425)</f>
        <v/>
      </c>
      <c r="U1425" s="20" t="n"/>
      <c r="V1425" s="20" t="n"/>
      <c r="W1425" s="20" t="n"/>
      <c r="X1425">
        <f>IF($A1425="","",$A1425&amp;"|"&amp;$C1425&amp;"|"&amp;$I1425)</f>
        <v/>
      </c>
      <c r="Y1425">
        <f>IF(AND($A1425=RELATORIO_MEDICAO!$C$5,$C1425=RELATORIO_MEDICAO!$F$5,$A1425&lt;&gt;""),COUNTIFS($A$3:$A1425,RELATORIO_MEDICAO!$C$5,$C$3:$C1425,RELATORIO_MEDICAO!$F$5),"")</f>
        <v/>
      </c>
      <c r="Z1425">
        <f>IF(OR($A1425="",PESQUISA!$C$4=""),0,IF(OR(ISNUMBER(SEARCH(PESQUISA!$C$4,$G1425)),ISNUMBER(SEARCH(PESQUISA!$C$4,$K1425)),ISNUMBER(SEARCH(PESQUISA!$C$4,$L1425))),1,0))</f>
        <v/>
      </c>
      <c r="AA1425">
        <f>IF($Z1425=1,SUM($Z$3:$Z1425),"")</f>
        <v/>
      </c>
      <c r="AB1425">
        <f>IF(OR($A1425="",PESQUISA!$C$50=""),0,IF(ISNUMBER(SEARCH(PESQUISA!$C$50,$I1425)),1,0))</f>
        <v/>
      </c>
      <c r="AC1425">
        <f>IF($AB1425=1,SUM($AB$3:$AB1425),"")</f>
        <v/>
      </c>
    </row>
    <row r="1426">
      <c r="A1426" s="20" t="n"/>
      <c r="B1426" s="20" t="n"/>
      <c r="C1426" s="20" t="n"/>
      <c r="D1426" s="20" t="n"/>
      <c r="E1426" s="20" t="n"/>
      <c r="F1426" s="20" t="n"/>
      <c r="G1426" s="20" t="n"/>
      <c r="H1426" s="20" t="n"/>
      <c r="I1426" s="20" t="n"/>
      <c r="J1426" s="20">
        <f>IFERROR(INDEX(CONFIGURACOES!$G$37:$G$300,MATCH($I1426,CONFIGURACOES!$B$37:$B$300,0)),"")</f>
        <v/>
      </c>
      <c r="K1426" s="20">
        <f>IFERROR(INDEX(CONFIGURACOES!$H$37:$H$300,MATCH($I1426,CONFIGURACOES!$B$37:$B$300,0)),"")</f>
        <v/>
      </c>
      <c r="L1426" s="20" t="n"/>
      <c r="M1426" s="20">
        <f>IFERROR(INDEX(CONFIGURACOES!$I$37:$I$300,MATCH($I1426,CONFIGURACOES!$B$37:$B$300,0)),"")</f>
        <v/>
      </c>
      <c r="N1426" s="21" t="n"/>
      <c r="O1426" s="21" t="n"/>
      <c r="P1426" s="21" t="n"/>
      <c r="Q1426" s="21" t="n"/>
      <c r="R1426" s="21">
        <f>IF($N1426="","",$N1426*IF($Q1426="",1,$Q1426)*IF($P1426="",1,$P1426)*IF($O1426="",1,$O1426))</f>
        <v/>
      </c>
      <c r="S1426" s="22">
        <f>IFERROR(INDEX(CONFIGURACOES!$J$37:$J$300,MATCH($I1426,CONFIGURACOES!$B$37:$B$300,0)),"")</f>
        <v/>
      </c>
      <c r="T1426" s="22">
        <f>IF(OR($R1426="",$S1426=""),"",$R1426*$S1426)</f>
        <v/>
      </c>
      <c r="U1426" s="20" t="n"/>
      <c r="V1426" s="20" t="n"/>
      <c r="W1426" s="20" t="n"/>
      <c r="X1426">
        <f>IF($A1426="","",$A1426&amp;"|"&amp;$C1426&amp;"|"&amp;$I1426)</f>
        <v/>
      </c>
      <c r="Y1426">
        <f>IF(AND($A1426=RELATORIO_MEDICAO!$C$5,$C1426=RELATORIO_MEDICAO!$F$5,$A1426&lt;&gt;""),COUNTIFS($A$3:$A1426,RELATORIO_MEDICAO!$C$5,$C$3:$C1426,RELATORIO_MEDICAO!$F$5),"")</f>
        <v/>
      </c>
      <c r="Z1426">
        <f>IF(OR($A1426="",PESQUISA!$C$4=""),0,IF(OR(ISNUMBER(SEARCH(PESQUISA!$C$4,$G1426)),ISNUMBER(SEARCH(PESQUISA!$C$4,$K1426)),ISNUMBER(SEARCH(PESQUISA!$C$4,$L1426))),1,0))</f>
        <v/>
      </c>
      <c r="AA1426">
        <f>IF($Z1426=1,SUM($Z$3:$Z1426),"")</f>
        <v/>
      </c>
      <c r="AB1426">
        <f>IF(OR($A1426="",PESQUISA!$C$50=""),0,IF(ISNUMBER(SEARCH(PESQUISA!$C$50,$I1426)),1,0))</f>
        <v/>
      </c>
      <c r="AC1426">
        <f>IF($AB1426=1,SUM($AB$3:$AB1426),"")</f>
        <v/>
      </c>
    </row>
    <row r="1427">
      <c r="A1427" s="20" t="n"/>
      <c r="B1427" s="20" t="n"/>
      <c r="C1427" s="20" t="n"/>
      <c r="D1427" s="20" t="n"/>
      <c r="E1427" s="20" t="n"/>
      <c r="F1427" s="20" t="n"/>
      <c r="G1427" s="20" t="n"/>
      <c r="H1427" s="20" t="n"/>
      <c r="I1427" s="20" t="n"/>
      <c r="J1427" s="20">
        <f>IFERROR(INDEX(CONFIGURACOES!$G$37:$G$300,MATCH($I1427,CONFIGURACOES!$B$37:$B$300,0)),"")</f>
        <v/>
      </c>
      <c r="K1427" s="20">
        <f>IFERROR(INDEX(CONFIGURACOES!$H$37:$H$300,MATCH($I1427,CONFIGURACOES!$B$37:$B$300,0)),"")</f>
        <v/>
      </c>
      <c r="L1427" s="20" t="n"/>
      <c r="M1427" s="20">
        <f>IFERROR(INDEX(CONFIGURACOES!$I$37:$I$300,MATCH($I1427,CONFIGURACOES!$B$37:$B$300,0)),"")</f>
        <v/>
      </c>
      <c r="N1427" s="21" t="n"/>
      <c r="O1427" s="21" t="n"/>
      <c r="P1427" s="21" t="n"/>
      <c r="Q1427" s="21" t="n"/>
      <c r="R1427" s="21">
        <f>IF($N1427="","",$N1427*IF($Q1427="",1,$Q1427)*IF($P1427="",1,$P1427)*IF($O1427="",1,$O1427))</f>
        <v/>
      </c>
      <c r="S1427" s="22">
        <f>IFERROR(INDEX(CONFIGURACOES!$J$37:$J$300,MATCH($I1427,CONFIGURACOES!$B$37:$B$300,0)),"")</f>
        <v/>
      </c>
      <c r="T1427" s="22">
        <f>IF(OR($R1427="",$S1427=""),"",$R1427*$S1427)</f>
        <v/>
      </c>
      <c r="U1427" s="20" t="n"/>
      <c r="V1427" s="20" t="n"/>
      <c r="W1427" s="20" t="n"/>
      <c r="X1427">
        <f>IF($A1427="","",$A1427&amp;"|"&amp;$C1427&amp;"|"&amp;$I1427)</f>
        <v/>
      </c>
      <c r="Y1427">
        <f>IF(AND($A1427=RELATORIO_MEDICAO!$C$5,$C1427=RELATORIO_MEDICAO!$F$5,$A1427&lt;&gt;""),COUNTIFS($A$3:$A1427,RELATORIO_MEDICAO!$C$5,$C$3:$C1427,RELATORIO_MEDICAO!$F$5),"")</f>
        <v/>
      </c>
      <c r="Z1427">
        <f>IF(OR($A1427="",PESQUISA!$C$4=""),0,IF(OR(ISNUMBER(SEARCH(PESQUISA!$C$4,$G1427)),ISNUMBER(SEARCH(PESQUISA!$C$4,$K1427)),ISNUMBER(SEARCH(PESQUISA!$C$4,$L1427))),1,0))</f>
        <v/>
      </c>
      <c r="AA1427">
        <f>IF($Z1427=1,SUM($Z$3:$Z1427),"")</f>
        <v/>
      </c>
      <c r="AB1427">
        <f>IF(OR($A1427="",PESQUISA!$C$50=""),0,IF(ISNUMBER(SEARCH(PESQUISA!$C$50,$I1427)),1,0))</f>
        <v/>
      </c>
      <c r="AC1427">
        <f>IF($AB1427=1,SUM($AB$3:$AB1427),"")</f>
        <v/>
      </c>
    </row>
    <row r="1428">
      <c r="A1428" s="20" t="n"/>
      <c r="B1428" s="20" t="n"/>
      <c r="C1428" s="20" t="n"/>
      <c r="D1428" s="20" t="n"/>
      <c r="E1428" s="20" t="n"/>
      <c r="F1428" s="20" t="n"/>
      <c r="G1428" s="20" t="n"/>
      <c r="H1428" s="20" t="n"/>
      <c r="I1428" s="20" t="n"/>
      <c r="J1428" s="20">
        <f>IFERROR(INDEX(CONFIGURACOES!$G$37:$G$300,MATCH($I1428,CONFIGURACOES!$B$37:$B$300,0)),"")</f>
        <v/>
      </c>
      <c r="K1428" s="20">
        <f>IFERROR(INDEX(CONFIGURACOES!$H$37:$H$300,MATCH($I1428,CONFIGURACOES!$B$37:$B$300,0)),"")</f>
        <v/>
      </c>
      <c r="L1428" s="20" t="n"/>
      <c r="M1428" s="20">
        <f>IFERROR(INDEX(CONFIGURACOES!$I$37:$I$300,MATCH($I1428,CONFIGURACOES!$B$37:$B$300,0)),"")</f>
        <v/>
      </c>
      <c r="N1428" s="21" t="n"/>
      <c r="O1428" s="21" t="n"/>
      <c r="P1428" s="21" t="n"/>
      <c r="Q1428" s="21" t="n"/>
      <c r="R1428" s="21">
        <f>IF($N1428="","",$N1428*IF($Q1428="",1,$Q1428)*IF($P1428="",1,$P1428)*IF($O1428="",1,$O1428))</f>
        <v/>
      </c>
      <c r="S1428" s="22">
        <f>IFERROR(INDEX(CONFIGURACOES!$J$37:$J$300,MATCH($I1428,CONFIGURACOES!$B$37:$B$300,0)),"")</f>
        <v/>
      </c>
      <c r="T1428" s="22">
        <f>IF(OR($R1428="",$S1428=""),"",$R1428*$S1428)</f>
        <v/>
      </c>
      <c r="U1428" s="20" t="n"/>
      <c r="V1428" s="20" t="n"/>
      <c r="W1428" s="20" t="n"/>
      <c r="X1428">
        <f>IF($A1428="","",$A1428&amp;"|"&amp;$C1428&amp;"|"&amp;$I1428)</f>
        <v/>
      </c>
      <c r="Y1428">
        <f>IF(AND($A1428=RELATORIO_MEDICAO!$C$5,$C1428=RELATORIO_MEDICAO!$F$5,$A1428&lt;&gt;""),COUNTIFS($A$3:$A1428,RELATORIO_MEDICAO!$C$5,$C$3:$C1428,RELATORIO_MEDICAO!$F$5),"")</f>
        <v/>
      </c>
      <c r="Z1428">
        <f>IF(OR($A1428="",PESQUISA!$C$4=""),0,IF(OR(ISNUMBER(SEARCH(PESQUISA!$C$4,$G1428)),ISNUMBER(SEARCH(PESQUISA!$C$4,$K1428)),ISNUMBER(SEARCH(PESQUISA!$C$4,$L1428))),1,0))</f>
        <v/>
      </c>
      <c r="AA1428">
        <f>IF($Z1428=1,SUM($Z$3:$Z1428),"")</f>
        <v/>
      </c>
      <c r="AB1428">
        <f>IF(OR($A1428="",PESQUISA!$C$50=""),0,IF(ISNUMBER(SEARCH(PESQUISA!$C$50,$I1428)),1,0))</f>
        <v/>
      </c>
      <c r="AC1428">
        <f>IF($AB1428=1,SUM($AB$3:$AB1428),"")</f>
        <v/>
      </c>
    </row>
    <row r="1429">
      <c r="A1429" s="20" t="n"/>
      <c r="B1429" s="20" t="n"/>
      <c r="C1429" s="20" t="n"/>
      <c r="D1429" s="20" t="n"/>
      <c r="E1429" s="20" t="n"/>
      <c r="F1429" s="20" t="n"/>
      <c r="G1429" s="20" t="n"/>
      <c r="H1429" s="20" t="n"/>
      <c r="I1429" s="20" t="n"/>
      <c r="J1429" s="20">
        <f>IFERROR(INDEX(CONFIGURACOES!$G$37:$G$300,MATCH($I1429,CONFIGURACOES!$B$37:$B$300,0)),"")</f>
        <v/>
      </c>
      <c r="K1429" s="20">
        <f>IFERROR(INDEX(CONFIGURACOES!$H$37:$H$300,MATCH($I1429,CONFIGURACOES!$B$37:$B$300,0)),"")</f>
        <v/>
      </c>
      <c r="L1429" s="20" t="n"/>
      <c r="M1429" s="20">
        <f>IFERROR(INDEX(CONFIGURACOES!$I$37:$I$300,MATCH($I1429,CONFIGURACOES!$B$37:$B$300,0)),"")</f>
        <v/>
      </c>
      <c r="N1429" s="21" t="n"/>
      <c r="O1429" s="21" t="n"/>
      <c r="P1429" s="21" t="n"/>
      <c r="Q1429" s="21" t="n"/>
      <c r="R1429" s="21">
        <f>IF($N1429="","",$N1429*IF($Q1429="",1,$Q1429)*IF($P1429="",1,$P1429)*IF($O1429="",1,$O1429))</f>
        <v/>
      </c>
      <c r="S1429" s="22">
        <f>IFERROR(INDEX(CONFIGURACOES!$J$37:$J$300,MATCH($I1429,CONFIGURACOES!$B$37:$B$300,0)),"")</f>
        <v/>
      </c>
      <c r="T1429" s="22">
        <f>IF(OR($R1429="",$S1429=""),"",$R1429*$S1429)</f>
        <v/>
      </c>
      <c r="U1429" s="20" t="n"/>
      <c r="V1429" s="20" t="n"/>
      <c r="W1429" s="20" t="n"/>
      <c r="X1429">
        <f>IF($A1429="","",$A1429&amp;"|"&amp;$C1429&amp;"|"&amp;$I1429)</f>
        <v/>
      </c>
      <c r="Y1429">
        <f>IF(AND($A1429=RELATORIO_MEDICAO!$C$5,$C1429=RELATORIO_MEDICAO!$F$5,$A1429&lt;&gt;""),COUNTIFS($A$3:$A1429,RELATORIO_MEDICAO!$C$5,$C$3:$C1429,RELATORIO_MEDICAO!$F$5),"")</f>
        <v/>
      </c>
      <c r="Z1429">
        <f>IF(OR($A1429="",PESQUISA!$C$4=""),0,IF(OR(ISNUMBER(SEARCH(PESQUISA!$C$4,$G1429)),ISNUMBER(SEARCH(PESQUISA!$C$4,$K1429)),ISNUMBER(SEARCH(PESQUISA!$C$4,$L1429))),1,0))</f>
        <v/>
      </c>
      <c r="AA1429">
        <f>IF($Z1429=1,SUM($Z$3:$Z1429),"")</f>
        <v/>
      </c>
      <c r="AB1429">
        <f>IF(OR($A1429="",PESQUISA!$C$50=""),0,IF(ISNUMBER(SEARCH(PESQUISA!$C$50,$I1429)),1,0))</f>
        <v/>
      </c>
      <c r="AC1429">
        <f>IF($AB1429=1,SUM($AB$3:$AB1429),"")</f>
        <v/>
      </c>
    </row>
    <row r="1430">
      <c r="A1430" s="20" t="n"/>
      <c r="B1430" s="20" t="n"/>
      <c r="C1430" s="20" t="n"/>
      <c r="D1430" s="20" t="n"/>
      <c r="E1430" s="20" t="n"/>
      <c r="F1430" s="20" t="n"/>
      <c r="G1430" s="20" t="n"/>
      <c r="H1430" s="20" t="n"/>
      <c r="I1430" s="20" t="n"/>
      <c r="J1430" s="20">
        <f>IFERROR(INDEX(CONFIGURACOES!$G$37:$G$300,MATCH($I1430,CONFIGURACOES!$B$37:$B$300,0)),"")</f>
        <v/>
      </c>
      <c r="K1430" s="20">
        <f>IFERROR(INDEX(CONFIGURACOES!$H$37:$H$300,MATCH($I1430,CONFIGURACOES!$B$37:$B$300,0)),"")</f>
        <v/>
      </c>
      <c r="L1430" s="20" t="n"/>
      <c r="M1430" s="20">
        <f>IFERROR(INDEX(CONFIGURACOES!$I$37:$I$300,MATCH($I1430,CONFIGURACOES!$B$37:$B$300,0)),"")</f>
        <v/>
      </c>
      <c r="N1430" s="21" t="n"/>
      <c r="O1430" s="21" t="n"/>
      <c r="P1430" s="21" t="n"/>
      <c r="Q1430" s="21" t="n"/>
      <c r="R1430" s="21">
        <f>IF($N1430="","",$N1430*IF($Q1430="",1,$Q1430)*IF($P1430="",1,$P1430)*IF($O1430="",1,$O1430))</f>
        <v/>
      </c>
      <c r="S1430" s="22">
        <f>IFERROR(INDEX(CONFIGURACOES!$J$37:$J$300,MATCH($I1430,CONFIGURACOES!$B$37:$B$300,0)),"")</f>
        <v/>
      </c>
      <c r="T1430" s="22">
        <f>IF(OR($R1430="",$S1430=""),"",$R1430*$S1430)</f>
        <v/>
      </c>
      <c r="U1430" s="20" t="n"/>
      <c r="V1430" s="20" t="n"/>
      <c r="W1430" s="20" t="n"/>
      <c r="X1430">
        <f>IF($A1430="","",$A1430&amp;"|"&amp;$C1430&amp;"|"&amp;$I1430)</f>
        <v/>
      </c>
      <c r="Y1430">
        <f>IF(AND($A1430=RELATORIO_MEDICAO!$C$5,$C1430=RELATORIO_MEDICAO!$F$5,$A1430&lt;&gt;""),COUNTIFS($A$3:$A1430,RELATORIO_MEDICAO!$C$5,$C$3:$C1430,RELATORIO_MEDICAO!$F$5),"")</f>
        <v/>
      </c>
      <c r="Z1430">
        <f>IF(OR($A1430="",PESQUISA!$C$4=""),0,IF(OR(ISNUMBER(SEARCH(PESQUISA!$C$4,$G1430)),ISNUMBER(SEARCH(PESQUISA!$C$4,$K1430)),ISNUMBER(SEARCH(PESQUISA!$C$4,$L1430))),1,0))</f>
        <v/>
      </c>
      <c r="AA1430">
        <f>IF($Z1430=1,SUM($Z$3:$Z1430),"")</f>
        <v/>
      </c>
      <c r="AB1430">
        <f>IF(OR($A1430="",PESQUISA!$C$50=""),0,IF(ISNUMBER(SEARCH(PESQUISA!$C$50,$I1430)),1,0))</f>
        <v/>
      </c>
      <c r="AC1430">
        <f>IF($AB1430=1,SUM($AB$3:$AB1430),"")</f>
        <v/>
      </c>
    </row>
    <row r="1431">
      <c r="A1431" s="20" t="n"/>
      <c r="B1431" s="20" t="n"/>
      <c r="C1431" s="20" t="n"/>
      <c r="D1431" s="20" t="n"/>
      <c r="E1431" s="20" t="n"/>
      <c r="F1431" s="20" t="n"/>
      <c r="G1431" s="20" t="n"/>
      <c r="H1431" s="20" t="n"/>
      <c r="I1431" s="20" t="n"/>
      <c r="J1431" s="20">
        <f>IFERROR(INDEX(CONFIGURACOES!$G$37:$G$300,MATCH($I1431,CONFIGURACOES!$B$37:$B$300,0)),"")</f>
        <v/>
      </c>
      <c r="K1431" s="20">
        <f>IFERROR(INDEX(CONFIGURACOES!$H$37:$H$300,MATCH($I1431,CONFIGURACOES!$B$37:$B$300,0)),"")</f>
        <v/>
      </c>
      <c r="L1431" s="20" t="n"/>
      <c r="M1431" s="20">
        <f>IFERROR(INDEX(CONFIGURACOES!$I$37:$I$300,MATCH($I1431,CONFIGURACOES!$B$37:$B$300,0)),"")</f>
        <v/>
      </c>
      <c r="N1431" s="21" t="n"/>
      <c r="O1431" s="21" t="n"/>
      <c r="P1431" s="21" t="n"/>
      <c r="Q1431" s="21" t="n"/>
      <c r="R1431" s="21">
        <f>IF($N1431="","",$N1431*IF($Q1431="",1,$Q1431)*IF($P1431="",1,$P1431)*IF($O1431="",1,$O1431))</f>
        <v/>
      </c>
      <c r="S1431" s="22">
        <f>IFERROR(INDEX(CONFIGURACOES!$J$37:$J$300,MATCH($I1431,CONFIGURACOES!$B$37:$B$300,0)),"")</f>
        <v/>
      </c>
      <c r="T1431" s="22">
        <f>IF(OR($R1431="",$S1431=""),"",$R1431*$S1431)</f>
        <v/>
      </c>
      <c r="U1431" s="20" t="n"/>
      <c r="V1431" s="20" t="n"/>
      <c r="W1431" s="20" t="n"/>
      <c r="X1431">
        <f>IF($A1431="","",$A1431&amp;"|"&amp;$C1431&amp;"|"&amp;$I1431)</f>
        <v/>
      </c>
      <c r="Y1431">
        <f>IF(AND($A1431=RELATORIO_MEDICAO!$C$5,$C1431=RELATORIO_MEDICAO!$F$5,$A1431&lt;&gt;""),COUNTIFS($A$3:$A1431,RELATORIO_MEDICAO!$C$5,$C$3:$C1431,RELATORIO_MEDICAO!$F$5),"")</f>
        <v/>
      </c>
      <c r="Z1431">
        <f>IF(OR($A1431="",PESQUISA!$C$4=""),0,IF(OR(ISNUMBER(SEARCH(PESQUISA!$C$4,$G1431)),ISNUMBER(SEARCH(PESQUISA!$C$4,$K1431)),ISNUMBER(SEARCH(PESQUISA!$C$4,$L1431))),1,0))</f>
        <v/>
      </c>
      <c r="AA1431">
        <f>IF($Z1431=1,SUM($Z$3:$Z1431),"")</f>
        <v/>
      </c>
      <c r="AB1431">
        <f>IF(OR($A1431="",PESQUISA!$C$50=""),0,IF(ISNUMBER(SEARCH(PESQUISA!$C$50,$I1431)),1,0))</f>
        <v/>
      </c>
      <c r="AC1431">
        <f>IF($AB1431=1,SUM($AB$3:$AB1431),"")</f>
        <v/>
      </c>
    </row>
    <row r="1432">
      <c r="A1432" s="20" t="n"/>
      <c r="B1432" s="20" t="n"/>
      <c r="C1432" s="20" t="n"/>
      <c r="D1432" s="20" t="n"/>
      <c r="E1432" s="20" t="n"/>
      <c r="F1432" s="20" t="n"/>
      <c r="G1432" s="20" t="n"/>
      <c r="H1432" s="20" t="n"/>
      <c r="I1432" s="20" t="n"/>
      <c r="J1432" s="20">
        <f>IFERROR(INDEX(CONFIGURACOES!$G$37:$G$300,MATCH($I1432,CONFIGURACOES!$B$37:$B$300,0)),"")</f>
        <v/>
      </c>
      <c r="K1432" s="20">
        <f>IFERROR(INDEX(CONFIGURACOES!$H$37:$H$300,MATCH($I1432,CONFIGURACOES!$B$37:$B$300,0)),"")</f>
        <v/>
      </c>
      <c r="L1432" s="20" t="n"/>
      <c r="M1432" s="20">
        <f>IFERROR(INDEX(CONFIGURACOES!$I$37:$I$300,MATCH($I1432,CONFIGURACOES!$B$37:$B$300,0)),"")</f>
        <v/>
      </c>
      <c r="N1432" s="21" t="n"/>
      <c r="O1432" s="21" t="n"/>
      <c r="P1432" s="21" t="n"/>
      <c r="Q1432" s="21" t="n"/>
      <c r="R1432" s="21">
        <f>IF($N1432="","",$N1432*IF($Q1432="",1,$Q1432)*IF($P1432="",1,$P1432)*IF($O1432="",1,$O1432))</f>
        <v/>
      </c>
      <c r="S1432" s="22">
        <f>IFERROR(INDEX(CONFIGURACOES!$J$37:$J$300,MATCH($I1432,CONFIGURACOES!$B$37:$B$300,0)),"")</f>
        <v/>
      </c>
      <c r="T1432" s="22">
        <f>IF(OR($R1432="",$S1432=""),"",$R1432*$S1432)</f>
        <v/>
      </c>
      <c r="U1432" s="20" t="n"/>
      <c r="V1432" s="20" t="n"/>
      <c r="W1432" s="20" t="n"/>
      <c r="X1432">
        <f>IF($A1432="","",$A1432&amp;"|"&amp;$C1432&amp;"|"&amp;$I1432)</f>
        <v/>
      </c>
      <c r="Y1432">
        <f>IF(AND($A1432=RELATORIO_MEDICAO!$C$5,$C1432=RELATORIO_MEDICAO!$F$5,$A1432&lt;&gt;""),COUNTIFS($A$3:$A1432,RELATORIO_MEDICAO!$C$5,$C$3:$C1432,RELATORIO_MEDICAO!$F$5),"")</f>
        <v/>
      </c>
      <c r="Z1432">
        <f>IF(OR($A1432="",PESQUISA!$C$4=""),0,IF(OR(ISNUMBER(SEARCH(PESQUISA!$C$4,$G1432)),ISNUMBER(SEARCH(PESQUISA!$C$4,$K1432)),ISNUMBER(SEARCH(PESQUISA!$C$4,$L1432))),1,0))</f>
        <v/>
      </c>
      <c r="AA1432">
        <f>IF($Z1432=1,SUM($Z$3:$Z1432),"")</f>
        <v/>
      </c>
      <c r="AB1432">
        <f>IF(OR($A1432="",PESQUISA!$C$50=""),0,IF(ISNUMBER(SEARCH(PESQUISA!$C$50,$I1432)),1,0))</f>
        <v/>
      </c>
      <c r="AC1432">
        <f>IF($AB1432=1,SUM($AB$3:$AB1432),"")</f>
        <v/>
      </c>
    </row>
    <row r="1433">
      <c r="A1433" s="20" t="n"/>
      <c r="B1433" s="20" t="n"/>
      <c r="C1433" s="20" t="n"/>
      <c r="D1433" s="20" t="n"/>
      <c r="E1433" s="20" t="n"/>
      <c r="F1433" s="20" t="n"/>
      <c r="G1433" s="20" t="n"/>
      <c r="H1433" s="20" t="n"/>
      <c r="I1433" s="20" t="n"/>
      <c r="J1433" s="20">
        <f>IFERROR(INDEX(CONFIGURACOES!$G$37:$G$300,MATCH($I1433,CONFIGURACOES!$B$37:$B$300,0)),"")</f>
        <v/>
      </c>
      <c r="K1433" s="20">
        <f>IFERROR(INDEX(CONFIGURACOES!$H$37:$H$300,MATCH($I1433,CONFIGURACOES!$B$37:$B$300,0)),"")</f>
        <v/>
      </c>
      <c r="L1433" s="20" t="n"/>
      <c r="M1433" s="20">
        <f>IFERROR(INDEX(CONFIGURACOES!$I$37:$I$300,MATCH($I1433,CONFIGURACOES!$B$37:$B$300,0)),"")</f>
        <v/>
      </c>
      <c r="N1433" s="21" t="n"/>
      <c r="O1433" s="21" t="n"/>
      <c r="P1433" s="21" t="n"/>
      <c r="Q1433" s="21" t="n"/>
      <c r="R1433" s="21">
        <f>IF($N1433="","",$N1433*IF($Q1433="",1,$Q1433)*IF($P1433="",1,$P1433)*IF($O1433="",1,$O1433))</f>
        <v/>
      </c>
      <c r="S1433" s="22">
        <f>IFERROR(INDEX(CONFIGURACOES!$J$37:$J$300,MATCH($I1433,CONFIGURACOES!$B$37:$B$300,0)),"")</f>
        <v/>
      </c>
      <c r="T1433" s="22">
        <f>IF(OR($R1433="",$S1433=""),"",$R1433*$S1433)</f>
        <v/>
      </c>
      <c r="U1433" s="20" t="n"/>
      <c r="V1433" s="20" t="n"/>
      <c r="W1433" s="20" t="n"/>
      <c r="X1433">
        <f>IF($A1433="","",$A1433&amp;"|"&amp;$C1433&amp;"|"&amp;$I1433)</f>
        <v/>
      </c>
      <c r="Y1433">
        <f>IF(AND($A1433=RELATORIO_MEDICAO!$C$5,$C1433=RELATORIO_MEDICAO!$F$5,$A1433&lt;&gt;""),COUNTIFS($A$3:$A1433,RELATORIO_MEDICAO!$C$5,$C$3:$C1433,RELATORIO_MEDICAO!$F$5),"")</f>
        <v/>
      </c>
      <c r="Z1433">
        <f>IF(OR($A1433="",PESQUISA!$C$4=""),0,IF(OR(ISNUMBER(SEARCH(PESQUISA!$C$4,$G1433)),ISNUMBER(SEARCH(PESQUISA!$C$4,$K1433)),ISNUMBER(SEARCH(PESQUISA!$C$4,$L1433))),1,0))</f>
        <v/>
      </c>
      <c r="AA1433">
        <f>IF($Z1433=1,SUM($Z$3:$Z1433),"")</f>
        <v/>
      </c>
      <c r="AB1433">
        <f>IF(OR($A1433="",PESQUISA!$C$50=""),0,IF(ISNUMBER(SEARCH(PESQUISA!$C$50,$I1433)),1,0))</f>
        <v/>
      </c>
      <c r="AC1433">
        <f>IF($AB1433=1,SUM($AB$3:$AB1433),"")</f>
        <v/>
      </c>
    </row>
    <row r="1434">
      <c r="A1434" s="20" t="n"/>
      <c r="B1434" s="20" t="n"/>
      <c r="C1434" s="20" t="n"/>
      <c r="D1434" s="20" t="n"/>
      <c r="E1434" s="20" t="n"/>
      <c r="F1434" s="20" t="n"/>
      <c r="G1434" s="20" t="n"/>
      <c r="H1434" s="20" t="n"/>
      <c r="I1434" s="20" t="n"/>
      <c r="J1434" s="20">
        <f>IFERROR(INDEX(CONFIGURACOES!$G$37:$G$300,MATCH($I1434,CONFIGURACOES!$B$37:$B$300,0)),"")</f>
        <v/>
      </c>
      <c r="K1434" s="20">
        <f>IFERROR(INDEX(CONFIGURACOES!$H$37:$H$300,MATCH($I1434,CONFIGURACOES!$B$37:$B$300,0)),"")</f>
        <v/>
      </c>
      <c r="L1434" s="20" t="n"/>
      <c r="M1434" s="20">
        <f>IFERROR(INDEX(CONFIGURACOES!$I$37:$I$300,MATCH($I1434,CONFIGURACOES!$B$37:$B$300,0)),"")</f>
        <v/>
      </c>
      <c r="N1434" s="21" t="n"/>
      <c r="O1434" s="21" t="n"/>
      <c r="P1434" s="21" t="n"/>
      <c r="Q1434" s="21" t="n"/>
      <c r="R1434" s="21">
        <f>IF($N1434="","",$N1434*IF($Q1434="",1,$Q1434)*IF($P1434="",1,$P1434)*IF($O1434="",1,$O1434))</f>
        <v/>
      </c>
      <c r="S1434" s="22">
        <f>IFERROR(INDEX(CONFIGURACOES!$J$37:$J$300,MATCH($I1434,CONFIGURACOES!$B$37:$B$300,0)),"")</f>
        <v/>
      </c>
      <c r="T1434" s="22">
        <f>IF(OR($R1434="",$S1434=""),"",$R1434*$S1434)</f>
        <v/>
      </c>
      <c r="U1434" s="20" t="n"/>
      <c r="V1434" s="20" t="n"/>
      <c r="W1434" s="20" t="n"/>
      <c r="X1434">
        <f>IF($A1434="","",$A1434&amp;"|"&amp;$C1434&amp;"|"&amp;$I1434)</f>
        <v/>
      </c>
      <c r="Y1434">
        <f>IF(AND($A1434=RELATORIO_MEDICAO!$C$5,$C1434=RELATORIO_MEDICAO!$F$5,$A1434&lt;&gt;""),COUNTIFS($A$3:$A1434,RELATORIO_MEDICAO!$C$5,$C$3:$C1434,RELATORIO_MEDICAO!$F$5),"")</f>
        <v/>
      </c>
      <c r="Z1434">
        <f>IF(OR($A1434="",PESQUISA!$C$4=""),0,IF(OR(ISNUMBER(SEARCH(PESQUISA!$C$4,$G1434)),ISNUMBER(SEARCH(PESQUISA!$C$4,$K1434)),ISNUMBER(SEARCH(PESQUISA!$C$4,$L1434))),1,0))</f>
        <v/>
      </c>
      <c r="AA1434">
        <f>IF($Z1434=1,SUM($Z$3:$Z1434),"")</f>
        <v/>
      </c>
      <c r="AB1434">
        <f>IF(OR($A1434="",PESQUISA!$C$50=""),0,IF(ISNUMBER(SEARCH(PESQUISA!$C$50,$I1434)),1,0))</f>
        <v/>
      </c>
      <c r="AC1434">
        <f>IF($AB1434=1,SUM($AB$3:$AB1434),"")</f>
        <v/>
      </c>
    </row>
    <row r="1435">
      <c r="A1435" s="20" t="n"/>
      <c r="B1435" s="20" t="n"/>
      <c r="C1435" s="20" t="n"/>
      <c r="D1435" s="20" t="n"/>
      <c r="E1435" s="20" t="n"/>
      <c r="F1435" s="20" t="n"/>
      <c r="G1435" s="20" t="n"/>
      <c r="H1435" s="20" t="n"/>
      <c r="I1435" s="20" t="n"/>
      <c r="J1435" s="20">
        <f>IFERROR(INDEX(CONFIGURACOES!$G$37:$G$300,MATCH($I1435,CONFIGURACOES!$B$37:$B$300,0)),"")</f>
        <v/>
      </c>
      <c r="K1435" s="20">
        <f>IFERROR(INDEX(CONFIGURACOES!$H$37:$H$300,MATCH($I1435,CONFIGURACOES!$B$37:$B$300,0)),"")</f>
        <v/>
      </c>
      <c r="L1435" s="20" t="n"/>
      <c r="M1435" s="20">
        <f>IFERROR(INDEX(CONFIGURACOES!$I$37:$I$300,MATCH($I1435,CONFIGURACOES!$B$37:$B$300,0)),"")</f>
        <v/>
      </c>
      <c r="N1435" s="21" t="n"/>
      <c r="O1435" s="21" t="n"/>
      <c r="P1435" s="21" t="n"/>
      <c r="Q1435" s="21" t="n"/>
      <c r="R1435" s="21">
        <f>IF($N1435="","",$N1435*IF($Q1435="",1,$Q1435)*IF($P1435="",1,$P1435)*IF($O1435="",1,$O1435))</f>
        <v/>
      </c>
      <c r="S1435" s="22">
        <f>IFERROR(INDEX(CONFIGURACOES!$J$37:$J$300,MATCH($I1435,CONFIGURACOES!$B$37:$B$300,0)),"")</f>
        <v/>
      </c>
      <c r="T1435" s="22">
        <f>IF(OR($R1435="",$S1435=""),"",$R1435*$S1435)</f>
        <v/>
      </c>
      <c r="U1435" s="20" t="n"/>
      <c r="V1435" s="20" t="n"/>
      <c r="W1435" s="20" t="n"/>
      <c r="X1435">
        <f>IF($A1435="","",$A1435&amp;"|"&amp;$C1435&amp;"|"&amp;$I1435)</f>
        <v/>
      </c>
      <c r="Y1435">
        <f>IF(AND($A1435=RELATORIO_MEDICAO!$C$5,$C1435=RELATORIO_MEDICAO!$F$5,$A1435&lt;&gt;""),COUNTIFS($A$3:$A1435,RELATORIO_MEDICAO!$C$5,$C$3:$C1435,RELATORIO_MEDICAO!$F$5),"")</f>
        <v/>
      </c>
      <c r="Z1435">
        <f>IF(OR($A1435="",PESQUISA!$C$4=""),0,IF(OR(ISNUMBER(SEARCH(PESQUISA!$C$4,$G1435)),ISNUMBER(SEARCH(PESQUISA!$C$4,$K1435)),ISNUMBER(SEARCH(PESQUISA!$C$4,$L1435))),1,0))</f>
        <v/>
      </c>
      <c r="AA1435">
        <f>IF($Z1435=1,SUM($Z$3:$Z1435),"")</f>
        <v/>
      </c>
      <c r="AB1435">
        <f>IF(OR($A1435="",PESQUISA!$C$50=""),0,IF(ISNUMBER(SEARCH(PESQUISA!$C$50,$I1435)),1,0))</f>
        <v/>
      </c>
      <c r="AC1435">
        <f>IF($AB1435=1,SUM($AB$3:$AB1435),"")</f>
        <v/>
      </c>
    </row>
    <row r="1436">
      <c r="A1436" s="20" t="n"/>
      <c r="B1436" s="20" t="n"/>
      <c r="C1436" s="20" t="n"/>
      <c r="D1436" s="20" t="n"/>
      <c r="E1436" s="20" t="n"/>
      <c r="F1436" s="20" t="n"/>
      <c r="G1436" s="20" t="n"/>
      <c r="H1436" s="20" t="n"/>
      <c r="I1436" s="20" t="n"/>
      <c r="J1436" s="20">
        <f>IFERROR(INDEX(CONFIGURACOES!$G$37:$G$300,MATCH($I1436,CONFIGURACOES!$B$37:$B$300,0)),"")</f>
        <v/>
      </c>
      <c r="K1436" s="20">
        <f>IFERROR(INDEX(CONFIGURACOES!$H$37:$H$300,MATCH($I1436,CONFIGURACOES!$B$37:$B$300,0)),"")</f>
        <v/>
      </c>
      <c r="L1436" s="20" t="n"/>
      <c r="M1436" s="20">
        <f>IFERROR(INDEX(CONFIGURACOES!$I$37:$I$300,MATCH($I1436,CONFIGURACOES!$B$37:$B$300,0)),"")</f>
        <v/>
      </c>
      <c r="N1436" s="21" t="n"/>
      <c r="O1436" s="21" t="n"/>
      <c r="P1436" s="21" t="n"/>
      <c r="Q1436" s="21" t="n"/>
      <c r="R1436" s="21">
        <f>IF($N1436="","",$N1436*IF($Q1436="",1,$Q1436)*IF($P1436="",1,$P1436)*IF($O1436="",1,$O1436))</f>
        <v/>
      </c>
      <c r="S1436" s="22">
        <f>IFERROR(INDEX(CONFIGURACOES!$J$37:$J$300,MATCH($I1436,CONFIGURACOES!$B$37:$B$300,0)),"")</f>
        <v/>
      </c>
      <c r="T1436" s="22">
        <f>IF(OR($R1436="",$S1436=""),"",$R1436*$S1436)</f>
        <v/>
      </c>
      <c r="U1436" s="20" t="n"/>
      <c r="V1436" s="20" t="n"/>
      <c r="W1436" s="20" t="n"/>
      <c r="X1436">
        <f>IF($A1436="","",$A1436&amp;"|"&amp;$C1436&amp;"|"&amp;$I1436)</f>
        <v/>
      </c>
      <c r="Y1436">
        <f>IF(AND($A1436=RELATORIO_MEDICAO!$C$5,$C1436=RELATORIO_MEDICAO!$F$5,$A1436&lt;&gt;""),COUNTIFS($A$3:$A1436,RELATORIO_MEDICAO!$C$5,$C$3:$C1436,RELATORIO_MEDICAO!$F$5),"")</f>
        <v/>
      </c>
      <c r="Z1436">
        <f>IF(OR($A1436="",PESQUISA!$C$4=""),0,IF(OR(ISNUMBER(SEARCH(PESQUISA!$C$4,$G1436)),ISNUMBER(SEARCH(PESQUISA!$C$4,$K1436)),ISNUMBER(SEARCH(PESQUISA!$C$4,$L1436))),1,0))</f>
        <v/>
      </c>
      <c r="AA1436">
        <f>IF($Z1436=1,SUM($Z$3:$Z1436),"")</f>
        <v/>
      </c>
      <c r="AB1436">
        <f>IF(OR($A1436="",PESQUISA!$C$50=""),0,IF(ISNUMBER(SEARCH(PESQUISA!$C$50,$I1436)),1,0))</f>
        <v/>
      </c>
      <c r="AC1436">
        <f>IF($AB1436=1,SUM($AB$3:$AB1436),"")</f>
        <v/>
      </c>
    </row>
    <row r="1437">
      <c r="A1437" s="20" t="n"/>
      <c r="B1437" s="20" t="n"/>
      <c r="C1437" s="20" t="n"/>
      <c r="D1437" s="20" t="n"/>
      <c r="E1437" s="20" t="n"/>
      <c r="F1437" s="20" t="n"/>
      <c r="G1437" s="20" t="n"/>
      <c r="H1437" s="20" t="n"/>
      <c r="I1437" s="20" t="n"/>
      <c r="J1437" s="20">
        <f>IFERROR(INDEX(CONFIGURACOES!$G$37:$G$300,MATCH($I1437,CONFIGURACOES!$B$37:$B$300,0)),"")</f>
        <v/>
      </c>
      <c r="K1437" s="20">
        <f>IFERROR(INDEX(CONFIGURACOES!$H$37:$H$300,MATCH($I1437,CONFIGURACOES!$B$37:$B$300,0)),"")</f>
        <v/>
      </c>
      <c r="L1437" s="20" t="n"/>
      <c r="M1437" s="20">
        <f>IFERROR(INDEX(CONFIGURACOES!$I$37:$I$300,MATCH($I1437,CONFIGURACOES!$B$37:$B$300,0)),"")</f>
        <v/>
      </c>
      <c r="N1437" s="21" t="n"/>
      <c r="O1437" s="21" t="n"/>
      <c r="P1437" s="21" t="n"/>
      <c r="Q1437" s="21" t="n"/>
      <c r="R1437" s="21">
        <f>IF($N1437="","",$N1437*IF($Q1437="",1,$Q1437)*IF($P1437="",1,$P1437)*IF($O1437="",1,$O1437))</f>
        <v/>
      </c>
      <c r="S1437" s="22">
        <f>IFERROR(INDEX(CONFIGURACOES!$J$37:$J$300,MATCH($I1437,CONFIGURACOES!$B$37:$B$300,0)),"")</f>
        <v/>
      </c>
      <c r="T1437" s="22">
        <f>IF(OR($R1437="",$S1437=""),"",$R1437*$S1437)</f>
        <v/>
      </c>
      <c r="U1437" s="20" t="n"/>
      <c r="V1437" s="20" t="n"/>
      <c r="W1437" s="20" t="n"/>
      <c r="X1437">
        <f>IF($A1437="","",$A1437&amp;"|"&amp;$C1437&amp;"|"&amp;$I1437)</f>
        <v/>
      </c>
      <c r="Y1437">
        <f>IF(AND($A1437=RELATORIO_MEDICAO!$C$5,$C1437=RELATORIO_MEDICAO!$F$5,$A1437&lt;&gt;""),COUNTIFS($A$3:$A1437,RELATORIO_MEDICAO!$C$5,$C$3:$C1437,RELATORIO_MEDICAO!$F$5),"")</f>
        <v/>
      </c>
      <c r="Z1437">
        <f>IF(OR($A1437="",PESQUISA!$C$4=""),0,IF(OR(ISNUMBER(SEARCH(PESQUISA!$C$4,$G1437)),ISNUMBER(SEARCH(PESQUISA!$C$4,$K1437)),ISNUMBER(SEARCH(PESQUISA!$C$4,$L1437))),1,0))</f>
        <v/>
      </c>
      <c r="AA1437">
        <f>IF($Z1437=1,SUM($Z$3:$Z1437),"")</f>
        <v/>
      </c>
      <c r="AB1437">
        <f>IF(OR($A1437="",PESQUISA!$C$50=""),0,IF(ISNUMBER(SEARCH(PESQUISA!$C$50,$I1437)),1,0))</f>
        <v/>
      </c>
      <c r="AC1437">
        <f>IF($AB1437=1,SUM($AB$3:$AB1437),"")</f>
        <v/>
      </c>
    </row>
    <row r="1438">
      <c r="A1438" s="20" t="n"/>
      <c r="B1438" s="20" t="n"/>
      <c r="C1438" s="20" t="n"/>
      <c r="D1438" s="20" t="n"/>
      <c r="E1438" s="20" t="n"/>
      <c r="F1438" s="20" t="n"/>
      <c r="G1438" s="20" t="n"/>
      <c r="H1438" s="20" t="n"/>
      <c r="I1438" s="20" t="n"/>
      <c r="J1438" s="20">
        <f>IFERROR(INDEX(CONFIGURACOES!$G$37:$G$300,MATCH($I1438,CONFIGURACOES!$B$37:$B$300,0)),"")</f>
        <v/>
      </c>
      <c r="K1438" s="20">
        <f>IFERROR(INDEX(CONFIGURACOES!$H$37:$H$300,MATCH($I1438,CONFIGURACOES!$B$37:$B$300,0)),"")</f>
        <v/>
      </c>
      <c r="L1438" s="20" t="n"/>
      <c r="M1438" s="20">
        <f>IFERROR(INDEX(CONFIGURACOES!$I$37:$I$300,MATCH($I1438,CONFIGURACOES!$B$37:$B$300,0)),"")</f>
        <v/>
      </c>
      <c r="N1438" s="21" t="n"/>
      <c r="O1438" s="21" t="n"/>
      <c r="P1438" s="21" t="n"/>
      <c r="Q1438" s="21" t="n"/>
      <c r="R1438" s="21">
        <f>IF($N1438="","",$N1438*IF($Q1438="",1,$Q1438)*IF($P1438="",1,$P1438)*IF($O1438="",1,$O1438))</f>
        <v/>
      </c>
      <c r="S1438" s="22">
        <f>IFERROR(INDEX(CONFIGURACOES!$J$37:$J$300,MATCH($I1438,CONFIGURACOES!$B$37:$B$300,0)),"")</f>
        <v/>
      </c>
      <c r="T1438" s="22">
        <f>IF(OR($R1438="",$S1438=""),"",$R1438*$S1438)</f>
        <v/>
      </c>
      <c r="U1438" s="20" t="n"/>
      <c r="V1438" s="20" t="n"/>
      <c r="W1438" s="20" t="n"/>
      <c r="X1438">
        <f>IF($A1438="","",$A1438&amp;"|"&amp;$C1438&amp;"|"&amp;$I1438)</f>
        <v/>
      </c>
      <c r="Y1438">
        <f>IF(AND($A1438=RELATORIO_MEDICAO!$C$5,$C1438=RELATORIO_MEDICAO!$F$5,$A1438&lt;&gt;""),COUNTIFS($A$3:$A1438,RELATORIO_MEDICAO!$C$5,$C$3:$C1438,RELATORIO_MEDICAO!$F$5),"")</f>
        <v/>
      </c>
      <c r="Z1438">
        <f>IF(OR($A1438="",PESQUISA!$C$4=""),0,IF(OR(ISNUMBER(SEARCH(PESQUISA!$C$4,$G1438)),ISNUMBER(SEARCH(PESQUISA!$C$4,$K1438)),ISNUMBER(SEARCH(PESQUISA!$C$4,$L1438))),1,0))</f>
        <v/>
      </c>
      <c r="AA1438">
        <f>IF($Z1438=1,SUM($Z$3:$Z1438),"")</f>
        <v/>
      </c>
      <c r="AB1438">
        <f>IF(OR($A1438="",PESQUISA!$C$50=""),0,IF(ISNUMBER(SEARCH(PESQUISA!$C$50,$I1438)),1,0))</f>
        <v/>
      </c>
      <c r="AC1438">
        <f>IF($AB1438=1,SUM($AB$3:$AB1438),"")</f>
        <v/>
      </c>
    </row>
    <row r="1439">
      <c r="A1439" s="20" t="n"/>
      <c r="B1439" s="20" t="n"/>
      <c r="C1439" s="20" t="n"/>
      <c r="D1439" s="20" t="n"/>
      <c r="E1439" s="20" t="n"/>
      <c r="F1439" s="20" t="n"/>
      <c r="G1439" s="20" t="n"/>
      <c r="H1439" s="20" t="n"/>
      <c r="I1439" s="20" t="n"/>
      <c r="J1439" s="20">
        <f>IFERROR(INDEX(CONFIGURACOES!$G$37:$G$300,MATCH($I1439,CONFIGURACOES!$B$37:$B$300,0)),"")</f>
        <v/>
      </c>
      <c r="K1439" s="20">
        <f>IFERROR(INDEX(CONFIGURACOES!$H$37:$H$300,MATCH($I1439,CONFIGURACOES!$B$37:$B$300,0)),"")</f>
        <v/>
      </c>
      <c r="L1439" s="20" t="n"/>
      <c r="M1439" s="20">
        <f>IFERROR(INDEX(CONFIGURACOES!$I$37:$I$300,MATCH($I1439,CONFIGURACOES!$B$37:$B$300,0)),"")</f>
        <v/>
      </c>
      <c r="N1439" s="21" t="n"/>
      <c r="O1439" s="21" t="n"/>
      <c r="P1439" s="21" t="n"/>
      <c r="Q1439" s="21" t="n"/>
      <c r="R1439" s="21">
        <f>IF($N1439="","",$N1439*IF($Q1439="",1,$Q1439)*IF($P1439="",1,$P1439)*IF($O1439="",1,$O1439))</f>
        <v/>
      </c>
      <c r="S1439" s="22">
        <f>IFERROR(INDEX(CONFIGURACOES!$J$37:$J$300,MATCH($I1439,CONFIGURACOES!$B$37:$B$300,0)),"")</f>
        <v/>
      </c>
      <c r="T1439" s="22">
        <f>IF(OR($R1439="",$S1439=""),"",$R1439*$S1439)</f>
        <v/>
      </c>
      <c r="U1439" s="20" t="n"/>
      <c r="V1439" s="20" t="n"/>
      <c r="W1439" s="20" t="n"/>
      <c r="X1439">
        <f>IF($A1439="","",$A1439&amp;"|"&amp;$C1439&amp;"|"&amp;$I1439)</f>
        <v/>
      </c>
      <c r="Y1439">
        <f>IF(AND($A1439=RELATORIO_MEDICAO!$C$5,$C1439=RELATORIO_MEDICAO!$F$5,$A1439&lt;&gt;""),COUNTIFS($A$3:$A1439,RELATORIO_MEDICAO!$C$5,$C$3:$C1439,RELATORIO_MEDICAO!$F$5),"")</f>
        <v/>
      </c>
      <c r="Z1439">
        <f>IF(OR($A1439="",PESQUISA!$C$4=""),0,IF(OR(ISNUMBER(SEARCH(PESQUISA!$C$4,$G1439)),ISNUMBER(SEARCH(PESQUISA!$C$4,$K1439)),ISNUMBER(SEARCH(PESQUISA!$C$4,$L1439))),1,0))</f>
        <v/>
      </c>
      <c r="AA1439">
        <f>IF($Z1439=1,SUM($Z$3:$Z1439),"")</f>
        <v/>
      </c>
      <c r="AB1439">
        <f>IF(OR($A1439="",PESQUISA!$C$50=""),0,IF(ISNUMBER(SEARCH(PESQUISA!$C$50,$I1439)),1,0))</f>
        <v/>
      </c>
      <c r="AC1439">
        <f>IF($AB1439=1,SUM($AB$3:$AB1439),"")</f>
        <v/>
      </c>
    </row>
    <row r="1440">
      <c r="A1440" s="20" t="n"/>
      <c r="B1440" s="20" t="n"/>
      <c r="C1440" s="20" t="n"/>
      <c r="D1440" s="20" t="n"/>
      <c r="E1440" s="20" t="n"/>
      <c r="F1440" s="20" t="n"/>
      <c r="G1440" s="20" t="n"/>
      <c r="H1440" s="20" t="n"/>
      <c r="I1440" s="20" t="n"/>
      <c r="J1440" s="20">
        <f>IFERROR(INDEX(CONFIGURACOES!$G$37:$G$300,MATCH($I1440,CONFIGURACOES!$B$37:$B$300,0)),"")</f>
        <v/>
      </c>
      <c r="K1440" s="20">
        <f>IFERROR(INDEX(CONFIGURACOES!$H$37:$H$300,MATCH($I1440,CONFIGURACOES!$B$37:$B$300,0)),"")</f>
        <v/>
      </c>
      <c r="L1440" s="20" t="n"/>
      <c r="M1440" s="20">
        <f>IFERROR(INDEX(CONFIGURACOES!$I$37:$I$300,MATCH($I1440,CONFIGURACOES!$B$37:$B$300,0)),"")</f>
        <v/>
      </c>
      <c r="N1440" s="21" t="n"/>
      <c r="O1440" s="21" t="n"/>
      <c r="P1440" s="21" t="n"/>
      <c r="Q1440" s="21" t="n"/>
      <c r="R1440" s="21">
        <f>IF($N1440="","",$N1440*IF($Q1440="",1,$Q1440)*IF($P1440="",1,$P1440)*IF($O1440="",1,$O1440))</f>
        <v/>
      </c>
      <c r="S1440" s="22">
        <f>IFERROR(INDEX(CONFIGURACOES!$J$37:$J$300,MATCH($I1440,CONFIGURACOES!$B$37:$B$300,0)),"")</f>
        <v/>
      </c>
      <c r="T1440" s="22">
        <f>IF(OR($R1440="",$S1440=""),"",$R1440*$S1440)</f>
        <v/>
      </c>
      <c r="U1440" s="20" t="n"/>
      <c r="V1440" s="20" t="n"/>
      <c r="W1440" s="20" t="n"/>
      <c r="X1440">
        <f>IF($A1440="","",$A1440&amp;"|"&amp;$C1440&amp;"|"&amp;$I1440)</f>
        <v/>
      </c>
      <c r="Y1440">
        <f>IF(AND($A1440=RELATORIO_MEDICAO!$C$5,$C1440=RELATORIO_MEDICAO!$F$5,$A1440&lt;&gt;""),COUNTIFS($A$3:$A1440,RELATORIO_MEDICAO!$C$5,$C$3:$C1440,RELATORIO_MEDICAO!$F$5),"")</f>
        <v/>
      </c>
      <c r="Z1440">
        <f>IF(OR($A1440="",PESQUISA!$C$4=""),0,IF(OR(ISNUMBER(SEARCH(PESQUISA!$C$4,$G1440)),ISNUMBER(SEARCH(PESQUISA!$C$4,$K1440)),ISNUMBER(SEARCH(PESQUISA!$C$4,$L1440))),1,0))</f>
        <v/>
      </c>
      <c r="AA1440">
        <f>IF($Z1440=1,SUM($Z$3:$Z1440),"")</f>
        <v/>
      </c>
      <c r="AB1440">
        <f>IF(OR($A1440="",PESQUISA!$C$50=""),0,IF(ISNUMBER(SEARCH(PESQUISA!$C$50,$I1440)),1,0))</f>
        <v/>
      </c>
      <c r="AC1440">
        <f>IF($AB1440=1,SUM($AB$3:$AB1440),"")</f>
        <v/>
      </c>
    </row>
    <row r="1441">
      <c r="A1441" s="20" t="n"/>
      <c r="B1441" s="20" t="n"/>
      <c r="C1441" s="20" t="n"/>
      <c r="D1441" s="20" t="n"/>
      <c r="E1441" s="20" t="n"/>
      <c r="F1441" s="20" t="n"/>
      <c r="G1441" s="20" t="n"/>
      <c r="H1441" s="20" t="n"/>
      <c r="I1441" s="20" t="n"/>
      <c r="J1441" s="20">
        <f>IFERROR(INDEX(CONFIGURACOES!$G$37:$G$300,MATCH($I1441,CONFIGURACOES!$B$37:$B$300,0)),"")</f>
        <v/>
      </c>
      <c r="K1441" s="20">
        <f>IFERROR(INDEX(CONFIGURACOES!$H$37:$H$300,MATCH($I1441,CONFIGURACOES!$B$37:$B$300,0)),"")</f>
        <v/>
      </c>
      <c r="L1441" s="20" t="n"/>
      <c r="M1441" s="20">
        <f>IFERROR(INDEX(CONFIGURACOES!$I$37:$I$300,MATCH($I1441,CONFIGURACOES!$B$37:$B$300,0)),"")</f>
        <v/>
      </c>
      <c r="N1441" s="21" t="n"/>
      <c r="O1441" s="21" t="n"/>
      <c r="P1441" s="21" t="n"/>
      <c r="Q1441" s="21" t="n"/>
      <c r="R1441" s="21">
        <f>IF($N1441="","",$N1441*IF($Q1441="",1,$Q1441)*IF($P1441="",1,$P1441)*IF($O1441="",1,$O1441))</f>
        <v/>
      </c>
      <c r="S1441" s="22">
        <f>IFERROR(INDEX(CONFIGURACOES!$J$37:$J$300,MATCH($I1441,CONFIGURACOES!$B$37:$B$300,0)),"")</f>
        <v/>
      </c>
      <c r="T1441" s="22">
        <f>IF(OR($R1441="",$S1441=""),"",$R1441*$S1441)</f>
        <v/>
      </c>
      <c r="U1441" s="20" t="n"/>
      <c r="V1441" s="20" t="n"/>
      <c r="W1441" s="20" t="n"/>
      <c r="X1441">
        <f>IF($A1441="","",$A1441&amp;"|"&amp;$C1441&amp;"|"&amp;$I1441)</f>
        <v/>
      </c>
      <c r="Y1441">
        <f>IF(AND($A1441=RELATORIO_MEDICAO!$C$5,$C1441=RELATORIO_MEDICAO!$F$5,$A1441&lt;&gt;""),COUNTIFS($A$3:$A1441,RELATORIO_MEDICAO!$C$5,$C$3:$C1441,RELATORIO_MEDICAO!$F$5),"")</f>
        <v/>
      </c>
      <c r="Z1441">
        <f>IF(OR($A1441="",PESQUISA!$C$4=""),0,IF(OR(ISNUMBER(SEARCH(PESQUISA!$C$4,$G1441)),ISNUMBER(SEARCH(PESQUISA!$C$4,$K1441)),ISNUMBER(SEARCH(PESQUISA!$C$4,$L1441))),1,0))</f>
        <v/>
      </c>
      <c r="AA1441">
        <f>IF($Z1441=1,SUM($Z$3:$Z1441),"")</f>
        <v/>
      </c>
      <c r="AB1441">
        <f>IF(OR($A1441="",PESQUISA!$C$50=""),0,IF(ISNUMBER(SEARCH(PESQUISA!$C$50,$I1441)),1,0))</f>
        <v/>
      </c>
      <c r="AC1441">
        <f>IF($AB1441=1,SUM($AB$3:$AB1441),"")</f>
        <v/>
      </c>
    </row>
    <row r="1442">
      <c r="A1442" s="20" t="n"/>
      <c r="B1442" s="20" t="n"/>
      <c r="C1442" s="20" t="n"/>
      <c r="D1442" s="20" t="n"/>
      <c r="E1442" s="20" t="n"/>
      <c r="F1442" s="20" t="n"/>
      <c r="G1442" s="20" t="n"/>
      <c r="H1442" s="20" t="n"/>
      <c r="I1442" s="20" t="n"/>
      <c r="J1442" s="20">
        <f>IFERROR(INDEX(CONFIGURACOES!$G$37:$G$300,MATCH($I1442,CONFIGURACOES!$B$37:$B$300,0)),"")</f>
        <v/>
      </c>
      <c r="K1442" s="20">
        <f>IFERROR(INDEX(CONFIGURACOES!$H$37:$H$300,MATCH($I1442,CONFIGURACOES!$B$37:$B$300,0)),"")</f>
        <v/>
      </c>
      <c r="L1442" s="20" t="n"/>
      <c r="M1442" s="20">
        <f>IFERROR(INDEX(CONFIGURACOES!$I$37:$I$300,MATCH($I1442,CONFIGURACOES!$B$37:$B$300,0)),"")</f>
        <v/>
      </c>
      <c r="N1442" s="21" t="n"/>
      <c r="O1442" s="21" t="n"/>
      <c r="P1442" s="21" t="n"/>
      <c r="Q1442" s="21" t="n"/>
      <c r="R1442" s="21">
        <f>IF($N1442="","",$N1442*IF($Q1442="",1,$Q1442)*IF($P1442="",1,$P1442)*IF($O1442="",1,$O1442))</f>
        <v/>
      </c>
      <c r="S1442" s="22">
        <f>IFERROR(INDEX(CONFIGURACOES!$J$37:$J$300,MATCH($I1442,CONFIGURACOES!$B$37:$B$300,0)),"")</f>
        <v/>
      </c>
      <c r="T1442" s="22">
        <f>IF(OR($R1442="",$S1442=""),"",$R1442*$S1442)</f>
        <v/>
      </c>
      <c r="U1442" s="20" t="n"/>
      <c r="V1442" s="20" t="n"/>
      <c r="W1442" s="20" t="n"/>
      <c r="X1442">
        <f>IF($A1442="","",$A1442&amp;"|"&amp;$C1442&amp;"|"&amp;$I1442)</f>
        <v/>
      </c>
      <c r="Y1442">
        <f>IF(AND($A1442=RELATORIO_MEDICAO!$C$5,$C1442=RELATORIO_MEDICAO!$F$5,$A1442&lt;&gt;""),COUNTIFS($A$3:$A1442,RELATORIO_MEDICAO!$C$5,$C$3:$C1442,RELATORIO_MEDICAO!$F$5),"")</f>
        <v/>
      </c>
      <c r="Z1442">
        <f>IF(OR($A1442="",PESQUISA!$C$4=""),0,IF(OR(ISNUMBER(SEARCH(PESQUISA!$C$4,$G1442)),ISNUMBER(SEARCH(PESQUISA!$C$4,$K1442)),ISNUMBER(SEARCH(PESQUISA!$C$4,$L1442))),1,0))</f>
        <v/>
      </c>
      <c r="AA1442">
        <f>IF($Z1442=1,SUM($Z$3:$Z1442),"")</f>
        <v/>
      </c>
      <c r="AB1442">
        <f>IF(OR($A1442="",PESQUISA!$C$50=""),0,IF(ISNUMBER(SEARCH(PESQUISA!$C$50,$I1442)),1,0))</f>
        <v/>
      </c>
      <c r="AC1442">
        <f>IF($AB1442=1,SUM($AB$3:$AB1442),"")</f>
        <v/>
      </c>
    </row>
    <row r="1443">
      <c r="A1443" s="20" t="n"/>
      <c r="B1443" s="20" t="n"/>
      <c r="C1443" s="20" t="n"/>
      <c r="D1443" s="20" t="n"/>
      <c r="E1443" s="20" t="n"/>
      <c r="F1443" s="20" t="n"/>
      <c r="G1443" s="20" t="n"/>
      <c r="H1443" s="20" t="n"/>
      <c r="I1443" s="20" t="n"/>
      <c r="J1443" s="20">
        <f>IFERROR(INDEX(CONFIGURACOES!$G$37:$G$300,MATCH($I1443,CONFIGURACOES!$B$37:$B$300,0)),"")</f>
        <v/>
      </c>
      <c r="K1443" s="20">
        <f>IFERROR(INDEX(CONFIGURACOES!$H$37:$H$300,MATCH($I1443,CONFIGURACOES!$B$37:$B$300,0)),"")</f>
        <v/>
      </c>
      <c r="L1443" s="20" t="n"/>
      <c r="M1443" s="20">
        <f>IFERROR(INDEX(CONFIGURACOES!$I$37:$I$300,MATCH($I1443,CONFIGURACOES!$B$37:$B$300,0)),"")</f>
        <v/>
      </c>
      <c r="N1443" s="21" t="n"/>
      <c r="O1443" s="21" t="n"/>
      <c r="P1443" s="21" t="n"/>
      <c r="Q1443" s="21" t="n"/>
      <c r="R1443" s="21">
        <f>IF($N1443="","",$N1443*IF($Q1443="",1,$Q1443)*IF($P1443="",1,$P1443)*IF($O1443="",1,$O1443))</f>
        <v/>
      </c>
      <c r="S1443" s="22">
        <f>IFERROR(INDEX(CONFIGURACOES!$J$37:$J$300,MATCH($I1443,CONFIGURACOES!$B$37:$B$300,0)),"")</f>
        <v/>
      </c>
      <c r="T1443" s="22">
        <f>IF(OR($R1443="",$S1443=""),"",$R1443*$S1443)</f>
        <v/>
      </c>
      <c r="U1443" s="20" t="n"/>
      <c r="V1443" s="20" t="n"/>
      <c r="W1443" s="20" t="n"/>
      <c r="X1443">
        <f>IF($A1443="","",$A1443&amp;"|"&amp;$C1443&amp;"|"&amp;$I1443)</f>
        <v/>
      </c>
      <c r="Y1443">
        <f>IF(AND($A1443=RELATORIO_MEDICAO!$C$5,$C1443=RELATORIO_MEDICAO!$F$5,$A1443&lt;&gt;""),COUNTIFS($A$3:$A1443,RELATORIO_MEDICAO!$C$5,$C$3:$C1443,RELATORIO_MEDICAO!$F$5),"")</f>
        <v/>
      </c>
      <c r="Z1443">
        <f>IF(OR($A1443="",PESQUISA!$C$4=""),0,IF(OR(ISNUMBER(SEARCH(PESQUISA!$C$4,$G1443)),ISNUMBER(SEARCH(PESQUISA!$C$4,$K1443)),ISNUMBER(SEARCH(PESQUISA!$C$4,$L1443))),1,0))</f>
        <v/>
      </c>
      <c r="AA1443">
        <f>IF($Z1443=1,SUM($Z$3:$Z1443),"")</f>
        <v/>
      </c>
      <c r="AB1443">
        <f>IF(OR($A1443="",PESQUISA!$C$50=""),0,IF(ISNUMBER(SEARCH(PESQUISA!$C$50,$I1443)),1,0))</f>
        <v/>
      </c>
      <c r="AC1443">
        <f>IF($AB1443=1,SUM($AB$3:$AB1443),"")</f>
        <v/>
      </c>
    </row>
    <row r="1444">
      <c r="A1444" s="20" t="n"/>
      <c r="B1444" s="20" t="n"/>
      <c r="C1444" s="20" t="n"/>
      <c r="D1444" s="20" t="n"/>
      <c r="E1444" s="20" t="n"/>
      <c r="F1444" s="20" t="n"/>
      <c r="G1444" s="20" t="n"/>
      <c r="H1444" s="20" t="n"/>
      <c r="I1444" s="20" t="n"/>
      <c r="J1444" s="20">
        <f>IFERROR(INDEX(CONFIGURACOES!$G$37:$G$300,MATCH($I1444,CONFIGURACOES!$B$37:$B$300,0)),"")</f>
        <v/>
      </c>
      <c r="K1444" s="20">
        <f>IFERROR(INDEX(CONFIGURACOES!$H$37:$H$300,MATCH($I1444,CONFIGURACOES!$B$37:$B$300,0)),"")</f>
        <v/>
      </c>
      <c r="L1444" s="20" t="n"/>
      <c r="M1444" s="20">
        <f>IFERROR(INDEX(CONFIGURACOES!$I$37:$I$300,MATCH($I1444,CONFIGURACOES!$B$37:$B$300,0)),"")</f>
        <v/>
      </c>
      <c r="N1444" s="21" t="n"/>
      <c r="O1444" s="21" t="n"/>
      <c r="P1444" s="21" t="n"/>
      <c r="Q1444" s="21" t="n"/>
      <c r="R1444" s="21">
        <f>IF($N1444="","",$N1444*IF($Q1444="",1,$Q1444)*IF($P1444="",1,$P1444)*IF($O1444="",1,$O1444))</f>
        <v/>
      </c>
      <c r="S1444" s="22">
        <f>IFERROR(INDEX(CONFIGURACOES!$J$37:$J$300,MATCH($I1444,CONFIGURACOES!$B$37:$B$300,0)),"")</f>
        <v/>
      </c>
      <c r="T1444" s="22">
        <f>IF(OR($R1444="",$S1444=""),"",$R1444*$S1444)</f>
        <v/>
      </c>
      <c r="U1444" s="20" t="n"/>
      <c r="V1444" s="20" t="n"/>
      <c r="W1444" s="20" t="n"/>
      <c r="X1444">
        <f>IF($A1444="","",$A1444&amp;"|"&amp;$C1444&amp;"|"&amp;$I1444)</f>
        <v/>
      </c>
      <c r="Y1444">
        <f>IF(AND($A1444=RELATORIO_MEDICAO!$C$5,$C1444=RELATORIO_MEDICAO!$F$5,$A1444&lt;&gt;""),COUNTIFS($A$3:$A1444,RELATORIO_MEDICAO!$C$5,$C$3:$C1444,RELATORIO_MEDICAO!$F$5),"")</f>
        <v/>
      </c>
      <c r="Z1444">
        <f>IF(OR($A1444="",PESQUISA!$C$4=""),0,IF(OR(ISNUMBER(SEARCH(PESQUISA!$C$4,$G1444)),ISNUMBER(SEARCH(PESQUISA!$C$4,$K1444)),ISNUMBER(SEARCH(PESQUISA!$C$4,$L1444))),1,0))</f>
        <v/>
      </c>
      <c r="AA1444">
        <f>IF($Z1444=1,SUM($Z$3:$Z1444),"")</f>
        <v/>
      </c>
      <c r="AB1444">
        <f>IF(OR($A1444="",PESQUISA!$C$50=""),0,IF(ISNUMBER(SEARCH(PESQUISA!$C$50,$I1444)),1,0))</f>
        <v/>
      </c>
      <c r="AC1444">
        <f>IF($AB1444=1,SUM($AB$3:$AB1444),"")</f>
        <v/>
      </c>
    </row>
    <row r="1445">
      <c r="A1445" s="20" t="n"/>
      <c r="B1445" s="20" t="n"/>
      <c r="C1445" s="20" t="n"/>
      <c r="D1445" s="20" t="n"/>
      <c r="E1445" s="20" t="n"/>
      <c r="F1445" s="20" t="n"/>
      <c r="G1445" s="20" t="n"/>
      <c r="H1445" s="20" t="n"/>
      <c r="I1445" s="20" t="n"/>
      <c r="J1445" s="20">
        <f>IFERROR(INDEX(CONFIGURACOES!$G$37:$G$300,MATCH($I1445,CONFIGURACOES!$B$37:$B$300,0)),"")</f>
        <v/>
      </c>
      <c r="K1445" s="20">
        <f>IFERROR(INDEX(CONFIGURACOES!$H$37:$H$300,MATCH($I1445,CONFIGURACOES!$B$37:$B$300,0)),"")</f>
        <v/>
      </c>
      <c r="L1445" s="20" t="n"/>
      <c r="M1445" s="20">
        <f>IFERROR(INDEX(CONFIGURACOES!$I$37:$I$300,MATCH($I1445,CONFIGURACOES!$B$37:$B$300,0)),"")</f>
        <v/>
      </c>
      <c r="N1445" s="21" t="n"/>
      <c r="O1445" s="21" t="n"/>
      <c r="P1445" s="21" t="n"/>
      <c r="Q1445" s="21" t="n"/>
      <c r="R1445" s="21">
        <f>IF($N1445="","",$N1445*IF($Q1445="",1,$Q1445)*IF($P1445="",1,$P1445)*IF($O1445="",1,$O1445))</f>
        <v/>
      </c>
      <c r="S1445" s="22">
        <f>IFERROR(INDEX(CONFIGURACOES!$J$37:$J$300,MATCH($I1445,CONFIGURACOES!$B$37:$B$300,0)),"")</f>
        <v/>
      </c>
      <c r="T1445" s="22">
        <f>IF(OR($R1445="",$S1445=""),"",$R1445*$S1445)</f>
        <v/>
      </c>
      <c r="U1445" s="20" t="n"/>
      <c r="V1445" s="20" t="n"/>
      <c r="W1445" s="20" t="n"/>
      <c r="X1445">
        <f>IF($A1445="","",$A1445&amp;"|"&amp;$C1445&amp;"|"&amp;$I1445)</f>
        <v/>
      </c>
      <c r="Y1445">
        <f>IF(AND($A1445=RELATORIO_MEDICAO!$C$5,$C1445=RELATORIO_MEDICAO!$F$5,$A1445&lt;&gt;""),COUNTIFS($A$3:$A1445,RELATORIO_MEDICAO!$C$5,$C$3:$C1445,RELATORIO_MEDICAO!$F$5),"")</f>
        <v/>
      </c>
      <c r="Z1445">
        <f>IF(OR($A1445="",PESQUISA!$C$4=""),0,IF(OR(ISNUMBER(SEARCH(PESQUISA!$C$4,$G1445)),ISNUMBER(SEARCH(PESQUISA!$C$4,$K1445)),ISNUMBER(SEARCH(PESQUISA!$C$4,$L1445))),1,0))</f>
        <v/>
      </c>
      <c r="AA1445">
        <f>IF($Z1445=1,SUM($Z$3:$Z1445),"")</f>
        <v/>
      </c>
      <c r="AB1445">
        <f>IF(OR($A1445="",PESQUISA!$C$50=""),0,IF(ISNUMBER(SEARCH(PESQUISA!$C$50,$I1445)),1,0))</f>
        <v/>
      </c>
      <c r="AC1445">
        <f>IF($AB1445=1,SUM($AB$3:$AB1445),"")</f>
        <v/>
      </c>
    </row>
    <row r="1446">
      <c r="A1446" s="20" t="n"/>
      <c r="B1446" s="20" t="n"/>
      <c r="C1446" s="20" t="n"/>
      <c r="D1446" s="20" t="n"/>
      <c r="E1446" s="20" t="n"/>
      <c r="F1446" s="20" t="n"/>
      <c r="G1446" s="20" t="n"/>
      <c r="H1446" s="20" t="n"/>
      <c r="I1446" s="20" t="n"/>
      <c r="J1446" s="20">
        <f>IFERROR(INDEX(CONFIGURACOES!$G$37:$G$300,MATCH($I1446,CONFIGURACOES!$B$37:$B$300,0)),"")</f>
        <v/>
      </c>
      <c r="K1446" s="20">
        <f>IFERROR(INDEX(CONFIGURACOES!$H$37:$H$300,MATCH($I1446,CONFIGURACOES!$B$37:$B$300,0)),"")</f>
        <v/>
      </c>
      <c r="L1446" s="20" t="n"/>
      <c r="M1446" s="20">
        <f>IFERROR(INDEX(CONFIGURACOES!$I$37:$I$300,MATCH($I1446,CONFIGURACOES!$B$37:$B$300,0)),"")</f>
        <v/>
      </c>
      <c r="N1446" s="21" t="n"/>
      <c r="O1446" s="21" t="n"/>
      <c r="P1446" s="21" t="n"/>
      <c r="Q1446" s="21" t="n"/>
      <c r="R1446" s="21">
        <f>IF($N1446="","",$N1446*IF($Q1446="",1,$Q1446)*IF($P1446="",1,$P1446)*IF($O1446="",1,$O1446))</f>
        <v/>
      </c>
      <c r="S1446" s="22">
        <f>IFERROR(INDEX(CONFIGURACOES!$J$37:$J$300,MATCH($I1446,CONFIGURACOES!$B$37:$B$300,0)),"")</f>
        <v/>
      </c>
      <c r="T1446" s="22">
        <f>IF(OR($R1446="",$S1446=""),"",$R1446*$S1446)</f>
        <v/>
      </c>
      <c r="U1446" s="20" t="n"/>
      <c r="V1446" s="20" t="n"/>
      <c r="W1446" s="20" t="n"/>
      <c r="X1446">
        <f>IF($A1446="","",$A1446&amp;"|"&amp;$C1446&amp;"|"&amp;$I1446)</f>
        <v/>
      </c>
      <c r="Y1446">
        <f>IF(AND($A1446=RELATORIO_MEDICAO!$C$5,$C1446=RELATORIO_MEDICAO!$F$5,$A1446&lt;&gt;""),COUNTIFS($A$3:$A1446,RELATORIO_MEDICAO!$C$5,$C$3:$C1446,RELATORIO_MEDICAO!$F$5),"")</f>
        <v/>
      </c>
      <c r="Z1446">
        <f>IF(OR($A1446="",PESQUISA!$C$4=""),0,IF(OR(ISNUMBER(SEARCH(PESQUISA!$C$4,$G1446)),ISNUMBER(SEARCH(PESQUISA!$C$4,$K1446)),ISNUMBER(SEARCH(PESQUISA!$C$4,$L1446))),1,0))</f>
        <v/>
      </c>
      <c r="AA1446">
        <f>IF($Z1446=1,SUM($Z$3:$Z1446),"")</f>
        <v/>
      </c>
      <c r="AB1446">
        <f>IF(OR($A1446="",PESQUISA!$C$50=""),0,IF(ISNUMBER(SEARCH(PESQUISA!$C$50,$I1446)),1,0))</f>
        <v/>
      </c>
      <c r="AC1446">
        <f>IF($AB1446=1,SUM($AB$3:$AB1446),"")</f>
        <v/>
      </c>
    </row>
    <row r="1447">
      <c r="A1447" s="20" t="n"/>
      <c r="B1447" s="20" t="n"/>
      <c r="C1447" s="20" t="n"/>
      <c r="D1447" s="20" t="n"/>
      <c r="E1447" s="20" t="n"/>
      <c r="F1447" s="20" t="n"/>
      <c r="G1447" s="20" t="n"/>
      <c r="H1447" s="20" t="n"/>
      <c r="I1447" s="20" t="n"/>
      <c r="J1447" s="20">
        <f>IFERROR(INDEX(CONFIGURACOES!$G$37:$G$300,MATCH($I1447,CONFIGURACOES!$B$37:$B$300,0)),"")</f>
        <v/>
      </c>
      <c r="K1447" s="20">
        <f>IFERROR(INDEX(CONFIGURACOES!$H$37:$H$300,MATCH($I1447,CONFIGURACOES!$B$37:$B$300,0)),"")</f>
        <v/>
      </c>
      <c r="L1447" s="20" t="n"/>
      <c r="M1447" s="20">
        <f>IFERROR(INDEX(CONFIGURACOES!$I$37:$I$300,MATCH($I1447,CONFIGURACOES!$B$37:$B$300,0)),"")</f>
        <v/>
      </c>
      <c r="N1447" s="21" t="n"/>
      <c r="O1447" s="21" t="n"/>
      <c r="P1447" s="21" t="n"/>
      <c r="Q1447" s="21" t="n"/>
      <c r="R1447" s="21">
        <f>IF($N1447="","",$N1447*IF($Q1447="",1,$Q1447)*IF($P1447="",1,$P1447)*IF($O1447="",1,$O1447))</f>
        <v/>
      </c>
      <c r="S1447" s="22">
        <f>IFERROR(INDEX(CONFIGURACOES!$J$37:$J$300,MATCH($I1447,CONFIGURACOES!$B$37:$B$300,0)),"")</f>
        <v/>
      </c>
      <c r="T1447" s="22">
        <f>IF(OR($R1447="",$S1447=""),"",$R1447*$S1447)</f>
        <v/>
      </c>
      <c r="U1447" s="20" t="n"/>
      <c r="V1447" s="20" t="n"/>
      <c r="W1447" s="20" t="n"/>
      <c r="X1447">
        <f>IF($A1447="","",$A1447&amp;"|"&amp;$C1447&amp;"|"&amp;$I1447)</f>
        <v/>
      </c>
      <c r="Y1447">
        <f>IF(AND($A1447=RELATORIO_MEDICAO!$C$5,$C1447=RELATORIO_MEDICAO!$F$5,$A1447&lt;&gt;""),COUNTIFS($A$3:$A1447,RELATORIO_MEDICAO!$C$5,$C$3:$C1447,RELATORIO_MEDICAO!$F$5),"")</f>
        <v/>
      </c>
      <c r="Z1447">
        <f>IF(OR($A1447="",PESQUISA!$C$4=""),0,IF(OR(ISNUMBER(SEARCH(PESQUISA!$C$4,$G1447)),ISNUMBER(SEARCH(PESQUISA!$C$4,$K1447)),ISNUMBER(SEARCH(PESQUISA!$C$4,$L1447))),1,0))</f>
        <v/>
      </c>
      <c r="AA1447">
        <f>IF($Z1447=1,SUM($Z$3:$Z1447),"")</f>
        <v/>
      </c>
      <c r="AB1447">
        <f>IF(OR($A1447="",PESQUISA!$C$50=""),0,IF(ISNUMBER(SEARCH(PESQUISA!$C$50,$I1447)),1,0))</f>
        <v/>
      </c>
      <c r="AC1447">
        <f>IF($AB1447=1,SUM($AB$3:$AB1447),"")</f>
        <v/>
      </c>
    </row>
    <row r="1448">
      <c r="A1448" s="20" t="n"/>
      <c r="B1448" s="20" t="n"/>
      <c r="C1448" s="20" t="n"/>
      <c r="D1448" s="20" t="n"/>
      <c r="E1448" s="20" t="n"/>
      <c r="F1448" s="20" t="n"/>
      <c r="G1448" s="20" t="n"/>
      <c r="H1448" s="20" t="n"/>
      <c r="I1448" s="20" t="n"/>
      <c r="J1448" s="20">
        <f>IFERROR(INDEX(CONFIGURACOES!$G$37:$G$300,MATCH($I1448,CONFIGURACOES!$B$37:$B$300,0)),"")</f>
        <v/>
      </c>
      <c r="K1448" s="20">
        <f>IFERROR(INDEX(CONFIGURACOES!$H$37:$H$300,MATCH($I1448,CONFIGURACOES!$B$37:$B$300,0)),"")</f>
        <v/>
      </c>
      <c r="L1448" s="20" t="n"/>
      <c r="M1448" s="20">
        <f>IFERROR(INDEX(CONFIGURACOES!$I$37:$I$300,MATCH($I1448,CONFIGURACOES!$B$37:$B$300,0)),"")</f>
        <v/>
      </c>
      <c r="N1448" s="21" t="n"/>
      <c r="O1448" s="21" t="n"/>
      <c r="P1448" s="21" t="n"/>
      <c r="Q1448" s="21" t="n"/>
      <c r="R1448" s="21">
        <f>IF($N1448="","",$N1448*IF($Q1448="",1,$Q1448)*IF($P1448="",1,$P1448)*IF($O1448="",1,$O1448))</f>
        <v/>
      </c>
      <c r="S1448" s="22">
        <f>IFERROR(INDEX(CONFIGURACOES!$J$37:$J$300,MATCH($I1448,CONFIGURACOES!$B$37:$B$300,0)),"")</f>
        <v/>
      </c>
      <c r="T1448" s="22">
        <f>IF(OR($R1448="",$S1448=""),"",$R1448*$S1448)</f>
        <v/>
      </c>
      <c r="U1448" s="20" t="n"/>
      <c r="V1448" s="20" t="n"/>
      <c r="W1448" s="20" t="n"/>
      <c r="X1448">
        <f>IF($A1448="","",$A1448&amp;"|"&amp;$C1448&amp;"|"&amp;$I1448)</f>
        <v/>
      </c>
      <c r="Y1448">
        <f>IF(AND($A1448=RELATORIO_MEDICAO!$C$5,$C1448=RELATORIO_MEDICAO!$F$5,$A1448&lt;&gt;""),COUNTIFS($A$3:$A1448,RELATORIO_MEDICAO!$C$5,$C$3:$C1448,RELATORIO_MEDICAO!$F$5),"")</f>
        <v/>
      </c>
      <c r="Z1448">
        <f>IF(OR($A1448="",PESQUISA!$C$4=""),0,IF(OR(ISNUMBER(SEARCH(PESQUISA!$C$4,$G1448)),ISNUMBER(SEARCH(PESQUISA!$C$4,$K1448)),ISNUMBER(SEARCH(PESQUISA!$C$4,$L1448))),1,0))</f>
        <v/>
      </c>
      <c r="AA1448">
        <f>IF($Z1448=1,SUM($Z$3:$Z1448),"")</f>
        <v/>
      </c>
      <c r="AB1448">
        <f>IF(OR($A1448="",PESQUISA!$C$50=""),0,IF(ISNUMBER(SEARCH(PESQUISA!$C$50,$I1448)),1,0))</f>
        <v/>
      </c>
      <c r="AC1448">
        <f>IF($AB1448=1,SUM($AB$3:$AB1448),"")</f>
        <v/>
      </c>
    </row>
    <row r="1449">
      <c r="A1449" s="20" t="n"/>
      <c r="B1449" s="20" t="n"/>
      <c r="C1449" s="20" t="n"/>
      <c r="D1449" s="20" t="n"/>
      <c r="E1449" s="20" t="n"/>
      <c r="F1449" s="20" t="n"/>
      <c r="G1449" s="20" t="n"/>
      <c r="H1449" s="20" t="n"/>
      <c r="I1449" s="20" t="n"/>
      <c r="J1449" s="20">
        <f>IFERROR(INDEX(CONFIGURACOES!$G$37:$G$300,MATCH($I1449,CONFIGURACOES!$B$37:$B$300,0)),"")</f>
        <v/>
      </c>
      <c r="K1449" s="20">
        <f>IFERROR(INDEX(CONFIGURACOES!$H$37:$H$300,MATCH($I1449,CONFIGURACOES!$B$37:$B$300,0)),"")</f>
        <v/>
      </c>
      <c r="L1449" s="20" t="n"/>
      <c r="M1449" s="20">
        <f>IFERROR(INDEX(CONFIGURACOES!$I$37:$I$300,MATCH($I1449,CONFIGURACOES!$B$37:$B$300,0)),"")</f>
        <v/>
      </c>
      <c r="N1449" s="21" t="n"/>
      <c r="O1449" s="21" t="n"/>
      <c r="P1449" s="21" t="n"/>
      <c r="Q1449" s="21" t="n"/>
      <c r="R1449" s="21">
        <f>IF($N1449="","",$N1449*IF($Q1449="",1,$Q1449)*IF($P1449="",1,$P1449)*IF($O1449="",1,$O1449))</f>
        <v/>
      </c>
      <c r="S1449" s="22">
        <f>IFERROR(INDEX(CONFIGURACOES!$J$37:$J$300,MATCH($I1449,CONFIGURACOES!$B$37:$B$300,0)),"")</f>
        <v/>
      </c>
      <c r="T1449" s="22">
        <f>IF(OR($R1449="",$S1449=""),"",$R1449*$S1449)</f>
        <v/>
      </c>
      <c r="U1449" s="20" t="n"/>
      <c r="V1449" s="20" t="n"/>
      <c r="W1449" s="20" t="n"/>
      <c r="X1449">
        <f>IF($A1449="","",$A1449&amp;"|"&amp;$C1449&amp;"|"&amp;$I1449)</f>
        <v/>
      </c>
      <c r="Y1449">
        <f>IF(AND($A1449=RELATORIO_MEDICAO!$C$5,$C1449=RELATORIO_MEDICAO!$F$5,$A1449&lt;&gt;""),COUNTIFS($A$3:$A1449,RELATORIO_MEDICAO!$C$5,$C$3:$C1449,RELATORIO_MEDICAO!$F$5),"")</f>
        <v/>
      </c>
      <c r="Z1449">
        <f>IF(OR($A1449="",PESQUISA!$C$4=""),0,IF(OR(ISNUMBER(SEARCH(PESQUISA!$C$4,$G1449)),ISNUMBER(SEARCH(PESQUISA!$C$4,$K1449)),ISNUMBER(SEARCH(PESQUISA!$C$4,$L1449))),1,0))</f>
        <v/>
      </c>
      <c r="AA1449">
        <f>IF($Z1449=1,SUM($Z$3:$Z1449),"")</f>
        <v/>
      </c>
      <c r="AB1449">
        <f>IF(OR($A1449="",PESQUISA!$C$50=""),0,IF(ISNUMBER(SEARCH(PESQUISA!$C$50,$I1449)),1,0))</f>
        <v/>
      </c>
      <c r="AC1449">
        <f>IF($AB1449=1,SUM($AB$3:$AB1449),"")</f>
        <v/>
      </c>
    </row>
    <row r="1450">
      <c r="A1450" s="20" t="n"/>
      <c r="B1450" s="20" t="n"/>
      <c r="C1450" s="20" t="n"/>
      <c r="D1450" s="20" t="n"/>
      <c r="E1450" s="20" t="n"/>
      <c r="F1450" s="20" t="n"/>
      <c r="G1450" s="20" t="n"/>
      <c r="H1450" s="20" t="n"/>
      <c r="I1450" s="20" t="n"/>
      <c r="J1450" s="20">
        <f>IFERROR(INDEX(CONFIGURACOES!$G$37:$G$300,MATCH($I1450,CONFIGURACOES!$B$37:$B$300,0)),"")</f>
        <v/>
      </c>
      <c r="K1450" s="20">
        <f>IFERROR(INDEX(CONFIGURACOES!$H$37:$H$300,MATCH($I1450,CONFIGURACOES!$B$37:$B$300,0)),"")</f>
        <v/>
      </c>
      <c r="L1450" s="20" t="n"/>
      <c r="M1450" s="20">
        <f>IFERROR(INDEX(CONFIGURACOES!$I$37:$I$300,MATCH($I1450,CONFIGURACOES!$B$37:$B$300,0)),"")</f>
        <v/>
      </c>
      <c r="N1450" s="21" t="n"/>
      <c r="O1450" s="21" t="n"/>
      <c r="P1450" s="21" t="n"/>
      <c r="Q1450" s="21" t="n"/>
      <c r="R1450" s="21">
        <f>IF($N1450="","",$N1450*IF($Q1450="",1,$Q1450)*IF($P1450="",1,$P1450)*IF($O1450="",1,$O1450))</f>
        <v/>
      </c>
      <c r="S1450" s="22">
        <f>IFERROR(INDEX(CONFIGURACOES!$J$37:$J$300,MATCH($I1450,CONFIGURACOES!$B$37:$B$300,0)),"")</f>
        <v/>
      </c>
      <c r="T1450" s="22">
        <f>IF(OR($R1450="",$S1450=""),"",$R1450*$S1450)</f>
        <v/>
      </c>
      <c r="U1450" s="20" t="n"/>
      <c r="V1450" s="20" t="n"/>
      <c r="W1450" s="20" t="n"/>
      <c r="X1450">
        <f>IF($A1450="","",$A1450&amp;"|"&amp;$C1450&amp;"|"&amp;$I1450)</f>
        <v/>
      </c>
      <c r="Y1450">
        <f>IF(AND($A1450=RELATORIO_MEDICAO!$C$5,$C1450=RELATORIO_MEDICAO!$F$5,$A1450&lt;&gt;""),COUNTIFS($A$3:$A1450,RELATORIO_MEDICAO!$C$5,$C$3:$C1450,RELATORIO_MEDICAO!$F$5),"")</f>
        <v/>
      </c>
      <c r="Z1450">
        <f>IF(OR($A1450="",PESQUISA!$C$4=""),0,IF(OR(ISNUMBER(SEARCH(PESQUISA!$C$4,$G1450)),ISNUMBER(SEARCH(PESQUISA!$C$4,$K1450)),ISNUMBER(SEARCH(PESQUISA!$C$4,$L1450))),1,0))</f>
        <v/>
      </c>
      <c r="AA1450">
        <f>IF($Z1450=1,SUM($Z$3:$Z1450),"")</f>
        <v/>
      </c>
      <c r="AB1450">
        <f>IF(OR($A1450="",PESQUISA!$C$50=""),0,IF(ISNUMBER(SEARCH(PESQUISA!$C$50,$I1450)),1,0))</f>
        <v/>
      </c>
      <c r="AC1450">
        <f>IF($AB1450=1,SUM($AB$3:$AB1450),"")</f>
        <v/>
      </c>
    </row>
    <row r="1451">
      <c r="A1451" s="20" t="n"/>
      <c r="B1451" s="20" t="n"/>
      <c r="C1451" s="20" t="n"/>
      <c r="D1451" s="20" t="n"/>
      <c r="E1451" s="20" t="n"/>
      <c r="F1451" s="20" t="n"/>
      <c r="G1451" s="20" t="n"/>
      <c r="H1451" s="20" t="n"/>
      <c r="I1451" s="20" t="n"/>
      <c r="J1451" s="20">
        <f>IFERROR(INDEX(CONFIGURACOES!$G$37:$G$300,MATCH($I1451,CONFIGURACOES!$B$37:$B$300,0)),"")</f>
        <v/>
      </c>
      <c r="K1451" s="20">
        <f>IFERROR(INDEX(CONFIGURACOES!$H$37:$H$300,MATCH($I1451,CONFIGURACOES!$B$37:$B$300,0)),"")</f>
        <v/>
      </c>
      <c r="L1451" s="20" t="n"/>
      <c r="M1451" s="20">
        <f>IFERROR(INDEX(CONFIGURACOES!$I$37:$I$300,MATCH($I1451,CONFIGURACOES!$B$37:$B$300,0)),"")</f>
        <v/>
      </c>
      <c r="N1451" s="21" t="n"/>
      <c r="O1451" s="21" t="n"/>
      <c r="P1451" s="21" t="n"/>
      <c r="Q1451" s="21" t="n"/>
      <c r="R1451" s="21">
        <f>IF($N1451="","",$N1451*IF($Q1451="",1,$Q1451)*IF($P1451="",1,$P1451)*IF($O1451="",1,$O1451))</f>
        <v/>
      </c>
      <c r="S1451" s="22">
        <f>IFERROR(INDEX(CONFIGURACOES!$J$37:$J$300,MATCH($I1451,CONFIGURACOES!$B$37:$B$300,0)),"")</f>
        <v/>
      </c>
      <c r="T1451" s="22">
        <f>IF(OR($R1451="",$S1451=""),"",$R1451*$S1451)</f>
        <v/>
      </c>
      <c r="U1451" s="20" t="n"/>
      <c r="V1451" s="20" t="n"/>
      <c r="W1451" s="20" t="n"/>
      <c r="X1451">
        <f>IF($A1451="","",$A1451&amp;"|"&amp;$C1451&amp;"|"&amp;$I1451)</f>
        <v/>
      </c>
      <c r="Y1451">
        <f>IF(AND($A1451=RELATORIO_MEDICAO!$C$5,$C1451=RELATORIO_MEDICAO!$F$5,$A1451&lt;&gt;""),COUNTIFS($A$3:$A1451,RELATORIO_MEDICAO!$C$5,$C$3:$C1451,RELATORIO_MEDICAO!$F$5),"")</f>
        <v/>
      </c>
      <c r="Z1451">
        <f>IF(OR($A1451="",PESQUISA!$C$4=""),0,IF(OR(ISNUMBER(SEARCH(PESQUISA!$C$4,$G1451)),ISNUMBER(SEARCH(PESQUISA!$C$4,$K1451)),ISNUMBER(SEARCH(PESQUISA!$C$4,$L1451))),1,0))</f>
        <v/>
      </c>
      <c r="AA1451">
        <f>IF($Z1451=1,SUM($Z$3:$Z1451),"")</f>
        <v/>
      </c>
      <c r="AB1451">
        <f>IF(OR($A1451="",PESQUISA!$C$50=""),0,IF(ISNUMBER(SEARCH(PESQUISA!$C$50,$I1451)),1,0))</f>
        <v/>
      </c>
      <c r="AC1451">
        <f>IF($AB1451=1,SUM($AB$3:$AB1451),"")</f>
        <v/>
      </c>
    </row>
    <row r="1452">
      <c r="A1452" s="20" t="n"/>
      <c r="B1452" s="20" t="n"/>
      <c r="C1452" s="20" t="n"/>
      <c r="D1452" s="20" t="n"/>
      <c r="E1452" s="20" t="n"/>
      <c r="F1452" s="20" t="n"/>
      <c r="G1452" s="20" t="n"/>
      <c r="H1452" s="20" t="n"/>
      <c r="I1452" s="20" t="n"/>
      <c r="J1452" s="20">
        <f>IFERROR(INDEX(CONFIGURACOES!$G$37:$G$300,MATCH($I1452,CONFIGURACOES!$B$37:$B$300,0)),"")</f>
        <v/>
      </c>
      <c r="K1452" s="20">
        <f>IFERROR(INDEX(CONFIGURACOES!$H$37:$H$300,MATCH($I1452,CONFIGURACOES!$B$37:$B$300,0)),"")</f>
        <v/>
      </c>
      <c r="L1452" s="20" t="n"/>
      <c r="M1452" s="20">
        <f>IFERROR(INDEX(CONFIGURACOES!$I$37:$I$300,MATCH($I1452,CONFIGURACOES!$B$37:$B$300,0)),"")</f>
        <v/>
      </c>
      <c r="N1452" s="21" t="n"/>
      <c r="O1452" s="21" t="n"/>
      <c r="P1452" s="21" t="n"/>
      <c r="Q1452" s="21" t="n"/>
      <c r="R1452" s="21">
        <f>IF($N1452="","",$N1452*IF($Q1452="",1,$Q1452)*IF($P1452="",1,$P1452)*IF($O1452="",1,$O1452))</f>
        <v/>
      </c>
      <c r="S1452" s="22">
        <f>IFERROR(INDEX(CONFIGURACOES!$J$37:$J$300,MATCH($I1452,CONFIGURACOES!$B$37:$B$300,0)),"")</f>
        <v/>
      </c>
      <c r="T1452" s="22">
        <f>IF(OR($R1452="",$S1452=""),"",$R1452*$S1452)</f>
        <v/>
      </c>
      <c r="U1452" s="20" t="n"/>
      <c r="V1452" s="20" t="n"/>
      <c r="W1452" s="20" t="n"/>
      <c r="X1452">
        <f>IF($A1452="","",$A1452&amp;"|"&amp;$C1452&amp;"|"&amp;$I1452)</f>
        <v/>
      </c>
      <c r="Y1452">
        <f>IF(AND($A1452=RELATORIO_MEDICAO!$C$5,$C1452=RELATORIO_MEDICAO!$F$5,$A1452&lt;&gt;""),COUNTIFS($A$3:$A1452,RELATORIO_MEDICAO!$C$5,$C$3:$C1452,RELATORIO_MEDICAO!$F$5),"")</f>
        <v/>
      </c>
      <c r="Z1452">
        <f>IF(OR($A1452="",PESQUISA!$C$4=""),0,IF(OR(ISNUMBER(SEARCH(PESQUISA!$C$4,$G1452)),ISNUMBER(SEARCH(PESQUISA!$C$4,$K1452)),ISNUMBER(SEARCH(PESQUISA!$C$4,$L1452))),1,0))</f>
        <v/>
      </c>
      <c r="AA1452">
        <f>IF($Z1452=1,SUM($Z$3:$Z1452),"")</f>
        <v/>
      </c>
      <c r="AB1452">
        <f>IF(OR($A1452="",PESQUISA!$C$50=""),0,IF(ISNUMBER(SEARCH(PESQUISA!$C$50,$I1452)),1,0))</f>
        <v/>
      </c>
      <c r="AC1452">
        <f>IF($AB1452=1,SUM($AB$3:$AB1452),"")</f>
        <v/>
      </c>
    </row>
    <row r="1453">
      <c r="A1453" s="20" t="n"/>
      <c r="B1453" s="20" t="n"/>
      <c r="C1453" s="20" t="n"/>
      <c r="D1453" s="20" t="n"/>
      <c r="E1453" s="20" t="n"/>
      <c r="F1453" s="20" t="n"/>
      <c r="G1453" s="20" t="n"/>
      <c r="H1453" s="20" t="n"/>
      <c r="I1453" s="20" t="n"/>
      <c r="J1453" s="20">
        <f>IFERROR(INDEX(CONFIGURACOES!$G$37:$G$300,MATCH($I1453,CONFIGURACOES!$B$37:$B$300,0)),"")</f>
        <v/>
      </c>
      <c r="K1453" s="20">
        <f>IFERROR(INDEX(CONFIGURACOES!$H$37:$H$300,MATCH($I1453,CONFIGURACOES!$B$37:$B$300,0)),"")</f>
        <v/>
      </c>
      <c r="L1453" s="20" t="n"/>
      <c r="M1453" s="20">
        <f>IFERROR(INDEX(CONFIGURACOES!$I$37:$I$300,MATCH($I1453,CONFIGURACOES!$B$37:$B$300,0)),"")</f>
        <v/>
      </c>
      <c r="N1453" s="21" t="n"/>
      <c r="O1453" s="21" t="n"/>
      <c r="P1453" s="21" t="n"/>
      <c r="Q1453" s="21" t="n"/>
      <c r="R1453" s="21">
        <f>IF($N1453="","",$N1453*IF($Q1453="",1,$Q1453)*IF($P1453="",1,$P1453)*IF($O1453="",1,$O1453))</f>
        <v/>
      </c>
      <c r="S1453" s="22">
        <f>IFERROR(INDEX(CONFIGURACOES!$J$37:$J$300,MATCH($I1453,CONFIGURACOES!$B$37:$B$300,0)),"")</f>
        <v/>
      </c>
      <c r="T1453" s="22">
        <f>IF(OR($R1453="",$S1453=""),"",$R1453*$S1453)</f>
        <v/>
      </c>
      <c r="U1453" s="20" t="n"/>
      <c r="V1453" s="20" t="n"/>
      <c r="W1453" s="20" t="n"/>
      <c r="X1453">
        <f>IF($A1453="","",$A1453&amp;"|"&amp;$C1453&amp;"|"&amp;$I1453)</f>
        <v/>
      </c>
      <c r="Y1453">
        <f>IF(AND($A1453=RELATORIO_MEDICAO!$C$5,$C1453=RELATORIO_MEDICAO!$F$5,$A1453&lt;&gt;""),COUNTIFS($A$3:$A1453,RELATORIO_MEDICAO!$C$5,$C$3:$C1453,RELATORIO_MEDICAO!$F$5),"")</f>
        <v/>
      </c>
      <c r="Z1453">
        <f>IF(OR($A1453="",PESQUISA!$C$4=""),0,IF(OR(ISNUMBER(SEARCH(PESQUISA!$C$4,$G1453)),ISNUMBER(SEARCH(PESQUISA!$C$4,$K1453)),ISNUMBER(SEARCH(PESQUISA!$C$4,$L1453))),1,0))</f>
        <v/>
      </c>
      <c r="AA1453">
        <f>IF($Z1453=1,SUM($Z$3:$Z1453),"")</f>
        <v/>
      </c>
      <c r="AB1453">
        <f>IF(OR($A1453="",PESQUISA!$C$50=""),0,IF(ISNUMBER(SEARCH(PESQUISA!$C$50,$I1453)),1,0))</f>
        <v/>
      </c>
      <c r="AC1453">
        <f>IF($AB1453=1,SUM($AB$3:$AB1453),"")</f>
        <v/>
      </c>
    </row>
    <row r="1454">
      <c r="A1454" s="20" t="n"/>
      <c r="B1454" s="20" t="n"/>
      <c r="C1454" s="20" t="n"/>
      <c r="D1454" s="20" t="n"/>
      <c r="E1454" s="20" t="n"/>
      <c r="F1454" s="20" t="n"/>
      <c r="G1454" s="20" t="n"/>
      <c r="H1454" s="20" t="n"/>
      <c r="I1454" s="20" t="n"/>
      <c r="J1454" s="20">
        <f>IFERROR(INDEX(CONFIGURACOES!$G$37:$G$300,MATCH($I1454,CONFIGURACOES!$B$37:$B$300,0)),"")</f>
        <v/>
      </c>
      <c r="K1454" s="20">
        <f>IFERROR(INDEX(CONFIGURACOES!$H$37:$H$300,MATCH($I1454,CONFIGURACOES!$B$37:$B$300,0)),"")</f>
        <v/>
      </c>
      <c r="L1454" s="20" t="n"/>
      <c r="M1454" s="20">
        <f>IFERROR(INDEX(CONFIGURACOES!$I$37:$I$300,MATCH($I1454,CONFIGURACOES!$B$37:$B$300,0)),"")</f>
        <v/>
      </c>
      <c r="N1454" s="21" t="n"/>
      <c r="O1454" s="21" t="n"/>
      <c r="P1454" s="21" t="n"/>
      <c r="Q1454" s="21" t="n"/>
      <c r="R1454" s="21">
        <f>IF($N1454="","",$N1454*IF($Q1454="",1,$Q1454)*IF($P1454="",1,$P1454)*IF($O1454="",1,$O1454))</f>
        <v/>
      </c>
      <c r="S1454" s="22">
        <f>IFERROR(INDEX(CONFIGURACOES!$J$37:$J$300,MATCH($I1454,CONFIGURACOES!$B$37:$B$300,0)),"")</f>
        <v/>
      </c>
      <c r="T1454" s="22">
        <f>IF(OR($R1454="",$S1454=""),"",$R1454*$S1454)</f>
        <v/>
      </c>
      <c r="U1454" s="20" t="n"/>
      <c r="V1454" s="20" t="n"/>
      <c r="W1454" s="20" t="n"/>
      <c r="X1454">
        <f>IF($A1454="","",$A1454&amp;"|"&amp;$C1454&amp;"|"&amp;$I1454)</f>
        <v/>
      </c>
      <c r="Y1454">
        <f>IF(AND($A1454=RELATORIO_MEDICAO!$C$5,$C1454=RELATORIO_MEDICAO!$F$5,$A1454&lt;&gt;""),COUNTIFS($A$3:$A1454,RELATORIO_MEDICAO!$C$5,$C$3:$C1454,RELATORIO_MEDICAO!$F$5),"")</f>
        <v/>
      </c>
      <c r="Z1454">
        <f>IF(OR($A1454="",PESQUISA!$C$4=""),0,IF(OR(ISNUMBER(SEARCH(PESQUISA!$C$4,$G1454)),ISNUMBER(SEARCH(PESQUISA!$C$4,$K1454)),ISNUMBER(SEARCH(PESQUISA!$C$4,$L1454))),1,0))</f>
        <v/>
      </c>
      <c r="AA1454">
        <f>IF($Z1454=1,SUM($Z$3:$Z1454),"")</f>
        <v/>
      </c>
      <c r="AB1454">
        <f>IF(OR($A1454="",PESQUISA!$C$50=""),0,IF(ISNUMBER(SEARCH(PESQUISA!$C$50,$I1454)),1,0))</f>
        <v/>
      </c>
      <c r="AC1454">
        <f>IF($AB1454=1,SUM($AB$3:$AB1454),"")</f>
        <v/>
      </c>
    </row>
    <row r="1455">
      <c r="A1455" s="20" t="n"/>
      <c r="B1455" s="20" t="n"/>
      <c r="C1455" s="20" t="n"/>
      <c r="D1455" s="20" t="n"/>
      <c r="E1455" s="20" t="n"/>
      <c r="F1455" s="20" t="n"/>
      <c r="G1455" s="20" t="n"/>
      <c r="H1455" s="20" t="n"/>
      <c r="I1455" s="20" t="n"/>
      <c r="J1455" s="20">
        <f>IFERROR(INDEX(CONFIGURACOES!$G$37:$G$300,MATCH($I1455,CONFIGURACOES!$B$37:$B$300,0)),"")</f>
        <v/>
      </c>
      <c r="K1455" s="20">
        <f>IFERROR(INDEX(CONFIGURACOES!$H$37:$H$300,MATCH($I1455,CONFIGURACOES!$B$37:$B$300,0)),"")</f>
        <v/>
      </c>
      <c r="L1455" s="20" t="n"/>
      <c r="M1455" s="20">
        <f>IFERROR(INDEX(CONFIGURACOES!$I$37:$I$300,MATCH($I1455,CONFIGURACOES!$B$37:$B$300,0)),"")</f>
        <v/>
      </c>
      <c r="N1455" s="21" t="n"/>
      <c r="O1455" s="21" t="n"/>
      <c r="P1455" s="21" t="n"/>
      <c r="Q1455" s="21" t="n"/>
      <c r="R1455" s="21">
        <f>IF($N1455="","",$N1455*IF($Q1455="",1,$Q1455)*IF($P1455="",1,$P1455)*IF($O1455="",1,$O1455))</f>
        <v/>
      </c>
      <c r="S1455" s="22">
        <f>IFERROR(INDEX(CONFIGURACOES!$J$37:$J$300,MATCH($I1455,CONFIGURACOES!$B$37:$B$300,0)),"")</f>
        <v/>
      </c>
      <c r="T1455" s="22">
        <f>IF(OR($R1455="",$S1455=""),"",$R1455*$S1455)</f>
        <v/>
      </c>
      <c r="U1455" s="20" t="n"/>
      <c r="V1455" s="20" t="n"/>
      <c r="W1455" s="20" t="n"/>
      <c r="X1455">
        <f>IF($A1455="","",$A1455&amp;"|"&amp;$C1455&amp;"|"&amp;$I1455)</f>
        <v/>
      </c>
      <c r="Y1455">
        <f>IF(AND($A1455=RELATORIO_MEDICAO!$C$5,$C1455=RELATORIO_MEDICAO!$F$5,$A1455&lt;&gt;""),COUNTIFS($A$3:$A1455,RELATORIO_MEDICAO!$C$5,$C$3:$C1455,RELATORIO_MEDICAO!$F$5),"")</f>
        <v/>
      </c>
      <c r="Z1455">
        <f>IF(OR($A1455="",PESQUISA!$C$4=""),0,IF(OR(ISNUMBER(SEARCH(PESQUISA!$C$4,$G1455)),ISNUMBER(SEARCH(PESQUISA!$C$4,$K1455)),ISNUMBER(SEARCH(PESQUISA!$C$4,$L1455))),1,0))</f>
        <v/>
      </c>
      <c r="AA1455">
        <f>IF($Z1455=1,SUM($Z$3:$Z1455),"")</f>
        <v/>
      </c>
      <c r="AB1455">
        <f>IF(OR($A1455="",PESQUISA!$C$50=""),0,IF(ISNUMBER(SEARCH(PESQUISA!$C$50,$I1455)),1,0))</f>
        <v/>
      </c>
      <c r="AC1455">
        <f>IF($AB1455=1,SUM($AB$3:$AB1455),"")</f>
        <v/>
      </c>
    </row>
    <row r="1456">
      <c r="A1456" s="20" t="n"/>
      <c r="B1456" s="20" t="n"/>
      <c r="C1456" s="20" t="n"/>
      <c r="D1456" s="20" t="n"/>
      <c r="E1456" s="20" t="n"/>
      <c r="F1456" s="20" t="n"/>
      <c r="G1456" s="20" t="n"/>
      <c r="H1456" s="20" t="n"/>
      <c r="I1456" s="20" t="n"/>
      <c r="J1456" s="20">
        <f>IFERROR(INDEX(CONFIGURACOES!$G$37:$G$300,MATCH($I1456,CONFIGURACOES!$B$37:$B$300,0)),"")</f>
        <v/>
      </c>
      <c r="K1456" s="20">
        <f>IFERROR(INDEX(CONFIGURACOES!$H$37:$H$300,MATCH($I1456,CONFIGURACOES!$B$37:$B$300,0)),"")</f>
        <v/>
      </c>
      <c r="L1456" s="20" t="n"/>
      <c r="M1456" s="20">
        <f>IFERROR(INDEX(CONFIGURACOES!$I$37:$I$300,MATCH($I1456,CONFIGURACOES!$B$37:$B$300,0)),"")</f>
        <v/>
      </c>
      <c r="N1456" s="21" t="n"/>
      <c r="O1456" s="21" t="n"/>
      <c r="P1456" s="21" t="n"/>
      <c r="Q1456" s="21" t="n"/>
      <c r="R1456" s="21">
        <f>IF($N1456="","",$N1456*IF($Q1456="",1,$Q1456)*IF($P1456="",1,$P1456)*IF($O1456="",1,$O1456))</f>
        <v/>
      </c>
      <c r="S1456" s="22">
        <f>IFERROR(INDEX(CONFIGURACOES!$J$37:$J$300,MATCH($I1456,CONFIGURACOES!$B$37:$B$300,0)),"")</f>
        <v/>
      </c>
      <c r="T1456" s="22">
        <f>IF(OR($R1456="",$S1456=""),"",$R1456*$S1456)</f>
        <v/>
      </c>
      <c r="U1456" s="20" t="n"/>
      <c r="V1456" s="20" t="n"/>
      <c r="W1456" s="20" t="n"/>
      <c r="X1456">
        <f>IF($A1456="","",$A1456&amp;"|"&amp;$C1456&amp;"|"&amp;$I1456)</f>
        <v/>
      </c>
      <c r="Y1456">
        <f>IF(AND($A1456=RELATORIO_MEDICAO!$C$5,$C1456=RELATORIO_MEDICAO!$F$5,$A1456&lt;&gt;""),COUNTIFS($A$3:$A1456,RELATORIO_MEDICAO!$C$5,$C$3:$C1456,RELATORIO_MEDICAO!$F$5),"")</f>
        <v/>
      </c>
      <c r="Z1456">
        <f>IF(OR($A1456="",PESQUISA!$C$4=""),0,IF(OR(ISNUMBER(SEARCH(PESQUISA!$C$4,$G1456)),ISNUMBER(SEARCH(PESQUISA!$C$4,$K1456)),ISNUMBER(SEARCH(PESQUISA!$C$4,$L1456))),1,0))</f>
        <v/>
      </c>
      <c r="AA1456">
        <f>IF($Z1456=1,SUM($Z$3:$Z1456),"")</f>
        <v/>
      </c>
      <c r="AB1456">
        <f>IF(OR($A1456="",PESQUISA!$C$50=""),0,IF(ISNUMBER(SEARCH(PESQUISA!$C$50,$I1456)),1,0))</f>
        <v/>
      </c>
      <c r="AC1456">
        <f>IF($AB1456=1,SUM($AB$3:$AB1456),"")</f>
        <v/>
      </c>
    </row>
    <row r="1457">
      <c r="A1457" s="20" t="n"/>
      <c r="B1457" s="20" t="n"/>
      <c r="C1457" s="20" t="n"/>
      <c r="D1457" s="20" t="n"/>
      <c r="E1457" s="20" t="n"/>
      <c r="F1457" s="20" t="n"/>
      <c r="G1457" s="20" t="n"/>
      <c r="H1457" s="20" t="n"/>
      <c r="I1457" s="20" t="n"/>
      <c r="J1457" s="20">
        <f>IFERROR(INDEX(CONFIGURACOES!$G$37:$G$300,MATCH($I1457,CONFIGURACOES!$B$37:$B$300,0)),"")</f>
        <v/>
      </c>
      <c r="K1457" s="20">
        <f>IFERROR(INDEX(CONFIGURACOES!$H$37:$H$300,MATCH($I1457,CONFIGURACOES!$B$37:$B$300,0)),"")</f>
        <v/>
      </c>
      <c r="L1457" s="20" t="n"/>
      <c r="M1457" s="20">
        <f>IFERROR(INDEX(CONFIGURACOES!$I$37:$I$300,MATCH($I1457,CONFIGURACOES!$B$37:$B$300,0)),"")</f>
        <v/>
      </c>
      <c r="N1457" s="21" t="n"/>
      <c r="O1457" s="21" t="n"/>
      <c r="P1457" s="21" t="n"/>
      <c r="Q1457" s="21" t="n"/>
      <c r="R1457" s="21">
        <f>IF($N1457="","",$N1457*IF($Q1457="",1,$Q1457)*IF($P1457="",1,$P1457)*IF($O1457="",1,$O1457))</f>
        <v/>
      </c>
      <c r="S1457" s="22">
        <f>IFERROR(INDEX(CONFIGURACOES!$J$37:$J$300,MATCH($I1457,CONFIGURACOES!$B$37:$B$300,0)),"")</f>
        <v/>
      </c>
      <c r="T1457" s="22">
        <f>IF(OR($R1457="",$S1457=""),"",$R1457*$S1457)</f>
        <v/>
      </c>
      <c r="U1457" s="20" t="n"/>
      <c r="V1457" s="20" t="n"/>
      <c r="W1457" s="20" t="n"/>
      <c r="X1457">
        <f>IF($A1457="","",$A1457&amp;"|"&amp;$C1457&amp;"|"&amp;$I1457)</f>
        <v/>
      </c>
      <c r="Y1457">
        <f>IF(AND($A1457=RELATORIO_MEDICAO!$C$5,$C1457=RELATORIO_MEDICAO!$F$5,$A1457&lt;&gt;""),COUNTIFS($A$3:$A1457,RELATORIO_MEDICAO!$C$5,$C$3:$C1457,RELATORIO_MEDICAO!$F$5),"")</f>
        <v/>
      </c>
      <c r="Z1457">
        <f>IF(OR($A1457="",PESQUISA!$C$4=""),0,IF(OR(ISNUMBER(SEARCH(PESQUISA!$C$4,$G1457)),ISNUMBER(SEARCH(PESQUISA!$C$4,$K1457)),ISNUMBER(SEARCH(PESQUISA!$C$4,$L1457))),1,0))</f>
        <v/>
      </c>
      <c r="AA1457">
        <f>IF($Z1457=1,SUM($Z$3:$Z1457),"")</f>
        <v/>
      </c>
      <c r="AB1457">
        <f>IF(OR($A1457="",PESQUISA!$C$50=""),0,IF(ISNUMBER(SEARCH(PESQUISA!$C$50,$I1457)),1,0))</f>
        <v/>
      </c>
      <c r="AC1457">
        <f>IF($AB1457=1,SUM($AB$3:$AB1457),"")</f>
        <v/>
      </c>
    </row>
    <row r="1458">
      <c r="A1458" s="20" t="n"/>
      <c r="B1458" s="20" t="n"/>
      <c r="C1458" s="20" t="n"/>
      <c r="D1458" s="20" t="n"/>
      <c r="E1458" s="20" t="n"/>
      <c r="F1458" s="20" t="n"/>
      <c r="G1458" s="20" t="n"/>
      <c r="H1458" s="20" t="n"/>
      <c r="I1458" s="20" t="n"/>
      <c r="J1458" s="20">
        <f>IFERROR(INDEX(CONFIGURACOES!$G$37:$G$300,MATCH($I1458,CONFIGURACOES!$B$37:$B$300,0)),"")</f>
        <v/>
      </c>
      <c r="K1458" s="20">
        <f>IFERROR(INDEX(CONFIGURACOES!$H$37:$H$300,MATCH($I1458,CONFIGURACOES!$B$37:$B$300,0)),"")</f>
        <v/>
      </c>
      <c r="L1458" s="20" t="n"/>
      <c r="M1458" s="20">
        <f>IFERROR(INDEX(CONFIGURACOES!$I$37:$I$300,MATCH($I1458,CONFIGURACOES!$B$37:$B$300,0)),"")</f>
        <v/>
      </c>
      <c r="N1458" s="21" t="n"/>
      <c r="O1458" s="21" t="n"/>
      <c r="P1458" s="21" t="n"/>
      <c r="Q1458" s="21" t="n"/>
      <c r="R1458" s="21">
        <f>IF($N1458="","",$N1458*IF($Q1458="",1,$Q1458)*IF($P1458="",1,$P1458)*IF($O1458="",1,$O1458))</f>
        <v/>
      </c>
      <c r="S1458" s="22">
        <f>IFERROR(INDEX(CONFIGURACOES!$J$37:$J$300,MATCH($I1458,CONFIGURACOES!$B$37:$B$300,0)),"")</f>
        <v/>
      </c>
      <c r="T1458" s="22">
        <f>IF(OR($R1458="",$S1458=""),"",$R1458*$S1458)</f>
        <v/>
      </c>
      <c r="U1458" s="20" t="n"/>
      <c r="V1458" s="20" t="n"/>
      <c r="W1458" s="20" t="n"/>
      <c r="X1458">
        <f>IF($A1458="","",$A1458&amp;"|"&amp;$C1458&amp;"|"&amp;$I1458)</f>
        <v/>
      </c>
      <c r="Y1458">
        <f>IF(AND($A1458=RELATORIO_MEDICAO!$C$5,$C1458=RELATORIO_MEDICAO!$F$5,$A1458&lt;&gt;""),COUNTIFS($A$3:$A1458,RELATORIO_MEDICAO!$C$5,$C$3:$C1458,RELATORIO_MEDICAO!$F$5),"")</f>
        <v/>
      </c>
      <c r="Z1458">
        <f>IF(OR($A1458="",PESQUISA!$C$4=""),0,IF(OR(ISNUMBER(SEARCH(PESQUISA!$C$4,$G1458)),ISNUMBER(SEARCH(PESQUISA!$C$4,$K1458)),ISNUMBER(SEARCH(PESQUISA!$C$4,$L1458))),1,0))</f>
        <v/>
      </c>
      <c r="AA1458">
        <f>IF($Z1458=1,SUM($Z$3:$Z1458),"")</f>
        <v/>
      </c>
      <c r="AB1458">
        <f>IF(OR($A1458="",PESQUISA!$C$50=""),0,IF(ISNUMBER(SEARCH(PESQUISA!$C$50,$I1458)),1,0))</f>
        <v/>
      </c>
      <c r="AC1458">
        <f>IF($AB1458=1,SUM($AB$3:$AB1458),"")</f>
        <v/>
      </c>
    </row>
    <row r="1459">
      <c r="A1459" s="20" t="n"/>
      <c r="B1459" s="20" t="n"/>
      <c r="C1459" s="20" t="n"/>
      <c r="D1459" s="20" t="n"/>
      <c r="E1459" s="20" t="n"/>
      <c r="F1459" s="20" t="n"/>
      <c r="G1459" s="20" t="n"/>
      <c r="H1459" s="20" t="n"/>
      <c r="I1459" s="20" t="n"/>
      <c r="J1459" s="20">
        <f>IFERROR(INDEX(CONFIGURACOES!$G$37:$G$300,MATCH($I1459,CONFIGURACOES!$B$37:$B$300,0)),"")</f>
        <v/>
      </c>
      <c r="K1459" s="20">
        <f>IFERROR(INDEX(CONFIGURACOES!$H$37:$H$300,MATCH($I1459,CONFIGURACOES!$B$37:$B$300,0)),"")</f>
        <v/>
      </c>
      <c r="L1459" s="20" t="n"/>
      <c r="M1459" s="20">
        <f>IFERROR(INDEX(CONFIGURACOES!$I$37:$I$300,MATCH($I1459,CONFIGURACOES!$B$37:$B$300,0)),"")</f>
        <v/>
      </c>
      <c r="N1459" s="21" t="n"/>
      <c r="O1459" s="21" t="n"/>
      <c r="P1459" s="21" t="n"/>
      <c r="Q1459" s="21" t="n"/>
      <c r="R1459" s="21">
        <f>IF($N1459="","",$N1459*IF($Q1459="",1,$Q1459)*IF($P1459="",1,$P1459)*IF($O1459="",1,$O1459))</f>
        <v/>
      </c>
      <c r="S1459" s="22">
        <f>IFERROR(INDEX(CONFIGURACOES!$J$37:$J$300,MATCH($I1459,CONFIGURACOES!$B$37:$B$300,0)),"")</f>
        <v/>
      </c>
      <c r="T1459" s="22">
        <f>IF(OR($R1459="",$S1459=""),"",$R1459*$S1459)</f>
        <v/>
      </c>
      <c r="U1459" s="20" t="n"/>
      <c r="V1459" s="20" t="n"/>
      <c r="W1459" s="20" t="n"/>
      <c r="X1459">
        <f>IF($A1459="","",$A1459&amp;"|"&amp;$C1459&amp;"|"&amp;$I1459)</f>
        <v/>
      </c>
      <c r="Y1459">
        <f>IF(AND($A1459=RELATORIO_MEDICAO!$C$5,$C1459=RELATORIO_MEDICAO!$F$5,$A1459&lt;&gt;""),COUNTIFS($A$3:$A1459,RELATORIO_MEDICAO!$C$5,$C$3:$C1459,RELATORIO_MEDICAO!$F$5),"")</f>
        <v/>
      </c>
      <c r="Z1459">
        <f>IF(OR($A1459="",PESQUISA!$C$4=""),0,IF(OR(ISNUMBER(SEARCH(PESQUISA!$C$4,$G1459)),ISNUMBER(SEARCH(PESQUISA!$C$4,$K1459)),ISNUMBER(SEARCH(PESQUISA!$C$4,$L1459))),1,0))</f>
        <v/>
      </c>
      <c r="AA1459">
        <f>IF($Z1459=1,SUM($Z$3:$Z1459),"")</f>
        <v/>
      </c>
      <c r="AB1459">
        <f>IF(OR($A1459="",PESQUISA!$C$50=""),0,IF(ISNUMBER(SEARCH(PESQUISA!$C$50,$I1459)),1,0))</f>
        <v/>
      </c>
      <c r="AC1459">
        <f>IF($AB1459=1,SUM($AB$3:$AB1459),"")</f>
        <v/>
      </c>
    </row>
    <row r="1460">
      <c r="A1460" s="20" t="n"/>
      <c r="B1460" s="20" t="n"/>
      <c r="C1460" s="20" t="n"/>
      <c r="D1460" s="20" t="n"/>
      <c r="E1460" s="20" t="n"/>
      <c r="F1460" s="20" t="n"/>
      <c r="G1460" s="20" t="n"/>
      <c r="H1460" s="20" t="n"/>
      <c r="I1460" s="20" t="n"/>
      <c r="J1460" s="20">
        <f>IFERROR(INDEX(CONFIGURACOES!$G$37:$G$300,MATCH($I1460,CONFIGURACOES!$B$37:$B$300,0)),"")</f>
        <v/>
      </c>
      <c r="K1460" s="20">
        <f>IFERROR(INDEX(CONFIGURACOES!$H$37:$H$300,MATCH($I1460,CONFIGURACOES!$B$37:$B$300,0)),"")</f>
        <v/>
      </c>
      <c r="L1460" s="20" t="n"/>
      <c r="M1460" s="20">
        <f>IFERROR(INDEX(CONFIGURACOES!$I$37:$I$300,MATCH($I1460,CONFIGURACOES!$B$37:$B$300,0)),"")</f>
        <v/>
      </c>
      <c r="N1460" s="21" t="n"/>
      <c r="O1460" s="21" t="n"/>
      <c r="P1460" s="21" t="n"/>
      <c r="Q1460" s="21" t="n"/>
      <c r="R1460" s="21">
        <f>IF($N1460="","",$N1460*IF($Q1460="",1,$Q1460)*IF($P1460="",1,$P1460)*IF($O1460="",1,$O1460))</f>
        <v/>
      </c>
      <c r="S1460" s="22">
        <f>IFERROR(INDEX(CONFIGURACOES!$J$37:$J$300,MATCH($I1460,CONFIGURACOES!$B$37:$B$300,0)),"")</f>
        <v/>
      </c>
      <c r="T1460" s="22">
        <f>IF(OR($R1460="",$S1460=""),"",$R1460*$S1460)</f>
        <v/>
      </c>
      <c r="U1460" s="20" t="n"/>
      <c r="V1460" s="20" t="n"/>
      <c r="W1460" s="20" t="n"/>
      <c r="X1460">
        <f>IF($A1460="","",$A1460&amp;"|"&amp;$C1460&amp;"|"&amp;$I1460)</f>
        <v/>
      </c>
      <c r="Y1460">
        <f>IF(AND($A1460=RELATORIO_MEDICAO!$C$5,$C1460=RELATORIO_MEDICAO!$F$5,$A1460&lt;&gt;""),COUNTIFS($A$3:$A1460,RELATORIO_MEDICAO!$C$5,$C$3:$C1460,RELATORIO_MEDICAO!$F$5),"")</f>
        <v/>
      </c>
      <c r="Z1460">
        <f>IF(OR($A1460="",PESQUISA!$C$4=""),0,IF(OR(ISNUMBER(SEARCH(PESQUISA!$C$4,$G1460)),ISNUMBER(SEARCH(PESQUISA!$C$4,$K1460)),ISNUMBER(SEARCH(PESQUISA!$C$4,$L1460))),1,0))</f>
        <v/>
      </c>
      <c r="AA1460">
        <f>IF($Z1460=1,SUM($Z$3:$Z1460),"")</f>
        <v/>
      </c>
      <c r="AB1460">
        <f>IF(OR($A1460="",PESQUISA!$C$50=""),0,IF(ISNUMBER(SEARCH(PESQUISA!$C$50,$I1460)),1,0))</f>
        <v/>
      </c>
      <c r="AC1460">
        <f>IF($AB1460=1,SUM($AB$3:$AB1460),"")</f>
        <v/>
      </c>
    </row>
    <row r="1461">
      <c r="A1461" s="20" t="n"/>
      <c r="B1461" s="20" t="n"/>
      <c r="C1461" s="20" t="n"/>
      <c r="D1461" s="20" t="n"/>
      <c r="E1461" s="20" t="n"/>
      <c r="F1461" s="20" t="n"/>
      <c r="G1461" s="20" t="n"/>
      <c r="H1461" s="20" t="n"/>
      <c r="I1461" s="20" t="n"/>
      <c r="J1461" s="20">
        <f>IFERROR(INDEX(CONFIGURACOES!$G$37:$G$300,MATCH($I1461,CONFIGURACOES!$B$37:$B$300,0)),"")</f>
        <v/>
      </c>
      <c r="K1461" s="20">
        <f>IFERROR(INDEX(CONFIGURACOES!$H$37:$H$300,MATCH($I1461,CONFIGURACOES!$B$37:$B$300,0)),"")</f>
        <v/>
      </c>
      <c r="L1461" s="20" t="n"/>
      <c r="M1461" s="20">
        <f>IFERROR(INDEX(CONFIGURACOES!$I$37:$I$300,MATCH($I1461,CONFIGURACOES!$B$37:$B$300,0)),"")</f>
        <v/>
      </c>
      <c r="N1461" s="21" t="n"/>
      <c r="O1461" s="21" t="n"/>
      <c r="P1461" s="21" t="n"/>
      <c r="Q1461" s="21" t="n"/>
      <c r="R1461" s="21">
        <f>IF($N1461="","",$N1461*IF($Q1461="",1,$Q1461)*IF($P1461="",1,$P1461)*IF($O1461="",1,$O1461))</f>
        <v/>
      </c>
      <c r="S1461" s="22">
        <f>IFERROR(INDEX(CONFIGURACOES!$J$37:$J$300,MATCH($I1461,CONFIGURACOES!$B$37:$B$300,0)),"")</f>
        <v/>
      </c>
      <c r="T1461" s="22">
        <f>IF(OR($R1461="",$S1461=""),"",$R1461*$S1461)</f>
        <v/>
      </c>
      <c r="U1461" s="20" t="n"/>
      <c r="V1461" s="20" t="n"/>
      <c r="W1461" s="20" t="n"/>
      <c r="X1461">
        <f>IF($A1461="","",$A1461&amp;"|"&amp;$C1461&amp;"|"&amp;$I1461)</f>
        <v/>
      </c>
      <c r="Y1461">
        <f>IF(AND($A1461=RELATORIO_MEDICAO!$C$5,$C1461=RELATORIO_MEDICAO!$F$5,$A1461&lt;&gt;""),COUNTIFS($A$3:$A1461,RELATORIO_MEDICAO!$C$5,$C$3:$C1461,RELATORIO_MEDICAO!$F$5),"")</f>
        <v/>
      </c>
      <c r="Z1461">
        <f>IF(OR($A1461="",PESQUISA!$C$4=""),0,IF(OR(ISNUMBER(SEARCH(PESQUISA!$C$4,$G1461)),ISNUMBER(SEARCH(PESQUISA!$C$4,$K1461)),ISNUMBER(SEARCH(PESQUISA!$C$4,$L1461))),1,0))</f>
        <v/>
      </c>
      <c r="AA1461">
        <f>IF($Z1461=1,SUM($Z$3:$Z1461),"")</f>
        <v/>
      </c>
      <c r="AB1461">
        <f>IF(OR($A1461="",PESQUISA!$C$50=""),0,IF(ISNUMBER(SEARCH(PESQUISA!$C$50,$I1461)),1,0))</f>
        <v/>
      </c>
      <c r="AC1461">
        <f>IF($AB1461=1,SUM($AB$3:$AB1461),"")</f>
        <v/>
      </c>
    </row>
    <row r="1462">
      <c r="A1462" s="20" t="n"/>
      <c r="B1462" s="20" t="n"/>
      <c r="C1462" s="20" t="n"/>
      <c r="D1462" s="20" t="n"/>
      <c r="E1462" s="20" t="n"/>
      <c r="F1462" s="20" t="n"/>
      <c r="G1462" s="20" t="n"/>
      <c r="H1462" s="20" t="n"/>
      <c r="I1462" s="20" t="n"/>
      <c r="J1462" s="20">
        <f>IFERROR(INDEX(CONFIGURACOES!$G$37:$G$300,MATCH($I1462,CONFIGURACOES!$B$37:$B$300,0)),"")</f>
        <v/>
      </c>
      <c r="K1462" s="20">
        <f>IFERROR(INDEX(CONFIGURACOES!$H$37:$H$300,MATCH($I1462,CONFIGURACOES!$B$37:$B$300,0)),"")</f>
        <v/>
      </c>
      <c r="L1462" s="20" t="n"/>
      <c r="M1462" s="20">
        <f>IFERROR(INDEX(CONFIGURACOES!$I$37:$I$300,MATCH($I1462,CONFIGURACOES!$B$37:$B$300,0)),"")</f>
        <v/>
      </c>
      <c r="N1462" s="21" t="n"/>
      <c r="O1462" s="21" t="n"/>
      <c r="P1462" s="21" t="n"/>
      <c r="Q1462" s="21" t="n"/>
      <c r="R1462" s="21">
        <f>IF($N1462="","",$N1462*IF($Q1462="",1,$Q1462)*IF($P1462="",1,$P1462)*IF($O1462="",1,$O1462))</f>
        <v/>
      </c>
      <c r="S1462" s="22">
        <f>IFERROR(INDEX(CONFIGURACOES!$J$37:$J$300,MATCH($I1462,CONFIGURACOES!$B$37:$B$300,0)),"")</f>
        <v/>
      </c>
      <c r="T1462" s="22">
        <f>IF(OR($R1462="",$S1462=""),"",$R1462*$S1462)</f>
        <v/>
      </c>
      <c r="U1462" s="20" t="n"/>
      <c r="V1462" s="20" t="n"/>
      <c r="W1462" s="20" t="n"/>
      <c r="X1462">
        <f>IF($A1462="","",$A1462&amp;"|"&amp;$C1462&amp;"|"&amp;$I1462)</f>
        <v/>
      </c>
      <c r="Y1462">
        <f>IF(AND($A1462=RELATORIO_MEDICAO!$C$5,$C1462=RELATORIO_MEDICAO!$F$5,$A1462&lt;&gt;""),COUNTIFS($A$3:$A1462,RELATORIO_MEDICAO!$C$5,$C$3:$C1462,RELATORIO_MEDICAO!$F$5),"")</f>
        <v/>
      </c>
      <c r="Z1462">
        <f>IF(OR($A1462="",PESQUISA!$C$4=""),0,IF(OR(ISNUMBER(SEARCH(PESQUISA!$C$4,$G1462)),ISNUMBER(SEARCH(PESQUISA!$C$4,$K1462)),ISNUMBER(SEARCH(PESQUISA!$C$4,$L1462))),1,0))</f>
        <v/>
      </c>
      <c r="AA1462">
        <f>IF($Z1462=1,SUM($Z$3:$Z1462),"")</f>
        <v/>
      </c>
      <c r="AB1462">
        <f>IF(OR($A1462="",PESQUISA!$C$50=""),0,IF(ISNUMBER(SEARCH(PESQUISA!$C$50,$I1462)),1,0))</f>
        <v/>
      </c>
      <c r="AC1462">
        <f>IF($AB1462=1,SUM($AB$3:$AB1462),"")</f>
        <v/>
      </c>
    </row>
    <row r="1463">
      <c r="A1463" s="20" t="n"/>
      <c r="B1463" s="20" t="n"/>
      <c r="C1463" s="20" t="n"/>
      <c r="D1463" s="20" t="n"/>
      <c r="E1463" s="20" t="n"/>
      <c r="F1463" s="20" t="n"/>
      <c r="G1463" s="20" t="n"/>
      <c r="H1463" s="20" t="n"/>
      <c r="I1463" s="20" t="n"/>
      <c r="J1463" s="20">
        <f>IFERROR(INDEX(CONFIGURACOES!$G$37:$G$300,MATCH($I1463,CONFIGURACOES!$B$37:$B$300,0)),"")</f>
        <v/>
      </c>
      <c r="K1463" s="20">
        <f>IFERROR(INDEX(CONFIGURACOES!$H$37:$H$300,MATCH($I1463,CONFIGURACOES!$B$37:$B$300,0)),"")</f>
        <v/>
      </c>
      <c r="L1463" s="20" t="n"/>
      <c r="M1463" s="20">
        <f>IFERROR(INDEX(CONFIGURACOES!$I$37:$I$300,MATCH($I1463,CONFIGURACOES!$B$37:$B$300,0)),"")</f>
        <v/>
      </c>
      <c r="N1463" s="21" t="n"/>
      <c r="O1463" s="21" t="n"/>
      <c r="P1463" s="21" t="n"/>
      <c r="Q1463" s="21" t="n"/>
      <c r="R1463" s="21">
        <f>IF($N1463="","",$N1463*IF($Q1463="",1,$Q1463)*IF($P1463="",1,$P1463)*IF($O1463="",1,$O1463))</f>
        <v/>
      </c>
      <c r="S1463" s="22">
        <f>IFERROR(INDEX(CONFIGURACOES!$J$37:$J$300,MATCH($I1463,CONFIGURACOES!$B$37:$B$300,0)),"")</f>
        <v/>
      </c>
      <c r="T1463" s="22">
        <f>IF(OR($R1463="",$S1463=""),"",$R1463*$S1463)</f>
        <v/>
      </c>
      <c r="U1463" s="20" t="n"/>
      <c r="V1463" s="20" t="n"/>
      <c r="W1463" s="20" t="n"/>
      <c r="X1463">
        <f>IF($A1463="","",$A1463&amp;"|"&amp;$C1463&amp;"|"&amp;$I1463)</f>
        <v/>
      </c>
      <c r="Y1463">
        <f>IF(AND($A1463=RELATORIO_MEDICAO!$C$5,$C1463=RELATORIO_MEDICAO!$F$5,$A1463&lt;&gt;""),COUNTIFS($A$3:$A1463,RELATORIO_MEDICAO!$C$5,$C$3:$C1463,RELATORIO_MEDICAO!$F$5),"")</f>
        <v/>
      </c>
      <c r="Z1463">
        <f>IF(OR($A1463="",PESQUISA!$C$4=""),0,IF(OR(ISNUMBER(SEARCH(PESQUISA!$C$4,$G1463)),ISNUMBER(SEARCH(PESQUISA!$C$4,$K1463)),ISNUMBER(SEARCH(PESQUISA!$C$4,$L1463))),1,0))</f>
        <v/>
      </c>
      <c r="AA1463">
        <f>IF($Z1463=1,SUM($Z$3:$Z1463),"")</f>
        <v/>
      </c>
      <c r="AB1463">
        <f>IF(OR($A1463="",PESQUISA!$C$50=""),0,IF(ISNUMBER(SEARCH(PESQUISA!$C$50,$I1463)),1,0))</f>
        <v/>
      </c>
      <c r="AC1463">
        <f>IF($AB1463=1,SUM($AB$3:$AB1463),"")</f>
        <v/>
      </c>
    </row>
    <row r="1464">
      <c r="A1464" s="20" t="n"/>
      <c r="B1464" s="20" t="n"/>
      <c r="C1464" s="20" t="n"/>
      <c r="D1464" s="20" t="n"/>
      <c r="E1464" s="20" t="n"/>
      <c r="F1464" s="20" t="n"/>
      <c r="G1464" s="20" t="n"/>
      <c r="H1464" s="20" t="n"/>
      <c r="I1464" s="20" t="n"/>
      <c r="J1464" s="20">
        <f>IFERROR(INDEX(CONFIGURACOES!$G$37:$G$300,MATCH($I1464,CONFIGURACOES!$B$37:$B$300,0)),"")</f>
        <v/>
      </c>
      <c r="K1464" s="20">
        <f>IFERROR(INDEX(CONFIGURACOES!$H$37:$H$300,MATCH($I1464,CONFIGURACOES!$B$37:$B$300,0)),"")</f>
        <v/>
      </c>
      <c r="L1464" s="20" t="n"/>
      <c r="M1464" s="20">
        <f>IFERROR(INDEX(CONFIGURACOES!$I$37:$I$300,MATCH($I1464,CONFIGURACOES!$B$37:$B$300,0)),"")</f>
        <v/>
      </c>
      <c r="N1464" s="21" t="n"/>
      <c r="O1464" s="21" t="n"/>
      <c r="P1464" s="21" t="n"/>
      <c r="Q1464" s="21" t="n"/>
      <c r="R1464" s="21">
        <f>IF($N1464="","",$N1464*IF($Q1464="",1,$Q1464)*IF($P1464="",1,$P1464)*IF($O1464="",1,$O1464))</f>
        <v/>
      </c>
      <c r="S1464" s="22">
        <f>IFERROR(INDEX(CONFIGURACOES!$J$37:$J$300,MATCH($I1464,CONFIGURACOES!$B$37:$B$300,0)),"")</f>
        <v/>
      </c>
      <c r="T1464" s="22">
        <f>IF(OR($R1464="",$S1464=""),"",$R1464*$S1464)</f>
        <v/>
      </c>
      <c r="U1464" s="20" t="n"/>
      <c r="V1464" s="20" t="n"/>
      <c r="W1464" s="20" t="n"/>
      <c r="X1464">
        <f>IF($A1464="","",$A1464&amp;"|"&amp;$C1464&amp;"|"&amp;$I1464)</f>
        <v/>
      </c>
      <c r="Y1464">
        <f>IF(AND($A1464=RELATORIO_MEDICAO!$C$5,$C1464=RELATORIO_MEDICAO!$F$5,$A1464&lt;&gt;""),COUNTIFS($A$3:$A1464,RELATORIO_MEDICAO!$C$5,$C$3:$C1464,RELATORIO_MEDICAO!$F$5),"")</f>
        <v/>
      </c>
      <c r="Z1464">
        <f>IF(OR($A1464="",PESQUISA!$C$4=""),0,IF(OR(ISNUMBER(SEARCH(PESQUISA!$C$4,$G1464)),ISNUMBER(SEARCH(PESQUISA!$C$4,$K1464)),ISNUMBER(SEARCH(PESQUISA!$C$4,$L1464))),1,0))</f>
        <v/>
      </c>
      <c r="AA1464">
        <f>IF($Z1464=1,SUM($Z$3:$Z1464),"")</f>
        <v/>
      </c>
      <c r="AB1464">
        <f>IF(OR($A1464="",PESQUISA!$C$50=""),0,IF(ISNUMBER(SEARCH(PESQUISA!$C$50,$I1464)),1,0))</f>
        <v/>
      </c>
      <c r="AC1464">
        <f>IF($AB1464=1,SUM($AB$3:$AB1464),"")</f>
        <v/>
      </c>
    </row>
    <row r="1465">
      <c r="A1465" s="20" t="n"/>
      <c r="B1465" s="20" t="n"/>
      <c r="C1465" s="20" t="n"/>
      <c r="D1465" s="20" t="n"/>
      <c r="E1465" s="20" t="n"/>
      <c r="F1465" s="20" t="n"/>
      <c r="G1465" s="20" t="n"/>
      <c r="H1465" s="20" t="n"/>
      <c r="I1465" s="20" t="n"/>
      <c r="J1465" s="20">
        <f>IFERROR(INDEX(CONFIGURACOES!$G$37:$G$300,MATCH($I1465,CONFIGURACOES!$B$37:$B$300,0)),"")</f>
        <v/>
      </c>
      <c r="K1465" s="20">
        <f>IFERROR(INDEX(CONFIGURACOES!$H$37:$H$300,MATCH($I1465,CONFIGURACOES!$B$37:$B$300,0)),"")</f>
        <v/>
      </c>
      <c r="L1465" s="20" t="n"/>
      <c r="M1465" s="20">
        <f>IFERROR(INDEX(CONFIGURACOES!$I$37:$I$300,MATCH($I1465,CONFIGURACOES!$B$37:$B$300,0)),"")</f>
        <v/>
      </c>
      <c r="N1465" s="21" t="n"/>
      <c r="O1465" s="21" t="n"/>
      <c r="P1465" s="21" t="n"/>
      <c r="Q1465" s="21" t="n"/>
      <c r="R1465" s="21">
        <f>IF($N1465="","",$N1465*IF($Q1465="",1,$Q1465)*IF($P1465="",1,$P1465)*IF($O1465="",1,$O1465))</f>
        <v/>
      </c>
      <c r="S1465" s="22">
        <f>IFERROR(INDEX(CONFIGURACOES!$J$37:$J$300,MATCH($I1465,CONFIGURACOES!$B$37:$B$300,0)),"")</f>
        <v/>
      </c>
      <c r="T1465" s="22">
        <f>IF(OR($R1465="",$S1465=""),"",$R1465*$S1465)</f>
        <v/>
      </c>
      <c r="U1465" s="20" t="n"/>
      <c r="V1465" s="20" t="n"/>
      <c r="W1465" s="20" t="n"/>
      <c r="X1465">
        <f>IF($A1465="","",$A1465&amp;"|"&amp;$C1465&amp;"|"&amp;$I1465)</f>
        <v/>
      </c>
      <c r="Y1465">
        <f>IF(AND($A1465=RELATORIO_MEDICAO!$C$5,$C1465=RELATORIO_MEDICAO!$F$5,$A1465&lt;&gt;""),COUNTIFS($A$3:$A1465,RELATORIO_MEDICAO!$C$5,$C$3:$C1465,RELATORIO_MEDICAO!$F$5),"")</f>
        <v/>
      </c>
      <c r="Z1465">
        <f>IF(OR($A1465="",PESQUISA!$C$4=""),0,IF(OR(ISNUMBER(SEARCH(PESQUISA!$C$4,$G1465)),ISNUMBER(SEARCH(PESQUISA!$C$4,$K1465)),ISNUMBER(SEARCH(PESQUISA!$C$4,$L1465))),1,0))</f>
        <v/>
      </c>
      <c r="AA1465">
        <f>IF($Z1465=1,SUM($Z$3:$Z1465),"")</f>
        <v/>
      </c>
      <c r="AB1465">
        <f>IF(OR($A1465="",PESQUISA!$C$50=""),0,IF(ISNUMBER(SEARCH(PESQUISA!$C$50,$I1465)),1,0))</f>
        <v/>
      </c>
      <c r="AC1465">
        <f>IF($AB1465=1,SUM($AB$3:$AB1465),"")</f>
        <v/>
      </c>
    </row>
    <row r="1466">
      <c r="A1466" s="20" t="n"/>
      <c r="B1466" s="20" t="n"/>
      <c r="C1466" s="20" t="n"/>
      <c r="D1466" s="20" t="n"/>
      <c r="E1466" s="20" t="n"/>
      <c r="F1466" s="20" t="n"/>
      <c r="G1466" s="20" t="n"/>
      <c r="H1466" s="20" t="n"/>
      <c r="I1466" s="20" t="n"/>
      <c r="J1466" s="20">
        <f>IFERROR(INDEX(CONFIGURACOES!$G$37:$G$300,MATCH($I1466,CONFIGURACOES!$B$37:$B$300,0)),"")</f>
        <v/>
      </c>
      <c r="K1466" s="20">
        <f>IFERROR(INDEX(CONFIGURACOES!$H$37:$H$300,MATCH($I1466,CONFIGURACOES!$B$37:$B$300,0)),"")</f>
        <v/>
      </c>
      <c r="L1466" s="20" t="n"/>
      <c r="M1466" s="20">
        <f>IFERROR(INDEX(CONFIGURACOES!$I$37:$I$300,MATCH($I1466,CONFIGURACOES!$B$37:$B$300,0)),"")</f>
        <v/>
      </c>
      <c r="N1466" s="21" t="n"/>
      <c r="O1466" s="21" t="n"/>
      <c r="P1466" s="21" t="n"/>
      <c r="Q1466" s="21" t="n"/>
      <c r="R1466" s="21">
        <f>IF($N1466="","",$N1466*IF($Q1466="",1,$Q1466)*IF($P1466="",1,$P1466)*IF($O1466="",1,$O1466))</f>
        <v/>
      </c>
      <c r="S1466" s="22">
        <f>IFERROR(INDEX(CONFIGURACOES!$J$37:$J$300,MATCH($I1466,CONFIGURACOES!$B$37:$B$300,0)),"")</f>
        <v/>
      </c>
      <c r="T1466" s="22">
        <f>IF(OR($R1466="",$S1466=""),"",$R1466*$S1466)</f>
        <v/>
      </c>
      <c r="U1466" s="20" t="n"/>
      <c r="V1466" s="20" t="n"/>
      <c r="W1466" s="20" t="n"/>
      <c r="X1466">
        <f>IF($A1466="","",$A1466&amp;"|"&amp;$C1466&amp;"|"&amp;$I1466)</f>
        <v/>
      </c>
      <c r="Y1466">
        <f>IF(AND($A1466=RELATORIO_MEDICAO!$C$5,$C1466=RELATORIO_MEDICAO!$F$5,$A1466&lt;&gt;""),COUNTIFS($A$3:$A1466,RELATORIO_MEDICAO!$C$5,$C$3:$C1466,RELATORIO_MEDICAO!$F$5),"")</f>
        <v/>
      </c>
      <c r="Z1466">
        <f>IF(OR($A1466="",PESQUISA!$C$4=""),0,IF(OR(ISNUMBER(SEARCH(PESQUISA!$C$4,$G1466)),ISNUMBER(SEARCH(PESQUISA!$C$4,$K1466)),ISNUMBER(SEARCH(PESQUISA!$C$4,$L1466))),1,0))</f>
        <v/>
      </c>
      <c r="AA1466">
        <f>IF($Z1466=1,SUM($Z$3:$Z1466),"")</f>
        <v/>
      </c>
      <c r="AB1466">
        <f>IF(OR($A1466="",PESQUISA!$C$50=""),0,IF(ISNUMBER(SEARCH(PESQUISA!$C$50,$I1466)),1,0))</f>
        <v/>
      </c>
      <c r="AC1466">
        <f>IF($AB1466=1,SUM($AB$3:$AB1466),"")</f>
        <v/>
      </c>
    </row>
    <row r="1467">
      <c r="A1467" s="20" t="n"/>
      <c r="B1467" s="20" t="n"/>
      <c r="C1467" s="20" t="n"/>
      <c r="D1467" s="20" t="n"/>
      <c r="E1467" s="20" t="n"/>
      <c r="F1467" s="20" t="n"/>
      <c r="G1467" s="20" t="n"/>
      <c r="H1467" s="20" t="n"/>
      <c r="I1467" s="20" t="n"/>
      <c r="J1467" s="20">
        <f>IFERROR(INDEX(CONFIGURACOES!$G$37:$G$300,MATCH($I1467,CONFIGURACOES!$B$37:$B$300,0)),"")</f>
        <v/>
      </c>
      <c r="K1467" s="20">
        <f>IFERROR(INDEX(CONFIGURACOES!$H$37:$H$300,MATCH($I1467,CONFIGURACOES!$B$37:$B$300,0)),"")</f>
        <v/>
      </c>
      <c r="L1467" s="20" t="n"/>
      <c r="M1467" s="20">
        <f>IFERROR(INDEX(CONFIGURACOES!$I$37:$I$300,MATCH($I1467,CONFIGURACOES!$B$37:$B$300,0)),"")</f>
        <v/>
      </c>
      <c r="N1467" s="21" t="n"/>
      <c r="O1467" s="21" t="n"/>
      <c r="P1467" s="21" t="n"/>
      <c r="Q1467" s="21" t="n"/>
      <c r="R1467" s="21">
        <f>IF($N1467="","",$N1467*IF($Q1467="",1,$Q1467)*IF($P1467="",1,$P1467)*IF($O1467="",1,$O1467))</f>
        <v/>
      </c>
      <c r="S1467" s="22">
        <f>IFERROR(INDEX(CONFIGURACOES!$J$37:$J$300,MATCH($I1467,CONFIGURACOES!$B$37:$B$300,0)),"")</f>
        <v/>
      </c>
      <c r="T1467" s="22">
        <f>IF(OR($R1467="",$S1467=""),"",$R1467*$S1467)</f>
        <v/>
      </c>
      <c r="U1467" s="20" t="n"/>
      <c r="V1467" s="20" t="n"/>
      <c r="W1467" s="20" t="n"/>
      <c r="X1467">
        <f>IF($A1467="","",$A1467&amp;"|"&amp;$C1467&amp;"|"&amp;$I1467)</f>
        <v/>
      </c>
      <c r="Y1467">
        <f>IF(AND($A1467=RELATORIO_MEDICAO!$C$5,$C1467=RELATORIO_MEDICAO!$F$5,$A1467&lt;&gt;""),COUNTIFS($A$3:$A1467,RELATORIO_MEDICAO!$C$5,$C$3:$C1467,RELATORIO_MEDICAO!$F$5),"")</f>
        <v/>
      </c>
      <c r="Z1467">
        <f>IF(OR($A1467="",PESQUISA!$C$4=""),0,IF(OR(ISNUMBER(SEARCH(PESQUISA!$C$4,$G1467)),ISNUMBER(SEARCH(PESQUISA!$C$4,$K1467)),ISNUMBER(SEARCH(PESQUISA!$C$4,$L1467))),1,0))</f>
        <v/>
      </c>
      <c r="AA1467">
        <f>IF($Z1467=1,SUM($Z$3:$Z1467),"")</f>
        <v/>
      </c>
      <c r="AB1467">
        <f>IF(OR($A1467="",PESQUISA!$C$50=""),0,IF(ISNUMBER(SEARCH(PESQUISA!$C$50,$I1467)),1,0))</f>
        <v/>
      </c>
      <c r="AC1467">
        <f>IF($AB1467=1,SUM($AB$3:$AB1467),"")</f>
        <v/>
      </c>
    </row>
    <row r="1468">
      <c r="A1468" s="20" t="n"/>
      <c r="B1468" s="20" t="n"/>
      <c r="C1468" s="20" t="n"/>
      <c r="D1468" s="20" t="n"/>
      <c r="E1468" s="20" t="n"/>
      <c r="F1468" s="20" t="n"/>
      <c r="G1468" s="20" t="n"/>
      <c r="H1468" s="20" t="n"/>
      <c r="I1468" s="20" t="n"/>
      <c r="J1468" s="20">
        <f>IFERROR(INDEX(CONFIGURACOES!$G$37:$G$300,MATCH($I1468,CONFIGURACOES!$B$37:$B$300,0)),"")</f>
        <v/>
      </c>
      <c r="K1468" s="20">
        <f>IFERROR(INDEX(CONFIGURACOES!$H$37:$H$300,MATCH($I1468,CONFIGURACOES!$B$37:$B$300,0)),"")</f>
        <v/>
      </c>
      <c r="L1468" s="20" t="n"/>
      <c r="M1468" s="20">
        <f>IFERROR(INDEX(CONFIGURACOES!$I$37:$I$300,MATCH($I1468,CONFIGURACOES!$B$37:$B$300,0)),"")</f>
        <v/>
      </c>
      <c r="N1468" s="21" t="n"/>
      <c r="O1468" s="21" t="n"/>
      <c r="P1468" s="21" t="n"/>
      <c r="Q1468" s="21" t="n"/>
      <c r="R1468" s="21">
        <f>IF($N1468="","",$N1468*IF($Q1468="",1,$Q1468)*IF($P1468="",1,$P1468)*IF($O1468="",1,$O1468))</f>
        <v/>
      </c>
      <c r="S1468" s="22">
        <f>IFERROR(INDEX(CONFIGURACOES!$J$37:$J$300,MATCH($I1468,CONFIGURACOES!$B$37:$B$300,0)),"")</f>
        <v/>
      </c>
      <c r="T1468" s="22">
        <f>IF(OR($R1468="",$S1468=""),"",$R1468*$S1468)</f>
        <v/>
      </c>
      <c r="U1468" s="20" t="n"/>
      <c r="V1468" s="20" t="n"/>
      <c r="W1468" s="20" t="n"/>
      <c r="X1468">
        <f>IF($A1468="","",$A1468&amp;"|"&amp;$C1468&amp;"|"&amp;$I1468)</f>
        <v/>
      </c>
      <c r="Y1468">
        <f>IF(AND($A1468=RELATORIO_MEDICAO!$C$5,$C1468=RELATORIO_MEDICAO!$F$5,$A1468&lt;&gt;""),COUNTIFS($A$3:$A1468,RELATORIO_MEDICAO!$C$5,$C$3:$C1468,RELATORIO_MEDICAO!$F$5),"")</f>
        <v/>
      </c>
      <c r="Z1468">
        <f>IF(OR($A1468="",PESQUISA!$C$4=""),0,IF(OR(ISNUMBER(SEARCH(PESQUISA!$C$4,$G1468)),ISNUMBER(SEARCH(PESQUISA!$C$4,$K1468)),ISNUMBER(SEARCH(PESQUISA!$C$4,$L1468))),1,0))</f>
        <v/>
      </c>
      <c r="AA1468">
        <f>IF($Z1468=1,SUM($Z$3:$Z1468),"")</f>
        <v/>
      </c>
      <c r="AB1468">
        <f>IF(OR($A1468="",PESQUISA!$C$50=""),0,IF(ISNUMBER(SEARCH(PESQUISA!$C$50,$I1468)),1,0))</f>
        <v/>
      </c>
      <c r="AC1468">
        <f>IF($AB1468=1,SUM($AB$3:$AB1468),"")</f>
        <v/>
      </c>
    </row>
    <row r="1469">
      <c r="A1469" s="20" t="n"/>
      <c r="B1469" s="20" t="n"/>
      <c r="C1469" s="20" t="n"/>
      <c r="D1469" s="20" t="n"/>
      <c r="E1469" s="20" t="n"/>
      <c r="F1469" s="20" t="n"/>
      <c r="G1469" s="20" t="n"/>
      <c r="H1469" s="20" t="n"/>
      <c r="I1469" s="20" t="n"/>
      <c r="J1469" s="20">
        <f>IFERROR(INDEX(CONFIGURACOES!$G$37:$G$300,MATCH($I1469,CONFIGURACOES!$B$37:$B$300,0)),"")</f>
        <v/>
      </c>
      <c r="K1469" s="20">
        <f>IFERROR(INDEX(CONFIGURACOES!$H$37:$H$300,MATCH($I1469,CONFIGURACOES!$B$37:$B$300,0)),"")</f>
        <v/>
      </c>
      <c r="L1469" s="20" t="n"/>
      <c r="M1469" s="20">
        <f>IFERROR(INDEX(CONFIGURACOES!$I$37:$I$300,MATCH($I1469,CONFIGURACOES!$B$37:$B$300,0)),"")</f>
        <v/>
      </c>
      <c r="N1469" s="21" t="n"/>
      <c r="O1469" s="21" t="n"/>
      <c r="P1469" s="21" t="n"/>
      <c r="Q1469" s="21" t="n"/>
      <c r="R1469" s="21">
        <f>IF($N1469="","",$N1469*IF($Q1469="",1,$Q1469)*IF($P1469="",1,$P1469)*IF($O1469="",1,$O1469))</f>
        <v/>
      </c>
      <c r="S1469" s="22">
        <f>IFERROR(INDEX(CONFIGURACOES!$J$37:$J$300,MATCH($I1469,CONFIGURACOES!$B$37:$B$300,0)),"")</f>
        <v/>
      </c>
      <c r="T1469" s="22">
        <f>IF(OR($R1469="",$S1469=""),"",$R1469*$S1469)</f>
        <v/>
      </c>
      <c r="U1469" s="20" t="n"/>
      <c r="V1469" s="20" t="n"/>
      <c r="W1469" s="20" t="n"/>
      <c r="X1469">
        <f>IF($A1469="","",$A1469&amp;"|"&amp;$C1469&amp;"|"&amp;$I1469)</f>
        <v/>
      </c>
      <c r="Y1469">
        <f>IF(AND($A1469=RELATORIO_MEDICAO!$C$5,$C1469=RELATORIO_MEDICAO!$F$5,$A1469&lt;&gt;""),COUNTIFS($A$3:$A1469,RELATORIO_MEDICAO!$C$5,$C$3:$C1469,RELATORIO_MEDICAO!$F$5),"")</f>
        <v/>
      </c>
      <c r="Z1469">
        <f>IF(OR($A1469="",PESQUISA!$C$4=""),0,IF(OR(ISNUMBER(SEARCH(PESQUISA!$C$4,$G1469)),ISNUMBER(SEARCH(PESQUISA!$C$4,$K1469)),ISNUMBER(SEARCH(PESQUISA!$C$4,$L1469))),1,0))</f>
        <v/>
      </c>
      <c r="AA1469">
        <f>IF($Z1469=1,SUM($Z$3:$Z1469),"")</f>
        <v/>
      </c>
      <c r="AB1469">
        <f>IF(OR($A1469="",PESQUISA!$C$50=""),0,IF(ISNUMBER(SEARCH(PESQUISA!$C$50,$I1469)),1,0))</f>
        <v/>
      </c>
      <c r="AC1469">
        <f>IF($AB1469=1,SUM($AB$3:$AB1469),"")</f>
        <v/>
      </c>
    </row>
    <row r="1470">
      <c r="A1470" s="20" t="n"/>
      <c r="B1470" s="20" t="n"/>
      <c r="C1470" s="20" t="n"/>
      <c r="D1470" s="20" t="n"/>
      <c r="E1470" s="20" t="n"/>
      <c r="F1470" s="20" t="n"/>
      <c r="G1470" s="20" t="n"/>
      <c r="H1470" s="20" t="n"/>
      <c r="I1470" s="20" t="n"/>
      <c r="J1470" s="20">
        <f>IFERROR(INDEX(CONFIGURACOES!$G$37:$G$300,MATCH($I1470,CONFIGURACOES!$B$37:$B$300,0)),"")</f>
        <v/>
      </c>
      <c r="K1470" s="20">
        <f>IFERROR(INDEX(CONFIGURACOES!$H$37:$H$300,MATCH($I1470,CONFIGURACOES!$B$37:$B$300,0)),"")</f>
        <v/>
      </c>
      <c r="L1470" s="20" t="n"/>
      <c r="M1470" s="20">
        <f>IFERROR(INDEX(CONFIGURACOES!$I$37:$I$300,MATCH($I1470,CONFIGURACOES!$B$37:$B$300,0)),"")</f>
        <v/>
      </c>
      <c r="N1470" s="21" t="n"/>
      <c r="O1470" s="21" t="n"/>
      <c r="P1470" s="21" t="n"/>
      <c r="Q1470" s="21" t="n"/>
      <c r="R1470" s="21">
        <f>IF($N1470="","",$N1470*IF($Q1470="",1,$Q1470)*IF($P1470="",1,$P1470)*IF($O1470="",1,$O1470))</f>
        <v/>
      </c>
      <c r="S1470" s="22">
        <f>IFERROR(INDEX(CONFIGURACOES!$J$37:$J$300,MATCH($I1470,CONFIGURACOES!$B$37:$B$300,0)),"")</f>
        <v/>
      </c>
      <c r="T1470" s="22">
        <f>IF(OR($R1470="",$S1470=""),"",$R1470*$S1470)</f>
        <v/>
      </c>
      <c r="U1470" s="20" t="n"/>
      <c r="V1470" s="20" t="n"/>
      <c r="W1470" s="20" t="n"/>
      <c r="X1470">
        <f>IF($A1470="","",$A1470&amp;"|"&amp;$C1470&amp;"|"&amp;$I1470)</f>
        <v/>
      </c>
      <c r="Y1470">
        <f>IF(AND($A1470=RELATORIO_MEDICAO!$C$5,$C1470=RELATORIO_MEDICAO!$F$5,$A1470&lt;&gt;""),COUNTIFS($A$3:$A1470,RELATORIO_MEDICAO!$C$5,$C$3:$C1470,RELATORIO_MEDICAO!$F$5),"")</f>
        <v/>
      </c>
      <c r="Z1470">
        <f>IF(OR($A1470="",PESQUISA!$C$4=""),0,IF(OR(ISNUMBER(SEARCH(PESQUISA!$C$4,$G1470)),ISNUMBER(SEARCH(PESQUISA!$C$4,$K1470)),ISNUMBER(SEARCH(PESQUISA!$C$4,$L1470))),1,0))</f>
        <v/>
      </c>
      <c r="AA1470">
        <f>IF($Z1470=1,SUM($Z$3:$Z1470),"")</f>
        <v/>
      </c>
      <c r="AB1470">
        <f>IF(OR($A1470="",PESQUISA!$C$50=""),0,IF(ISNUMBER(SEARCH(PESQUISA!$C$50,$I1470)),1,0))</f>
        <v/>
      </c>
      <c r="AC1470">
        <f>IF($AB1470=1,SUM($AB$3:$AB1470),"")</f>
        <v/>
      </c>
    </row>
    <row r="1471">
      <c r="A1471" s="20" t="n"/>
      <c r="B1471" s="20" t="n"/>
      <c r="C1471" s="20" t="n"/>
      <c r="D1471" s="20" t="n"/>
      <c r="E1471" s="20" t="n"/>
      <c r="F1471" s="20" t="n"/>
      <c r="G1471" s="20" t="n"/>
      <c r="H1471" s="20" t="n"/>
      <c r="I1471" s="20" t="n"/>
      <c r="J1471" s="20">
        <f>IFERROR(INDEX(CONFIGURACOES!$G$37:$G$300,MATCH($I1471,CONFIGURACOES!$B$37:$B$300,0)),"")</f>
        <v/>
      </c>
      <c r="K1471" s="20">
        <f>IFERROR(INDEX(CONFIGURACOES!$H$37:$H$300,MATCH($I1471,CONFIGURACOES!$B$37:$B$300,0)),"")</f>
        <v/>
      </c>
      <c r="L1471" s="20" t="n"/>
      <c r="M1471" s="20">
        <f>IFERROR(INDEX(CONFIGURACOES!$I$37:$I$300,MATCH($I1471,CONFIGURACOES!$B$37:$B$300,0)),"")</f>
        <v/>
      </c>
      <c r="N1471" s="21" t="n"/>
      <c r="O1471" s="21" t="n"/>
      <c r="P1471" s="21" t="n"/>
      <c r="Q1471" s="21" t="n"/>
      <c r="R1471" s="21">
        <f>IF($N1471="","",$N1471*IF($Q1471="",1,$Q1471)*IF($P1471="",1,$P1471)*IF($O1471="",1,$O1471))</f>
        <v/>
      </c>
      <c r="S1471" s="22">
        <f>IFERROR(INDEX(CONFIGURACOES!$J$37:$J$300,MATCH($I1471,CONFIGURACOES!$B$37:$B$300,0)),"")</f>
        <v/>
      </c>
      <c r="T1471" s="22">
        <f>IF(OR($R1471="",$S1471=""),"",$R1471*$S1471)</f>
        <v/>
      </c>
      <c r="U1471" s="20" t="n"/>
      <c r="V1471" s="20" t="n"/>
      <c r="W1471" s="20" t="n"/>
      <c r="X1471">
        <f>IF($A1471="","",$A1471&amp;"|"&amp;$C1471&amp;"|"&amp;$I1471)</f>
        <v/>
      </c>
      <c r="Y1471">
        <f>IF(AND($A1471=RELATORIO_MEDICAO!$C$5,$C1471=RELATORIO_MEDICAO!$F$5,$A1471&lt;&gt;""),COUNTIFS($A$3:$A1471,RELATORIO_MEDICAO!$C$5,$C$3:$C1471,RELATORIO_MEDICAO!$F$5),"")</f>
        <v/>
      </c>
      <c r="Z1471">
        <f>IF(OR($A1471="",PESQUISA!$C$4=""),0,IF(OR(ISNUMBER(SEARCH(PESQUISA!$C$4,$G1471)),ISNUMBER(SEARCH(PESQUISA!$C$4,$K1471)),ISNUMBER(SEARCH(PESQUISA!$C$4,$L1471))),1,0))</f>
        <v/>
      </c>
      <c r="AA1471">
        <f>IF($Z1471=1,SUM($Z$3:$Z1471),"")</f>
        <v/>
      </c>
      <c r="AB1471">
        <f>IF(OR($A1471="",PESQUISA!$C$50=""),0,IF(ISNUMBER(SEARCH(PESQUISA!$C$50,$I1471)),1,0))</f>
        <v/>
      </c>
      <c r="AC1471">
        <f>IF($AB1471=1,SUM($AB$3:$AB1471),"")</f>
        <v/>
      </c>
    </row>
    <row r="1472">
      <c r="A1472" s="20" t="n"/>
      <c r="B1472" s="20" t="n"/>
      <c r="C1472" s="20" t="n"/>
      <c r="D1472" s="20" t="n"/>
      <c r="E1472" s="20" t="n"/>
      <c r="F1472" s="20" t="n"/>
      <c r="G1472" s="20" t="n"/>
      <c r="H1472" s="20" t="n"/>
      <c r="I1472" s="20" t="n"/>
      <c r="J1472" s="20">
        <f>IFERROR(INDEX(CONFIGURACOES!$G$37:$G$300,MATCH($I1472,CONFIGURACOES!$B$37:$B$300,0)),"")</f>
        <v/>
      </c>
      <c r="K1472" s="20">
        <f>IFERROR(INDEX(CONFIGURACOES!$H$37:$H$300,MATCH($I1472,CONFIGURACOES!$B$37:$B$300,0)),"")</f>
        <v/>
      </c>
      <c r="L1472" s="20" t="n"/>
      <c r="M1472" s="20">
        <f>IFERROR(INDEX(CONFIGURACOES!$I$37:$I$300,MATCH($I1472,CONFIGURACOES!$B$37:$B$300,0)),"")</f>
        <v/>
      </c>
      <c r="N1472" s="21" t="n"/>
      <c r="O1472" s="21" t="n"/>
      <c r="P1472" s="21" t="n"/>
      <c r="Q1472" s="21" t="n"/>
      <c r="R1472" s="21">
        <f>IF($N1472="","",$N1472*IF($Q1472="",1,$Q1472)*IF($P1472="",1,$P1472)*IF($O1472="",1,$O1472))</f>
        <v/>
      </c>
      <c r="S1472" s="22">
        <f>IFERROR(INDEX(CONFIGURACOES!$J$37:$J$300,MATCH($I1472,CONFIGURACOES!$B$37:$B$300,0)),"")</f>
        <v/>
      </c>
      <c r="T1472" s="22">
        <f>IF(OR($R1472="",$S1472=""),"",$R1472*$S1472)</f>
        <v/>
      </c>
      <c r="U1472" s="20" t="n"/>
      <c r="V1472" s="20" t="n"/>
      <c r="W1472" s="20" t="n"/>
      <c r="X1472">
        <f>IF($A1472="","",$A1472&amp;"|"&amp;$C1472&amp;"|"&amp;$I1472)</f>
        <v/>
      </c>
      <c r="Y1472">
        <f>IF(AND($A1472=RELATORIO_MEDICAO!$C$5,$C1472=RELATORIO_MEDICAO!$F$5,$A1472&lt;&gt;""),COUNTIFS($A$3:$A1472,RELATORIO_MEDICAO!$C$5,$C$3:$C1472,RELATORIO_MEDICAO!$F$5),"")</f>
        <v/>
      </c>
      <c r="Z1472">
        <f>IF(OR($A1472="",PESQUISA!$C$4=""),0,IF(OR(ISNUMBER(SEARCH(PESQUISA!$C$4,$G1472)),ISNUMBER(SEARCH(PESQUISA!$C$4,$K1472)),ISNUMBER(SEARCH(PESQUISA!$C$4,$L1472))),1,0))</f>
        <v/>
      </c>
      <c r="AA1472">
        <f>IF($Z1472=1,SUM($Z$3:$Z1472),"")</f>
        <v/>
      </c>
      <c r="AB1472">
        <f>IF(OR($A1472="",PESQUISA!$C$50=""),0,IF(ISNUMBER(SEARCH(PESQUISA!$C$50,$I1472)),1,0))</f>
        <v/>
      </c>
      <c r="AC1472">
        <f>IF($AB1472=1,SUM($AB$3:$AB1472),"")</f>
        <v/>
      </c>
    </row>
    <row r="1473">
      <c r="A1473" s="20" t="n"/>
      <c r="B1473" s="20" t="n"/>
      <c r="C1473" s="20" t="n"/>
      <c r="D1473" s="20" t="n"/>
      <c r="E1473" s="20" t="n"/>
      <c r="F1473" s="20" t="n"/>
      <c r="G1473" s="20" t="n"/>
      <c r="H1473" s="20" t="n"/>
      <c r="I1473" s="20" t="n"/>
      <c r="J1473" s="20">
        <f>IFERROR(INDEX(CONFIGURACOES!$G$37:$G$300,MATCH($I1473,CONFIGURACOES!$B$37:$B$300,0)),"")</f>
        <v/>
      </c>
      <c r="K1473" s="20">
        <f>IFERROR(INDEX(CONFIGURACOES!$H$37:$H$300,MATCH($I1473,CONFIGURACOES!$B$37:$B$300,0)),"")</f>
        <v/>
      </c>
      <c r="L1473" s="20" t="n"/>
      <c r="M1473" s="20">
        <f>IFERROR(INDEX(CONFIGURACOES!$I$37:$I$300,MATCH($I1473,CONFIGURACOES!$B$37:$B$300,0)),"")</f>
        <v/>
      </c>
      <c r="N1473" s="21" t="n"/>
      <c r="O1473" s="21" t="n"/>
      <c r="P1473" s="21" t="n"/>
      <c r="Q1473" s="21" t="n"/>
      <c r="R1473" s="21">
        <f>IF($N1473="","",$N1473*IF($Q1473="",1,$Q1473)*IF($P1473="",1,$P1473)*IF($O1473="",1,$O1473))</f>
        <v/>
      </c>
      <c r="S1473" s="22">
        <f>IFERROR(INDEX(CONFIGURACOES!$J$37:$J$300,MATCH($I1473,CONFIGURACOES!$B$37:$B$300,0)),"")</f>
        <v/>
      </c>
      <c r="T1473" s="22">
        <f>IF(OR($R1473="",$S1473=""),"",$R1473*$S1473)</f>
        <v/>
      </c>
      <c r="U1473" s="20" t="n"/>
      <c r="V1473" s="20" t="n"/>
      <c r="W1473" s="20" t="n"/>
      <c r="X1473">
        <f>IF($A1473="","",$A1473&amp;"|"&amp;$C1473&amp;"|"&amp;$I1473)</f>
        <v/>
      </c>
      <c r="Y1473">
        <f>IF(AND($A1473=RELATORIO_MEDICAO!$C$5,$C1473=RELATORIO_MEDICAO!$F$5,$A1473&lt;&gt;""),COUNTIFS($A$3:$A1473,RELATORIO_MEDICAO!$C$5,$C$3:$C1473,RELATORIO_MEDICAO!$F$5),"")</f>
        <v/>
      </c>
      <c r="Z1473">
        <f>IF(OR($A1473="",PESQUISA!$C$4=""),0,IF(OR(ISNUMBER(SEARCH(PESQUISA!$C$4,$G1473)),ISNUMBER(SEARCH(PESQUISA!$C$4,$K1473)),ISNUMBER(SEARCH(PESQUISA!$C$4,$L1473))),1,0))</f>
        <v/>
      </c>
      <c r="AA1473">
        <f>IF($Z1473=1,SUM($Z$3:$Z1473),"")</f>
        <v/>
      </c>
      <c r="AB1473">
        <f>IF(OR($A1473="",PESQUISA!$C$50=""),0,IF(ISNUMBER(SEARCH(PESQUISA!$C$50,$I1473)),1,0))</f>
        <v/>
      </c>
      <c r="AC1473">
        <f>IF($AB1473=1,SUM($AB$3:$AB1473),"")</f>
        <v/>
      </c>
    </row>
    <row r="1474">
      <c r="A1474" s="20" t="n"/>
      <c r="B1474" s="20" t="n"/>
      <c r="C1474" s="20" t="n"/>
      <c r="D1474" s="20" t="n"/>
      <c r="E1474" s="20" t="n"/>
      <c r="F1474" s="20" t="n"/>
      <c r="G1474" s="20" t="n"/>
      <c r="H1474" s="20" t="n"/>
      <c r="I1474" s="20" t="n"/>
      <c r="J1474" s="20">
        <f>IFERROR(INDEX(CONFIGURACOES!$G$37:$G$300,MATCH($I1474,CONFIGURACOES!$B$37:$B$300,0)),"")</f>
        <v/>
      </c>
      <c r="K1474" s="20">
        <f>IFERROR(INDEX(CONFIGURACOES!$H$37:$H$300,MATCH($I1474,CONFIGURACOES!$B$37:$B$300,0)),"")</f>
        <v/>
      </c>
      <c r="L1474" s="20" t="n"/>
      <c r="M1474" s="20">
        <f>IFERROR(INDEX(CONFIGURACOES!$I$37:$I$300,MATCH($I1474,CONFIGURACOES!$B$37:$B$300,0)),"")</f>
        <v/>
      </c>
      <c r="N1474" s="21" t="n"/>
      <c r="O1474" s="21" t="n"/>
      <c r="P1474" s="21" t="n"/>
      <c r="Q1474" s="21" t="n"/>
      <c r="R1474" s="21">
        <f>IF($N1474="","",$N1474*IF($Q1474="",1,$Q1474)*IF($P1474="",1,$P1474)*IF($O1474="",1,$O1474))</f>
        <v/>
      </c>
      <c r="S1474" s="22">
        <f>IFERROR(INDEX(CONFIGURACOES!$J$37:$J$300,MATCH($I1474,CONFIGURACOES!$B$37:$B$300,0)),"")</f>
        <v/>
      </c>
      <c r="T1474" s="22">
        <f>IF(OR($R1474="",$S1474=""),"",$R1474*$S1474)</f>
        <v/>
      </c>
      <c r="U1474" s="20" t="n"/>
      <c r="V1474" s="20" t="n"/>
      <c r="W1474" s="20" t="n"/>
      <c r="X1474">
        <f>IF($A1474="","",$A1474&amp;"|"&amp;$C1474&amp;"|"&amp;$I1474)</f>
        <v/>
      </c>
      <c r="Y1474">
        <f>IF(AND($A1474=RELATORIO_MEDICAO!$C$5,$C1474=RELATORIO_MEDICAO!$F$5,$A1474&lt;&gt;""),COUNTIFS($A$3:$A1474,RELATORIO_MEDICAO!$C$5,$C$3:$C1474,RELATORIO_MEDICAO!$F$5),"")</f>
        <v/>
      </c>
      <c r="Z1474">
        <f>IF(OR($A1474="",PESQUISA!$C$4=""),0,IF(OR(ISNUMBER(SEARCH(PESQUISA!$C$4,$G1474)),ISNUMBER(SEARCH(PESQUISA!$C$4,$K1474)),ISNUMBER(SEARCH(PESQUISA!$C$4,$L1474))),1,0))</f>
        <v/>
      </c>
      <c r="AA1474">
        <f>IF($Z1474=1,SUM($Z$3:$Z1474),"")</f>
        <v/>
      </c>
      <c r="AB1474">
        <f>IF(OR($A1474="",PESQUISA!$C$50=""),0,IF(ISNUMBER(SEARCH(PESQUISA!$C$50,$I1474)),1,0))</f>
        <v/>
      </c>
      <c r="AC1474">
        <f>IF($AB1474=1,SUM($AB$3:$AB1474),"")</f>
        <v/>
      </c>
    </row>
    <row r="1475">
      <c r="A1475" s="20" t="n"/>
      <c r="B1475" s="20" t="n"/>
      <c r="C1475" s="20" t="n"/>
      <c r="D1475" s="20" t="n"/>
      <c r="E1475" s="20" t="n"/>
      <c r="F1475" s="20" t="n"/>
      <c r="G1475" s="20" t="n"/>
      <c r="H1475" s="20" t="n"/>
      <c r="I1475" s="20" t="n"/>
      <c r="J1475" s="20">
        <f>IFERROR(INDEX(CONFIGURACOES!$G$37:$G$300,MATCH($I1475,CONFIGURACOES!$B$37:$B$300,0)),"")</f>
        <v/>
      </c>
      <c r="K1475" s="20">
        <f>IFERROR(INDEX(CONFIGURACOES!$H$37:$H$300,MATCH($I1475,CONFIGURACOES!$B$37:$B$300,0)),"")</f>
        <v/>
      </c>
      <c r="L1475" s="20" t="n"/>
      <c r="M1475" s="20">
        <f>IFERROR(INDEX(CONFIGURACOES!$I$37:$I$300,MATCH($I1475,CONFIGURACOES!$B$37:$B$300,0)),"")</f>
        <v/>
      </c>
      <c r="N1475" s="21" t="n"/>
      <c r="O1475" s="21" t="n"/>
      <c r="P1475" s="21" t="n"/>
      <c r="Q1475" s="21" t="n"/>
      <c r="R1475" s="21">
        <f>IF($N1475="","",$N1475*IF($Q1475="",1,$Q1475)*IF($P1475="",1,$P1475)*IF($O1475="",1,$O1475))</f>
        <v/>
      </c>
      <c r="S1475" s="22">
        <f>IFERROR(INDEX(CONFIGURACOES!$J$37:$J$300,MATCH($I1475,CONFIGURACOES!$B$37:$B$300,0)),"")</f>
        <v/>
      </c>
      <c r="T1475" s="22">
        <f>IF(OR($R1475="",$S1475=""),"",$R1475*$S1475)</f>
        <v/>
      </c>
      <c r="U1475" s="20" t="n"/>
      <c r="V1475" s="20" t="n"/>
      <c r="W1475" s="20" t="n"/>
      <c r="X1475">
        <f>IF($A1475="","",$A1475&amp;"|"&amp;$C1475&amp;"|"&amp;$I1475)</f>
        <v/>
      </c>
      <c r="Y1475">
        <f>IF(AND($A1475=RELATORIO_MEDICAO!$C$5,$C1475=RELATORIO_MEDICAO!$F$5,$A1475&lt;&gt;""),COUNTIFS($A$3:$A1475,RELATORIO_MEDICAO!$C$5,$C$3:$C1475,RELATORIO_MEDICAO!$F$5),"")</f>
        <v/>
      </c>
      <c r="Z1475">
        <f>IF(OR($A1475="",PESQUISA!$C$4=""),0,IF(OR(ISNUMBER(SEARCH(PESQUISA!$C$4,$G1475)),ISNUMBER(SEARCH(PESQUISA!$C$4,$K1475)),ISNUMBER(SEARCH(PESQUISA!$C$4,$L1475))),1,0))</f>
        <v/>
      </c>
      <c r="AA1475">
        <f>IF($Z1475=1,SUM($Z$3:$Z1475),"")</f>
        <v/>
      </c>
      <c r="AB1475">
        <f>IF(OR($A1475="",PESQUISA!$C$50=""),0,IF(ISNUMBER(SEARCH(PESQUISA!$C$50,$I1475)),1,0))</f>
        <v/>
      </c>
      <c r="AC1475">
        <f>IF($AB1475=1,SUM($AB$3:$AB1475),"")</f>
        <v/>
      </c>
    </row>
    <row r="1476">
      <c r="A1476" s="20" t="n"/>
      <c r="B1476" s="20" t="n"/>
      <c r="C1476" s="20" t="n"/>
      <c r="D1476" s="20" t="n"/>
      <c r="E1476" s="20" t="n"/>
      <c r="F1476" s="20" t="n"/>
      <c r="G1476" s="20" t="n"/>
      <c r="H1476" s="20" t="n"/>
      <c r="I1476" s="20" t="n"/>
      <c r="J1476" s="20">
        <f>IFERROR(INDEX(CONFIGURACOES!$G$37:$G$300,MATCH($I1476,CONFIGURACOES!$B$37:$B$300,0)),"")</f>
        <v/>
      </c>
      <c r="K1476" s="20">
        <f>IFERROR(INDEX(CONFIGURACOES!$H$37:$H$300,MATCH($I1476,CONFIGURACOES!$B$37:$B$300,0)),"")</f>
        <v/>
      </c>
      <c r="L1476" s="20" t="n"/>
      <c r="M1476" s="20">
        <f>IFERROR(INDEX(CONFIGURACOES!$I$37:$I$300,MATCH($I1476,CONFIGURACOES!$B$37:$B$300,0)),"")</f>
        <v/>
      </c>
      <c r="N1476" s="21" t="n"/>
      <c r="O1476" s="21" t="n"/>
      <c r="P1476" s="21" t="n"/>
      <c r="Q1476" s="21" t="n"/>
      <c r="R1476" s="21">
        <f>IF($N1476="","",$N1476*IF($Q1476="",1,$Q1476)*IF($P1476="",1,$P1476)*IF($O1476="",1,$O1476))</f>
        <v/>
      </c>
      <c r="S1476" s="22">
        <f>IFERROR(INDEX(CONFIGURACOES!$J$37:$J$300,MATCH($I1476,CONFIGURACOES!$B$37:$B$300,0)),"")</f>
        <v/>
      </c>
      <c r="T1476" s="22">
        <f>IF(OR($R1476="",$S1476=""),"",$R1476*$S1476)</f>
        <v/>
      </c>
      <c r="U1476" s="20" t="n"/>
      <c r="V1476" s="20" t="n"/>
      <c r="W1476" s="20" t="n"/>
      <c r="X1476">
        <f>IF($A1476="","",$A1476&amp;"|"&amp;$C1476&amp;"|"&amp;$I1476)</f>
        <v/>
      </c>
      <c r="Y1476">
        <f>IF(AND($A1476=RELATORIO_MEDICAO!$C$5,$C1476=RELATORIO_MEDICAO!$F$5,$A1476&lt;&gt;""),COUNTIFS($A$3:$A1476,RELATORIO_MEDICAO!$C$5,$C$3:$C1476,RELATORIO_MEDICAO!$F$5),"")</f>
        <v/>
      </c>
      <c r="Z1476">
        <f>IF(OR($A1476="",PESQUISA!$C$4=""),0,IF(OR(ISNUMBER(SEARCH(PESQUISA!$C$4,$G1476)),ISNUMBER(SEARCH(PESQUISA!$C$4,$K1476)),ISNUMBER(SEARCH(PESQUISA!$C$4,$L1476))),1,0))</f>
        <v/>
      </c>
      <c r="AA1476">
        <f>IF($Z1476=1,SUM($Z$3:$Z1476),"")</f>
        <v/>
      </c>
      <c r="AB1476">
        <f>IF(OR($A1476="",PESQUISA!$C$50=""),0,IF(ISNUMBER(SEARCH(PESQUISA!$C$50,$I1476)),1,0))</f>
        <v/>
      </c>
      <c r="AC1476">
        <f>IF($AB1476=1,SUM($AB$3:$AB1476),"")</f>
        <v/>
      </c>
    </row>
    <row r="1477">
      <c r="A1477" s="20" t="n"/>
      <c r="B1477" s="20" t="n"/>
      <c r="C1477" s="20" t="n"/>
      <c r="D1477" s="20" t="n"/>
      <c r="E1477" s="20" t="n"/>
      <c r="F1477" s="20" t="n"/>
      <c r="G1477" s="20" t="n"/>
      <c r="H1477" s="20" t="n"/>
      <c r="I1477" s="20" t="n"/>
      <c r="J1477" s="20">
        <f>IFERROR(INDEX(CONFIGURACOES!$G$37:$G$300,MATCH($I1477,CONFIGURACOES!$B$37:$B$300,0)),"")</f>
        <v/>
      </c>
      <c r="K1477" s="20">
        <f>IFERROR(INDEX(CONFIGURACOES!$H$37:$H$300,MATCH($I1477,CONFIGURACOES!$B$37:$B$300,0)),"")</f>
        <v/>
      </c>
      <c r="L1477" s="20" t="n"/>
      <c r="M1477" s="20">
        <f>IFERROR(INDEX(CONFIGURACOES!$I$37:$I$300,MATCH($I1477,CONFIGURACOES!$B$37:$B$300,0)),"")</f>
        <v/>
      </c>
      <c r="N1477" s="21" t="n"/>
      <c r="O1477" s="21" t="n"/>
      <c r="P1477" s="21" t="n"/>
      <c r="Q1477" s="21" t="n"/>
      <c r="R1477" s="21">
        <f>IF($N1477="","",$N1477*IF($Q1477="",1,$Q1477)*IF($P1477="",1,$P1477)*IF($O1477="",1,$O1477))</f>
        <v/>
      </c>
      <c r="S1477" s="22">
        <f>IFERROR(INDEX(CONFIGURACOES!$J$37:$J$300,MATCH($I1477,CONFIGURACOES!$B$37:$B$300,0)),"")</f>
        <v/>
      </c>
      <c r="T1477" s="22">
        <f>IF(OR($R1477="",$S1477=""),"",$R1477*$S1477)</f>
        <v/>
      </c>
      <c r="U1477" s="20" t="n"/>
      <c r="V1477" s="20" t="n"/>
      <c r="W1477" s="20" t="n"/>
      <c r="X1477">
        <f>IF($A1477="","",$A1477&amp;"|"&amp;$C1477&amp;"|"&amp;$I1477)</f>
        <v/>
      </c>
      <c r="Y1477">
        <f>IF(AND($A1477=RELATORIO_MEDICAO!$C$5,$C1477=RELATORIO_MEDICAO!$F$5,$A1477&lt;&gt;""),COUNTIFS($A$3:$A1477,RELATORIO_MEDICAO!$C$5,$C$3:$C1477,RELATORIO_MEDICAO!$F$5),"")</f>
        <v/>
      </c>
      <c r="Z1477">
        <f>IF(OR($A1477="",PESQUISA!$C$4=""),0,IF(OR(ISNUMBER(SEARCH(PESQUISA!$C$4,$G1477)),ISNUMBER(SEARCH(PESQUISA!$C$4,$K1477)),ISNUMBER(SEARCH(PESQUISA!$C$4,$L1477))),1,0))</f>
        <v/>
      </c>
      <c r="AA1477">
        <f>IF($Z1477=1,SUM($Z$3:$Z1477),"")</f>
        <v/>
      </c>
      <c r="AB1477">
        <f>IF(OR($A1477="",PESQUISA!$C$50=""),0,IF(ISNUMBER(SEARCH(PESQUISA!$C$50,$I1477)),1,0))</f>
        <v/>
      </c>
      <c r="AC1477">
        <f>IF($AB1477=1,SUM($AB$3:$AB1477),"")</f>
        <v/>
      </c>
    </row>
    <row r="1478">
      <c r="A1478" s="20" t="n"/>
      <c r="B1478" s="20" t="n"/>
      <c r="C1478" s="20" t="n"/>
      <c r="D1478" s="20" t="n"/>
      <c r="E1478" s="20" t="n"/>
      <c r="F1478" s="20" t="n"/>
      <c r="G1478" s="20" t="n"/>
      <c r="H1478" s="20" t="n"/>
      <c r="I1478" s="20" t="n"/>
      <c r="J1478" s="20">
        <f>IFERROR(INDEX(CONFIGURACOES!$G$37:$G$300,MATCH($I1478,CONFIGURACOES!$B$37:$B$300,0)),"")</f>
        <v/>
      </c>
      <c r="K1478" s="20">
        <f>IFERROR(INDEX(CONFIGURACOES!$H$37:$H$300,MATCH($I1478,CONFIGURACOES!$B$37:$B$300,0)),"")</f>
        <v/>
      </c>
      <c r="L1478" s="20" t="n"/>
      <c r="M1478" s="20">
        <f>IFERROR(INDEX(CONFIGURACOES!$I$37:$I$300,MATCH($I1478,CONFIGURACOES!$B$37:$B$300,0)),"")</f>
        <v/>
      </c>
      <c r="N1478" s="21" t="n"/>
      <c r="O1478" s="21" t="n"/>
      <c r="P1478" s="21" t="n"/>
      <c r="Q1478" s="21" t="n"/>
      <c r="R1478" s="21">
        <f>IF($N1478="","",$N1478*IF($Q1478="",1,$Q1478)*IF($P1478="",1,$P1478)*IF($O1478="",1,$O1478))</f>
        <v/>
      </c>
      <c r="S1478" s="22">
        <f>IFERROR(INDEX(CONFIGURACOES!$J$37:$J$300,MATCH($I1478,CONFIGURACOES!$B$37:$B$300,0)),"")</f>
        <v/>
      </c>
      <c r="T1478" s="22">
        <f>IF(OR($R1478="",$S1478=""),"",$R1478*$S1478)</f>
        <v/>
      </c>
      <c r="U1478" s="20" t="n"/>
      <c r="V1478" s="20" t="n"/>
      <c r="W1478" s="20" t="n"/>
      <c r="X1478">
        <f>IF($A1478="","",$A1478&amp;"|"&amp;$C1478&amp;"|"&amp;$I1478)</f>
        <v/>
      </c>
      <c r="Y1478">
        <f>IF(AND($A1478=RELATORIO_MEDICAO!$C$5,$C1478=RELATORIO_MEDICAO!$F$5,$A1478&lt;&gt;""),COUNTIFS($A$3:$A1478,RELATORIO_MEDICAO!$C$5,$C$3:$C1478,RELATORIO_MEDICAO!$F$5),"")</f>
        <v/>
      </c>
      <c r="Z1478">
        <f>IF(OR($A1478="",PESQUISA!$C$4=""),0,IF(OR(ISNUMBER(SEARCH(PESQUISA!$C$4,$G1478)),ISNUMBER(SEARCH(PESQUISA!$C$4,$K1478)),ISNUMBER(SEARCH(PESQUISA!$C$4,$L1478))),1,0))</f>
        <v/>
      </c>
      <c r="AA1478">
        <f>IF($Z1478=1,SUM($Z$3:$Z1478),"")</f>
        <v/>
      </c>
      <c r="AB1478">
        <f>IF(OR($A1478="",PESQUISA!$C$50=""),0,IF(ISNUMBER(SEARCH(PESQUISA!$C$50,$I1478)),1,0))</f>
        <v/>
      </c>
      <c r="AC1478">
        <f>IF($AB1478=1,SUM($AB$3:$AB1478),"")</f>
        <v/>
      </c>
    </row>
    <row r="1479">
      <c r="A1479" s="20" t="n"/>
      <c r="B1479" s="20" t="n"/>
      <c r="C1479" s="20" t="n"/>
      <c r="D1479" s="20" t="n"/>
      <c r="E1479" s="20" t="n"/>
      <c r="F1479" s="20" t="n"/>
      <c r="G1479" s="20" t="n"/>
      <c r="H1479" s="20" t="n"/>
      <c r="I1479" s="20" t="n"/>
      <c r="J1479" s="20">
        <f>IFERROR(INDEX(CONFIGURACOES!$G$37:$G$300,MATCH($I1479,CONFIGURACOES!$B$37:$B$300,0)),"")</f>
        <v/>
      </c>
      <c r="K1479" s="20">
        <f>IFERROR(INDEX(CONFIGURACOES!$H$37:$H$300,MATCH($I1479,CONFIGURACOES!$B$37:$B$300,0)),"")</f>
        <v/>
      </c>
      <c r="L1479" s="20" t="n"/>
      <c r="M1479" s="20">
        <f>IFERROR(INDEX(CONFIGURACOES!$I$37:$I$300,MATCH($I1479,CONFIGURACOES!$B$37:$B$300,0)),"")</f>
        <v/>
      </c>
      <c r="N1479" s="21" t="n"/>
      <c r="O1479" s="21" t="n"/>
      <c r="P1479" s="21" t="n"/>
      <c r="Q1479" s="21" t="n"/>
      <c r="R1479" s="21">
        <f>IF($N1479="","",$N1479*IF($Q1479="",1,$Q1479)*IF($P1479="",1,$P1479)*IF($O1479="",1,$O1479))</f>
        <v/>
      </c>
      <c r="S1479" s="22">
        <f>IFERROR(INDEX(CONFIGURACOES!$J$37:$J$300,MATCH($I1479,CONFIGURACOES!$B$37:$B$300,0)),"")</f>
        <v/>
      </c>
      <c r="T1479" s="22">
        <f>IF(OR($R1479="",$S1479=""),"",$R1479*$S1479)</f>
        <v/>
      </c>
      <c r="U1479" s="20" t="n"/>
      <c r="V1479" s="20" t="n"/>
      <c r="W1479" s="20" t="n"/>
      <c r="X1479">
        <f>IF($A1479="","",$A1479&amp;"|"&amp;$C1479&amp;"|"&amp;$I1479)</f>
        <v/>
      </c>
      <c r="Y1479">
        <f>IF(AND($A1479=RELATORIO_MEDICAO!$C$5,$C1479=RELATORIO_MEDICAO!$F$5,$A1479&lt;&gt;""),COUNTIFS($A$3:$A1479,RELATORIO_MEDICAO!$C$5,$C$3:$C1479,RELATORIO_MEDICAO!$F$5),"")</f>
        <v/>
      </c>
      <c r="Z1479">
        <f>IF(OR($A1479="",PESQUISA!$C$4=""),0,IF(OR(ISNUMBER(SEARCH(PESQUISA!$C$4,$G1479)),ISNUMBER(SEARCH(PESQUISA!$C$4,$K1479)),ISNUMBER(SEARCH(PESQUISA!$C$4,$L1479))),1,0))</f>
        <v/>
      </c>
      <c r="AA1479">
        <f>IF($Z1479=1,SUM($Z$3:$Z1479),"")</f>
        <v/>
      </c>
      <c r="AB1479">
        <f>IF(OR($A1479="",PESQUISA!$C$50=""),0,IF(ISNUMBER(SEARCH(PESQUISA!$C$50,$I1479)),1,0))</f>
        <v/>
      </c>
      <c r="AC1479">
        <f>IF($AB1479=1,SUM($AB$3:$AB1479),"")</f>
        <v/>
      </c>
    </row>
    <row r="1480">
      <c r="A1480" s="20" t="n"/>
      <c r="B1480" s="20" t="n"/>
      <c r="C1480" s="20" t="n"/>
      <c r="D1480" s="20" t="n"/>
      <c r="E1480" s="20" t="n"/>
      <c r="F1480" s="20" t="n"/>
      <c r="G1480" s="20" t="n"/>
      <c r="H1480" s="20" t="n"/>
      <c r="I1480" s="20" t="n"/>
      <c r="J1480" s="20">
        <f>IFERROR(INDEX(CONFIGURACOES!$G$37:$G$300,MATCH($I1480,CONFIGURACOES!$B$37:$B$300,0)),"")</f>
        <v/>
      </c>
      <c r="K1480" s="20">
        <f>IFERROR(INDEX(CONFIGURACOES!$H$37:$H$300,MATCH($I1480,CONFIGURACOES!$B$37:$B$300,0)),"")</f>
        <v/>
      </c>
      <c r="L1480" s="20" t="n"/>
      <c r="M1480" s="20">
        <f>IFERROR(INDEX(CONFIGURACOES!$I$37:$I$300,MATCH($I1480,CONFIGURACOES!$B$37:$B$300,0)),"")</f>
        <v/>
      </c>
      <c r="N1480" s="21" t="n"/>
      <c r="O1480" s="21" t="n"/>
      <c r="P1480" s="21" t="n"/>
      <c r="Q1480" s="21" t="n"/>
      <c r="R1480" s="21">
        <f>IF($N1480="","",$N1480*IF($Q1480="",1,$Q1480)*IF($P1480="",1,$P1480)*IF($O1480="",1,$O1480))</f>
        <v/>
      </c>
      <c r="S1480" s="22">
        <f>IFERROR(INDEX(CONFIGURACOES!$J$37:$J$300,MATCH($I1480,CONFIGURACOES!$B$37:$B$300,0)),"")</f>
        <v/>
      </c>
      <c r="T1480" s="22">
        <f>IF(OR($R1480="",$S1480=""),"",$R1480*$S1480)</f>
        <v/>
      </c>
      <c r="U1480" s="20" t="n"/>
      <c r="V1480" s="20" t="n"/>
      <c r="W1480" s="20" t="n"/>
      <c r="X1480">
        <f>IF($A1480="","",$A1480&amp;"|"&amp;$C1480&amp;"|"&amp;$I1480)</f>
        <v/>
      </c>
      <c r="Y1480">
        <f>IF(AND($A1480=RELATORIO_MEDICAO!$C$5,$C1480=RELATORIO_MEDICAO!$F$5,$A1480&lt;&gt;""),COUNTIFS($A$3:$A1480,RELATORIO_MEDICAO!$C$5,$C$3:$C1480,RELATORIO_MEDICAO!$F$5),"")</f>
        <v/>
      </c>
      <c r="Z1480">
        <f>IF(OR($A1480="",PESQUISA!$C$4=""),0,IF(OR(ISNUMBER(SEARCH(PESQUISA!$C$4,$G1480)),ISNUMBER(SEARCH(PESQUISA!$C$4,$K1480)),ISNUMBER(SEARCH(PESQUISA!$C$4,$L1480))),1,0))</f>
        <v/>
      </c>
      <c r="AA1480">
        <f>IF($Z1480=1,SUM($Z$3:$Z1480),"")</f>
        <v/>
      </c>
      <c r="AB1480">
        <f>IF(OR($A1480="",PESQUISA!$C$50=""),0,IF(ISNUMBER(SEARCH(PESQUISA!$C$50,$I1480)),1,0))</f>
        <v/>
      </c>
      <c r="AC1480">
        <f>IF($AB1480=1,SUM($AB$3:$AB1480),"")</f>
        <v/>
      </c>
    </row>
    <row r="1481">
      <c r="A1481" s="20" t="n"/>
      <c r="B1481" s="20" t="n"/>
      <c r="C1481" s="20" t="n"/>
      <c r="D1481" s="20" t="n"/>
      <c r="E1481" s="20" t="n"/>
      <c r="F1481" s="20" t="n"/>
      <c r="G1481" s="20" t="n"/>
      <c r="H1481" s="20" t="n"/>
      <c r="I1481" s="20" t="n"/>
      <c r="J1481" s="20">
        <f>IFERROR(INDEX(CONFIGURACOES!$G$37:$G$300,MATCH($I1481,CONFIGURACOES!$B$37:$B$300,0)),"")</f>
        <v/>
      </c>
      <c r="K1481" s="20">
        <f>IFERROR(INDEX(CONFIGURACOES!$H$37:$H$300,MATCH($I1481,CONFIGURACOES!$B$37:$B$300,0)),"")</f>
        <v/>
      </c>
      <c r="L1481" s="20" t="n"/>
      <c r="M1481" s="20">
        <f>IFERROR(INDEX(CONFIGURACOES!$I$37:$I$300,MATCH($I1481,CONFIGURACOES!$B$37:$B$300,0)),"")</f>
        <v/>
      </c>
      <c r="N1481" s="21" t="n"/>
      <c r="O1481" s="21" t="n"/>
      <c r="P1481" s="21" t="n"/>
      <c r="Q1481" s="21" t="n"/>
      <c r="R1481" s="21">
        <f>IF($N1481="","",$N1481*IF($Q1481="",1,$Q1481)*IF($P1481="",1,$P1481)*IF($O1481="",1,$O1481))</f>
        <v/>
      </c>
      <c r="S1481" s="22">
        <f>IFERROR(INDEX(CONFIGURACOES!$J$37:$J$300,MATCH($I1481,CONFIGURACOES!$B$37:$B$300,0)),"")</f>
        <v/>
      </c>
      <c r="T1481" s="22">
        <f>IF(OR($R1481="",$S1481=""),"",$R1481*$S1481)</f>
        <v/>
      </c>
      <c r="U1481" s="20" t="n"/>
      <c r="V1481" s="20" t="n"/>
      <c r="W1481" s="20" t="n"/>
      <c r="X1481">
        <f>IF($A1481="","",$A1481&amp;"|"&amp;$C1481&amp;"|"&amp;$I1481)</f>
        <v/>
      </c>
      <c r="Y1481">
        <f>IF(AND($A1481=RELATORIO_MEDICAO!$C$5,$C1481=RELATORIO_MEDICAO!$F$5,$A1481&lt;&gt;""),COUNTIFS($A$3:$A1481,RELATORIO_MEDICAO!$C$5,$C$3:$C1481,RELATORIO_MEDICAO!$F$5),"")</f>
        <v/>
      </c>
      <c r="Z1481">
        <f>IF(OR($A1481="",PESQUISA!$C$4=""),0,IF(OR(ISNUMBER(SEARCH(PESQUISA!$C$4,$G1481)),ISNUMBER(SEARCH(PESQUISA!$C$4,$K1481)),ISNUMBER(SEARCH(PESQUISA!$C$4,$L1481))),1,0))</f>
        <v/>
      </c>
      <c r="AA1481">
        <f>IF($Z1481=1,SUM($Z$3:$Z1481),"")</f>
        <v/>
      </c>
      <c r="AB1481">
        <f>IF(OR($A1481="",PESQUISA!$C$50=""),0,IF(ISNUMBER(SEARCH(PESQUISA!$C$50,$I1481)),1,0))</f>
        <v/>
      </c>
      <c r="AC1481">
        <f>IF($AB1481=1,SUM($AB$3:$AB1481),"")</f>
        <v/>
      </c>
    </row>
    <row r="1482">
      <c r="A1482" s="20" t="n"/>
      <c r="B1482" s="20" t="n"/>
      <c r="C1482" s="20" t="n"/>
      <c r="D1482" s="20" t="n"/>
      <c r="E1482" s="20" t="n"/>
      <c r="F1482" s="20" t="n"/>
      <c r="G1482" s="20" t="n"/>
      <c r="H1482" s="20" t="n"/>
      <c r="I1482" s="20" t="n"/>
      <c r="J1482" s="20">
        <f>IFERROR(INDEX(CONFIGURACOES!$G$37:$G$300,MATCH($I1482,CONFIGURACOES!$B$37:$B$300,0)),"")</f>
        <v/>
      </c>
      <c r="K1482" s="20">
        <f>IFERROR(INDEX(CONFIGURACOES!$H$37:$H$300,MATCH($I1482,CONFIGURACOES!$B$37:$B$300,0)),"")</f>
        <v/>
      </c>
      <c r="L1482" s="20" t="n"/>
      <c r="M1482" s="20">
        <f>IFERROR(INDEX(CONFIGURACOES!$I$37:$I$300,MATCH($I1482,CONFIGURACOES!$B$37:$B$300,0)),"")</f>
        <v/>
      </c>
      <c r="N1482" s="21" t="n"/>
      <c r="O1482" s="21" t="n"/>
      <c r="P1482" s="21" t="n"/>
      <c r="Q1482" s="21" t="n"/>
      <c r="R1482" s="21">
        <f>IF($N1482="","",$N1482*IF($Q1482="",1,$Q1482)*IF($P1482="",1,$P1482)*IF($O1482="",1,$O1482))</f>
        <v/>
      </c>
      <c r="S1482" s="22">
        <f>IFERROR(INDEX(CONFIGURACOES!$J$37:$J$300,MATCH($I1482,CONFIGURACOES!$B$37:$B$300,0)),"")</f>
        <v/>
      </c>
      <c r="T1482" s="22">
        <f>IF(OR($R1482="",$S1482=""),"",$R1482*$S1482)</f>
        <v/>
      </c>
      <c r="U1482" s="20" t="n"/>
      <c r="V1482" s="20" t="n"/>
      <c r="W1482" s="20" t="n"/>
      <c r="X1482">
        <f>IF($A1482="","",$A1482&amp;"|"&amp;$C1482&amp;"|"&amp;$I1482)</f>
        <v/>
      </c>
      <c r="Y1482">
        <f>IF(AND($A1482=RELATORIO_MEDICAO!$C$5,$C1482=RELATORIO_MEDICAO!$F$5,$A1482&lt;&gt;""),COUNTIFS($A$3:$A1482,RELATORIO_MEDICAO!$C$5,$C$3:$C1482,RELATORIO_MEDICAO!$F$5),"")</f>
        <v/>
      </c>
      <c r="Z1482">
        <f>IF(OR($A1482="",PESQUISA!$C$4=""),0,IF(OR(ISNUMBER(SEARCH(PESQUISA!$C$4,$G1482)),ISNUMBER(SEARCH(PESQUISA!$C$4,$K1482)),ISNUMBER(SEARCH(PESQUISA!$C$4,$L1482))),1,0))</f>
        <v/>
      </c>
      <c r="AA1482">
        <f>IF($Z1482=1,SUM($Z$3:$Z1482),"")</f>
        <v/>
      </c>
      <c r="AB1482">
        <f>IF(OR($A1482="",PESQUISA!$C$50=""),0,IF(ISNUMBER(SEARCH(PESQUISA!$C$50,$I1482)),1,0))</f>
        <v/>
      </c>
      <c r="AC1482">
        <f>IF($AB1482=1,SUM($AB$3:$AB1482),"")</f>
        <v/>
      </c>
    </row>
    <row r="1483">
      <c r="A1483" s="20" t="n"/>
      <c r="B1483" s="20" t="n"/>
      <c r="C1483" s="20" t="n"/>
      <c r="D1483" s="20" t="n"/>
      <c r="E1483" s="20" t="n"/>
      <c r="F1483" s="20" t="n"/>
      <c r="G1483" s="20" t="n"/>
      <c r="H1483" s="20" t="n"/>
      <c r="I1483" s="20" t="n"/>
      <c r="J1483" s="20">
        <f>IFERROR(INDEX(CONFIGURACOES!$G$37:$G$300,MATCH($I1483,CONFIGURACOES!$B$37:$B$300,0)),"")</f>
        <v/>
      </c>
      <c r="K1483" s="20">
        <f>IFERROR(INDEX(CONFIGURACOES!$H$37:$H$300,MATCH($I1483,CONFIGURACOES!$B$37:$B$300,0)),"")</f>
        <v/>
      </c>
      <c r="L1483" s="20" t="n"/>
      <c r="M1483" s="20">
        <f>IFERROR(INDEX(CONFIGURACOES!$I$37:$I$300,MATCH($I1483,CONFIGURACOES!$B$37:$B$300,0)),"")</f>
        <v/>
      </c>
      <c r="N1483" s="21" t="n"/>
      <c r="O1483" s="21" t="n"/>
      <c r="P1483" s="21" t="n"/>
      <c r="Q1483" s="21" t="n"/>
      <c r="R1483" s="21">
        <f>IF($N1483="","",$N1483*IF($Q1483="",1,$Q1483)*IF($P1483="",1,$P1483)*IF($O1483="",1,$O1483))</f>
        <v/>
      </c>
      <c r="S1483" s="22">
        <f>IFERROR(INDEX(CONFIGURACOES!$J$37:$J$300,MATCH($I1483,CONFIGURACOES!$B$37:$B$300,0)),"")</f>
        <v/>
      </c>
      <c r="T1483" s="22">
        <f>IF(OR($R1483="",$S1483=""),"",$R1483*$S1483)</f>
        <v/>
      </c>
      <c r="U1483" s="20" t="n"/>
      <c r="V1483" s="20" t="n"/>
      <c r="W1483" s="20" t="n"/>
      <c r="X1483">
        <f>IF($A1483="","",$A1483&amp;"|"&amp;$C1483&amp;"|"&amp;$I1483)</f>
        <v/>
      </c>
      <c r="Y1483">
        <f>IF(AND($A1483=RELATORIO_MEDICAO!$C$5,$C1483=RELATORIO_MEDICAO!$F$5,$A1483&lt;&gt;""),COUNTIFS($A$3:$A1483,RELATORIO_MEDICAO!$C$5,$C$3:$C1483,RELATORIO_MEDICAO!$F$5),"")</f>
        <v/>
      </c>
      <c r="Z1483">
        <f>IF(OR($A1483="",PESQUISA!$C$4=""),0,IF(OR(ISNUMBER(SEARCH(PESQUISA!$C$4,$G1483)),ISNUMBER(SEARCH(PESQUISA!$C$4,$K1483)),ISNUMBER(SEARCH(PESQUISA!$C$4,$L1483))),1,0))</f>
        <v/>
      </c>
      <c r="AA1483">
        <f>IF($Z1483=1,SUM($Z$3:$Z1483),"")</f>
        <v/>
      </c>
      <c r="AB1483">
        <f>IF(OR($A1483="",PESQUISA!$C$50=""),0,IF(ISNUMBER(SEARCH(PESQUISA!$C$50,$I1483)),1,0))</f>
        <v/>
      </c>
      <c r="AC1483">
        <f>IF($AB1483=1,SUM($AB$3:$AB1483),"")</f>
        <v/>
      </c>
    </row>
    <row r="1484">
      <c r="A1484" s="20" t="n"/>
      <c r="B1484" s="20" t="n"/>
      <c r="C1484" s="20" t="n"/>
      <c r="D1484" s="20" t="n"/>
      <c r="E1484" s="20" t="n"/>
      <c r="F1484" s="20" t="n"/>
      <c r="G1484" s="20" t="n"/>
      <c r="H1484" s="20" t="n"/>
      <c r="I1484" s="20" t="n"/>
      <c r="J1484" s="20">
        <f>IFERROR(INDEX(CONFIGURACOES!$G$37:$G$300,MATCH($I1484,CONFIGURACOES!$B$37:$B$300,0)),"")</f>
        <v/>
      </c>
      <c r="K1484" s="20">
        <f>IFERROR(INDEX(CONFIGURACOES!$H$37:$H$300,MATCH($I1484,CONFIGURACOES!$B$37:$B$300,0)),"")</f>
        <v/>
      </c>
      <c r="L1484" s="20" t="n"/>
      <c r="M1484" s="20">
        <f>IFERROR(INDEX(CONFIGURACOES!$I$37:$I$300,MATCH($I1484,CONFIGURACOES!$B$37:$B$300,0)),"")</f>
        <v/>
      </c>
      <c r="N1484" s="21" t="n"/>
      <c r="O1484" s="21" t="n"/>
      <c r="P1484" s="21" t="n"/>
      <c r="Q1484" s="21" t="n"/>
      <c r="R1484" s="21">
        <f>IF($N1484="","",$N1484*IF($Q1484="",1,$Q1484)*IF($P1484="",1,$P1484)*IF($O1484="",1,$O1484))</f>
        <v/>
      </c>
      <c r="S1484" s="22">
        <f>IFERROR(INDEX(CONFIGURACOES!$J$37:$J$300,MATCH($I1484,CONFIGURACOES!$B$37:$B$300,0)),"")</f>
        <v/>
      </c>
      <c r="T1484" s="22">
        <f>IF(OR($R1484="",$S1484=""),"",$R1484*$S1484)</f>
        <v/>
      </c>
      <c r="U1484" s="20" t="n"/>
      <c r="V1484" s="20" t="n"/>
      <c r="W1484" s="20" t="n"/>
      <c r="X1484">
        <f>IF($A1484="","",$A1484&amp;"|"&amp;$C1484&amp;"|"&amp;$I1484)</f>
        <v/>
      </c>
      <c r="Y1484">
        <f>IF(AND($A1484=RELATORIO_MEDICAO!$C$5,$C1484=RELATORIO_MEDICAO!$F$5,$A1484&lt;&gt;""),COUNTIFS($A$3:$A1484,RELATORIO_MEDICAO!$C$5,$C$3:$C1484,RELATORIO_MEDICAO!$F$5),"")</f>
        <v/>
      </c>
      <c r="Z1484">
        <f>IF(OR($A1484="",PESQUISA!$C$4=""),0,IF(OR(ISNUMBER(SEARCH(PESQUISA!$C$4,$G1484)),ISNUMBER(SEARCH(PESQUISA!$C$4,$K1484)),ISNUMBER(SEARCH(PESQUISA!$C$4,$L1484))),1,0))</f>
        <v/>
      </c>
      <c r="AA1484">
        <f>IF($Z1484=1,SUM($Z$3:$Z1484),"")</f>
        <v/>
      </c>
      <c r="AB1484">
        <f>IF(OR($A1484="",PESQUISA!$C$50=""),0,IF(ISNUMBER(SEARCH(PESQUISA!$C$50,$I1484)),1,0))</f>
        <v/>
      </c>
      <c r="AC1484">
        <f>IF($AB1484=1,SUM($AB$3:$AB1484),"")</f>
        <v/>
      </c>
    </row>
    <row r="1485">
      <c r="A1485" s="20" t="n"/>
      <c r="B1485" s="20" t="n"/>
      <c r="C1485" s="20" t="n"/>
      <c r="D1485" s="20" t="n"/>
      <c r="E1485" s="20" t="n"/>
      <c r="F1485" s="20" t="n"/>
      <c r="G1485" s="20" t="n"/>
      <c r="H1485" s="20" t="n"/>
      <c r="I1485" s="20" t="n"/>
      <c r="J1485" s="20">
        <f>IFERROR(INDEX(CONFIGURACOES!$G$37:$G$300,MATCH($I1485,CONFIGURACOES!$B$37:$B$300,0)),"")</f>
        <v/>
      </c>
      <c r="K1485" s="20">
        <f>IFERROR(INDEX(CONFIGURACOES!$H$37:$H$300,MATCH($I1485,CONFIGURACOES!$B$37:$B$300,0)),"")</f>
        <v/>
      </c>
      <c r="L1485" s="20" t="n"/>
      <c r="M1485" s="20">
        <f>IFERROR(INDEX(CONFIGURACOES!$I$37:$I$300,MATCH($I1485,CONFIGURACOES!$B$37:$B$300,0)),"")</f>
        <v/>
      </c>
      <c r="N1485" s="21" t="n"/>
      <c r="O1485" s="21" t="n"/>
      <c r="P1485" s="21" t="n"/>
      <c r="Q1485" s="21" t="n"/>
      <c r="R1485" s="21">
        <f>IF($N1485="","",$N1485*IF($Q1485="",1,$Q1485)*IF($P1485="",1,$P1485)*IF($O1485="",1,$O1485))</f>
        <v/>
      </c>
      <c r="S1485" s="22">
        <f>IFERROR(INDEX(CONFIGURACOES!$J$37:$J$300,MATCH($I1485,CONFIGURACOES!$B$37:$B$300,0)),"")</f>
        <v/>
      </c>
      <c r="T1485" s="22">
        <f>IF(OR($R1485="",$S1485=""),"",$R1485*$S1485)</f>
        <v/>
      </c>
      <c r="U1485" s="20" t="n"/>
      <c r="V1485" s="20" t="n"/>
      <c r="W1485" s="20" t="n"/>
      <c r="X1485">
        <f>IF($A1485="","",$A1485&amp;"|"&amp;$C1485&amp;"|"&amp;$I1485)</f>
        <v/>
      </c>
      <c r="Y1485">
        <f>IF(AND($A1485=RELATORIO_MEDICAO!$C$5,$C1485=RELATORIO_MEDICAO!$F$5,$A1485&lt;&gt;""),COUNTIFS($A$3:$A1485,RELATORIO_MEDICAO!$C$5,$C$3:$C1485,RELATORIO_MEDICAO!$F$5),"")</f>
        <v/>
      </c>
      <c r="Z1485">
        <f>IF(OR($A1485="",PESQUISA!$C$4=""),0,IF(OR(ISNUMBER(SEARCH(PESQUISA!$C$4,$G1485)),ISNUMBER(SEARCH(PESQUISA!$C$4,$K1485)),ISNUMBER(SEARCH(PESQUISA!$C$4,$L1485))),1,0))</f>
        <v/>
      </c>
      <c r="AA1485">
        <f>IF($Z1485=1,SUM($Z$3:$Z1485),"")</f>
        <v/>
      </c>
      <c r="AB1485">
        <f>IF(OR($A1485="",PESQUISA!$C$50=""),0,IF(ISNUMBER(SEARCH(PESQUISA!$C$50,$I1485)),1,0))</f>
        <v/>
      </c>
      <c r="AC1485">
        <f>IF($AB1485=1,SUM($AB$3:$AB1485),"")</f>
        <v/>
      </c>
    </row>
    <row r="1486">
      <c r="A1486" s="20" t="n"/>
      <c r="B1486" s="20" t="n"/>
      <c r="C1486" s="20" t="n"/>
      <c r="D1486" s="20" t="n"/>
      <c r="E1486" s="20" t="n"/>
      <c r="F1486" s="20" t="n"/>
      <c r="G1486" s="20" t="n"/>
      <c r="H1486" s="20" t="n"/>
      <c r="I1486" s="20" t="n"/>
      <c r="J1486" s="20">
        <f>IFERROR(INDEX(CONFIGURACOES!$G$37:$G$300,MATCH($I1486,CONFIGURACOES!$B$37:$B$300,0)),"")</f>
        <v/>
      </c>
      <c r="K1486" s="20">
        <f>IFERROR(INDEX(CONFIGURACOES!$H$37:$H$300,MATCH($I1486,CONFIGURACOES!$B$37:$B$300,0)),"")</f>
        <v/>
      </c>
      <c r="L1486" s="20" t="n"/>
      <c r="M1486" s="20">
        <f>IFERROR(INDEX(CONFIGURACOES!$I$37:$I$300,MATCH($I1486,CONFIGURACOES!$B$37:$B$300,0)),"")</f>
        <v/>
      </c>
      <c r="N1486" s="21" t="n"/>
      <c r="O1486" s="21" t="n"/>
      <c r="P1486" s="21" t="n"/>
      <c r="Q1486" s="21" t="n"/>
      <c r="R1486" s="21">
        <f>IF($N1486="","",$N1486*IF($Q1486="",1,$Q1486)*IF($P1486="",1,$P1486)*IF($O1486="",1,$O1486))</f>
        <v/>
      </c>
      <c r="S1486" s="22">
        <f>IFERROR(INDEX(CONFIGURACOES!$J$37:$J$300,MATCH($I1486,CONFIGURACOES!$B$37:$B$300,0)),"")</f>
        <v/>
      </c>
      <c r="T1486" s="22">
        <f>IF(OR($R1486="",$S1486=""),"",$R1486*$S1486)</f>
        <v/>
      </c>
      <c r="U1486" s="20" t="n"/>
      <c r="V1486" s="20" t="n"/>
      <c r="W1486" s="20" t="n"/>
      <c r="X1486">
        <f>IF($A1486="","",$A1486&amp;"|"&amp;$C1486&amp;"|"&amp;$I1486)</f>
        <v/>
      </c>
      <c r="Y1486">
        <f>IF(AND($A1486=RELATORIO_MEDICAO!$C$5,$C1486=RELATORIO_MEDICAO!$F$5,$A1486&lt;&gt;""),COUNTIFS($A$3:$A1486,RELATORIO_MEDICAO!$C$5,$C$3:$C1486,RELATORIO_MEDICAO!$F$5),"")</f>
        <v/>
      </c>
      <c r="Z1486">
        <f>IF(OR($A1486="",PESQUISA!$C$4=""),0,IF(OR(ISNUMBER(SEARCH(PESQUISA!$C$4,$G1486)),ISNUMBER(SEARCH(PESQUISA!$C$4,$K1486)),ISNUMBER(SEARCH(PESQUISA!$C$4,$L1486))),1,0))</f>
        <v/>
      </c>
      <c r="AA1486">
        <f>IF($Z1486=1,SUM($Z$3:$Z1486),"")</f>
        <v/>
      </c>
      <c r="AB1486">
        <f>IF(OR($A1486="",PESQUISA!$C$50=""),0,IF(ISNUMBER(SEARCH(PESQUISA!$C$50,$I1486)),1,0))</f>
        <v/>
      </c>
      <c r="AC1486">
        <f>IF($AB1486=1,SUM($AB$3:$AB1486),"")</f>
        <v/>
      </c>
    </row>
    <row r="1487">
      <c r="A1487" s="20" t="n"/>
      <c r="B1487" s="20" t="n"/>
      <c r="C1487" s="20" t="n"/>
      <c r="D1487" s="20" t="n"/>
      <c r="E1487" s="20" t="n"/>
      <c r="F1487" s="20" t="n"/>
      <c r="G1487" s="20" t="n"/>
      <c r="H1487" s="20" t="n"/>
      <c r="I1487" s="20" t="n"/>
      <c r="J1487" s="20">
        <f>IFERROR(INDEX(CONFIGURACOES!$G$37:$G$300,MATCH($I1487,CONFIGURACOES!$B$37:$B$300,0)),"")</f>
        <v/>
      </c>
      <c r="K1487" s="20">
        <f>IFERROR(INDEX(CONFIGURACOES!$H$37:$H$300,MATCH($I1487,CONFIGURACOES!$B$37:$B$300,0)),"")</f>
        <v/>
      </c>
      <c r="L1487" s="20" t="n"/>
      <c r="M1487" s="20">
        <f>IFERROR(INDEX(CONFIGURACOES!$I$37:$I$300,MATCH($I1487,CONFIGURACOES!$B$37:$B$300,0)),"")</f>
        <v/>
      </c>
      <c r="N1487" s="21" t="n"/>
      <c r="O1487" s="21" t="n"/>
      <c r="P1487" s="21" t="n"/>
      <c r="Q1487" s="21" t="n"/>
      <c r="R1487" s="21">
        <f>IF($N1487="","",$N1487*IF($Q1487="",1,$Q1487)*IF($P1487="",1,$P1487)*IF($O1487="",1,$O1487))</f>
        <v/>
      </c>
      <c r="S1487" s="22">
        <f>IFERROR(INDEX(CONFIGURACOES!$J$37:$J$300,MATCH($I1487,CONFIGURACOES!$B$37:$B$300,0)),"")</f>
        <v/>
      </c>
      <c r="T1487" s="22">
        <f>IF(OR($R1487="",$S1487=""),"",$R1487*$S1487)</f>
        <v/>
      </c>
      <c r="U1487" s="20" t="n"/>
      <c r="V1487" s="20" t="n"/>
      <c r="W1487" s="20" t="n"/>
      <c r="X1487">
        <f>IF($A1487="","",$A1487&amp;"|"&amp;$C1487&amp;"|"&amp;$I1487)</f>
        <v/>
      </c>
      <c r="Y1487">
        <f>IF(AND($A1487=RELATORIO_MEDICAO!$C$5,$C1487=RELATORIO_MEDICAO!$F$5,$A1487&lt;&gt;""),COUNTIFS($A$3:$A1487,RELATORIO_MEDICAO!$C$5,$C$3:$C1487,RELATORIO_MEDICAO!$F$5),"")</f>
        <v/>
      </c>
      <c r="Z1487">
        <f>IF(OR($A1487="",PESQUISA!$C$4=""),0,IF(OR(ISNUMBER(SEARCH(PESQUISA!$C$4,$G1487)),ISNUMBER(SEARCH(PESQUISA!$C$4,$K1487)),ISNUMBER(SEARCH(PESQUISA!$C$4,$L1487))),1,0))</f>
        <v/>
      </c>
      <c r="AA1487">
        <f>IF($Z1487=1,SUM($Z$3:$Z1487),"")</f>
        <v/>
      </c>
      <c r="AB1487">
        <f>IF(OR($A1487="",PESQUISA!$C$50=""),0,IF(ISNUMBER(SEARCH(PESQUISA!$C$50,$I1487)),1,0))</f>
        <v/>
      </c>
      <c r="AC1487">
        <f>IF($AB1487=1,SUM($AB$3:$AB1487),"")</f>
        <v/>
      </c>
    </row>
    <row r="1488">
      <c r="A1488" s="20" t="n"/>
      <c r="B1488" s="20" t="n"/>
      <c r="C1488" s="20" t="n"/>
      <c r="D1488" s="20" t="n"/>
      <c r="E1488" s="20" t="n"/>
      <c r="F1488" s="20" t="n"/>
      <c r="G1488" s="20" t="n"/>
      <c r="H1488" s="20" t="n"/>
      <c r="I1488" s="20" t="n"/>
      <c r="J1488" s="20">
        <f>IFERROR(INDEX(CONFIGURACOES!$G$37:$G$300,MATCH($I1488,CONFIGURACOES!$B$37:$B$300,0)),"")</f>
        <v/>
      </c>
      <c r="K1488" s="20">
        <f>IFERROR(INDEX(CONFIGURACOES!$H$37:$H$300,MATCH($I1488,CONFIGURACOES!$B$37:$B$300,0)),"")</f>
        <v/>
      </c>
      <c r="L1488" s="20" t="n"/>
      <c r="M1488" s="20">
        <f>IFERROR(INDEX(CONFIGURACOES!$I$37:$I$300,MATCH($I1488,CONFIGURACOES!$B$37:$B$300,0)),"")</f>
        <v/>
      </c>
      <c r="N1488" s="21" t="n"/>
      <c r="O1488" s="21" t="n"/>
      <c r="P1488" s="21" t="n"/>
      <c r="Q1488" s="21" t="n"/>
      <c r="R1488" s="21">
        <f>IF($N1488="","",$N1488*IF($Q1488="",1,$Q1488)*IF($P1488="",1,$P1488)*IF($O1488="",1,$O1488))</f>
        <v/>
      </c>
      <c r="S1488" s="22">
        <f>IFERROR(INDEX(CONFIGURACOES!$J$37:$J$300,MATCH($I1488,CONFIGURACOES!$B$37:$B$300,0)),"")</f>
        <v/>
      </c>
      <c r="T1488" s="22">
        <f>IF(OR($R1488="",$S1488=""),"",$R1488*$S1488)</f>
        <v/>
      </c>
      <c r="U1488" s="20" t="n"/>
      <c r="V1488" s="20" t="n"/>
      <c r="W1488" s="20" t="n"/>
      <c r="X1488">
        <f>IF($A1488="","",$A1488&amp;"|"&amp;$C1488&amp;"|"&amp;$I1488)</f>
        <v/>
      </c>
      <c r="Y1488">
        <f>IF(AND($A1488=RELATORIO_MEDICAO!$C$5,$C1488=RELATORIO_MEDICAO!$F$5,$A1488&lt;&gt;""),COUNTIFS($A$3:$A1488,RELATORIO_MEDICAO!$C$5,$C$3:$C1488,RELATORIO_MEDICAO!$F$5),"")</f>
        <v/>
      </c>
      <c r="Z1488">
        <f>IF(OR($A1488="",PESQUISA!$C$4=""),0,IF(OR(ISNUMBER(SEARCH(PESQUISA!$C$4,$G1488)),ISNUMBER(SEARCH(PESQUISA!$C$4,$K1488)),ISNUMBER(SEARCH(PESQUISA!$C$4,$L1488))),1,0))</f>
        <v/>
      </c>
      <c r="AA1488">
        <f>IF($Z1488=1,SUM($Z$3:$Z1488),"")</f>
        <v/>
      </c>
      <c r="AB1488">
        <f>IF(OR($A1488="",PESQUISA!$C$50=""),0,IF(ISNUMBER(SEARCH(PESQUISA!$C$50,$I1488)),1,0))</f>
        <v/>
      </c>
      <c r="AC1488">
        <f>IF($AB1488=1,SUM($AB$3:$AB1488),"")</f>
        <v/>
      </c>
    </row>
    <row r="1489">
      <c r="A1489" s="20" t="n"/>
      <c r="B1489" s="20" t="n"/>
      <c r="C1489" s="20" t="n"/>
      <c r="D1489" s="20" t="n"/>
      <c r="E1489" s="20" t="n"/>
      <c r="F1489" s="20" t="n"/>
      <c r="G1489" s="20" t="n"/>
      <c r="H1489" s="20" t="n"/>
      <c r="I1489" s="20" t="n"/>
      <c r="J1489" s="20">
        <f>IFERROR(INDEX(CONFIGURACOES!$G$37:$G$300,MATCH($I1489,CONFIGURACOES!$B$37:$B$300,0)),"")</f>
        <v/>
      </c>
      <c r="K1489" s="20">
        <f>IFERROR(INDEX(CONFIGURACOES!$H$37:$H$300,MATCH($I1489,CONFIGURACOES!$B$37:$B$300,0)),"")</f>
        <v/>
      </c>
      <c r="L1489" s="20" t="n"/>
      <c r="M1489" s="20">
        <f>IFERROR(INDEX(CONFIGURACOES!$I$37:$I$300,MATCH($I1489,CONFIGURACOES!$B$37:$B$300,0)),"")</f>
        <v/>
      </c>
      <c r="N1489" s="21" t="n"/>
      <c r="O1489" s="21" t="n"/>
      <c r="P1489" s="21" t="n"/>
      <c r="Q1489" s="21" t="n"/>
      <c r="R1489" s="21">
        <f>IF($N1489="","",$N1489*IF($Q1489="",1,$Q1489)*IF($P1489="",1,$P1489)*IF($O1489="",1,$O1489))</f>
        <v/>
      </c>
      <c r="S1489" s="22">
        <f>IFERROR(INDEX(CONFIGURACOES!$J$37:$J$300,MATCH($I1489,CONFIGURACOES!$B$37:$B$300,0)),"")</f>
        <v/>
      </c>
      <c r="T1489" s="22">
        <f>IF(OR($R1489="",$S1489=""),"",$R1489*$S1489)</f>
        <v/>
      </c>
      <c r="U1489" s="20" t="n"/>
      <c r="V1489" s="20" t="n"/>
      <c r="W1489" s="20" t="n"/>
      <c r="X1489">
        <f>IF($A1489="","",$A1489&amp;"|"&amp;$C1489&amp;"|"&amp;$I1489)</f>
        <v/>
      </c>
      <c r="Y1489">
        <f>IF(AND($A1489=RELATORIO_MEDICAO!$C$5,$C1489=RELATORIO_MEDICAO!$F$5,$A1489&lt;&gt;""),COUNTIFS($A$3:$A1489,RELATORIO_MEDICAO!$C$5,$C$3:$C1489,RELATORIO_MEDICAO!$F$5),"")</f>
        <v/>
      </c>
      <c r="Z1489">
        <f>IF(OR($A1489="",PESQUISA!$C$4=""),0,IF(OR(ISNUMBER(SEARCH(PESQUISA!$C$4,$G1489)),ISNUMBER(SEARCH(PESQUISA!$C$4,$K1489)),ISNUMBER(SEARCH(PESQUISA!$C$4,$L1489))),1,0))</f>
        <v/>
      </c>
      <c r="AA1489">
        <f>IF($Z1489=1,SUM($Z$3:$Z1489),"")</f>
        <v/>
      </c>
      <c r="AB1489">
        <f>IF(OR($A1489="",PESQUISA!$C$50=""),0,IF(ISNUMBER(SEARCH(PESQUISA!$C$50,$I1489)),1,0))</f>
        <v/>
      </c>
      <c r="AC1489">
        <f>IF($AB1489=1,SUM($AB$3:$AB1489),"")</f>
        <v/>
      </c>
    </row>
    <row r="1490">
      <c r="A1490" s="20" t="n"/>
      <c r="B1490" s="20" t="n"/>
      <c r="C1490" s="20" t="n"/>
      <c r="D1490" s="20" t="n"/>
      <c r="E1490" s="20" t="n"/>
      <c r="F1490" s="20" t="n"/>
      <c r="G1490" s="20" t="n"/>
      <c r="H1490" s="20" t="n"/>
      <c r="I1490" s="20" t="n"/>
      <c r="J1490" s="20">
        <f>IFERROR(INDEX(CONFIGURACOES!$G$37:$G$300,MATCH($I1490,CONFIGURACOES!$B$37:$B$300,0)),"")</f>
        <v/>
      </c>
      <c r="K1490" s="20">
        <f>IFERROR(INDEX(CONFIGURACOES!$H$37:$H$300,MATCH($I1490,CONFIGURACOES!$B$37:$B$300,0)),"")</f>
        <v/>
      </c>
      <c r="L1490" s="20" t="n"/>
      <c r="M1490" s="20">
        <f>IFERROR(INDEX(CONFIGURACOES!$I$37:$I$300,MATCH($I1490,CONFIGURACOES!$B$37:$B$300,0)),"")</f>
        <v/>
      </c>
      <c r="N1490" s="21" t="n"/>
      <c r="O1490" s="21" t="n"/>
      <c r="P1490" s="21" t="n"/>
      <c r="Q1490" s="21" t="n"/>
      <c r="R1490" s="21">
        <f>IF($N1490="","",$N1490*IF($Q1490="",1,$Q1490)*IF($P1490="",1,$P1490)*IF($O1490="",1,$O1490))</f>
        <v/>
      </c>
      <c r="S1490" s="22">
        <f>IFERROR(INDEX(CONFIGURACOES!$J$37:$J$300,MATCH($I1490,CONFIGURACOES!$B$37:$B$300,0)),"")</f>
        <v/>
      </c>
      <c r="T1490" s="22">
        <f>IF(OR($R1490="",$S1490=""),"",$R1490*$S1490)</f>
        <v/>
      </c>
      <c r="U1490" s="20" t="n"/>
      <c r="V1490" s="20" t="n"/>
      <c r="W1490" s="20" t="n"/>
      <c r="X1490">
        <f>IF($A1490="","",$A1490&amp;"|"&amp;$C1490&amp;"|"&amp;$I1490)</f>
        <v/>
      </c>
      <c r="Y1490">
        <f>IF(AND($A1490=RELATORIO_MEDICAO!$C$5,$C1490=RELATORIO_MEDICAO!$F$5,$A1490&lt;&gt;""),COUNTIFS($A$3:$A1490,RELATORIO_MEDICAO!$C$5,$C$3:$C1490,RELATORIO_MEDICAO!$F$5),"")</f>
        <v/>
      </c>
      <c r="Z1490">
        <f>IF(OR($A1490="",PESQUISA!$C$4=""),0,IF(OR(ISNUMBER(SEARCH(PESQUISA!$C$4,$G1490)),ISNUMBER(SEARCH(PESQUISA!$C$4,$K1490)),ISNUMBER(SEARCH(PESQUISA!$C$4,$L1490))),1,0))</f>
        <v/>
      </c>
      <c r="AA1490">
        <f>IF($Z1490=1,SUM($Z$3:$Z1490),"")</f>
        <v/>
      </c>
      <c r="AB1490">
        <f>IF(OR($A1490="",PESQUISA!$C$50=""),0,IF(ISNUMBER(SEARCH(PESQUISA!$C$50,$I1490)),1,0))</f>
        <v/>
      </c>
      <c r="AC1490">
        <f>IF($AB1490=1,SUM($AB$3:$AB1490),"")</f>
        <v/>
      </c>
    </row>
    <row r="1491">
      <c r="A1491" s="20" t="n"/>
      <c r="B1491" s="20" t="n"/>
      <c r="C1491" s="20" t="n"/>
      <c r="D1491" s="20" t="n"/>
      <c r="E1491" s="20" t="n"/>
      <c r="F1491" s="20" t="n"/>
      <c r="G1491" s="20" t="n"/>
      <c r="H1491" s="20" t="n"/>
      <c r="I1491" s="20" t="n"/>
      <c r="J1491" s="20">
        <f>IFERROR(INDEX(CONFIGURACOES!$G$37:$G$300,MATCH($I1491,CONFIGURACOES!$B$37:$B$300,0)),"")</f>
        <v/>
      </c>
      <c r="K1491" s="20">
        <f>IFERROR(INDEX(CONFIGURACOES!$H$37:$H$300,MATCH($I1491,CONFIGURACOES!$B$37:$B$300,0)),"")</f>
        <v/>
      </c>
      <c r="L1491" s="20" t="n"/>
      <c r="M1491" s="20">
        <f>IFERROR(INDEX(CONFIGURACOES!$I$37:$I$300,MATCH($I1491,CONFIGURACOES!$B$37:$B$300,0)),"")</f>
        <v/>
      </c>
      <c r="N1491" s="21" t="n"/>
      <c r="O1491" s="21" t="n"/>
      <c r="P1491" s="21" t="n"/>
      <c r="Q1491" s="21" t="n"/>
      <c r="R1491" s="21">
        <f>IF($N1491="","",$N1491*IF($Q1491="",1,$Q1491)*IF($P1491="",1,$P1491)*IF($O1491="",1,$O1491))</f>
        <v/>
      </c>
      <c r="S1491" s="22">
        <f>IFERROR(INDEX(CONFIGURACOES!$J$37:$J$300,MATCH($I1491,CONFIGURACOES!$B$37:$B$300,0)),"")</f>
        <v/>
      </c>
      <c r="T1491" s="22">
        <f>IF(OR($R1491="",$S1491=""),"",$R1491*$S1491)</f>
        <v/>
      </c>
      <c r="U1491" s="20" t="n"/>
      <c r="V1491" s="20" t="n"/>
      <c r="W1491" s="20" t="n"/>
      <c r="X1491">
        <f>IF($A1491="","",$A1491&amp;"|"&amp;$C1491&amp;"|"&amp;$I1491)</f>
        <v/>
      </c>
      <c r="Y1491">
        <f>IF(AND($A1491=RELATORIO_MEDICAO!$C$5,$C1491=RELATORIO_MEDICAO!$F$5,$A1491&lt;&gt;""),COUNTIFS($A$3:$A1491,RELATORIO_MEDICAO!$C$5,$C$3:$C1491,RELATORIO_MEDICAO!$F$5),"")</f>
        <v/>
      </c>
      <c r="Z1491">
        <f>IF(OR($A1491="",PESQUISA!$C$4=""),0,IF(OR(ISNUMBER(SEARCH(PESQUISA!$C$4,$G1491)),ISNUMBER(SEARCH(PESQUISA!$C$4,$K1491)),ISNUMBER(SEARCH(PESQUISA!$C$4,$L1491))),1,0))</f>
        <v/>
      </c>
      <c r="AA1491">
        <f>IF($Z1491=1,SUM($Z$3:$Z1491),"")</f>
        <v/>
      </c>
      <c r="AB1491">
        <f>IF(OR($A1491="",PESQUISA!$C$50=""),0,IF(ISNUMBER(SEARCH(PESQUISA!$C$50,$I1491)),1,0))</f>
        <v/>
      </c>
      <c r="AC1491">
        <f>IF($AB1491=1,SUM($AB$3:$AB1491),"")</f>
        <v/>
      </c>
    </row>
    <row r="1492">
      <c r="A1492" s="20" t="n"/>
      <c r="B1492" s="20" t="n"/>
      <c r="C1492" s="20" t="n"/>
      <c r="D1492" s="20" t="n"/>
      <c r="E1492" s="20" t="n"/>
      <c r="F1492" s="20" t="n"/>
      <c r="G1492" s="20" t="n"/>
      <c r="H1492" s="20" t="n"/>
      <c r="I1492" s="20" t="n"/>
      <c r="J1492" s="20">
        <f>IFERROR(INDEX(CONFIGURACOES!$G$37:$G$300,MATCH($I1492,CONFIGURACOES!$B$37:$B$300,0)),"")</f>
        <v/>
      </c>
      <c r="K1492" s="20">
        <f>IFERROR(INDEX(CONFIGURACOES!$H$37:$H$300,MATCH($I1492,CONFIGURACOES!$B$37:$B$300,0)),"")</f>
        <v/>
      </c>
      <c r="L1492" s="20" t="n"/>
      <c r="M1492" s="20">
        <f>IFERROR(INDEX(CONFIGURACOES!$I$37:$I$300,MATCH($I1492,CONFIGURACOES!$B$37:$B$300,0)),"")</f>
        <v/>
      </c>
      <c r="N1492" s="21" t="n"/>
      <c r="O1492" s="21" t="n"/>
      <c r="P1492" s="21" t="n"/>
      <c r="Q1492" s="21" t="n"/>
      <c r="R1492" s="21">
        <f>IF($N1492="","",$N1492*IF($Q1492="",1,$Q1492)*IF($P1492="",1,$P1492)*IF($O1492="",1,$O1492))</f>
        <v/>
      </c>
      <c r="S1492" s="22">
        <f>IFERROR(INDEX(CONFIGURACOES!$J$37:$J$300,MATCH($I1492,CONFIGURACOES!$B$37:$B$300,0)),"")</f>
        <v/>
      </c>
      <c r="T1492" s="22">
        <f>IF(OR($R1492="",$S1492=""),"",$R1492*$S1492)</f>
        <v/>
      </c>
      <c r="U1492" s="20" t="n"/>
      <c r="V1492" s="20" t="n"/>
      <c r="W1492" s="20" t="n"/>
      <c r="X1492">
        <f>IF($A1492="","",$A1492&amp;"|"&amp;$C1492&amp;"|"&amp;$I1492)</f>
        <v/>
      </c>
      <c r="Y1492">
        <f>IF(AND($A1492=RELATORIO_MEDICAO!$C$5,$C1492=RELATORIO_MEDICAO!$F$5,$A1492&lt;&gt;""),COUNTIFS($A$3:$A1492,RELATORIO_MEDICAO!$C$5,$C$3:$C1492,RELATORIO_MEDICAO!$F$5),"")</f>
        <v/>
      </c>
      <c r="Z1492">
        <f>IF(OR($A1492="",PESQUISA!$C$4=""),0,IF(OR(ISNUMBER(SEARCH(PESQUISA!$C$4,$G1492)),ISNUMBER(SEARCH(PESQUISA!$C$4,$K1492)),ISNUMBER(SEARCH(PESQUISA!$C$4,$L1492))),1,0))</f>
        <v/>
      </c>
      <c r="AA1492">
        <f>IF($Z1492=1,SUM($Z$3:$Z1492),"")</f>
        <v/>
      </c>
      <c r="AB1492">
        <f>IF(OR($A1492="",PESQUISA!$C$50=""),0,IF(ISNUMBER(SEARCH(PESQUISA!$C$50,$I1492)),1,0))</f>
        <v/>
      </c>
      <c r="AC1492">
        <f>IF($AB1492=1,SUM($AB$3:$AB1492),"")</f>
        <v/>
      </c>
    </row>
    <row r="1493">
      <c r="A1493" s="20" t="n"/>
      <c r="B1493" s="20" t="n"/>
      <c r="C1493" s="20" t="n"/>
      <c r="D1493" s="20" t="n"/>
      <c r="E1493" s="20" t="n"/>
      <c r="F1493" s="20" t="n"/>
      <c r="G1493" s="20" t="n"/>
      <c r="H1493" s="20" t="n"/>
      <c r="I1493" s="20" t="n"/>
      <c r="J1493" s="20">
        <f>IFERROR(INDEX(CONFIGURACOES!$G$37:$G$300,MATCH($I1493,CONFIGURACOES!$B$37:$B$300,0)),"")</f>
        <v/>
      </c>
      <c r="K1493" s="20">
        <f>IFERROR(INDEX(CONFIGURACOES!$H$37:$H$300,MATCH($I1493,CONFIGURACOES!$B$37:$B$300,0)),"")</f>
        <v/>
      </c>
      <c r="L1493" s="20" t="n"/>
      <c r="M1493" s="20">
        <f>IFERROR(INDEX(CONFIGURACOES!$I$37:$I$300,MATCH($I1493,CONFIGURACOES!$B$37:$B$300,0)),"")</f>
        <v/>
      </c>
      <c r="N1493" s="21" t="n"/>
      <c r="O1493" s="21" t="n"/>
      <c r="P1493" s="21" t="n"/>
      <c r="Q1493" s="21" t="n"/>
      <c r="R1493" s="21">
        <f>IF($N1493="","",$N1493*IF($Q1493="",1,$Q1493)*IF($P1493="",1,$P1493)*IF($O1493="",1,$O1493))</f>
        <v/>
      </c>
      <c r="S1493" s="22">
        <f>IFERROR(INDEX(CONFIGURACOES!$J$37:$J$300,MATCH($I1493,CONFIGURACOES!$B$37:$B$300,0)),"")</f>
        <v/>
      </c>
      <c r="T1493" s="22">
        <f>IF(OR($R1493="",$S1493=""),"",$R1493*$S1493)</f>
        <v/>
      </c>
      <c r="U1493" s="20" t="n"/>
      <c r="V1493" s="20" t="n"/>
      <c r="W1493" s="20" t="n"/>
      <c r="X1493">
        <f>IF($A1493="","",$A1493&amp;"|"&amp;$C1493&amp;"|"&amp;$I1493)</f>
        <v/>
      </c>
      <c r="Y1493">
        <f>IF(AND($A1493=RELATORIO_MEDICAO!$C$5,$C1493=RELATORIO_MEDICAO!$F$5,$A1493&lt;&gt;""),COUNTIFS($A$3:$A1493,RELATORIO_MEDICAO!$C$5,$C$3:$C1493,RELATORIO_MEDICAO!$F$5),"")</f>
        <v/>
      </c>
      <c r="Z1493">
        <f>IF(OR($A1493="",PESQUISA!$C$4=""),0,IF(OR(ISNUMBER(SEARCH(PESQUISA!$C$4,$G1493)),ISNUMBER(SEARCH(PESQUISA!$C$4,$K1493)),ISNUMBER(SEARCH(PESQUISA!$C$4,$L1493))),1,0))</f>
        <v/>
      </c>
      <c r="AA1493">
        <f>IF($Z1493=1,SUM($Z$3:$Z1493),"")</f>
        <v/>
      </c>
      <c r="AB1493">
        <f>IF(OR($A1493="",PESQUISA!$C$50=""),0,IF(ISNUMBER(SEARCH(PESQUISA!$C$50,$I1493)),1,0))</f>
        <v/>
      </c>
      <c r="AC1493">
        <f>IF($AB1493=1,SUM($AB$3:$AB1493),"")</f>
        <v/>
      </c>
    </row>
    <row r="1494">
      <c r="A1494" s="20" t="n"/>
      <c r="B1494" s="20" t="n"/>
      <c r="C1494" s="20" t="n"/>
      <c r="D1494" s="20" t="n"/>
      <c r="E1494" s="20" t="n"/>
      <c r="F1494" s="20" t="n"/>
      <c r="G1494" s="20" t="n"/>
      <c r="H1494" s="20" t="n"/>
      <c r="I1494" s="20" t="n"/>
      <c r="J1494" s="20">
        <f>IFERROR(INDEX(CONFIGURACOES!$G$37:$G$300,MATCH($I1494,CONFIGURACOES!$B$37:$B$300,0)),"")</f>
        <v/>
      </c>
      <c r="K1494" s="20">
        <f>IFERROR(INDEX(CONFIGURACOES!$H$37:$H$300,MATCH($I1494,CONFIGURACOES!$B$37:$B$300,0)),"")</f>
        <v/>
      </c>
      <c r="L1494" s="20" t="n"/>
      <c r="M1494" s="20">
        <f>IFERROR(INDEX(CONFIGURACOES!$I$37:$I$300,MATCH($I1494,CONFIGURACOES!$B$37:$B$300,0)),"")</f>
        <v/>
      </c>
      <c r="N1494" s="21" t="n"/>
      <c r="O1494" s="21" t="n"/>
      <c r="P1494" s="21" t="n"/>
      <c r="Q1494" s="21" t="n"/>
      <c r="R1494" s="21">
        <f>IF($N1494="","",$N1494*IF($Q1494="",1,$Q1494)*IF($P1494="",1,$P1494)*IF($O1494="",1,$O1494))</f>
        <v/>
      </c>
      <c r="S1494" s="22">
        <f>IFERROR(INDEX(CONFIGURACOES!$J$37:$J$300,MATCH($I1494,CONFIGURACOES!$B$37:$B$300,0)),"")</f>
        <v/>
      </c>
      <c r="T1494" s="22">
        <f>IF(OR($R1494="",$S1494=""),"",$R1494*$S1494)</f>
        <v/>
      </c>
      <c r="U1494" s="20" t="n"/>
      <c r="V1494" s="20" t="n"/>
      <c r="W1494" s="20" t="n"/>
      <c r="X1494">
        <f>IF($A1494="","",$A1494&amp;"|"&amp;$C1494&amp;"|"&amp;$I1494)</f>
        <v/>
      </c>
      <c r="Y1494">
        <f>IF(AND($A1494=RELATORIO_MEDICAO!$C$5,$C1494=RELATORIO_MEDICAO!$F$5,$A1494&lt;&gt;""),COUNTIFS($A$3:$A1494,RELATORIO_MEDICAO!$C$5,$C$3:$C1494,RELATORIO_MEDICAO!$F$5),"")</f>
        <v/>
      </c>
      <c r="Z1494">
        <f>IF(OR($A1494="",PESQUISA!$C$4=""),0,IF(OR(ISNUMBER(SEARCH(PESQUISA!$C$4,$G1494)),ISNUMBER(SEARCH(PESQUISA!$C$4,$K1494)),ISNUMBER(SEARCH(PESQUISA!$C$4,$L1494))),1,0))</f>
        <v/>
      </c>
      <c r="AA1494">
        <f>IF($Z1494=1,SUM($Z$3:$Z1494),"")</f>
        <v/>
      </c>
      <c r="AB1494">
        <f>IF(OR($A1494="",PESQUISA!$C$50=""),0,IF(ISNUMBER(SEARCH(PESQUISA!$C$50,$I1494)),1,0))</f>
        <v/>
      </c>
      <c r="AC1494">
        <f>IF($AB1494=1,SUM($AB$3:$AB1494),"")</f>
        <v/>
      </c>
    </row>
    <row r="1495">
      <c r="A1495" s="20" t="n"/>
      <c r="B1495" s="20" t="n"/>
      <c r="C1495" s="20" t="n"/>
      <c r="D1495" s="20" t="n"/>
      <c r="E1495" s="20" t="n"/>
      <c r="F1495" s="20" t="n"/>
      <c r="G1495" s="20" t="n"/>
      <c r="H1495" s="20" t="n"/>
      <c r="I1495" s="20" t="n"/>
      <c r="J1495" s="20">
        <f>IFERROR(INDEX(CONFIGURACOES!$G$37:$G$300,MATCH($I1495,CONFIGURACOES!$B$37:$B$300,0)),"")</f>
        <v/>
      </c>
      <c r="K1495" s="20">
        <f>IFERROR(INDEX(CONFIGURACOES!$H$37:$H$300,MATCH($I1495,CONFIGURACOES!$B$37:$B$300,0)),"")</f>
        <v/>
      </c>
      <c r="L1495" s="20" t="n"/>
      <c r="M1495" s="20">
        <f>IFERROR(INDEX(CONFIGURACOES!$I$37:$I$300,MATCH($I1495,CONFIGURACOES!$B$37:$B$300,0)),"")</f>
        <v/>
      </c>
      <c r="N1495" s="21" t="n"/>
      <c r="O1495" s="21" t="n"/>
      <c r="P1495" s="21" t="n"/>
      <c r="Q1495" s="21" t="n"/>
      <c r="R1495" s="21">
        <f>IF($N1495="","",$N1495*IF($Q1495="",1,$Q1495)*IF($P1495="",1,$P1495)*IF($O1495="",1,$O1495))</f>
        <v/>
      </c>
      <c r="S1495" s="22">
        <f>IFERROR(INDEX(CONFIGURACOES!$J$37:$J$300,MATCH($I1495,CONFIGURACOES!$B$37:$B$300,0)),"")</f>
        <v/>
      </c>
      <c r="T1495" s="22">
        <f>IF(OR($R1495="",$S1495=""),"",$R1495*$S1495)</f>
        <v/>
      </c>
      <c r="U1495" s="20" t="n"/>
      <c r="V1495" s="20" t="n"/>
      <c r="W1495" s="20" t="n"/>
      <c r="X1495">
        <f>IF($A1495="","",$A1495&amp;"|"&amp;$C1495&amp;"|"&amp;$I1495)</f>
        <v/>
      </c>
      <c r="Y1495">
        <f>IF(AND($A1495=RELATORIO_MEDICAO!$C$5,$C1495=RELATORIO_MEDICAO!$F$5,$A1495&lt;&gt;""),COUNTIFS($A$3:$A1495,RELATORIO_MEDICAO!$C$5,$C$3:$C1495,RELATORIO_MEDICAO!$F$5),"")</f>
        <v/>
      </c>
      <c r="Z1495">
        <f>IF(OR($A1495="",PESQUISA!$C$4=""),0,IF(OR(ISNUMBER(SEARCH(PESQUISA!$C$4,$G1495)),ISNUMBER(SEARCH(PESQUISA!$C$4,$K1495)),ISNUMBER(SEARCH(PESQUISA!$C$4,$L1495))),1,0))</f>
        <v/>
      </c>
      <c r="AA1495">
        <f>IF($Z1495=1,SUM($Z$3:$Z1495),"")</f>
        <v/>
      </c>
      <c r="AB1495">
        <f>IF(OR($A1495="",PESQUISA!$C$50=""),0,IF(ISNUMBER(SEARCH(PESQUISA!$C$50,$I1495)),1,0))</f>
        <v/>
      </c>
      <c r="AC1495">
        <f>IF($AB1495=1,SUM($AB$3:$AB1495),"")</f>
        <v/>
      </c>
    </row>
    <row r="1496">
      <c r="A1496" s="20" t="n"/>
      <c r="B1496" s="20" t="n"/>
      <c r="C1496" s="20" t="n"/>
      <c r="D1496" s="20" t="n"/>
      <c r="E1496" s="20" t="n"/>
      <c r="F1496" s="20" t="n"/>
      <c r="G1496" s="20" t="n"/>
      <c r="H1496" s="20" t="n"/>
      <c r="I1496" s="20" t="n"/>
      <c r="J1496" s="20">
        <f>IFERROR(INDEX(CONFIGURACOES!$G$37:$G$300,MATCH($I1496,CONFIGURACOES!$B$37:$B$300,0)),"")</f>
        <v/>
      </c>
      <c r="K1496" s="20">
        <f>IFERROR(INDEX(CONFIGURACOES!$H$37:$H$300,MATCH($I1496,CONFIGURACOES!$B$37:$B$300,0)),"")</f>
        <v/>
      </c>
      <c r="L1496" s="20" t="n"/>
      <c r="M1496" s="20">
        <f>IFERROR(INDEX(CONFIGURACOES!$I$37:$I$300,MATCH($I1496,CONFIGURACOES!$B$37:$B$300,0)),"")</f>
        <v/>
      </c>
      <c r="N1496" s="21" t="n"/>
      <c r="O1496" s="21" t="n"/>
      <c r="P1496" s="21" t="n"/>
      <c r="Q1496" s="21" t="n"/>
      <c r="R1496" s="21">
        <f>IF($N1496="","",$N1496*IF($Q1496="",1,$Q1496)*IF($P1496="",1,$P1496)*IF($O1496="",1,$O1496))</f>
        <v/>
      </c>
      <c r="S1496" s="22">
        <f>IFERROR(INDEX(CONFIGURACOES!$J$37:$J$300,MATCH($I1496,CONFIGURACOES!$B$37:$B$300,0)),"")</f>
        <v/>
      </c>
      <c r="T1496" s="22">
        <f>IF(OR($R1496="",$S1496=""),"",$R1496*$S1496)</f>
        <v/>
      </c>
      <c r="U1496" s="20" t="n"/>
      <c r="V1496" s="20" t="n"/>
      <c r="W1496" s="20" t="n"/>
      <c r="X1496">
        <f>IF($A1496="","",$A1496&amp;"|"&amp;$C1496&amp;"|"&amp;$I1496)</f>
        <v/>
      </c>
      <c r="Y1496">
        <f>IF(AND($A1496=RELATORIO_MEDICAO!$C$5,$C1496=RELATORIO_MEDICAO!$F$5,$A1496&lt;&gt;""),COUNTIFS($A$3:$A1496,RELATORIO_MEDICAO!$C$5,$C$3:$C1496,RELATORIO_MEDICAO!$F$5),"")</f>
        <v/>
      </c>
      <c r="Z1496">
        <f>IF(OR($A1496="",PESQUISA!$C$4=""),0,IF(OR(ISNUMBER(SEARCH(PESQUISA!$C$4,$G1496)),ISNUMBER(SEARCH(PESQUISA!$C$4,$K1496)),ISNUMBER(SEARCH(PESQUISA!$C$4,$L1496))),1,0))</f>
        <v/>
      </c>
      <c r="AA1496">
        <f>IF($Z1496=1,SUM($Z$3:$Z1496),"")</f>
        <v/>
      </c>
      <c r="AB1496">
        <f>IF(OR($A1496="",PESQUISA!$C$50=""),0,IF(ISNUMBER(SEARCH(PESQUISA!$C$50,$I1496)),1,0))</f>
        <v/>
      </c>
      <c r="AC1496">
        <f>IF($AB1496=1,SUM($AB$3:$AB1496),"")</f>
        <v/>
      </c>
    </row>
    <row r="1497">
      <c r="A1497" s="20" t="n"/>
      <c r="B1497" s="20" t="n"/>
      <c r="C1497" s="20" t="n"/>
      <c r="D1497" s="20" t="n"/>
      <c r="E1497" s="20" t="n"/>
      <c r="F1497" s="20" t="n"/>
      <c r="G1497" s="20" t="n"/>
      <c r="H1497" s="20" t="n"/>
      <c r="I1497" s="20" t="n"/>
      <c r="J1497" s="20">
        <f>IFERROR(INDEX(CONFIGURACOES!$G$37:$G$300,MATCH($I1497,CONFIGURACOES!$B$37:$B$300,0)),"")</f>
        <v/>
      </c>
      <c r="K1497" s="20">
        <f>IFERROR(INDEX(CONFIGURACOES!$H$37:$H$300,MATCH($I1497,CONFIGURACOES!$B$37:$B$300,0)),"")</f>
        <v/>
      </c>
      <c r="L1497" s="20" t="n"/>
      <c r="M1497" s="20">
        <f>IFERROR(INDEX(CONFIGURACOES!$I$37:$I$300,MATCH($I1497,CONFIGURACOES!$B$37:$B$300,0)),"")</f>
        <v/>
      </c>
      <c r="N1497" s="21" t="n"/>
      <c r="O1497" s="21" t="n"/>
      <c r="P1497" s="21" t="n"/>
      <c r="Q1497" s="21" t="n"/>
      <c r="R1497" s="21">
        <f>IF($N1497="","",$N1497*IF($Q1497="",1,$Q1497)*IF($P1497="",1,$P1497)*IF($O1497="",1,$O1497))</f>
        <v/>
      </c>
      <c r="S1497" s="22">
        <f>IFERROR(INDEX(CONFIGURACOES!$J$37:$J$300,MATCH($I1497,CONFIGURACOES!$B$37:$B$300,0)),"")</f>
        <v/>
      </c>
      <c r="T1497" s="22">
        <f>IF(OR($R1497="",$S1497=""),"",$R1497*$S1497)</f>
        <v/>
      </c>
      <c r="U1497" s="20" t="n"/>
      <c r="V1497" s="20" t="n"/>
      <c r="W1497" s="20" t="n"/>
      <c r="X1497">
        <f>IF($A1497="","",$A1497&amp;"|"&amp;$C1497&amp;"|"&amp;$I1497)</f>
        <v/>
      </c>
      <c r="Y1497">
        <f>IF(AND($A1497=RELATORIO_MEDICAO!$C$5,$C1497=RELATORIO_MEDICAO!$F$5,$A1497&lt;&gt;""),COUNTIFS($A$3:$A1497,RELATORIO_MEDICAO!$C$5,$C$3:$C1497,RELATORIO_MEDICAO!$F$5),"")</f>
        <v/>
      </c>
      <c r="Z1497">
        <f>IF(OR($A1497="",PESQUISA!$C$4=""),0,IF(OR(ISNUMBER(SEARCH(PESQUISA!$C$4,$G1497)),ISNUMBER(SEARCH(PESQUISA!$C$4,$K1497)),ISNUMBER(SEARCH(PESQUISA!$C$4,$L1497))),1,0))</f>
        <v/>
      </c>
      <c r="AA1497">
        <f>IF($Z1497=1,SUM($Z$3:$Z1497),"")</f>
        <v/>
      </c>
      <c r="AB1497">
        <f>IF(OR($A1497="",PESQUISA!$C$50=""),0,IF(ISNUMBER(SEARCH(PESQUISA!$C$50,$I1497)),1,0))</f>
        <v/>
      </c>
      <c r="AC1497">
        <f>IF($AB1497=1,SUM($AB$3:$AB1497),"")</f>
        <v/>
      </c>
    </row>
    <row r="1498">
      <c r="A1498" s="20" t="n"/>
      <c r="B1498" s="20" t="n"/>
      <c r="C1498" s="20" t="n"/>
      <c r="D1498" s="20" t="n"/>
      <c r="E1498" s="20" t="n"/>
      <c r="F1498" s="20" t="n"/>
      <c r="G1498" s="20" t="n"/>
      <c r="H1498" s="20" t="n"/>
      <c r="I1498" s="20" t="n"/>
      <c r="J1498" s="20">
        <f>IFERROR(INDEX(CONFIGURACOES!$G$37:$G$300,MATCH($I1498,CONFIGURACOES!$B$37:$B$300,0)),"")</f>
        <v/>
      </c>
      <c r="K1498" s="20">
        <f>IFERROR(INDEX(CONFIGURACOES!$H$37:$H$300,MATCH($I1498,CONFIGURACOES!$B$37:$B$300,0)),"")</f>
        <v/>
      </c>
      <c r="L1498" s="20" t="n"/>
      <c r="M1498" s="20">
        <f>IFERROR(INDEX(CONFIGURACOES!$I$37:$I$300,MATCH($I1498,CONFIGURACOES!$B$37:$B$300,0)),"")</f>
        <v/>
      </c>
      <c r="N1498" s="21" t="n"/>
      <c r="O1498" s="21" t="n"/>
      <c r="P1498" s="21" t="n"/>
      <c r="Q1498" s="21" t="n"/>
      <c r="R1498" s="21">
        <f>IF($N1498="","",$N1498*IF($Q1498="",1,$Q1498)*IF($P1498="",1,$P1498)*IF($O1498="",1,$O1498))</f>
        <v/>
      </c>
      <c r="S1498" s="22">
        <f>IFERROR(INDEX(CONFIGURACOES!$J$37:$J$300,MATCH($I1498,CONFIGURACOES!$B$37:$B$300,0)),"")</f>
        <v/>
      </c>
      <c r="T1498" s="22">
        <f>IF(OR($R1498="",$S1498=""),"",$R1498*$S1498)</f>
        <v/>
      </c>
      <c r="U1498" s="20" t="n"/>
      <c r="V1498" s="20" t="n"/>
      <c r="W1498" s="20" t="n"/>
      <c r="X1498">
        <f>IF($A1498="","",$A1498&amp;"|"&amp;$C1498&amp;"|"&amp;$I1498)</f>
        <v/>
      </c>
      <c r="Y1498">
        <f>IF(AND($A1498=RELATORIO_MEDICAO!$C$5,$C1498=RELATORIO_MEDICAO!$F$5,$A1498&lt;&gt;""),COUNTIFS($A$3:$A1498,RELATORIO_MEDICAO!$C$5,$C$3:$C1498,RELATORIO_MEDICAO!$F$5),"")</f>
        <v/>
      </c>
      <c r="Z1498">
        <f>IF(OR($A1498="",PESQUISA!$C$4=""),0,IF(OR(ISNUMBER(SEARCH(PESQUISA!$C$4,$G1498)),ISNUMBER(SEARCH(PESQUISA!$C$4,$K1498)),ISNUMBER(SEARCH(PESQUISA!$C$4,$L1498))),1,0))</f>
        <v/>
      </c>
      <c r="AA1498">
        <f>IF($Z1498=1,SUM($Z$3:$Z1498),"")</f>
        <v/>
      </c>
      <c r="AB1498">
        <f>IF(OR($A1498="",PESQUISA!$C$50=""),0,IF(ISNUMBER(SEARCH(PESQUISA!$C$50,$I1498)),1,0))</f>
        <v/>
      </c>
      <c r="AC1498">
        <f>IF($AB1498=1,SUM($AB$3:$AB1498),"")</f>
        <v/>
      </c>
    </row>
    <row r="1499">
      <c r="A1499" s="20" t="n"/>
      <c r="B1499" s="20" t="n"/>
      <c r="C1499" s="20" t="n"/>
      <c r="D1499" s="20" t="n"/>
      <c r="E1499" s="20" t="n"/>
      <c r="F1499" s="20" t="n"/>
      <c r="G1499" s="20" t="n"/>
      <c r="H1499" s="20" t="n"/>
      <c r="I1499" s="20" t="n"/>
      <c r="J1499" s="20">
        <f>IFERROR(INDEX(CONFIGURACOES!$G$37:$G$300,MATCH($I1499,CONFIGURACOES!$B$37:$B$300,0)),"")</f>
        <v/>
      </c>
      <c r="K1499" s="20">
        <f>IFERROR(INDEX(CONFIGURACOES!$H$37:$H$300,MATCH($I1499,CONFIGURACOES!$B$37:$B$300,0)),"")</f>
        <v/>
      </c>
      <c r="L1499" s="20" t="n"/>
      <c r="M1499" s="20">
        <f>IFERROR(INDEX(CONFIGURACOES!$I$37:$I$300,MATCH($I1499,CONFIGURACOES!$B$37:$B$300,0)),"")</f>
        <v/>
      </c>
      <c r="N1499" s="21" t="n"/>
      <c r="O1499" s="21" t="n"/>
      <c r="P1499" s="21" t="n"/>
      <c r="Q1499" s="21" t="n"/>
      <c r="R1499" s="21">
        <f>IF($N1499="","",$N1499*IF($Q1499="",1,$Q1499)*IF($P1499="",1,$P1499)*IF($O1499="",1,$O1499))</f>
        <v/>
      </c>
      <c r="S1499" s="22">
        <f>IFERROR(INDEX(CONFIGURACOES!$J$37:$J$300,MATCH($I1499,CONFIGURACOES!$B$37:$B$300,0)),"")</f>
        <v/>
      </c>
      <c r="T1499" s="22">
        <f>IF(OR($R1499="",$S1499=""),"",$R1499*$S1499)</f>
        <v/>
      </c>
      <c r="U1499" s="20" t="n"/>
      <c r="V1499" s="20" t="n"/>
      <c r="W1499" s="20" t="n"/>
      <c r="X1499">
        <f>IF($A1499="","",$A1499&amp;"|"&amp;$C1499&amp;"|"&amp;$I1499)</f>
        <v/>
      </c>
      <c r="Y1499">
        <f>IF(AND($A1499=RELATORIO_MEDICAO!$C$5,$C1499=RELATORIO_MEDICAO!$F$5,$A1499&lt;&gt;""),COUNTIFS($A$3:$A1499,RELATORIO_MEDICAO!$C$5,$C$3:$C1499,RELATORIO_MEDICAO!$F$5),"")</f>
        <v/>
      </c>
      <c r="Z1499">
        <f>IF(OR($A1499="",PESQUISA!$C$4=""),0,IF(OR(ISNUMBER(SEARCH(PESQUISA!$C$4,$G1499)),ISNUMBER(SEARCH(PESQUISA!$C$4,$K1499)),ISNUMBER(SEARCH(PESQUISA!$C$4,$L1499))),1,0))</f>
        <v/>
      </c>
      <c r="AA1499">
        <f>IF($Z1499=1,SUM($Z$3:$Z1499),"")</f>
        <v/>
      </c>
      <c r="AB1499">
        <f>IF(OR($A1499="",PESQUISA!$C$50=""),0,IF(ISNUMBER(SEARCH(PESQUISA!$C$50,$I1499)),1,0))</f>
        <v/>
      </c>
      <c r="AC1499">
        <f>IF($AB1499=1,SUM($AB$3:$AB1499),"")</f>
        <v/>
      </c>
    </row>
    <row r="1500">
      <c r="A1500" s="20" t="n"/>
      <c r="B1500" s="20" t="n"/>
      <c r="C1500" s="20" t="n"/>
      <c r="D1500" s="20" t="n"/>
      <c r="E1500" s="20" t="n"/>
      <c r="F1500" s="20" t="n"/>
      <c r="G1500" s="20" t="n"/>
      <c r="H1500" s="20" t="n"/>
      <c r="I1500" s="20" t="n"/>
      <c r="J1500" s="20">
        <f>IFERROR(INDEX(CONFIGURACOES!$G$37:$G$300,MATCH($I1500,CONFIGURACOES!$B$37:$B$300,0)),"")</f>
        <v/>
      </c>
      <c r="K1500" s="20">
        <f>IFERROR(INDEX(CONFIGURACOES!$H$37:$H$300,MATCH($I1500,CONFIGURACOES!$B$37:$B$300,0)),"")</f>
        <v/>
      </c>
      <c r="L1500" s="20" t="n"/>
      <c r="M1500" s="20">
        <f>IFERROR(INDEX(CONFIGURACOES!$I$37:$I$300,MATCH($I1500,CONFIGURACOES!$B$37:$B$300,0)),"")</f>
        <v/>
      </c>
      <c r="N1500" s="21" t="n"/>
      <c r="O1500" s="21" t="n"/>
      <c r="P1500" s="21" t="n"/>
      <c r="Q1500" s="21" t="n"/>
      <c r="R1500" s="21">
        <f>IF($N1500="","",$N1500*IF($Q1500="",1,$Q1500)*IF($P1500="",1,$P1500)*IF($O1500="",1,$O1500))</f>
        <v/>
      </c>
      <c r="S1500" s="22">
        <f>IFERROR(INDEX(CONFIGURACOES!$J$37:$J$300,MATCH($I1500,CONFIGURACOES!$B$37:$B$300,0)),"")</f>
        <v/>
      </c>
      <c r="T1500" s="22">
        <f>IF(OR($R1500="",$S1500=""),"",$R1500*$S1500)</f>
        <v/>
      </c>
      <c r="U1500" s="20" t="n"/>
      <c r="V1500" s="20" t="n"/>
      <c r="W1500" s="20" t="n"/>
      <c r="X1500">
        <f>IF($A1500="","",$A1500&amp;"|"&amp;$C1500&amp;"|"&amp;$I1500)</f>
        <v/>
      </c>
      <c r="Y1500">
        <f>IF(AND($A1500=RELATORIO_MEDICAO!$C$5,$C1500=RELATORIO_MEDICAO!$F$5,$A1500&lt;&gt;""),COUNTIFS($A$3:$A1500,RELATORIO_MEDICAO!$C$5,$C$3:$C1500,RELATORIO_MEDICAO!$F$5),"")</f>
        <v/>
      </c>
      <c r="Z1500">
        <f>IF(OR($A1500="",PESQUISA!$C$4=""),0,IF(OR(ISNUMBER(SEARCH(PESQUISA!$C$4,$G1500)),ISNUMBER(SEARCH(PESQUISA!$C$4,$K1500)),ISNUMBER(SEARCH(PESQUISA!$C$4,$L1500))),1,0))</f>
        <v/>
      </c>
      <c r="AA1500">
        <f>IF($Z1500=1,SUM($Z$3:$Z1500),"")</f>
        <v/>
      </c>
      <c r="AB1500">
        <f>IF(OR($A1500="",PESQUISA!$C$50=""),0,IF(ISNUMBER(SEARCH(PESQUISA!$C$50,$I1500)),1,0))</f>
        <v/>
      </c>
      <c r="AC1500">
        <f>IF($AB1500=1,SUM($AB$3:$AB1500),"")</f>
        <v/>
      </c>
    </row>
    <row r="1501">
      <c r="A1501" s="20" t="n"/>
      <c r="B1501" s="20" t="n"/>
      <c r="C1501" s="20" t="n"/>
      <c r="D1501" s="20" t="n"/>
      <c r="E1501" s="20" t="n"/>
      <c r="F1501" s="20" t="n"/>
      <c r="G1501" s="20" t="n"/>
      <c r="H1501" s="20" t="n"/>
      <c r="I1501" s="20" t="n"/>
      <c r="J1501" s="20">
        <f>IFERROR(INDEX(CONFIGURACOES!$G$37:$G$300,MATCH($I1501,CONFIGURACOES!$B$37:$B$300,0)),"")</f>
        <v/>
      </c>
      <c r="K1501" s="20">
        <f>IFERROR(INDEX(CONFIGURACOES!$H$37:$H$300,MATCH($I1501,CONFIGURACOES!$B$37:$B$300,0)),"")</f>
        <v/>
      </c>
      <c r="L1501" s="20" t="n"/>
      <c r="M1501" s="20">
        <f>IFERROR(INDEX(CONFIGURACOES!$I$37:$I$300,MATCH($I1501,CONFIGURACOES!$B$37:$B$300,0)),"")</f>
        <v/>
      </c>
      <c r="N1501" s="21" t="n"/>
      <c r="O1501" s="21" t="n"/>
      <c r="P1501" s="21" t="n"/>
      <c r="Q1501" s="21" t="n"/>
      <c r="R1501" s="21">
        <f>IF($N1501="","",$N1501*IF($Q1501="",1,$Q1501)*IF($P1501="",1,$P1501)*IF($O1501="",1,$O1501))</f>
        <v/>
      </c>
      <c r="S1501" s="22">
        <f>IFERROR(INDEX(CONFIGURACOES!$J$37:$J$300,MATCH($I1501,CONFIGURACOES!$B$37:$B$300,0)),"")</f>
        <v/>
      </c>
      <c r="T1501" s="22">
        <f>IF(OR($R1501="",$S1501=""),"",$R1501*$S1501)</f>
        <v/>
      </c>
      <c r="U1501" s="20" t="n"/>
      <c r="V1501" s="20" t="n"/>
      <c r="W1501" s="20" t="n"/>
      <c r="X1501">
        <f>IF($A1501="","",$A1501&amp;"|"&amp;$C1501&amp;"|"&amp;$I1501)</f>
        <v/>
      </c>
      <c r="Y1501">
        <f>IF(AND($A1501=RELATORIO_MEDICAO!$C$5,$C1501=RELATORIO_MEDICAO!$F$5,$A1501&lt;&gt;""),COUNTIFS($A$3:$A1501,RELATORIO_MEDICAO!$C$5,$C$3:$C1501,RELATORIO_MEDICAO!$F$5),"")</f>
        <v/>
      </c>
      <c r="Z1501">
        <f>IF(OR($A1501="",PESQUISA!$C$4=""),0,IF(OR(ISNUMBER(SEARCH(PESQUISA!$C$4,$G1501)),ISNUMBER(SEARCH(PESQUISA!$C$4,$K1501)),ISNUMBER(SEARCH(PESQUISA!$C$4,$L1501))),1,0))</f>
        <v/>
      </c>
      <c r="AA1501">
        <f>IF($Z1501=1,SUM($Z$3:$Z1501),"")</f>
        <v/>
      </c>
      <c r="AB1501">
        <f>IF(OR($A1501="",PESQUISA!$C$50=""),0,IF(ISNUMBER(SEARCH(PESQUISA!$C$50,$I1501)),1,0))</f>
        <v/>
      </c>
      <c r="AC1501">
        <f>IF($AB1501=1,SUM($AB$3:$AB1501),"")</f>
        <v/>
      </c>
    </row>
    <row r="1502">
      <c r="A1502" s="20" t="n"/>
      <c r="B1502" s="20" t="n"/>
      <c r="C1502" s="20" t="n"/>
      <c r="D1502" s="20" t="n"/>
      <c r="E1502" s="20" t="n"/>
      <c r="F1502" s="20" t="n"/>
      <c r="G1502" s="20" t="n"/>
      <c r="H1502" s="20" t="n"/>
      <c r="I1502" s="20" t="n"/>
      <c r="J1502" s="20">
        <f>IFERROR(INDEX(CONFIGURACOES!$G$37:$G$300,MATCH($I1502,CONFIGURACOES!$B$37:$B$300,0)),"")</f>
        <v/>
      </c>
      <c r="K1502" s="20">
        <f>IFERROR(INDEX(CONFIGURACOES!$H$37:$H$300,MATCH($I1502,CONFIGURACOES!$B$37:$B$300,0)),"")</f>
        <v/>
      </c>
      <c r="L1502" s="20" t="n"/>
      <c r="M1502" s="20">
        <f>IFERROR(INDEX(CONFIGURACOES!$I$37:$I$300,MATCH($I1502,CONFIGURACOES!$B$37:$B$300,0)),"")</f>
        <v/>
      </c>
      <c r="N1502" s="21" t="n"/>
      <c r="O1502" s="21" t="n"/>
      <c r="P1502" s="21" t="n"/>
      <c r="Q1502" s="21" t="n"/>
      <c r="R1502" s="21">
        <f>IF($N1502="","",$N1502*IF($Q1502="",1,$Q1502)*IF($P1502="",1,$P1502)*IF($O1502="",1,$O1502))</f>
        <v/>
      </c>
      <c r="S1502" s="22">
        <f>IFERROR(INDEX(CONFIGURACOES!$J$37:$J$300,MATCH($I1502,CONFIGURACOES!$B$37:$B$300,0)),"")</f>
        <v/>
      </c>
      <c r="T1502" s="22">
        <f>IF(OR($R1502="",$S1502=""),"",$R1502*$S1502)</f>
        <v/>
      </c>
      <c r="U1502" s="20" t="n"/>
      <c r="V1502" s="20" t="n"/>
      <c r="W1502" s="20" t="n"/>
      <c r="X1502">
        <f>IF($A1502="","",$A1502&amp;"|"&amp;$C1502&amp;"|"&amp;$I1502)</f>
        <v/>
      </c>
      <c r="Y1502">
        <f>IF(AND($A1502=RELATORIO_MEDICAO!$C$5,$C1502=RELATORIO_MEDICAO!$F$5,$A1502&lt;&gt;""),COUNTIFS($A$3:$A1502,RELATORIO_MEDICAO!$C$5,$C$3:$C1502,RELATORIO_MEDICAO!$F$5),"")</f>
        <v/>
      </c>
      <c r="Z1502">
        <f>IF(OR($A1502="",PESQUISA!$C$4=""),0,IF(OR(ISNUMBER(SEARCH(PESQUISA!$C$4,$G1502)),ISNUMBER(SEARCH(PESQUISA!$C$4,$K1502)),ISNUMBER(SEARCH(PESQUISA!$C$4,$L1502))),1,0))</f>
        <v/>
      </c>
      <c r="AA1502">
        <f>IF($Z1502=1,SUM($Z$3:$Z1502),"")</f>
        <v/>
      </c>
      <c r="AB1502">
        <f>IF(OR($A1502="",PESQUISA!$C$50=""),0,IF(ISNUMBER(SEARCH(PESQUISA!$C$50,$I1502)),1,0))</f>
        <v/>
      </c>
      <c r="AC1502">
        <f>IF($AB1502=1,SUM($AB$3:$AB1502),"")</f>
        <v/>
      </c>
    </row>
    <row r="1503">
      <c r="A1503" s="20" t="n"/>
      <c r="B1503" s="20" t="n"/>
      <c r="C1503" s="20" t="n"/>
      <c r="D1503" s="20" t="n"/>
      <c r="E1503" s="20" t="n"/>
      <c r="F1503" s="20" t="n"/>
      <c r="G1503" s="20" t="n"/>
      <c r="H1503" s="20" t="n"/>
      <c r="I1503" s="20" t="n"/>
      <c r="J1503" s="20">
        <f>IFERROR(INDEX(CONFIGURACOES!$G$37:$G$300,MATCH($I1503,CONFIGURACOES!$B$37:$B$300,0)),"")</f>
        <v/>
      </c>
      <c r="K1503" s="20">
        <f>IFERROR(INDEX(CONFIGURACOES!$H$37:$H$300,MATCH($I1503,CONFIGURACOES!$B$37:$B$300,0)),"")</f>
        <v/>
      </c>
      <c r="L1503" s="20" t="n"/>
      <c r="M1503" s="20">
        <f>IFERROR(INDEX(CONFIGURACOES!$I$37:$I$300,MATCH($I1503,CONFIGURACOES!$B$37:$B$300,0)),"")</f>
        <v/>
      </c>
      <c r="N1503" s="21" t="n"/>
      <c r="O1503" s="21" t="n"/>
      <c r="P1503" s="21" t="n"/>
      <c r="Q1503" s="21" t="n"/>
      <c r="R1503" s="21">
        <f>IF($N1503="","",$N1503*IF($Q1503="",1,$Q1503)*IF($P1503="",1,$P1503)*IF($O1503="",1,$O1503))</f>
        <v/>
      </c>
      <c r="S1503" s="22">
        <f>IFERROR(INDEX(CONFIGURACOES!$J$37:$J$300,MATCH($I1503,CONFIGURACOES!$B$37:$B$300,0)),"")</f>
        <v/>
      </c>
      <c r="T1503" s="22">
        <f>IF(OR($R1503="",$S1503=""),"",$R1503*$S1503)</f>
        <v/>
      </c>
      <c r="U1503" s="20" t="n"/>
      <c r="V1503" s="20" t="n"/>
      <c r="W1503" s="20" t="n"/>
      <c r="X1503">
        <f>IF($A1503="","",$A1503&amp;"|"&amp;$C1503&amp;"|"&amp;$I1503)</f>
        <v/>
      </c>
      <c r="Y1503">
        <f>IF(AND($A1503=RELATORIO_MEDICAO!$C$5,$C1503=RELATORIO_MEDICAO!$F$5,$A1503&lt;&gt;""),COUNTIFS($A$3:$A1503,RELATORIO_MEDICAO!$C$5,$C$3:$C1503,RELATORIO_MEDICAO!$F$5),"")</f>
        <v/>
      </c>
      <c r="Z1503">
        <f>IF(OR($A1503="",PESQUISA!$C$4=""),0,IF(OR(ISNUMBER(SEARCH(PESQUISA!$C$4,$G1503)),ISNUMBER(SEARCH(PESQUISA!$C$4,$K1503)),ISNUMBER(SEARCH(PESQUISA!$C$4,$L1503))),1,0))</f>
        <v/>
      </c>
      <c r="AA1503">
        <f>IF($Z1503=1,SUM($Z$3:$Z1503),"")</f>
        <v/>
      </c>
      <c r="AB1503">
        <f>IF(OR($A1503="",PESQUISA!$C$50=""),0,IF(ISNUMBER(SEARCH(PESQUISA!$C$50,$I1503)),1,0))</f>
        <v/>
      </c>
      <c r="AC1503">
        <f>IF($AB1503=1,SUM($AB$3:$AB1503),"")</f>
        <v/>
      </c>
    </row>
    <row r="1504">
      <c r="A1504" s="20" t="n"/>
      <c r="B1504" s="20" t="n"/>
      <c r="C1504" s="20" t="n"/>
      <c r="D1504" s="20" t="n"/>
      <c r="E1504" s="20" t="n"/>
      <c r="F1504" s="20" t="n"/>
      <c r="G1504" s="20" t="n"/>
      <c r="H1504" s="20" t="n"/>
      <c r="I1504" s="20" t="n"/>
      <c r="J1504" s="20">
        <f>IFERROR(INDEX(CONFIGURACOES!$G$37:$G$300,MATCH($I1504,CONFIGURACOES!$B$37:$B$300,0)),"")</f>
        <v/>
      </c>
      <c r="K1504" s="20">
        <f>IFERROR(INDEX(CONFIGURACOES!$H$37:$H$300,MATCH($I1504,CONFIGURACOES!$B$37:$B$300,0)),"")</f>
        <v/>
      </c>
      <c r="L1504" s="20" t="n"/>
      <c r="M1504" s="20">
        <f>IFERROR(INDEX(CONFIGURACOES!$I$37:$I$300,MATCH($I1504,CONFIGURACOES!$B$37:$B$300,0)),"")</f>
        <v/>
      </c>
      <c r="N1504" s="21" t="n"/>
      <c r="O1504" s="21" t="n"/>
      <c r="P1504" s="21" t="n"/>
      <c r="Q1504" s="21" t="n"/>
      <c r="R1504" s="21">
        <f>IF($N1504="","",$N1504*IF($Q1504="",1,$Q1504)*IF($P1504="",1,$P1504)*IF($O1504="",1,$O1504))</f>
        <v/>
      </c>
      <c r="S1504" s="22">
        <f>IFERROR(INDEX(CONFIGURACOES!$J$37:$J$300,MATCH($I1504,CONFIGURACOES!$B$37:$B$300,0)),"")</f>
        <v/>
      </c>
      <c r="T1504" s="22">
        <f>IF(OR($R1504="",$S1504=""),"",$R1504*$S1504)</f>
        <v/>
      </c>
      <c r="U1504" s="20" t="n"/>
      <c r="V1504" s="20" t="n"/>
      <c r="W1504" s="20" t="n"/>
      <c r="X1504">
        <f>IF($A1504="","",$A1504&amp;"|"&amp;$C1504&amp;"|"&amp;$I1504)</f>
        <v/>
      </c>
      <c r="Y1504">
        <f>IF(AND($A1504=RELATORIO_MEDICAO!$C$5,$C1504=RELATORIO_MEDICAO!$F$5,$A1504&lt;&gt;""),COUNTIFS($A$3:$A1504,RELATORIO_MEDICAO!$C$5,$C$3:$C1504,RELATORIO_MEDICAO!$F$5),"")</f>
        <v/>
      </c>
      <c r="Z1504">
        <f>IF(OR($A1504="",PESQUISA!$C$4=""),0,IF(OR(ISNUMBER(SEARCH(PESQUISA!$C$4,$G1504)),ISNUMBER(SEARCH(PESQUISA!$C$4,$K1504)),ISNUMBER(SEARCH(PESQUISA!$C$4,$L1504))),1,0))</f>
        <v/>
      </c>
      <c r="AA1504">
        <f>IF($Z1504=1,SUM($Z$3:$Z1504),"")</f>
        <v/>
      </c>
      <c r="AB1504">
        <f>IF(OR($A1504="",PESQUISA!$C$50=""),0,IF(ISNUMBER(SEARCH(PESQUISA!$C$50,$I1504)),1,0))</f>
        <v/>
      </c>
      <c r="AC1504">
        <f>IF($AB1504=1,SUM($AB$3:$AB1504),"")</f>
        <v/>
      </c>
    </row>
    <row r="1505">
      <c r="A1505" s="20" t="n"/>
      <c r="B1505" s="20" t="n"/>
      <c r="C1505" s="20" t="n"/>
      <c r="D1505" s="20" t="n"/>
      <c r="E1505" s="20" t="n"/>
      <c r="F1505" s="20" t="n"/>
      <c r="G1505" s="20" t="n"/>
      <c r="H1505" s="20" t="n"/>
      <c r="I1505" s="20" t="n"/>
      <c r="J1505" s="20">
        <f>IFERROR(INDEX(CONFIGURACOES!$G$37:$G$300,MATCH($I1505,CONFIGURACOES!$B$37:$B$300,0)),"")</f>
        <v/>
      </c>
      <c r="K1505" s="20">
        <f>IFERROR(INDEX(CONFIGURACOES!$H$37:$H$300,MATCH($I1505,CONFIGURACOES!$B$37:$B$300,0)),"")</f>
        <v/>
      </c>
      <c r="L1505" s="20" t="n"/>
      <c r="M1505" s="20">
        <f>IFERROR(INDEX(CONFIGURACOES!$I$37:$I$300,MATCH($I1505,CONFIGURACOES!$B$37:$B$300,0)),"")</f>
        <v/>
      </c>
      <c r="N1505" s="21" t="n"/>
      <c r="O1505" s="21" t="n"/>
      <c r="P1505" s="21" t="n"/>
      <c r="Q1505" s="21" t="n"/>
      <c r="R1505" s="21">
        <f>IF($N1505="","",$N1505*IF($Q1505="",1,$Q1505)*IF($P1505="",1,$P1505)*IF($O1505="",1,$O1505))</f>
        <v/>
      </c>
      <c r="S1505" s="22">
        <f>IFERROR(INDEX(CONFIGURACOES!$J$37:$J$300,MATCH($I1505,CONFIGURACOES!$B$37:$B$300,0)),"")</f>
        <v/>
      </c>
      <c r="T1505" s="22">
        <f>IF(OR($R1505="",$S1505=""),"",$R1505*$S1505)</f>
        <v/>
      </c>
      <c r="U1505" s="20" t="n"/>
      <c r="V1505" s="20" t="n"/>
      <c r="W1505" s="20" t="n"/>
      <c r="X1505">
        <f>IF($A1505="","",$A1505&amp;"|"&amp;$C1505&amp;"|"&amp;$I1505)</f>
        <v/>
      </c>
      <c r="Y1505">
        <f>IF(AND($A1505=RELATORIO_MEDICAO!$C$5,$C1505=RELATORIO_MEDICAO!$F$5,$A1505&lt;&gt;""),COUNTIFS($A$3:$A1505,RELATORIO_MEDICAO!$C$5,$C$3:$C1505,RELATORIO_MEDICAO!$F$5),"")</f>
        <v/>
      </c>
      <c r="Z1505">
        <f>IF(OR($A1505="",PESQUISA!$C$4=""),0,IF(OR(ISNUMBER(SEARCH(PESQUISA!$C$4,$G1505)),ISNUMBER(SEARCH(PESQUISA!$C$4,$K1505)),ISNUMBER(SEARCH(PESQUISA!$C$4,$L1505))),1,0))</f>
        <v/>
      </c>
      <c r="AA1505">
        <f>IF($Z1505=1,SUM($Z$3:$Z1505),"")</f>
        <v/>
      </c>
      <c r="AB1505">
        <f>IF(OR($A1505="",PESQUISA!$C$50=""),0,IF(ISNUMBER(SEARCH(PESQUISA!$C$50,$I1505)),1,0))</f>
        <v/>
      </c>
      <c r="AC1505">
        <f>IF($AB1505=1,SUM($AB$3:$AB1505),"")</f>
        <v/>
      </c>
    </row>
    <row r="1506">
      <c r="A1506" s="20" t="n"/>
      <c r="B1506" s="20" t="n"/>
      <c r="C1506" s="20" t="n"/>
      <c r="D1506" s="20" t="n"/>
      <c r="E1506" s="20" t="n"/>
      <c r="F1506" s="20" t="n"/>
      <c r="G1506" s="20" t="n"/>
      <c r="H1506" s="20" t="n"/>
      <c r="I1506" s="20" t="n"/>
      <c r="J1506" s="20">
        <f>IFERROR(INDEX(CONFIGURACOES!$G$37:$G$300,MATCH($I1506,CONFIGURACOES!$B$37:$B$300,0)),"")</f>
        <v/>
      </c>
      <c r="K1506" s="20">
        <f>IFERROR(INDEX(CONFIGURACOES!$H$37:$H$300,MATCH($I1506,CONFIGURACOES!$B$37:$B$300,0)),"")</f>
        <v/>
      </c>
      <c r="L1506" s="20" t="n"/>
      <c r="M1506" s="20">
        <f>IFERROR(INDEX(CONFIGURACOES!$I$37:$I$300,MATCH($I1506,CONFIGURACOES!$B$37:$B$300,0)),"")</f>
        <v/>
      </c>
      <c r="N1506" s="21" t="n"/>
      <c r="O1506" s="21" t="n"/>
      <c r="P1506" s="21" t="n"/>
      <c r="Q1506" s="21" t="n"/>
      <c r="R1506" s="21">
        <f>IF($N1506="","",$N1506*IF($Q1506="",1,$Q1506)*IF($P1506="",1,$P1506)*IF($O1506="",1,$O1506))</f>
        <v/>
      </c>
      <c r="S1506" s="22">
        <f>IFERROR(INDEX(CONFIGURACOES!$J$37:$J$300,MATCH($I1506,CONFIGURACOES!$B$37:$B$300,0)),"")</f>
        <v/>
      </c>
      <c r="T1506" s="22">
        <f>IF(OR($R1506="",$S1506=""),"",$R1506*$S1506)</f>
        <v/>
      </c>
      <c r="U1506" s="20" t="n"/>
      <c r="V1506" s="20" t="n"/>
      <c r="W1506" s="20" t="n"/>
      <c r="X1506">
        <f>IF($A1506="","",$A1506&amp;"|"&amp;$C1506&amp;"|"&amp;$I1506)</f>
        <v/>
      </c>
      <c r="Y1506">
        <f>IF(AND($A1506=RELATORIO_MEDICAO!$C$5,$C1506=RELATORIO_MEDICAO!$F$5,$A1506&lt;&gt;""),COUNTIFS($A$3:$A1506,RELATORIO_MEDICAO!$C$5,$C$3:$C1506,RELATORIO_MEDICAO!$F$5),"")</f>
        <v/>
      </c>
      <c r="Z1506">
        <f>IF(OR($A1506="",PESQUISA!$C$4=""),0,IF(OR(ISNUMBER(SEARCH(PESQUISA!$C$4,$G1506)),ISNUMBER(SEARCH(PESQUISA!$C$4,$K1506)),ISNUMBER(SEARCH(PESQUISA!$C$4,$L1506))),1,0))</f>
        <v/>
      </c>
      <c r="AA1506">
        <f>IF($Z1506=1,SUM($Z$3:$Z1506),"")</f>
        <v/>
      </c>
      <c r="AB1506">
        <f>IF(OR($A1506="",PESQUISA!$C$50=""),0,IF(ISNUMBER(SEARCH(PESQUISA!$C$50,$I1506)),1,0))</f>
        <v/>
      </c>
      <c r="AC1506">
        <f>IF($AB1506=1,SUM($AB$3:$AB1506),"")</f>
        <v/>
      </c>
    </row>
    <row r="1507">
      <c r="A1507" s="20" t="n"/>
      <c r="B1507" s="20" t="n"/>
      <c r="C1507" s="20" t="n"/>
      <c r="D1507" s="20" t="n"/>
      <c r="E1507" s="20" t="n"/>
      <c r="F1507" s="20" t="n"/>
      <c r="G1507" s="20" t="n"/>
      <c r="H1507" s="20" t="n"/>
      <c r="I1507" s="20" t="n"/>
      <c r="J1507" s="20">
        <f>IFERROR(INDEX(CONFIGURACOES!$G$37:$G$300,MATCH($I1507,CONFIGURACOES!$B$37:$B$300,0)),"")</f>
        <v/>
      </c>
      <c r="K1507" s="20">
        <f>IFERROR(INDEX(CONFIGURACOES!$H$37:$H$300,MATCH($I1507,CONFIGURACOES!$B$37:$B$300,0)),"")</f>
        <v/>
      </c>
      <c r="L1507" s="20" t="n"/>
      <c r="M1507" s="20">
        <f>IFERROR(INDEX(CONFIGURACOES!$I$37:$I$300,MATCH($I1507,CONFIGURACOES!$B$37:$B$300,0)),"")</f>
        <v/>
      </c>
      <c r="N1507" s="21" t="n"/>
      <c r="O1507" s="21" t="n"/>
      <c r="P1507" s="21" t="n"/>
      <c r="Q1507" s="21" t="n"/>
      <c r="R1507" s="21">
        <f>IF($N1507="","",$N1507*IF($Q1507="",1,$Q1507)*IF($P1507="",1,$P1507)*IF($O1507="",1,$O1507))</f>
        <v/>
      </c>
      <c r="S1507" s="22">
        <f>IFERROR(INDEX(CONFIGURACOES!$J$37:$J$300,MATCH($I1507,CONFIGURACOES!$B$37:$B$300,0)),"")</f>
        <v/>
      </c>
      <c r="T1507" s="22">
        <f>IF(OR($R1507="",$S1507=""),"",$R1507*$S1507)</f>
        <v/>
      </c>
      <c r="U1507" s="20" t="n"/>
      <c r="V1507" s="20" t="n"/>
      <c r="W1507" s="20" t="n"/>
      <c r="X1507">
        <f>IF($A1507="","",$A1507&amp;"|"&amp;$C1507&amp;"|"&amp;$I1507)</f>
        <v/>
      </c>
      <c r="Y1507">
        <f>IF(AND($A1507=RELATORIO_MEDICAO!$C$5,$C1507=RELATORIO_MEDICAO!$F$5,$A1507&lt;&gt;""),COUNTIFS($A$3:$A1507,RELATORIO_MEDICAO!$C$5,$C$3:$C1507,RELATORIO_MEDICAO!$F$5),"")</f>
        <v/>
      </c>
      <c r="Z1507">
        <f>IF(OR($A1507="",PESQUISA!$C$4=""),0,IF(OR(ISNUMBER(SEARCH(PESQUISA!$C$4,$G1507)),ISNUMBER(SEARCH(PESQUISA!$C$4,$K1507)),ISNUMBER(SEARCH(PESQUISA!$C$4,$L1507))),1,0))</f>
        <v/>
      </c>
      <c r="AA1507">
        <f>IF($Z1507=1,SUM($Z$3:$Z1507),"")</f>
        <v/>
      </c>
      <c r="AB1507">
        <f>IF(OR($A1507="",PESQUISA!$C$50=""),0,IF(ISNUMBER(SEARCH(PESQUISA!$C$50,$I1507)),1,0))</f>
        <v/>
      </c>
      <c r="AC1507">
        <f>IF($AB1507=1,SUM($AB$3:$AB1507),"")</f>
        <v/>
      </c>
    </row>
    <row r="1508">
      <c r="A1508" s="20" t="n"/>
      <c r="B1508" s="20" t="n"/>
      <c r="C1508" s="20" t="n"/>
      <c r="D1508" s="20" t="n"/>
      <c r="E1508" s="20" t="n"/>
      <c r="F1508" s="20" t="n"/>
      <c r="G1508" s="20" t="n"/>
      <c r="H1508" s="20" t="n"/>
      <c r="I1508" s="20" t="n"/>
      <c r="J1508" s="20">
        <f>IFERROR(INDEX(CONFIGURACOES!$G$37:$G$300,MATCH($I1508,CONFIGURACOES!$B$37:$B$300,0)),"")</f>
        <v/>
      </c>
      <c r="K1508" s="20">
        <f>IFERROR(INDEX(CONFIGURACOES!$H$37:$H$300,MATCH($I1508,CONFIGURACOES!$B$37:$B$300,0)),"")</f>
        <v/>
      </c>
      <c r="L1508" s="20" t="n"/>
      <c r="M1508" s="20">
        <f>IFERROR(INDEX(CONFIGURACOES!$I$37:$I$300,MATCH($I1508,CONFIGURACOES!$B$37:$B$300,0)),"")</f>
        <v/>
      </c>
      <c r="N1508" s="21" t="n"/>
      <c r="O1508" s="21" t="n"/>
      <c r="P1508" s="21" t="n"/>
      <c r="Q1508" s="21" t="n"/>
      <c r="R1508" s="21">
        <f>IF($N1508="","",$N1508*IF($Q1508="",1,$Q1508)*IF($P1508="",1,$P1508)*IF($O1508="",1,$O1508))</f>
        <v/>
      </c>
      <c r="S1508" s="22">
        <f>IFERROR(INDEX(CONFIGURACOES!$J$37:$J$300,MATCH($I1508,CONFIGURACOES!$B$37:$B$300,0)),"")</f>
        <v/>
      </c>
      <c r="T1508" s="22">
        <f>IF(OR($R1508="",$S1508=""),"",$R1508*$S1508)</f>
        <v/>
      </c>
      <c r="U1508" s="20" t="n"/>
      <c r="V1508" s="20" t="n"/>
      <c r="W1508" s="20" t="n"/>
      <c r="X1508">
        <f>IF($A1508="","",$A1508&amp;"|"&amp;$C1508&amp;"|"&amp;$I1508)</f>
        <v/>
      </c>
      <c r="Y1508">
        <f>IF(AND($A1508=RELATORIO_MEDICAO!$C$5,$C1508=RELATORIO_MEDICAO!$F$5,$A1508&lt;&gt;""),COUNTIFS($A$3:$A1508,RELATORIO_MEDICAO!$C$5,$C$3:$C1508,RELATORIO_MEDICAO!$F$5),"")</f>
        <v/>
      </c>
      <c r="Z1508">
        <f>IF(OR($A1508="",PESQUISA!$C$4=""),0,IF(OR(ISNUMBER(SEARCH(PESQUISA!$C$4,$G1508)),ISNUMBER(SEARCH(PESQUISA!$C$4,$K1508)),ISNUMBER(SEARCH(PESQUISA!$C$4,$L1508))),1,0))</f>
        <v/>
      </c>
      <c r="AA1508">
        <f>IF($Z1508=1,SUM($Z$3:$Z1508),"")</f>
        <v/>
      </c>
      <c r="AB1508">
        <f>IF(OR($A1508="",PESQUISA!$C$50=""),0,IF(ISNUMBER(SEARCH(PESQUISA!$C$50,$I1508)),1,0))</f>
        <v/>
      </c>
      <c r="AC1508">
        <f>IF($AB1508=1,SUM($AB$3:$AB1508),"")</f>
        <v/>
      </c>
    </row>
    <row r="1509">
      <c r="A1509" s="20" t="n"/>
      <c r="B1509" s="20" t="n"/>
      <c r="C1509" s="20" t="n"/>
      <c r="D1509" s="20" t="n"/>
      <c r="E1509" s="20" t="n"/>
      <c r="F1509" s="20" t="n"/>
      <c r="G1509" s="20" t="n"/>
      <c r="H1509" s="20" t="n"/>
      <c r="I1509" s="20" t="n"/>
      <c r="J1509" s="20">
        <f>IFERROR(INDEX(CONFIGURACOES!$G$37:$G$300,MATCH($I1509,CONFIGURACOES!$B$37:$B$300,0)),"")</f>
        <v/>
      </c>
      <c r="K1509" s="20">
        <f>IFERROR(INDEX(CONFIGURACOES!$H$37:$H$300,MATCH($I1509,CONFIGURACOES!$B$37:$B$300,0)),"")</f>
        <v/>
      </c>
      <c r="L1509" s="20" t="n"/>
      <c r="M1509" s="20">
        <f>IFERROR(INDEX(CONFIGURACOES!$I$37:$I$300,MATCH($I1509,CONFIGURACOES!$B$37:$B$300,0)),"")</f>
        <v/>
      </c>
      <c r="N1509" s="21" t="n"/>
      <c r="O1509" s="21" t="n"/>
      <c r="P1509" s="21" t="n"/>
      <c r="Q1509" s="21" t="n"/>
      <c r="R1509" s="21">
        <f>IF($N1509="","",$N1509*IF($Q1509="",1,$Q1509)*IF($P1509="",1,$P1509)*IF($O1509="",1,$O1509))</f>
        <v/>
      </c>
      <c r="S1509" s="22">
        <f>IFERROR(INDEX(CONFIGURACOES!$J$37:$J$300,MATCH($I1509,CONFIGURACOES!$B$37:$B$300,0)),"")</f>
        <v/>
      </c>
      <c r="T1509" s="22">
        <f>IF(OR($R1509="",$S1509=""),"",$R1509*$S1509)</f>
        <v/>
      </c>
      <c r="U1509" s="20" t="n"/>
      <c r="V1509" s="20" t="n"/>
      <c r="W1509" s="20" t="n"/>
      <c r="X1509">
        <f>IF($A1509="","",$A1509&amp;"|"&amp;$C1509&amp;"|"&amp;$I1509)</f>
        <v/>
      </c>
      <c r="Y1509">
        <f>IF(AND($A1509=RELATORIO_MEDICAO!$C$5,$C1509=RELATORIO_MEDICAO!$F$5,$A1509&lt;&gt;""),COUNTIFS($A$3:$A1509,RELATORIO_MEDICAO!$C$5,$C$3:$C1509,RELATORIO_MEDICAO!$F$5),"")</f>
        <v/>
      </c>
      <c r="Z1509">
        <f>IF(OR($A1509="",PESQUISA!$C$4=""),0,IF(OR(ISNUMBER(SEARCH(PESQUISA!$C$4,$G1509)),ISNUMBER(SEARCH(PESQUISA!$C$4,$K1509)),ISNUMBER(SEARCH(PESQUISA!$C$4,$L1509))),1,0))</f>
        <v/>
      </c>
      <c r="AA1509">
        <f>IF($Z1509=1,SUM($Z$3:$Z1509),"")</f>
        <v/>
      </c>
      <c r="AB1509">
        <f>IF(OR($A1509="",PESQUISA!$C$50=""),0,IF(ISNUMBER(SEARCH(PESQUISA!$C$50,$I1509)),1,0))</f>
        <v/>
      </c>
      <c r="AC1509">
        <f>IF($AB1509=1,SUM($AB$3:$AB1509),"")</f>
        <v/>
      </c>
    </row>
    <row r="1510">
      <c r="A1510" s="20" t="n"/>
      <c r="B1510" s="20" t="n"/>
      <c r="C1510" s="20" t="n"/>
      <c r="D1510" s="20" t="n"/>
      <c r="E1510" s="20" t="n"/>
      <c r="F1510" s="20" t="n"/>
      <c r="G1510" s="20" t="n"/>
      <c r="H1510" s="20" t="n"/>
      <c r="I1510" s="20" t="n"/>
      <c r="J1510" s="20">
        <f>IFERROR(INDEX(CONFIGURACOES!$G$37:$G$300,MATCH($I1510,CONFIGURACOES!$B$37:$B$300,0)),"")</f>
        <v/>
      </c>
      <c r="K1510" s="20">
        <f>IFERROR(INDEX(CONFIGURACOES!$H$37:$H$300,MATCH($I1510,CONFIGURACOES!$B$37:$B$300,0)),"")</f>
        <v/>
      </c>
      <c r="L1510" s="20" t="n"/>
      <c r="M1510" s="20">
        <f>IFERROR(INDEX(CONFIGURACOES!$I$37:$I$300,MATCH($I1510,CONFIGURACOES!$B$37:$B$300,0)),"")</f>
        <v/>
      </c>
      <c r="N1510" s="21" t="n"/>
      <c r="O1510" s="21" t="n"/>
      <c r="P1510" s="21" t="n"/>
      <c r="Q1510" s="21" t="n"/>
      <c r="R1510" s="21">
        <f>IF($N1510="","",$N1510*IF($Q1510="",1,$Q1510)*IF($P1510="",1,$P1510)*IF($O1510="",1,$O1510))</f>
        <v/>
      </c>
      <c r="S1510" s="22">
        <f>IFERROR(INDEX(CONFIGURACOES!$J$37:$J$300,MATCH($I1510,CONFIGURACOES!$B$37:$B$300,0)),"")</f>
        <v/>
      </c>
      <c r="T1510" s="22">
        <f>IF(OR($R1510="",$S1510=""),"",$R1510*$S1510)</f>
        <v/>
      </c>
      <c r="U1510" s="20" t="n"/>
      <c r="V1510" s="20" t="n"/>
      <c r="W1510" s="20" t="n"/>
      <c r="X1510">
        <f>IF($A1510="","",$A1510&amp;"|"&amp;$C1510&amp;"|"&amp;$I1510)</f>
        <v/>
      </c>
      <c r="Y1510">
        <f>IF(AND($A1510=RELATORIO_MEDICAO!$C$5,$C1510=RELATORIO_MEDICAO!$F$5,$A1510&lt;&gt;""),COUNTIFS($A$3:$A1510,RELATORIO_MEDICAO!$C$5,$C$3:$C1510,RELATORIO_MEDICAO!$F$5),"")</f>
        <v/>
      </c>
      <c r="Z1510">
        <f>IF(OR($A1510="",PESQUISA!$C$4=""),0,IF(OR(ISNUMBER(SEARCH(PESQUISA!$C$4,$G1510)),ISNUMBER(SEARCH(PESQUISA!$C$4,$K1510)),ISNUMBER(SEARCH(PESQUISA!$C$4,$L1510))),1,0))</f>
        <v/>
      </c>
      <c r="AA1510">
        <f>IF($Z1510=1,SUM($Z$3:$Z1510),"")</f>
        <v/>
      </c>
      <c r="AB1510">
        <f>IF(OR($A1510="",PESQUISA!$C$50=""),0,IF(ISNUMBER(SEARCH(PESQUISA!$C$50,$I1510)),1,0))</f>
        <v/>
      </c>
      <c r="AC1510">
        <f>IF($AB1510=1,SUM($AB$3:$AB1510),"")</f>
        <v/>
      </c>
    </row>
    <row r="1511">
      <c r="A1511" s="20" t="n"/>
      <c r="B1511" s="20" t="n"/>
      <c r="C1511" s="20" t="n"/>
      <c r="D1511" s="20" t="n"/>
      <c r="E1511" s="20" t="n"/>
      <c r="F1511" s="20" t="n"/>
      <c r="G1511" s="20" t="n"/>
      <c r="H1511" s="20" t="n"/>
      <c r="I1511" s="20" t="n"/>
      <c r="J1511" s="20">
        <f>IFERROR(INDEX(CONFIGURACOES!$G$37:$G$300,MATCH($I1511,CONFIGURACOES!$B$37:$B$300,0)),"")</f>
        <v/>
      </c>
      <c r="K1511" s="20">
        <f>IFERROR(INDEX(CONFIGURACOES!$H$37:$H$300,MATCH($I1511,CONFIGURACOES!$B$37:$B$300,0)),"")</f>
        <v/>
      </c>
      <c r="L1511" s="20" t="n"/>
      <c r="M1511" s="20">
        <f>IFERROR(INDEX(CONFIGURACOES!$I$37:$I$300,MATCH($I1511,CONFIGURACOES!$B$37:$B$300,0)),"")</f>
        <v/>
      </c>
      <c r="N1511" s="21" t="n"/>
      <c r="O1511" s="21" t="n"/>
      <c r="P1511" s="21" t="n"/>
      <c r="Q1511" s="21" t="n"/>
      <c r="R1511" s="21">
        <f>IF($N1511="","",$N1511*IF($Q1511="",1,$Q1511)*IF($P1511="",1,$P1511)*IF($O1511="",1,$O1511))</f>
        <v/>
      </c>
      <c r="S1511" s="22">
        <f>IFERROR(INDEX(CONFIGURACOES!$J$37:$J$300,MATCH($I1511,CONFIGURACOES!$B$37:$B$300,0)),"")</f>
        <v/>
      </c>
      <c r="T1511" s="22">
        <f>IF(OR($R1511="",$S1511=""),"",$R1511*$S1511)</f>
        <v/>
      </c>
      <c r="U1511" s="20" t="n"/>
      <c r="V1511" s="20" t="n"/>
      <c r="W1511" s="20" t="n"/>
      <c r="X1511">
        <f>IF($A1511="","",$A1511&amp;"|"&amp;$C1511&amp;"|"&amp;$I1511)</f>
        <v/>
      </c>
      <c r="Y1511">
        <f>IF(AND($A1511=RELATORIO_MEDICAO!$C$5,$C1511=RELATORIO_MEDICAO!$F$5,$A1511&lt;&gt;""),COUNTIFS($A$3:$A1511,RELATORIO_MEDICAO!$C$5,$C$3:$C1511,RELATORIO_MEDICAO!$F$5),"")</f>
        <v/>
      </c>
      <c r="Z1511">
        <f>IF(OR($A1511="",PESQUISA!$C$4=""),0,IF(OR(ISNUMBER(SEARCH(PESQUISA!$C$4,$G1511)),ISNUMBER(SEARCH(PESQUISA!$C$4,$K1511)),ISNUMBER(SEARCH(PESQUISA!$C$4,$L1511))),1,0))</f>
        <v/>
      </c>
      <c r="AA1511">
        <f>IF($Z1511=1,SUM($Z$3:$Z1511),"")</f>
        <v/>
      </c>
      <c r="AB1511">
        <f>IF(OR($A1511="",PESQUISA!$C$50=""),0,IF(ISNUMBER(SEARCH(PESQUISA!$C$50,$I1511)),1,0))</f>
        <v/>
      </c>
      <c r="AC1511">
        <f>IF($AB1511=1,SUM($AB$3:$AB1511),"")</f>
        <v/>
      </c>
    </row>
    <row r="1512">
      <c r="A1512" s="20" t="n"/>
      <c r="B1512" s="20" t="n"/>
      <c r="C1512" s="20" t="n"/>
      <c r="D1512" s="20" t="n"/>
      <c r="E1512" s="20" t="n"/>
      <c r="F1512" s="20" t="n"/>
      <c r="G1512" s="20" t="n"/>
      <c r="H1512" s="20" t="n"/>
      <c r="I1512" s="20" t="n"/>
      <c r="J1512" s="20">
        <f>IFERROR(INDEX(CONFIGURACOES!$G$37:$G$300,MATCH($I1512,CONFIGURACOES!$B$37:$B$300,0)),"")</f>
        <v/>
      </c>
      <c r="K1512" s="20">
        <f>IFERROR(INDEX(CONFIGURACOES!$H$37:$H$300,MATCH($I1512,CONFIGURACOES!$B$37:$B$300,0)),"")</f>
        <v/>
      </c>
      <c r="L1512" s="20" t="n"/>
      <c r="M1512" s="20">
        <f>IFERROR(INDEX(CONFIGURACOES!$I$37:$I$300,MATCH($I1512,CONFIGURACOES!$B$37:$B$300,0)),"")</f>
        <v/>
      </c>
      <c r="N1512" s="21" t="n"/>
      <c r="O1512" s="21" t="n"/>
      <c r="P1512" s="21" t="n"/>
      <c r="Q1512" s="21" t="n"/>
      <c r="R1512" s="21">
        <f>IF($N1512="","",$N1512*IF($Q1512="",1,$Q1512)*IF($P1512="",1,$P1512)*IF($O1512="",1,$O1512))</f>
        <v/>
      </c>
      <c r="S1512" s="22">
        <f>IFERROR(INDEX(CONFIGURACOES!$J$37:$J$300,MATCH($I1512,CONFIGURACOES!$B$37:$B$300,0)),"")</f>
        <v/>
      </c>
      <c r="T1512" s="22">
        <f>IF(OR($R1512="",$S1512=""),"",$R1512*$S1512)</f>
        <v/>
      </c>
      <c r="U1512" s="20" t="n"/>
      <c r="V1512" s="20" t="n"/>
      <c r="W1512" s="20" t="n"/>
      <c r="X1512">
        <f>IF($A1512="","",$A1512&amp;"|"&amp;$C1512&amp;"|"&amp;$I1512)</f>
        <v/>
      </c>
      <c r="Y1512">
        <f>IF(AND($A1512=RELATORIO_MEDICAO!$C$5,$C1512=RELATORIO_MEDICAO!$F$5,$A1512&lt;&gt;""),COUNTIFS($A$3:$A1512,RELATORIO_MEDICAO!$C$5,$C$3:$C1512,RELATORIO_MEDICAO!$F$5),"")</f>
        <v/>
      </c>
      <c r="Z1512">
        <f>IF(OR($A1512="",PESQUISA!$C$4=""),0,IF(OR(ISNUMBER(SEARCH(PESQUISA!$C$4,$G1512)),ISNUMBER(SEARCH(PESQUISA!$C$4,$K1512)),ISNUMBER(SEARCH(PESQUISA!$C$4,$L1512))),1,0))</f>
        <v/>
      </c>
      <c r="AA1512">
        <f>IF($Z1512=1,SUM($Z$3:$Z1512),"")</f>
        <v/>
      </c>
      <c r="AB1512">
        <f>IF(OR($A1512="",PESQUISA!$C$50=""),0,IF(ISNUMBER(SEARCH(PESQUISA!$C$50,$I1512)),1,0))</f>
        <v/>
      </c>
      <c r="AC1512">
        <f>IF($AB1512=1,SUM($AB$3:$AB1512),"")</f>
        <v/>
      </c>
    </row>
    <row r="1513">
      <c r="A1513" s="20" t="n"/>
      <c r="B1513" s="20" t="n"/>
      <c r="C1513" s="20" t="n"/>
      <c r="D1513" s="20" t="n"/>
      <c r="E1513" s="20" t="n"/>
      <c r="F1513" s="20" t="n"/>
      <c r="G1513" s="20" t="n"/>
      <c r="H1513" s="20" t="n"/>
      <c r="I1513" s="20" t="n"/>
      <c r="J1513" s="20">
        <f>IFERROR(INDEX(CONFIGURACOES!$G$37:$G$300,MATCH($I1513,CONFIGURACOES!$B$37:$B$300,0)),"")</f>
        <v/>
      </c>
      <c r="K1513" s="20">
        <f>IFERROR(INDEX(CONFIGURACOES!$H$37:$H$300,MATCH($I1513,CONFIGURACOES!$B$37:$B$300,0)),"")</f>
        <v/>
      </c>
      <c r="L1513" s="20" t="n"/>
      <c r="M1513" s="20">
        <f>IFERROR(INDEX(CONFIGURACOES!$I$37:$I$300,MATCH($I1513,CONFIGURACOES!$B$37:$B$300,0)),"")</f>
        <v/>
      </c>
      <c r="N1513" s="21" t="n"/>
      <c r="O1513" s="21" t="n"/>
      <c r="P1513" s="21" t="n"/>
      <c r="Q1513" s="21" t="n"/>
      <c r="R1513" s="21">
        <f>IF($N1513="","",$N1513*IF($Q1513="",1,$Q1513)*IF($P1513="",1,$P1513)*IF($O1513="",1,$O1513))</f>
        <v/>
      </c>
      <c r="S1513" s="22">
        <f>IFERROR(INDEX(CONFIGURACOES!$J$37:$J$300,MATCH($I1513,CONFIGURACOES!$B$37:$B$300,0)),"")</f>
        <v/>
      </c>
      <c r="T1513" s="22">
        <f>IF(OR($R1513="",$S1513=""),"",$R1513*$S1513)</f>
        <v/>
      </c>
      <c r="U1513" s="20" t="n"/>
      <c r="V1513" s="20" t="n"/>
      <c r="W1513" s="20" t="n"/>
      <c r="X1513">
        <f>IF($A1513="","",$A1513&amp;"|"&amp;$C1513&amp;"|"&amp;$I1513)</f>
        <v/>
      </c>
      <c r="Y1513">
        <f>IF(AND($A1513=RELATORIO_MEDICAO!$C$5,$C1513=RELATORIO_MEDICAO!$F$5,$A1513&lt;&gt;""),COUNTIFS($A$3:$A1513,RELATORIO_MEDICAO!$C$5,$C$3:$C1513,RELATORIO_MEDICAO!$F$5),"")</f>
        <v/>
      </c>
      <c r="Z1513">
        <f>IF(OR($A1513="",PESQUISA!$C$4=""),0,IF(OR(ISNUMBER(SEARCH(PESQUISA!$C$4,$G1513)),ISNUMBER(SEARCH(PESQUISA!$C$4,$K1513)),ISNUMBER(SEARCH(PESQUISA!$C$4,$L1513))),1,0))</f>
        <v/>
      </c>
      <c r="AA1513">
        <f>IF($Z1513=1,SUM($Z$3:$Z1513),"")</f>
        <v/>
      </c>
      <c r="AB1513">
        <f>IF(OR($A1513="",PESQUISA!$C$50=""),0,IF(ISNUMBER(SEARCH(PESQUISA!$C$50,$I1513)),1,0))</f>
        <v/>
      </c>
      <c r="AC1513">
        <f>IF($AB1513=1,SUM($AB$3:$AB1513),"")</f>
        <v/>
      </c>
    </row>
    <row r="1514">
      <c r="A1514" s="20" t="n"/>
      <c r="B1514" s="20" t="n"/>
      <c r="C1514" s="20" t="n"/>
      <c r="D1514" s="20" t="n"/>
      <c r="E1514" s="20" t="n"/>
      <c r="F1514" s="20" t="n"/>
      <c r="G1514" s="20" t="n"/>
      <c r="H1514" s="20" t="n"/>
      <c r="I1514" s="20" t="n"/>
      <c r="J1514" s="20">
        <f>IFERROR(INDEX(CONFIGURACOES!$G$37:$G$300,MATCH($I1514,CONFIGURACOES!$B$37:$B$300,0)),"")</f>
        <v/>
      </c>
      <c r="K1514" s="20">
        <f>IFERROR(INDEX(CONFIGURACOES!$H$37:$H$300,MATCH($I1514,CONFIGURACOES!$B$37:$B$300,0)),"")</f>
        <v/>
      </c>
      <c r="L1514" s="20" t="n"/>
      <c r="M1514" s="20">
        <f>IFERROR(INDEX(CONFIGURACOES!$I$37:$I$300,MATCH($I1514,CONFIGURACOES!$B$37:$B$300,0)),"")</f>
        <v/>
      </c>
      <c r="N1514" s="21" t="n"/>
      <c r="O1514" s="21" t="n"/>
      <c r="P1514" s="21" t="n"/>
      <c r="Q1514" s="21" t="n"/>
      <c r="R1514" s="21">
        <f>IF($N1514="","",$N1514*IF($Q1514="",1,$Q1514)*IF($P1514="",1,$P1514)*IF($O1514="",1,$O1514))</f>
        <v/>
      </c>
      <c r="S1514" s="22">
        <f>IFERROR(INDEX(CONFIGURACOES!$J$37:$J$300,MATCH($I1514,CONFIGURACOES!$B$37:$B$300,0)),"")</f>
        <v/>
      </c>
      <c r="T1514" s="22">
        <f>IF(OR($R1514="",$S1514=""),"",$R1514*$S1514)</f>
        <v/>
      </c>
      <c r="U1514" s="20" t="n"/>
      <c r="V1514" s="20" t="n"/>
      <c r="W1514" s="20" t="n"/>
      <c r="X1514">
        <f>IF($A1514="","",$A1514&amp;"|"&amp;$C1514&amp;"|"&amp;$I1514)</f>
        <v/>
      </c>
      <c r="Y1514">
        <f>IF(AND($A1514=RELATORIO_MEDICAO!$C$5,$C1514=RELATORIO_MEDICAO!$F$5,$A1514&lt;&gt;""),COUNTIFS($A$3:$A1514,RELATORIO_MEDICAO!$C$5,$C$3:$C1514,RELATORIO_MEDICAO!$F$5),"")</f>
        <v/>
      </c>
      <c r="Z1514">
        <f>IF(OR($A1514="",PESQUISA!$C$4=""),0,IF(OR(ISNUMBER(SEARCH(PESQUISA!$C$4,$G1514)),ISNUMBER(SEARCH(PESQUISA!$C$4,$K1514)),ISNUMBER(SEARCH(PESQUISA!$C$4,$L1514))),1,0))</f>
        <v/>
      </c>
      <c r="AA1514">
        <f>IF($Z1514=1,SUM($Z$3:$Z1514),"")</f>
        <v/>
      </c>
      <c r="AB1514">
        <f>IF(OR($A1514="",PESQUISA!$C$50=""),0,IF(ISNUMBER(SEARCH(PESQUISA!$C$50,$I1514)),1,0))</f>
        <v/>
      </c>
      <c r="AC1514">
        <f>IF($AB1514=1,SUM($AB$3:$AB1514),"")</f>
        <v/>
      </c>
    </row>
    <row r="1515">
      <c r="A1515" s="20" t="n"/>
      <c r="B1515" s="20" t="n"/>
      <c r="C1515" s="20" t="n"/>
      <c r="D1515" s="20" t="n"/>
      <c r="E1515" s="20" t="n"/>
      <c r="F1515" s="20" t="n"/>
      <c r="G1515" s="20" t="n"/>
      <c r="H1515" s="20" t="n"/>
      <c r="I1515" s="20" t="n"/>
      <c r="J1515" s="20">
        <f>IFERROR(INDEX(CONFIGURACOES!$G$37:$G$300,MATCH($I1515,CONFIGURACOES!$B$37:$B$300,0)),"")</f>
        <v/>
      </c>
      <c r="K1515" s="20">
        <f>IFERROR(INDEX(CONFIGURACOES!$H$37:$H$300,MATCH($I1515,CONFIGURACOES!$B$37:$B$300,0)),"")</f>
        <v/>
      </c>
      <c r="L1515" s="20" t="n"/>
      <c r="M1515" s="20">
        <f>IFERROR(INDEX(CONFIGURACOES!$I$37:$I$300,MATCH($I1515,CONFIGURACOES!$B$37:$B$300,0)),"")</f>
        <v/>
      </c>
      <c r="N1515" s="21" t="n"/>
      <c r="O1515" s="21" t="n"/>
      <c r="P1515" s="21" t="n"/>
      <c r="Q1515" s="21" t="n"/>
      <c r="R1515" s="21">
        <f>IF($N1515="","",$N1515*IF($Q1515="",1,$Q1515)*IF($P1515="",1,$P1515)*IF($O1515="",1,$O1515))</f>
        <v/>
      </c>
      <c r="S1515" s="22">
        <f>IFERROR(INDEX(CONFIGURACOES!$J$37:$J$300,MATCH($I1515,CONFIGURACOES!$B$37:$B$300,0)),"")</f>
        <v/>
      </c>
      <c r="T1515" s="22">
        <f>IF(OR($R1515="",$S1515=""),"",$R1515*$S1515)</f>
        <v/>
      </c>
      <c r="U1515" s="20" t="n"/>
      <c r="V1515" s="20" t="n"/>
      <c r="W1515" s="20" t="n"/>
      <c r="X1515">
        <f>IF($A1515="","",$A1515&amp;"|"&amp;$C1515&amp;"|"&amp;$I1515)</f>
        <v/>
      </c>
      <c r="Y1515">
        <f>IF(AND($A1515=RELATORIO_MEDICAO!$C$5,$C1515=RELATORIO_MEDICAO!$F$5,$A1515&lt;&gt;""),COUNTIFS($A$3:$A1515,RELATORIO_MEDICAO!$C$5,$C$3:$C1515,RELATORIO_MEDICAO!$F$5),"")</f>
        <v/>
      </c>
      <c r="Z1515">
        <f>IF(OR($A1515="",PESQUISA!$C$4=""),0,IF(OR(ISNUMBER(SEARCH(PESQUISA!$C$4,$G1515)),ISNUMBER(SEARCH(PESQUISA!$C$4,$K1515)),ISNUMBER(SEARCH(PESQUISA!$C$4,$L1515))),1,0))</f>
        <v/>
      </c>
      <c r="AA1515">
        <f>IF($Z1515=1,SUM($Z$3:$Z1515),"")</f>
        <v/>
      </c>
      <c r="AB1515">
        <f>IF(OR($A1515="",PESQUISA!$C$50=""),0,IF(ISNUMBER(SEARCH(PESQUISA!$C$50,$I1515)),1,0))</f>
        <v/>
      </c>
      <c r="AC1515">
        <f>IF($AB1515=1,SUM($AB$3:$AB1515),"")</f>
        <v/>
      </c>
    </row>
    <row r="1516">
      <c r="A1516" s="20" t="n"/>
      <c r="B1516" s="20" t="n"/>
      <c r="C1516" s="20" t="n"/>
      <c r="D1516" s="20" t="n"/>
      <c r="E1516" s="20" t="n"/>
      <c r="F1516" s="20" t="n"/>
      <c r="G1516" s="20" t="n"/>
      <c r="H1516" s="20" t="n"/>
      <c r="I1516" s="20" t="n"/>
      <c r="J1516" s="20">
        <f>IFERROR(INDEX(CONFIGURACOES!$G$37:$G$300,MATCH($I1516,CONFIGURACOES!$B$37:$B$300,0)),"")</f>
        <v/>
      </c>
      <c r="K1516" s="20">
        <f>IFERROR(INDEX(CONFIGURACOES!$H$37:$H$300,MATCH($I1516,CONFIGURACOES!$B$37:$B$300,0)),"")</f>
        <v/>
      </c>
      <c r="L1516" s="20" t="n"/>
      <c r="M1516" s="20">
        <f>IFERROR(INDEX(CONFIGURACOES!$I$37:$I$300,MATCH($I1516,CONFIGURACOES!$B$37:$B$300,0)),"")</f>
        <v/>
      </c>
      <c r="N1516" s="21" t="n"/>
      <c r="O1516" s="21" t="n"/>
      <c r="P1516" s="21" t="n"/>
      <c r="Q1516" s="21" t="n"/>
      <c r="R1516" s="21">
        <f>IF($N1516="","",$N1516*IF($Q1516="",1,$Q1516)*IF($P1516="",1,$P1516)*IF($O1516="",1,$O1516))</f>
        <v/>
      </c>
      <c r="S1516" s="22">
        <f>IFERROR(INDEX(CONFIGURACOES!$J$37:$J$300,MATCH($I1516,CONFIGURACOES!$B$37:$B$300,0)),"")</f>
        <v/>
      </c>
      <c r="T1516" s="22">
        <f>IF(OR($R1516="",$S1516=""),"",$R1516*$S1516)</f>
        <v/>
      </c>
      <c r="U1516" s="20" t="n"/>
      <c r="V1516" s="20" t="n"/>
      <c r="W1516" s="20" t="n"/>
      <c r="X1516">
        <f>IF($A1516="","",$A1516&amp;"|"&amp;$C1516&amp;"|"&amp;$I1516)</f>
        <v/>
      </c>
      <c r="Y1516">
        <f>IF(AND($A1516=RELATORIO_MEDICAO!$C$5,$C1516=RELATORIO_MEDICAO!$F$5,$A1516&lt;&gt;""),COUNTIFS($A$3:$A1516,RELATORIO_MEDICAO!$C$5,$C$3:$C1516,RELATORIO_MEDICAO!$F$5),"")</f>
        <v/>
      </c>
      <c r="Z1516">
        <f>IF(OR($A1516="",PESQUISA!$C$4=""),0,IF(OR(ISNUMBER(SEARCH(PESQUISA!$C$4,$G1516)),ISNUMBER(SEARCH(PESQUISA!$C$4,$K1516)),ISNUMBER(SEARCH(PESQUISA!$C$4,$L1516))),1,0))</f>
        <v/>
      </c>
      <c r="AA1516">
        <f>IF($Z1516=1,SUM($Z$3:$Z1516),"")</f>
        <v/>
      </c>
      <c r="AB1516">
        <f>IF(OR($A1516="",PESQUISA!$C$50=""),0,IF(ISNUMBER(SEARCH(PESQUISA!$C$50,$I1516)),1,0))</f>
        <v/>
      </c>
      <c r="AC1516">
        <f>IF($AB1516=1,SUM($AB$3:$AB1516),"")</f>
        <v/>
      </c>
    </row>
    <row r="1517">
      <c r="A1517" s="20" t="n"/>
      <c r="B1517" s="20" t="n"/>
      <c r="C1517" s="20" t="n"/>
      <c r="D1517" s="20" t="n"/>
      <c r="E1517" s="20" t="n"/>
      <c r="F1517" s="20" t="n"/>
      <c r="G1517" s="20" t="n"/>
      <c r="H1517" s="20" t="n"/>
      <c r="I1517" s="20" t="n"/>
      <c r="J1517" s="20">
        <f>IFERROR(INDEX(CONFIGURACOES!$G$37:$G$300,MATCH($I1517,CONFIGURACOES!$B$37:$B$300,0)),"")</f>
        <v/>
      </c>
      <c r="K1517" s="20">
        <f>IFERROR(INDEX(CONFIGURACOES!$H$37:$H$300,MATCH($I1517,CONFIGURACOES!$B$37:$B$300,0)),"")</f>
        <v/>
      </c>
      <c r="L1517" s="20" t="n"/>
      <c r="M1517" s="20">
        <f>IFERROR(INDEX(CONFIGURACOES!$I$37:$I$300,MATCH($I1517,CONFIGURACOES!$B$37:$B$300,0)),"")</f>
        <v/>
      </c>
      <c r="N1517" s="21" t="n"/>
      <c r="O1517" s="21" t="n"/>
      <c r="P1517" s="21" t="n"/>
      <c r="Q1517" s="21" t="n"/>
      <c r="R1517" s="21">
        <f>IF($N1517="","",$N1517*IF($Q1517="",1,$Q1517)*IF($P1517="",1,$P1517)*IF($O1517="",1,$O1517))</f>
        <v/>
      </c>
      <c r="S1517" s="22">
        <f>IFERROR(INDEX(CONFIGURACOES!$J$37:$J$300,MATCH($I1517,CONFIGURACOES!$B$37:$B$300,0)),"")</f>
        <v/>
      </c>
      <c r="T1517" s="22">
        <f>IF(OR($R1517="",$S1517=""),"",$R1517*$S1517)</f>
        <v/>
      </c>
      <c r="U1517" s="20" t="n"/>
      <c r="V1517" s="20" t="n"/>
      <c r="W1517" s="20" t="n"/>
      <c r="X1517">
        <f>IF($A1517="","",$A1517&amp;"|"&amp;$C1517&amp;"|"&amp;$I1517)</f>
        <v/>
      </c>
      <c r="Y1517">
        <f>IF(AND($A1517=RELATORIO_MEDICAO!$C$5,$C1517=RELATORIO_MEDICAO!$F$5,$A1517&lt;&gt;""),COUNTIFS($A$3:$A1517,RELATORIO_MEDICAO!$C$5,$C$3:$C1517,RELATORIO_MEDICAO!$F$5),"")</f>
        <v/>
      </c>
      <c r="Z1517">
        <f>IF(OR($A1517="",PESQUISA!$C$4=""),0,IF(OR(ISNUMBER(SEARCH(PESQUISA!$C$4,$G1517)),ISNUMBER(SEARCH(PESQUISA!$C$4,$K1517)),ISNUMBER(SEARCH(PESQUISA!$C$4,$L1517))),1,0))</f>
        <v/>
      </c>
      <c r="AA1517">
        <f>IF($Z1517=1,SUM($Z$3:$Z1517),"")</f>
        <v/>
      </c>
      <c r="AB1517">
        <f>IF(OR($A1517="",PESQUISA!$C$50=""),0,IF(ISNUMBER(SEARCH(PESQUISA!$C$50,$I1517)),1,0))</f>
        <v/>
      </c>
      <c r="AC1517">
        <f>IF($AB1517=1,SUM($AB$3:$AB1517),"")</f>
        <v/>
      </c>
    </row>
    <row r="1518">
      <c r="A1518" s="20" t="n"/>
      <c r="B1518" s="20" t="n"/>
      <c r="C1518" s="20" t="n"/>
      <c r="D1518" s="20" t="n"/>
      <c r="E1518" s="20" t="n"/>
      <c r="F1518" s="20" t="n"/>
      <c r="G1518" s="20" t="n"/>
      <c r="H1518" s="20" t="n"/>
      <c r="I1518" s="20" t="n"/>
      <c r="J1518" s="20">
        <f>IFERROR(INDEX(CONFIGURACOES!$G$37:$G$300,MATCH($I1518,CONFIGURACOES!$B$37:$B$300,0)),"")</f>
        <v/>
      </c>
      <c r="K1518" s="20">
        <f>IFERROR(INDEX(CONFIGURACOES!$H$37:$H$300,MATCH($I1518,CONFIGURACOES!$B$37:$B$300,0)),"")</f>
        <v/>
      </c>
      <c r="L1518" s="20" t="n"/>
      <c r="M1518" s="20">
        <f>IFERROR(INDEX(CONFIGURACOES!$I$37:$I$300,MATCH($I1518,CONFIGURACOES!$B$37:$B$300,0)),"")</f>
        <v/>
      </c>
      <c r="N1518" s="21" t="n"/>
      <c r="O1518" s="21" t="n"/>
      <c r="P1518" s="21" t="n"/>
      <c r="Q1518" s="21" t="n"/>
      <c r="R1518" s="21">
        <f>IF($N1518="","",$N1518*IF($Q1518="",1,$Q1518)*IF($P1518="",1,$P1518)*IF($O1518="",1,$O1518))</f>
        <v/>
      </c>
      <c r="S1518" s="22">
        <f>IFERROR(INDEX(CONFIGURACOES!$J$37:$J$300,MATCH($I1518,CONFIGURACOES!$B$37:$B$300,0)),"")</f>
        <v/>
      </c>
      <c r="T1518" s="22">
        <f>IF(OR($R1518="",$S1518=""),"",$R1518*$S1518)</f>
        <v/>
      </c>
      <c r="U1518" s="20" t="n"/>
      <c r="V1518" s="20" t="n"/>
      <c r="W1518" s="20" t="n"/>
      <c r="X1518">
        <f>IF($A1518="","",$A1518&amp;"|"&amp;$C1518&amp;"|"&amp;$I1518)</f>
        <v/>
      </c>
      <c r="Y1518">
        <f>IF(AND($A1518=RELATORIO_MEDICAO!$C$5,$C1518=RELATORIO_MEDICAO!$F$5,$A1518&lt;&gt;""),COUNTIFS($A$3:$A1518,RELATORIO_MEDICAO!$C$5,$C$3:$C1518,RELATORIO_MEDICAO!$F$5),"")</f>
        <v/>
      </c>
      <c r="Z1518">
        <f>IF(OR($A1518="",PESQUISA!$C$4=""),0,IF(OR(ISNUMBER(SEARCH(PESQUISA!$C$4,$G1518)),ISNUMBER(SEARCH(PESQUISA!$C$4,$K1518)),ISNUMBER(SEARCH(PESQUISA!$C$4,$L1518))),1,0))</f>
        <v/>
      </c>
      <c r="AA1518">
        <f>IF($Z1518=1,SUM($Z$3:$Z1518),"")</f>
        <v/>
      </c>
      <c r="AB1518">
        <f>IF(OR($A1518="",PESQUISA!$C$50=""),0,IF(ISNUMBER(SEARCH(PESQUISA!$C$50,$I1518)),1,0))</f>
        <v/>
      </c>
      <c r="AC1518">
        <f>IF($AB1518=1,SUM($AB$3:$AB1518),"")</f>
        <v/>
      </c>
    </row>
    <row r="1519">
      <c r="A1519" s="20" t="n"/>
      <c r="B1519" s="20" t="n"/>
      <c r="C1519" s="20" t="n"/>
      <c r="D1519" s="20" t="n"/>
      <c r="E1519" s="20" t="n"/>
      <c r="F1519" s="20" t="n"/>
      <c r="G1519" s="20" t="n"/>
      <c r="H1519" s="20" t="n"/>
      <c r="I1519" s="20" t="n"/>
      <c r="J1519" s="20">
        <f>IFERROR(INDEX(CONFIGURACOES!$G$37:$G$300,MATCH($I1519,CONFIGURACOES!$B$37:$B$300,0)),"")</f>
        <v/>
      </c>
      <c r="K1519" s="20">
        <f>IFERROR(INDEX(CONFIGURACOES!$H$37:$H$300,MATCH($I1519,CONFIGURACOES!$B$37:$B$300,0)),"")</f>
        <v/>
      </c>
      <c r="L1519" s="20" t="n"/>
      <c r="M1519" s="20">
        <f>IFERROR(INDEX(CONFIGURACOES!$I$37:$I$300,MATCH($I1519,CONFIGURACOES!$B$37:$B$300,0)),"")</f>
        <v/>
      </c>
      <c r="N1519" s="21" t="n"/>
      <c r="O1519" s="21" t="n"/>
      <c r="P1519" s="21" t="n"/>
      <c r="Q1519" s="21" t="n"/>
      <c r="R1519" s="21">
        <f>IF($N1519="","",$N1519*IF($Q1519="",1,$Q1519)*IF($P1519="",1,$P1519)*IF($O1519="",1,$O1519))</f>
        <v/>
      </c>
      <c r="S1519" s="22">
        <f>IFERROR(INDEX(CONFIGURACOES!$J$37:$J$300,MATCH($I1519,CONFIGURACOES!$B$37:$B$300,0)),"")</f>
        <v/>
      </c>
      <c r="T1519" s="22">
        <f>IF(OR($R1519="",$S1519=""),"",$R1519*$S1519)</f>
        <v/>
      </c>
      <c r="U1519" s="20" t="n"/>
      <c r="V1519" s="20" t="n"/>
      <c r="W1519" s="20" t="n"/>
      <c r="X1519">
        <f>IF($A1519="","",$A1519&amp;"|"&amp;$C1519&amp;"|"&amp;$I1519)</f>
        <v/>
      </c>
      <c r="Y1519">
        <f>IF(AND($A1519=RELATORIO_MEDICAO!$C$5,$C1519=RELATORIO_MEDICAO!$F$5,$A1519&lt;&gt;""),COUNTIFS($A$3:$A1519,RELATORIO_MEDICAO!$C$5,$C$3:$C1519,RELATORIO_MEDICAO!$F$5),"")</f>
        <v/>
      </c>
      <c r="Z1519">
        <f>IF(OR($A1519="",PESQUISA!$C$4=""),0,IF(OR(ISNUMBER(SEARCH(PESQUISA!$C$4,$G1519)),ISNUMBER(SEARCH(PESQUISA!$C$4,$K1519)),ISNUMBER(SEARCH(PESQUISA!$C$4,$L1519))),1,0))</f>
        <v/>
      </c>
      <c r="AA1519">
        <f>IF($Z1519=1,SUM($Z$3:$Z1519),"")</f>
        <v/>
      </c>
      <c r="AB1519">
        <f>IF(OR($A1519="",PESQUISA!$C$50=""),0,IF(ISNUMBER(SEARCH(PESQUISA!$C$50,$I1519)),1,0))</f>
        <v/>
      </c>
      <c r="AC1519">
        <f>IF($AB1519=1,SUM($AB$3:$AB1519),"")</f>
        <v/>
      </c>
    </row>
    <row r="1520">
      <c r="A1520" s="20" t="n"/>
      <c r="B1520" s="20" t="n"/>
      <c r="C1520" s="20" t="n"/>
      <c r="D1520" s="20" t="n"/>
      <c r="E1520" s="20" t="n"/>
      <c r="F1520" s="20" t="n"/>
      <c r="G1520" s="20" t="n"/>
      <c r="H1520" s="20" t="n"/>
      <c r="I1520" s="20" t="n"/>
      <c r="J1520" s="20">
        <f>IFERROR(INDEX(CONFIGURACOES!$G$37:$G$300,MATCH($I1520,CONFIGURACOES!$B$37:$B$300,0)),"")</f>
        <v/>
      </c>
      <c r="K1520" s="20">
        <f>IFERROR(INDEX(CONFIGURACOES!$H$37:$H$300,MATCH($I1520,CONFIGURACOES!$B$37:$B$300,0)),"")</f>
        <v/>
      </c>
      <c r="L1520" s="20" t="n"/>
      <c r="M1520" s="20">
        <f>IFERROR(INDEX(CONFIGURACOES!$I$37:$I$300,MATCH($I1520,CONFIGURACOES!$B$37:$B$300,0)),"")</f>
        <v/>
      </c>
      <c r="N1520" s="21" t="n"/>
      <c r="O1520" s="21" t="n"/>
      <c r="P1520" s="21" t="n"/>
      <c r="Q1520" s="21" t="n"/>
      <c r="R1520" s="21">
        <f>IF($N1520="","",$N1520*IF($Q1520="",1,$Q1520)*IF($P1520="",1,$P1520)*IF($O1520="",1,$O1520))</f>
        <v/>
      </c>
      <c r="S1520" s="22">
        <f>IFERROR(INDEX(CONFIGURACOES!$J$37:$J$300,MATCH($I1520,CONFIGURACOES!$B$37:$B$300,0)),"")</f>
        <v/>
      </c>
      <c r="T1520" s="22">
        <f>IF(OR($R1520="",$S1520=""),"",$R1520*$S1520)</f>
        <v/>
      </c>
      <c r="U1520" s="20" t="n"/>
      <c r="V1520" s="20" t="n"/>
      <c r="W1520" s="20" t="n"/>
      <c r="X1520">
        <f>IF($A1520="","",$A1520&amp;"|"&amp;$C1520&amp;"|"&amp;$I1520)</f>
        <v/>
      </c>
      <c r="Y1520">
        <f>IF(AND($A1520=RELATORIO_MEDICAO!$C$5,$C1520=RELATORIO_MEDICAO!$F$5,$A1520&lt;&gt;""),COUNTIFS($A$3:$A1520,RELATORIO_MEDICAO!$C$5,$C$3:$C1520,RELATORIO_MEDICAO!$F$5),"")</f>
        <v/>
      </c>
      <c r="Z1520">
        <f>IF(OR($A1520="",PESQUISA!$C$4=""),0,IF(OR(ISNUMBER(SEARCH(PESQUISA!$C$4,$G1520)),ISNUMBER(SEARCH(PESQUISA!$C$4,$K1520)),ISNUMBER(SEARCH(PESQUISA!$C$4,$L1520))),1,0))</f>
        <v/>
      </c>
      <c r="AA1520">
        <f>IF($Z1520=1,SUM($Z$3:$Z1520),"")</f>
        <v/>
      </c>
      <c r="AB1520">
        <f>IF(OR($A1520="",PESQUISA!$C$50=""),0,IF(ISNUMBER(SEARCH(PESQUISA!$C$50,$I1520)),1,0))</f>
        <v/>
      </c>
      <c r="AC1520">
        <f>IF($AB1520=1,SUM($AB$3:$AB1520),"")</f>
        <v/>
      </c>
    </row>
    <row r="1521">
      <c r="A1521" s="20" t="n"/>
      <c r="B1521" s="20" t="n"/>
      <c r="C1521" s="20" t="n"/>
      <c r="D1521" s="20" t="n"/>
      <c r="E1521" s="20" t="n"/>
      <c r="F1521" s="20" t="n"/>
      <c r="G1521" s="20" t="n"/>
      <c r="H1521" s="20" t="n"/>
      <c r="I1521" s="20" t="n"/>
      <c r="J1521" s="20">
        <f>IFERROR(INDEX(CONFIGURACOES!$G$37:$G$300,MATCH($I1521,CONFIGURACOES!$B$37:$B$300,0)),"")</f>
        <v/>
      </c>
      <c r="K1521" s="20">
        <f>IFERROR(INDEX(CONFIGURACOES!$H$37:$H$300,MATCH($I1521,CONFIGURACOES!$B$37:$B$300,0)),"")</f>
        <v/>
      </c>
      <c r="L1521" s="20" t="n"/>
      <c r="M1521" s="20">
        <f>IFERROR(INDEX(CONFIGURACOES!$I$37:$I$300,MATCH($I1521,CONFIGURACOES!$B$37:$B$300,0)),"")</f>
        <v/>
      </c>
      <c r="N1521" s="21" t="n"/>
      <c r="O1521" s="21" t="n"/>
      <c r="P1521" s="21" t="n"/>
      <c r="Q1521" s="21" t="n"/>
      <c r="R1521" s="21">
        <f>IF($N1521="","",$N1521*IF($Q1521="",1,$Q1521)*IF($P1521="",1,$P1521)*IF($O1521="",1,$O1521))</f>
        <v/>
      </c>
      <c r="S1521" s="22">
        <f>IFERROR(INDEX(CONFIGURACOES!$J$37:$J$300,MATCH($I1521,CONFIGURACOES!$B$37:$B$300,0)),"")</f>
        <v/>
      </c>
      <c r="T1521" s="22">
        <f>IF(OR($R1521="",$S1521=""),"",$R1521*$S1521)</f>
        <v/>
      </c>
      <c r="U1521" s="20" t="n"/>
      <c r="V1521" s="20" t="n"/>
      <c r="W1521" s="20" t="n"/>
      <c r="X1521">
        <f>IF($A1521="","",$A1521&amp;"|"&amp;$C1521&amp;"|"&amp;$I1521)</f>
        <v/>
      </c>
      <c r="Y1521">
        <f>IF(AND($A1521=RELATORIO_MEDICAO!$C$5,$C1521=RELATORIO_MEDICAO!$F$5,$A1521&lt;&gt;""),COUNTIFS($A$3:$A1521,RELATORIO_MEDICAO!$C$5,$C$3:$C1521,RELATORIO_MEDICAO!$F$5),"")</f>
        <v/>
      </c>
      <c r="Z1521">
        <f>IF(OR($A1521="",PESQUISA!$C$4=""),0,IF(OR(ISNUMBER(SEARCH(PESQUISA!$C$4,$G1521)),ISNUMBER(SEARCH(PESQUISA!$C$4,$K1521)),ISNUMBER(SEARCH(PESQUISA!$C$4,$L1521))),1,0))</f>
        <v/>
      </c>
      <c r="AA1521">
        <f>IF($Z1521=1,SUM($Z$3:$Z1521),"")</f>
        <v/>
      </c>
      <c r="AB1521">
        <f>IF(OR($A1521="",PESQUISA!$C$50=""),0,IF(ISNUMBER(SEARCH(PESQUISA!$C$50,$I1521)),1,0))</f>
        <v/>
      </c>
      <c r="AC1521">
        <f>IF($AB1521=1,SUM($AB$3:$AB1521),"")</f>
        <v/>
      </c>
    </row>
    <row r="1522">
      <c r="A1522" s="20" t="n"/>
      <c r="B1522" s="20" t="n"/>
      <c r="C1522" s="20" t="n"/>
      <c r="D1522" s="20" t="n"/>
      <c r="E1522" s="20" t="n"/>
      <c r="F1522" s="20" t="n"/>
      <c r="G1522" s="20" t="n"/>
      <c r="H1522" s="20" t="n"/>
      <c r="I1522" s="20" t="n"/>
      <c r="J1522" s="20">
        <f>IFERROR(INDEX(CONFIGURACOES!$G$37:$G$300,MATCH($I1522,CONFIGURACOES!$B$37:$B$300,0)),"")</f>
        <v/>
      </c>
      <c r="K1522" s="20">
        <f>IFERROR(INDEX(CONFIGURACOES!$H$37:$H$300,MATCH($I1522,CONFIGURACOES!$B$37:$B$300,0)),"")</f>
        <v/>
      </c>
      <c r="L1522" s="20" t="n"/>
      <c r="M1522" s="20">
        <f>IFERROR(INDEX(CONFIGURACOES!$I$37:$I$300,MATCH($I1522,CONFIGURACOES!$B$37:$B$300,0)),"")</f>
        <v/>
      </c>
      <c r="N1522" s="21" t="n"/>
      <c r="O1522" s="21" t="n"/>
      <c r="P1522" s="21" t="n"/>
      <c r="Q1522" s="21" t="n"/>
      <c r="R1522" s="21">
        <f>IF($N1522="","",$N1522*IF($Q1522="",1,$Q1522)*IF($P1522="",1,$P1522)*IF($O1522="",1,$O1522))</f>
        <v/>
      </c>
      <c r="S1522" s="22">
        <f>IFERROR(INDEX(CONFIGURACOES!$J$37:$J$300,MATCH($I1522,CONFIGURACOES!$B$37:$B$300,0)),"")</f>
        <v/>
      </c>
      <c r="T1522" s="22">
        <f>IF(OR($R1522="",$S1522=""),"",$R1522*$S1522)</f>
        <v/>
      </c>
      <c r="U1522" s="20" t="n"/>
      <c r="V1522" s="20" t="n"/>
      <c r="W1522" s="20" t="n"/>
      <c r="X1522">
        <f>IF($A1522="","",$A1522&amp;"|"&amp;$C1522&amp;"|"&amp;$I1522)</f>
        <v/>
      </c>
      <c r="Y1522">
        <f>IF(AND($A1522=RELATORIO_MEDICAO!$C$5,$C1522=RELATORIO_MEDICAO!$F$5,$A1522&lt;&gt;""),COUNTIFS($A$3:$A1522,RELATORIO_MEDICAO!$C$5,$C$3:$C1522,RELATORIO_MEDICAO!$F$5),"")</f>
        <v/>
      </c>
      <c r="Z1522">
        <f>IF(OR($A1522="",PESQUISA!$C$4=""),0,IF(OR(ISNUMBER(SEARCH(PESQUISA!$C$4,$G1522)),ISNUMBER(SEARCH(PESQUISA!$C$4,$K1522)),ISNUMBER(SEARCH(PESQUISA!$C$4,$L1522))),1,0))</f>
        <v/>
      </c>
      <c r="AA1522">
        <f>IF($Z1522=1,SUM($Z$3:$Z1522),"")</f>
        <v/>
      </c>
      <c r="AB1522">
        <f>IF(OR($A1522="",PESQUISA!$C$50=""),0,IF(ISNUMBER(SEARCH(PESQUISA!$C$50,$I1522)),1,0))</f>
        <v/>
      </c>
      <c r="AC1522">
        <f>IF($AB1522=1,SUM($AB$3:$AB1522),"")</f>
        <v/>
      </c>
    </row>
    <row r="1523">
      <c r="A1523" s="20" t="n"/>
      <c r="B1523" s="20" t="n"/>
      <c r="C1523" s="20" t="n"/>
      <c r="D1523" s="20" t="n"/>
      <c r="E1523" s="20" t="n"/>
      <c r="F1523" s="20" t="n"/>
      <c r="G1523" s="20" t="n"/>
      <c r="H1523" s="20" t="n"/>
      <c r="I1523" s="20" t="n"/>
      <c r="J1523" s="20">
        <f>IFERROR(INDEX(CONFIGURACOES!$G$37:$G$300,MATCH($I1523,CONFIGURACOES!$B$37:$B$300,0)),"")</f>
        <v/>
      </c>
      <c r="K1523" s="20">
        <f>IFERROR(INDEX(CONFIGURACOES!$H$37:$H$300,MATCH($I1523,CONFIGURACOES!$B$37:$B$300,0)),"")</f>
        <v/>
      </c>
      <c r="L1523" s="20" t="n"/>
      <c r="M1523" s="20">
        <f>IFERROR(INDEX(CONFIGURACOES!$I$37:$I$300,MATCH($I1523,CONFIGURACOES!$B$37:$B$300,0)),"")</f>
        <v/>
      </c>
      <c r="N1523" s="21" t="n"/>
      <c r="O1523" s="21" t="n"/>
      <c r="P1523" s="21" t="n"/>
      <c r="Q1523" s="21" t="n"/>
      <c r="R1523" s="21">
        <f>IF($N1523="","",$N1523*IF($Q1523="",1,$Q1523)*IF($P1523="",1,$P1523)*IF($O1523="",1,$O1523))</f>
        <v/>
      </c>
      <c r="S1523" s="22">
        <f>IFERROR(INDEX(CONFIGURACOES!$J$37:$J$300,MATCH($I1523,CONFIGURACOES!$B$37:$B$300,0)),"")</f>
        <v/>
      </c>
      <c r="T1523" s="22">
        <f>IF(OR($R1523="",$S1523=""),"",$R1523*$S1523)</f>
        <v/>
      </c>
      <c r="U1523" s="20" t="n"/>
      <c r="V1523" s="20" t="n"/>
      <c r="W1523" s="20" t="n"/>
      <c r="X1523">
        <f>IF($A1523="","",$A1523&amp;"|"&amp;$C1523&amp;"|"&amp;$I1523)</f>
        <v/>
      </c>
      <c r="Y1523">
        <f>IF(AND($A1523=RELATORIO_MEDICAO!$C$5,$C1523=RELATORIO_MEDICAO!$F$5,$A1523&lt;&gt;""),COUNTIFS($A$3:$A1523,RELATORIO_MEDICAO!$C$5,$C$3:$C1523,RELATORIO_MEDICAO!$F$5),"")</f>
        <v/>
      </c>
      <c r="Z1523">
        <f>IF(OR($A1523="",PESQUISA!$C$4=""),0,IF(OR(ISNUMBER(SEARCH(PESQUISA!$C$4,$G1523)),ISNUMBER(SEARCH(PESQUISA!$C$4,$K1523)),ISNUMBER(SEARCH(PESQUISA!$C$4,$L1523))),1,0))</f>
        <v/>
      </c>
      <c r="AA1523">
        <f>IF($Z1523=1,SUM($Z$3:$Z1523),"")</f>
        <v/>
      </c>
      <c r="AB1523">
        <f>IF(OR($A1523="",PESQUISA!$C$50=""),0,IF(ISNUMBER(SEARCH(PESQUISA!$C$50,$I1523)),1,0))</f>
        <v/>
      </c>
      <c r="AC1523">
        <f>IF($AB1523=1,SUM($AB$3:$AB1523),"")</f>
        <v/>
      </c>
    </row>
    <row r="1524">
      <c r="A1524" s="20" t="n"/>
      <c r="B1524" s="20" t="n"/>
      <c r="C1524" s="20" t="n"/>
      <c r="D1524" s="20" t="n"/>
      <c r="E1524" s="20" t="n"/>
      <c r="F1524" s="20" t="n"/>
      <c r="G1524" s="20" t="n"/>
      <c r="H1524" s="20" t="n"/>
      <c r="I1524" s="20" t="n"/>
      <c r="J1524" s="20">
        <f>IFERROR(INDEX(CONFIGURACOES!$G$37:$G$300,MATCH($I1524,CONFIGURACOES!$B$37:$B$300,0)),"")</f>
        <v/>
      </c>
      <c r="K1524" s="20">
        <f>IFERROR(INDEX(CONFIGURACOES!$H$37:$H$300,MATCH($I1524,CONFIGURACOES!$B$37:$B$300,0)),"")</f>
        <v/>
      </c>
      <c r="L1524" s="20" t="n"/>
      <c r="M1524" s="20">
        <f>IFERROR(INDEX(CONFIGURACOES!$I$37:$I$300,MATCH($I1524,CONFIGURACOES!$B$37:$B$300,0)),"")</f>
        <v/>
      </c>
      <c r="N1524" s="21" t="n"/>
      <c r="O1524" s="21" t="n"/>
      <c r="P1524" s="21" t="n"/>
      <c r="Q1524" s="21" t="n"/>
      <c r="R1524" s="21">
        <f>IF($N1524="","",$N1524*IF($Q1524="",1,$Q1524)*IF($P1524="",1,$P1524)*IF($O1524="",1,$O1524))</f>
        <v/>
      </c>
      <c r="S1524" s="22">
        <f>IFERROR(INDEX(CONFIGURACOES!$J$37:$J$300,MATCH($I1524,CONFIGURACOES!$B$37:$B$300,0)),"")</f>
        <v/>
      </c>
      <c r="T1524" s="22">
        <f>IF(OR($R1524="",$S1524=""),"",$R1524*$S1524)</f>
        <v/>
      </c>
      <c r="U1524" s="20" t="n"/>
      <c r="V1524" s="20" t="n"/>
      <c r="W1524" s="20" t="n"/>
      <c r="X1524">
        <f>IF($A1524="","",$A1524&amp;"|"&amp;$C1524&amp;"|"&amp;$I1524)</f>
        <v/>
      </c>
      <c r="Y1524">
        <f>IF(AND($A1524=RELATORIO_MEDICAO!$C$5,$C1524=RELATORIO_MEDICAO!$F$5,$A1524&lt;&gt;""),COUNTIFS($A$3:$A1524,RELATORIO_MEDICAO!$C$5,$C$3:$C1524,RELATORIO_MEDICAO!$F$5),"")</f>
        <v/>
      </c>
      <c r="Z1524">
        <f>IF(OR($A1524="",PESQUISA!$C$4=""),0,IF(OR(ISNUMBER(SEARCH(PESQUISA!$C$4,$G1524)),ISNUMBER(SEARCH(PESQUISA!$C$4,$K1524)),ISNUMBER(SEARCH(PESQUISA!$C$4,$L1524))),1,0))</f>
        <v/>
      </c>
      <c r="AA1524">
        <f>IF($Z1524=1,SUM($Z$3:$Z1524),"")</f>
        <v/>
      </c>
      <c r="AB1524">
        <f>IF(OR($A1524="",PESQUISA!$C$50=""),0,IF(ISNUMBER(SEARCH(PESQUISA!$C$50,$I1524)),1,0))</f>
        <v/>
      </c>
      <c r="AC1524">
        <f>IF($AB1524=1,SUM($AB$3:$AB1524),"")</f>
        <v/>
      </c>
    </row>
    <row r="1525">
      <c r="A1525" s="20" t="n"/>
      <c r="B1525" s="20" t="n"/>
      <c r="C1525" s="20" t="n"/>
      <c r="D1525" s="20" t="n"/>
      <c r="E1525" s="20" t="n"/>
      <c r="F1525" s="20" t="n"/>
      <c r="G1525" s="20" t="n"/>
      <c r="H1525" s="20" t="n"/>
      <c r="I1525" s="20" t="n"/>
      <c r="J1525" s="20">
        <f>IFERROR(INDEX(CONFIGURACOES!$G$37:$G$300,MATCH($I1525,CONFIGURACOES!$B$37:$B$300,0)),"")</f>
        <v/>
      </c>
      <c r="K1525" s="20">
        <f>IFERROR(INDEX(CONFIGURACOES!$H$37:$H$300,MATCH($I1525,CONFIGURACOES!$B$37:$B$300,0)),"")</f>
        <v/>
      </c>
      <c r="L1525" s="20" t="n"/>
      <c r="M1525" s="20">
        <f>IFERROR(INDEX(CONFIGURACOES!$I$37:$I$300,MATCH($I1525,CONFIGURACOES!$B$37:$B$300,0)),"")</f>
        <v/>
      </c>
      <c r="N1525" s="21" t="n"/>
      <c r="O1525" s="21" t="n"/>
      <c r="P1525" s="21" t="n"/>
      <c r="Q1525" s="21" t="n"/>
      <c r="R1525" s="21">
        <f>IF($N1525="","",$N1525*IF($Q1525="",1,$Q1525)*IF($P1525="",1,$P1525)*IF($O1525="",1,$O1525))</f>
        <v/>
      </c>
      <c r="S1525" s="22">
        <f>IFERROR(INDEX(CONFIGURACOES!$J$37:$J$300,MATCH($I1525,CONFIGURACOES!$B$37:$B$300,0)),"")</f>
        <v/>
      </c>
      <c r="T1525" s="22">
        <f>IF(OR($R1525="",$S1525=""),"",$R1525*$S1525)</f>
        <v/>
      </c>
      <c r="U1525" s="20" t="n"/>
      <c r="V1525" s="20" t="n"/>
      <c r="W1525" s="20" t="n"/>
      <c r="X1525">
        <f>IF($A1525="","",$A1525&amp;"|"&amp;$C1525&amp;"|"&amp;$I1525)</f>
        <v/>
      </c>
      <c r="Y1525">
        <f>IF(AND($A1525=RELATORIO_MEDICAO!$C$5,$C1525=RELATORIO_MEDICAO!$F$5,$A1525&lt;&gt;""),COUNTIFS($A$3:$A1525,RELATORIO_MEDICAO!$C$5,$C$3:$C1525,RELATORIO_MEDICAO!$F$5),"")</f>
        <v/>
      </c>
      <c r="Z1525">
        <f>IF(OR($A1525="",PESQUISA!$C$4=""),0,IF(OR(ISNUMBER(SEARCH(PESQUISA!$C$4,$G1525)),ISNUMBER(SEARCH(PESQUISA!$C$4,$K1525)),ISNUMBER(SEARCH(PESQUISA!$C$4,$L1525))),1,0))</f>
        <v/>
      </c>
      <c r="AA1525">
        <f>IF($Z1525=1,SUM($Z$3:$Z1525),"")</f>
        <v/>
      </c>
      <c r="AB1525">
        <f>IF(OR($A1525="",PESQUISA!$C$50=""),0,IF(ISNUMBER(SEARCH(PESQUISA!$C$50,$I1525)),1,0))</f>
        <v/>
      </c>
      <c r="AC1525">
        <f>IF($AB1525=1,SUM($AB$3:$AB1525),"")</f>
        <v/>
      </c>
    </row>
    <row r="1526">
      <c r="A1526" s="20" t="n"/>
      <c r="B1526" s="20" t="n"/>
      <c r="C1526" s="20" t="n"/>
      <c r="D1526" s="20" t="n"/>
      <c r="E1526" s="20" t="n"/>
      <c r="F1526" s="20" t="n"/>
      <c r="G1526" s="20" t="n"/>
      <c r="H1526" s="20" t="n"/>
      <c r="I1526" s="20" t="n"/>
      <c r="J1526" s="20">
        <f>IFERROR(INDEX(CONFIGURACOES!$G$37:$G$300,MATCH($I1526,CONFIGURACOES!$B$37:$B$300,0)),"")</f>
        <v/>
      </c>
      <c r="K1526" s="20">
        <f>IFERROR(INDEX(CONFIGURACOES!$H$37:$H$300,MATCH($I1526,CONFIGURACOES!$B$37:$B$300,0)),"")</f>
        <v/>
      </c>
      <c r="L1526" s="20" t="n"/>
      <c r="M1526" s="20">
        <f>IFERROR(INDEX(CONFIGURACOES!$I$37:$I$300,MATCH($I1526,CONFIGURACOES!$B$37:$B$300,0)),"")</f>
        <v/>
      </c>
      <c r="N1526" s="21" t="n"/>
      <c r="O1526" s="21" t="n"/>
      <c r="P1526" s="21" t="n"/>
      <c r="Q1526" s="21" t="n"/>
      <c r="R1526" s="21">
        <f>IF($N1526="","",$N1526*IF($Q1526="",1,$Q1526)*IF($P1526="",1,$P1526)*IF($O1526="",1,$O1526))</f>
        <v/>
      </c>
      <c r="S1526" s="22">
        <f>IFERROR(INDEX(CONFIGURACOES!$J$37:$J$300,MATCH($I1526,CONFIGURACOES!$B$37:$B$300,0)),"")</f>
        <v/>
      </c>
      <c r="T1526" s="22">
        <f>IF(OR($R1526="",$S1526=""),"",$R1526*$S1526)</f>
        <v/>
      </c>
      <c r="U1526" s="20" t="n"/>
      <c r="V1526" s="20" t="n"/>
      <c r="W1526" s="20" t="n"/>
      <c r="X1526">
        <f>IF($A1526="","",$A1526&amp;"|"&amp;$C1526&amp;"|"&amp;$I1526)</f>
        <v/>
      </c>
      <c r="Y1526">
        <f>IF(AND($A1526=RELATORIO_MEDICAO!$C$5,$C1526=RELATORIO_MEDICAO!$F$5,$A1526&lt;&gt;""),COUNTIFS($A$3:$A1526,RELATORIO_MEDICAO!$C$5,$C$3:$C1526,RELATORIO_MEDICAO!$F$5),"")</f>
        <v/>
      </c>
      <c r="Z1526">
        <f>IF(OR($A1526="",PESQUISA!$C$4=""),0,IF(OR(ISNUMBER(SEARCH(PESQUISA!$C$4,$G1526)),ISNUMBER(SEARCH(PESQUISA!$C$4,$K1526)),ISNUMBER(SEARCH(PESQUISA!$C$4,$L1526))),1,0))</f>
        <v/>
      </c>
      <c r="AA1526">
        <f>IF($Z1526=1,SUM($Z$3:$Z1526),"")</f>
        <v/>
      </c>
      <c r="AB1526">
        <f>IF(OR($A1526="",PESQUISA!$C$50=""),0,IF(ISNUMBER(SEARCH(PESQUISA!$C$50,$I1526)),1,0))</f>
        <v/>
      </c>
      <c r="AC1526">
        <f>IF($AB1526=1,SUM($AB$3:$AB1526),"")</f>
        <v/>
      </c>
    </row>
    <row r="1527">
      <c r="A1527" s="20" t="n"/>
      <c r="B1527" s="20" t="n"/>
      <c r="C1527" s="20" t="n"/>
      <c r="D1527" s="20" t="n"/>
      <c r="E1527" s="20" t="n"/>
      <c r="F1527" s="20" t="n"/>
      <c r="G1527" s="20" t="n"/>
      <c r="H1527" s="20" t="n"/>
      <c r="I1527" s="20" t="n"/>
      <c r="J1527" s="20">
        <f>IFERROR(INDEX(CONFIGURACOES!$G$37:$G$300,MATCH($I1527,CONFIGURACOES!$B$37:$B$300,0)),"")</f>
        <v/>
      </c>
      <c r="K1527" s="20">
        <f>IFERROR(INDEX(CONFIGURACOES!$H$37:$H$300,MATCH($I1527,CONFIGURACOES!$B$37:$B$300,0)),"")</f>
        <v/>
      </c>
      <c r="L1527" s="20" t="n"/>
      <c r="M1527" s="20">
        <f>IFERROR(INDEX(CONFIGURACOES!$I$37:$I$300,MATCH($I1527,CONFIGURACOES!$B$37:$B$300,0)),"")</f>
        <v/>
      </c>
      <c r="N1527" s="21" t="n"/>
      <c r="O1527" s="21" t="n"/>
      <c r="P1527" s="21" t="n"/>
      <c r="Q1527" s="21" t="n"/>
      <c r="R1527" s="21">
        <f>IF($N1527="","",$N1527*IF($Q1527="",1,$Q1527)*IF($P1527="",1,$P1527)*IF($O1527="",1,$O1527))</f>
        <v/>
      </c>
      <c r="S1527" s="22">
        <f>IFERROR(INDEX(CONFIGURACOES!$J$37:$J$300,MATCH($I1527,CONFIGURACOES!$B$37:$B$300,0)),"")</f>
        <v/>
      </c>
      <c r="T1527" s="22">
        <f>IF(OR($R1527="",$S1527=""),"",$R1527*$S1527)</f>
        <v/>
      </c>
      <c r="U1527" s="20" t="n"/>
      <c r="V1527" s="20" t="n"/>
      <c r="W1527" s="20" t="n"/>
      <c r="X1527">
        <f>IF($A1527="","",$A1527&amp;"|"&amp;$C1527&amp;"|"&amp;$I1527)</f>
        <v/>
      </c>
      <c r="Y1527">
        <f>IF(AND($A1527=RELATORIO_MEDICAO!$C$5,$C1527=RELATORIO_MEDICAO!$F$5,$A1527&lt;&gt;""),COUNTIFS($A$3:$A1527,RELATORIO_MEDICAO!$C$5,$C$3:$C1527,RELATORIO_MEDICAO!$F$5),"")</f>
        <v/>
      </c>
      <c r="Z1527">
        <f>IF(OR($A1527="",PESQUISA!$C$4=""),0,IF(OR(ISNUMBER(SEARCH(PESQUISA!$C$4,$G1527)),ISNUMBER(SEARCH(PESQUISA!$C$4,$K1527)),ISNUMBER(SEARCH(PESQUISA!$C$4,$L1527))),1,0))</f>
        <v/>
      </c>
      <c r="AA1527">
        <f>IF($Z1527=1,SUM($Z$3:$Z1527),"")</f>
        <v/>
      </c>
      <c r="AB1527">
        <f>IF(OR($A1527="",PESQUISA!$C$50=""),0,IF(ISNUMBER(SEARCH(PESQUISA!$C$50,$I1527)),1,0))</f>
        <v/>
      </c>
      <c r="AC1527">
        <f>IF($AB1527=1,SUM($AB$3:$AB1527),"")</f>
        <v/>
      </c>
    </row>
    <row r="1528">
      <c r="A1528" s="20" t="n"/>
      <c r="B1528" s="20" t="n"/>
      <c r="C1528" s="20" t="n"/>
      <c r="D1528" s="20" t="n"/>
      <c r="E1528" s="20" t="n"/>
      <c r="F1528" s="20" t="n"/>
      <c r="G1528" s="20" t="n"/>
      <c r="H1528" s="20" t="n"/>
      <c r="I1528" s="20" t="n"/>
      <c r="J1528" s="20">
        <f>IFERROR(INDEX(CONFIGURACOES!$G$37:$G$300,MATCH($I1528,CONFIGURACOES!$B$37:$B$300,0)),"")</f>
        <v/>
      </c>
      <c r="K1528" s="20">
        <f>IFERROR(INDEX(CONFIGURACOES!$H$37:$H$300,MATCH($I1528,CONFIGURACOES!$B$37:$B$300,0)),"")</f>
        <v/>
      </c>
      <c r="L1528" s="20" t="n"/>
      <c r="M1528" s="20">
        <f>IFERROR(INDEX(CONFIGURACOES!$I$37:$I$300,MATCH($I1528,CONFIGURACOES!$B$37:$B$300,0)),"")</f>
        <v/>
      </c>
      <c r="N1528" s="21" t="n"/>
      <c r="O1528" s="21" t="n"/>
      <c r="P1528" s="21" t="n"/>
      <c r="Q1528" s="21" t="n"/>
      <c r="R1528" s="21">
        <f>IF($N1528="","",$N1528*IF($Q1528="",1,$Q1528)*IF($P1528="",1,$P1528)*IF($O1528="",1,$O1528))</f>
        <v/>
      </c>
      <c r="S1528" s="22">
        <f>IFERROR(INDEX(CONFIGURACOES!$J$37:$J$300,MATCH($I1528,CONFIGURACOES!$B$37:$B$300,0)),"")</f>
        <v/>
      </c>
      <c r="T1528" s="22">
        <f>IF(OR($R1528="",$S1528=""),"",$R1528*$S1528)</f>
        <v/>
      </c>
      <c r="U1528" s="20" t="n"/>
      <c r="V1528" s="20" t="n"/>
      <c r="W1528" s="20" t="n"/>
      <c r="X1528">
        <f>IF($A1528="","",$A1528&amp;"|"&amp;$C1528&amp;"|"&amp;$I1528)</f>
        <v/>
      </c>
      <c r="Y1528">
        <f>IF(AND($A1528=RELATORIO_MEDICAO!$C$5,$C1528=RELATORIO_MEDICAO!$F$5,$A1528&lt;&gt;""),COUNTIFS($A$3:$A1528,RELATORIO_MEDICAO!$C$5,$C$3:$C1528,RELATORIO_MEDICAO!$F$5),"")</f>
        <v/>
      </c>
      <c r="Z1528">
        <f>IF(OR($A1528="",PESQUISA!$C$4=""),0,IF(OR(ISNUMBER(SEARCH(PESQUISA!$C$4,$G1528)),ISNUMBER(SEARCH(PESQUISA!$C$4,$K1528)),ISNUMBER(SEARCH(PESQUISA!$C$4,$L1528))),1,0))</f>
        <v/>
      </c>
      <c r="AA1528">
        <f>IF($Z1528=1,SUM($Z$3:$Z1528),"")</f>
        <v/>
      </c>
      <c r="AB1528">
        <f>IF(OR($A1528="",PESQUISA!$C$50=""),0,IF(ISNUMBER(SEARCH(PESQUISA!$C$50,$I1528)),1,0))</f>
        <v/>
      </c>
      <c r="AC1528">
        <f>IF($AB1528=1,SUM($AB$3:$AB1528),"")</f>
        <v/>
      </c>
    </row>
    <row r="1529">
      <c r="A1529" s="20" t="n"/>
      <c r="B1529" s="20" t="n"/>
      <c r="C1529" s="20" t="n"/>
      <c r="D1529" s="20" t="n"/>
      <c r="E1529" s="20" t="n"/>
      <c r="F1529" s="20" t="n"/>
      <c r="G1529" s="20" t="n"/>
      <c r="H1529" s="20" t="n"/>
      <c r="I1529" s="20" t="n"/>
      <c r="J1529" s="20">
        <f>IFERROR(INDEX(CONFIGURACOES!$G$37:$G$300,MATCH($I1529,CONFIGURACOES!$B$37:$B$300,0)),"")</f>
        <v/>
      </c>
      <c r="K1529" s="20">
        <f>IFERROR(INDEX(CONFIGURACOES!$H$37:$H$300,MATCH($I1529,CONFIGURACOES!$B$37:$B$300,0)),"")</f>
        <v/>
      </c>
      <c r="L1529" s="20" t="n"/>
      <c r="M1529" s="20">
        <f>IFERROR(INDEX(CONFIGURACOES!$I$37:$I$300,MATCH($I1529,CONFIGURACOES!$B$37:$B$300,0)),"")</f>
        <v/>
      </c>
      <c r="N1529" s="21" t="n"/>
      <c r="O1529" s="21" t="n"/>
      <c r="P1529" s="21" t="n"/>
      <c r="Q1529" s="21" t="n"/>
      <c r="R1529" s="21">
        <f>IF($N1529="","",$N1529*IF($Q1529="",1,$Q1529)*IF($P1529="",1,$P1529)*IF($O1529="",1,$O1529))</f>
        <v/>
      </c>
      <c r="S1529" s="22">
        <f>IFERROR(INDEX(CONFIGURACOES!$J$37:$J$300,MATCH($I1529,CONFIGURACOES!$B$37:$B$300,0)),"")</f>
        <v/>
      </c>
      <c r="T1529" s="22">
        <f>IF(OR($R1529="",$S1529=""),"",$R1529*$S1529)</f>
        <v/>
      </c>
      <c r="U1529" s="20" t="n"/>
      <c r="V1529" s="20" t="n"/>
      <c r="W1529" s="20" t="n"/>
      <c r="X1529">
        <f>IF($A1529="","",$A1529&amp;"|"&amp;$C1529&amp;"|"&amp;$I1529)</f>
        <v/>
      </c>
      <c r="Y1529">
        <f>IF(AND($A1529=RELATORIO_MEDICAO!$C$5,$C1529=RELATORIO_MEDICAO!$F$5,$A1529&lt;&gt;""),COUNTIFS($A$3:$A1529,RELATORIO_MEDICAO!$C$5,$C$3:$C1529,RELATORIO_MEDICAO!$F$5),"")</f>
        <v/>
      </c>
      <c r="Z1529">
        <f>IF(OR($A1529="",PESQUISA!$C$4=""),0,IF(OR(ISNUMBER(SEARCH(PESQUISA!$C$4,$G1529)),ISNUMBER(SEARCH(PESQUISA!$C$4,$K1529)),ISNUMBER(SEARCH(PESQUISA!$C$4,$L1529))),1,0))</f>
        <v/>
      </c>
      <c r="AA1529">
        <f>IF($Z1529=1,SUM($Z$3:$Z1529),"")</f>
        <v/>
      </c>
      <c r="AB1529">
        <f>IF(OR($A1529="",PESQUISA!$C$50=""),0,IF(ISNUMBER(SEARCH(PESQUISA!$C$50,$I1529)),1,0))</f>
        <v/>
      </c>
      <c r="AC1529">
        <f>IF($AB1529=1,SUM($AB$3:$AB1529),"")</f>
        <v/>
      </c>
    </row>
    <row r="1530">
      <c r="A1530" s="20" t="n"/>
      <c r="B1530" s="20" t="n"/>
      <c r="C1530" s="20" t="n"/>
      <c r="D1530" s="20" t="n"/>
      <c r="E1530" s="20" t="n"/>
      <c r="F1530" s="20" t="n"/>
      <c r="G1530" s="20" t="n"/>
      <c r="H1530" s="20" t="n"/>
      <c r="I1530" s="20" t="n"/>
      <c r="J1530" s="20">
        <f>IFERROR(INDEX(CONFIGURACOES!$G$37:$G$300,MATCH($I1530,CONFIGURACOES!$B$37:$B$300,0)),"")</f>
        <v/>
      </c>
      <c r="K1530" s="20">
        <f>IFERROR(INDEX(CONFIGURACOES!$H$37:$H$300,MATCH($I1530,CONFIGURACOES!$B$37:$B$300,0)),"")</f>
        <v/>
      </c>
      <c r="L1530" s="20" t="n"/>
      <c r="M1530" s="20">
        <f>IFERROR(INDEX(CONFIGURACOES!$I$37:$I$300,MATCH($I1530,CONFIGURACOES!$B$37:$B$300,0)),"")</f>
        <v/>
      </c>
      <c r="N1530" s="21" t="n"/>
      <c r="O1530" s="21" t="n"/>
      <c r="P1530" s="21" t="n"/>
      <c r="Q1530" s="21" t="n"/>
      <c r="R1530" s="21">
        <f>IF($N1530="","",$N1530*IF($Q1530="",1,$Q1530)*IF($P1530="",1,$P1530)*IF($O1530="",1,$O1530))</f>
        <v/>
      </c>
      <c r="S1530" s="22">
        <f>IFERROR(INDEX(CONFIGURACOES!$J$37:$J$300,MATCH($I1530,CONFIGURACOES!$B$37:$B$300,0)),"")</f>
        <v/>
      </c>
      <c r="T1530" s="22">
        <f>IF(OR($R1530="",$S1530=""),"",$R1530*$S1530)</f>
        <v/>
      </c>
      <c r="U1530" s="20" t="n"/>
      <c r="V1530" s="20" t="n"/>
      <c r="W1530" s="20" t="n"/>
      <c r="X1530">
        <f>IF($A1530="","",$A1530&amp;"|"&amp;$C1530&amp;"|"&amp;$I1530)</f>
        <v/>
      </c>
      <c r="Y1530">
        <f>IF(AND($A1530=RELATORIO_MEDICAO!$C$5,$C1530=RELATORIO_MEDICAO!$F$5,$A1530&lt;&gt;""),COUNTIFS($A$3:$A1530,RELATORIO_MEDICAO!$C$5,$C$3:$C1530,RELATORIO_MEDICAO!$F$5),"")</f>
        <v/>
      </c>
      <c r="Z1530">
        <f>IF(OR($A1530="",PESQUISA!$C$4=""),0,IF(OR(ISNUMBER(SEARCH(PESQUISA!$C$4,$G1530)),ISNUMBER(SEARCH(PESQUISA!$C$4,$K1530)),ISNUMBER(SEARCH(PESQUISA!$C$4,$L1530))),1,0))</f>
        <v/>
      </c>
      <c r="AA1530">
        <f>IF($Z1530=1,SUM($Z$3:$Z1530),"")</f>
        <v/>
      </c>
      <c r="AB1530">
        <f>IF(OR($A1530="",PESQUISA!$C$50=""),0,IF(ISNUMBER(SEARCH(PESQUISA!$C$50,$I1530)),1,0))</f>
        <v/>
      </c>
      <c r="AC1530">
        <f>IF($AB1530=1,SUM($AB$3:$AB1530),"")</f>
        <v/>
      </c>
    </row>
    <row r="1531">
      <c r="A1531" s="20" t="n"/>
      <c r="B1531" s="20" t="n"/>
      <c r="C1531" s="20" t="n"/>
      <c r="D1531" s="20" t="n"/>
      <c r="E1531" s="20" t="n"/>
      <c r="F1531" s="20" t="n"/>
      <c r="G1531" s="20" t="n"/>
      <c r="H1531" s="20" t="n"/>
      <c r="I1531" s="20" t="n"/>
      <c r="J1531" s="20">
        <f>IFERROR(INDEX(CONFIGURACOES!$G$37:$G$300,MATCH($I1531,CONFIGURACOES!$B$37:$B$300,0)),"")</f>
        <v/>
      </c>
      <c r="K1531" s="20">
        <f>IFERROR(INDEX(CONFIGURACOES!$H$37:$H$300,MATCH($I1531,CONFIGURACOES!$B$37:$B$300,0)),"")</f>
        <v/>
      </c>
      <c r="L1531" s="20" t="n"/>
      <c r="M1531" s="20">
        <f>IFERROR(INDEX(CONFIGURACOES!$I$37:$I$300,MATCH($I1531,CONFIGURACOES!$B$37:$B$300,0)),"")</f>
        <v/>
      </c>
      <c r="N1531" s="21" t="n"/>
      <c r="O1531" s="21" t="n"/>
      <c r="P1531" s="21" t="n"/>
      <c r="Q1531" s="21" t="n"/>
      <c r="R1531" s="21">
        <f>IF($N1531="","",$N1531*IF($Q1531="",1,$Q1531)*IF($P1531="",1,$P1531)*IF($O1531="",1,$O1531))</f>
        <v/>
      </c>
      <c r="S1531" s="22">
        <f>IFERROR(INDEX(CONFIGURACOES!$J$37:$J$300,MATCH($I1531,CONFIGURACOES!$B$37:$B$300,0)),"")</f>
        <v/>
      </c>
      <c r="T1531" s="22">
        <f>IF(OR($R1531="",$S1531=""),"",$R1531*$S1531)</f>
        <v/>
      </c>
      <c r="U1531" s="20" t="n"/>
      <c r="V1531" s="20" t="n"/>
      <c r="W1531" s="20" t="n"/>
      <c r="X1531">
        <f>IF($A1531="","",$A1531&amp;"|"&amp;$C1531&amp;"|"&amp;$I1531)</f>
        <v/>
      </c>
      <c r="Y1531">
        <f>IF(AND($A1531=RELATORIO_MEDICAO!$C$5,$C1531=RELATORIO_MEDICAO!$F$5,$A1531&lt;&gt;""),COUNTIFS($A$3:$A1531,RELATORIO_MEDICAO!$C$5,$C$3:$C1531,RELATORIO_MEDICAO!$F$5),"")</f>
        <v/>
      </c>
      <c r="Z1531">
        <f>IF(OR($A1531="",PESQUISA!$C$4=""),0,IF(OR(ISNUMBER(SEARCH(PESQUISA!$C$4,$G1531)),ISNUMBER(SEARCH(PESQUISA!$C$4,$K1531)),ISNUMBER(SEARCH(PESQUISA!$C$4,$L1531))),1,0))</f>
        <v/>
      </c>
      <c r="AA1531">
        <f>IF($Z1531=1,SUM($Z$3:$Z1531),"")</f>
        <v/>
      </c>
      <c r="AB1531">
        <f>IF(OR($A1531="",PESQUISA!$C$50=""),0,IF(ISNUMBER(SEARCH(PESQUISA!$C$50,$I1531)),1,0))</f>
        <v/>
      </c>
      <c r="AC1531">
        <f>IF($AB1531=1,SUM($AB$3:$AB1531),"")</f>
        <v/>
      </c>
    </row>
    <row r="1532">
      <c r="A1532" s="20" t="n"/>
      <c r="B1532" s="20" t="n"/>
      <c r="C1532" s="20" t="n"/>
      <c r="D1532" s="20" t="n"/>
      <c r="E1532" s="20" t="n"/>
      <c r="F1532" s="20" t="n"/>
      <c r="G1532" s="20" t="n"/>
      <c r="H1532" s="20" t="n"/>
      <c r="I1532" s="20" t="n"/>
      <c r="J1532" s="20">
        <f>IFERROR(INDEX(CONFIGURACOES!$G$37:$G$300,MATCH($I1532,CONFIGURACOES!$B$37:$B$300,0)),"")</f>
        <v/>
      </c>
      <c r="K1532" s="20">
        <f>IFERROR(INDEX(CONFIGURACOES!$H$37:$H$300,MATCH($I1532,CONFIGURACOES!$B$37:$B$300,0)),"")</f>
        <v/>
      </c>
      <c r="L1532" s="20" t="n"/>
      <c r="M1532" s="20">
        <f>IFERROR(INDEX(CONFIGURACOES!$I$37:$I$300,MATCH($I1532,CONFIGURACOES!$B$37:$B$300,0)),"")</f>
        <v/>
      </c>
      <c r="N1532" s="21" t="n"/>
      <c r="O1532" s="21" t="n"/>
      <c r="P1532" s="21" t="n"/>
      <c r="Q1532" s="21" t="n"/>
      <c r="R1532" s="21">
        <f>IF($N1532="","",$N1532*IF($Q1532="",1,$Q1532)*IF($P1532="",1,$P1532)*IF($O1532="",1,$O1532))</f>
        <v/>
      </c>
      <c r="S1532" s="22">
        <f>IFERROR(INDEX(CONFIGURACOES!$J$37:$J$300,MATCH($I1532,CONFIGURACOES!$B$37:$B$300,0)),"")</f>
        <v/>
      </c>
      <c r="T1532" s="22">
        <f>IF(OR($R1532="",$S1532=""),"",$R1532*$S1532)</f>
        <v/>
      </c>
      <c r="U1532" s="20" t="n"/>
      <c r="V1532" s="20" t="n"/>
      <c r="W1532" s="20" t="n"/>
      <c r="X1532">
        <f>IF($A1532="","",$A1532&amp;"|"&amp;$C1532&amp;"|"&amp;$I1532)</f>
        <v/>
      </c>
      <c r="Y1532">
        <f>IF(AND($A1532=RELATORIO_MEDICAO!$C$5,$C1532=RELATORIO_MEDICAO!$F$5,$A1532&lt;&gt;""),COUNTIFS($A$3:$A1532,RELATORIO_MEDICAO!$C$5,$C$3:$C1532,RELATORIO_MEDICAO!$F$5),"")</f>
        <v/>
      </c>
      <c r="Z1532">
        <f>IF(OR($A1532="",PESQUISA!$C$4=""),0,IF(OR(ISNUMBER(SEARCH(PESQUISA!$C$4,$G1532)),ISNUMBER(SEARCH(PESQUISA!$C$4,$K1532)),ISNUMBER(SEARCH(PESQUISA!$C$4,$L1532))),1,0))</f>
        <v/>
      </c>
      <c r="AA1532">
        <f>IF($Z1532=1,SUM($Z$3:$Z1532),"")</f>
        <v/>
      </c>
      <c r="AB1532">
        <f>IF(OR($A1532="",PESQUISA!$C$50=""),0,IF(ISNUMBER(SEARCH(PESQUISA!$C$50,$I1532)),1,0))</f>
        <v/>
      </c>
      <c r="AC1532">
        <f>IF($AB1532=1,SUM($AB$3:$AB1532),"")</f>
        <v/>
      </c>
    </row>
    <row r="1533">
      <c r="A1533" s="20" t="n"/>
      <c r="B1533" s="20" t="n"/>
      <c r="C1533" s="20" t="n"/>
      <c r="D1533" s="20" t="n"/>
      <c r="E1533" s="20" t="n"/>
      <c r="F1533" s="20" t="n"/>
      <c r="G1533" s="20" t="n"/>
      <c r="H1533" s="20" t="n"/>
      <c r="I1533" s="20" t="n"/>
      <c r="J1533" s="20">
        <f>IFERROR(INDEX(CONFIGURACOES!$G$37:$G$300,MATCH($I1533,CONFIGURACOES!$B$37:$B$300,0)),"")</f>
        <v/>
      </c>
      <c r="K1533" s="20">
        <f>IFERROR(INDEX(CONFIGURACOES!$H$37:$H$300,MATCH($I1533,CONFIGURACOES!$B$37:$B$300,0)),"")</f>
        <v/>
      </c>
      <c r="L1533" s="20" t="n"/>
      <c r="M1533" s="20">
        <f>IFERROR(INDEX(CONFIGURACOES!$I$37:$I$300,MATCH($I1533,CONFIGURACOES!$B$37:$B$300,0)),"")</f>
        <v/>
      </c>
      <c r="N1533" s="21" t="n"/>
      <c r="O1533" s="21" t="n"/>
      <c r="P1533" s="21" t="n"/>
      <c r="Q1533" s="21" t="n"/>
      <c r="R1533" s="21">
        <f>IF($N1533="","",$N1533*IF($Q1533="",1,$Q1533)*IF($P1533="",1,$P1533)*IF($O1533="",1,$O1533))</f>
        <v/>
      </c>
      <c r="S1533" s="22">
        <f>IFERROR(INDEX(CONFIGURACOES!$J$37:$J$300,MATCH($I1533,CONFIGURACOES!$B$37:$B$300,0)),"")</f>
        <v/>
      </c>
      <c r="T1533" s="22">
        <f>IF(OR($R1533="",$S1533=""),"",$R1533*$S1533)</f>
        <v/>
      </c>
      <c r="U1533" s="20" t="n"/>
      <c r="V1533" s="20" t="n"/>
      <c r="W1533" s="20" t="n"/>
      <c r="X1533">
        <f>IF($A1533="","",$A1533&amp;"|"&amp;$C1533&amp;"|"&amp;$I1533)</f>
        <v/>
      </c>
      <c r="Y1533">
        <f>IF(AND($A1533=RELATORIO_MEDICAO!$C$5,$C1533=RELATORIO_MEDICAO!$F$5,$A1533&lt;&gt;""),COUNTIFS($A$3:$A1533,RELATORIO_MEDICAO!$C$5,$C$3:$C1533,RELATORIO_MEDICAO!$F$5),"")</f>
        <v/>
      </c>
      <c r="Z1533">
        <f>IF(OR($A1533="",PESQUISA!$C$4=""),0,IF(OR(ISNUMBER(SEARCH(PESQUISA!$C$4,$G1533)),ISNUMBER(SEARCH(PESQUISA!$C$4,$K1533)),ISNUMBER(SEARCH(PESQUISA!$C$4,$L1533))),1,0))</f>
        <v/>
      </c>
      <c r="AA1533">
        <f>IF($Z1533=1,SUM($Z$3:$Z1533),"")</f>
        <v/>
      </c>
      <c r="AB1533">
        <f>IF(OR($A1533="",PESQUISA!$C$50=""),0,IF(ISNUMBER(SEARCH(PESQUISA!$C$50,$I1533)),1,0))</f>
        <v/>
      </c>
      <c r="AC1533">
        <f>IF($AB1533=1,SUM($AB$3:$AB1533),"")</f>
        <v/>
      </c>
    </row>
    <row r="1534">
      <c r="A1534" s="20" t="n"/>
      <c r="B1534" s="20" t="n"/>
      <c r="C1534" s="20" t="n"/>
      <c r="D1534" s="20" t="n"/>
      <c r="E1534" s="20" t="n"/>
      <c r="F1534" s="20" t="n"/>
      <c r="G1534" s="20" t="n"/>
      <c r="H1534" s="20" t="n"/>
      <c r="I1534" s="20" t="n"/>
      <c r="J1534" s="20">
        <f>IFERROR(INDEX(CONFIGURACOES!$G$37:$G$300,MATCH($I1534,CONFIGURACOES!$B$37:$B$300,0)),"")</f>
        <v/>
      </c>
      <c r="K1534" s="20">
        <f>IFERROR(INDEX(CONFIGURACOES!$H$37:$H$300,MATCH($I1534,CONFIGURACOES!$B$37:$B$300,0)),"")</f>
        <v/>
      </c>
      <c r="L1534" s="20" t="n"/>
      <c r="M1534" s="20">
        <f>IFERROR(INDEX(CONFIGURACOES!$I$37:$I$300,MATCH($I1534,CONFIGURACOES!$B$37:$B$300,0)),"")</f>
        <v/>
      </c>
      <c r="N1534" s="21" t="n"/>
      <c r="O1534" s="21" t="n"/>
      <c r="P1534" s="21" t="n"/>
      <c r="Q1534" s="21" t="n"/>
      <c r="R1534" s="21">
        <f>IF($N1534="","",$N1534*IF($Q1534="",1,$Q1534)*IF($P1534="",1,$P1534)*IF($O1534="",1,$O1534))</f>
        <v/>
      </c>
      <c r="S1534" s="22">
        <f>IFERROR(INDEX(CONFIGURACOES!$J$37:$J$300,MATCH($I1534,CONFIGURACOES!$B$37:$B$300,0)),"")</f>
        <v/>
      </c>
      <c r="T1534" s="22">
        <f>IF(OR($R1534="",$S1534=""),"",$R1534*$S1534)</f>
        <v/>
      </c>
      <c r="U1534" s="20" t="n"/>
      <c r="V1534" s="20" t="n"/>
      <c r="W1534" s="20" t="n"/>
      <c r="X1534">
        <f>IF($A1534="","",$A1534&amp;"|"&amp;$C1534&amp;"|"&amp;$I1534)</f>
        <v/>
      </c>
      <c r="Y1534">
        <f>IF(AND($A1534=RELATORIO_MEDICAO!$C$5,$C1534=RELATORIO_MEDICAO!$F$5,$A1534&lt;&gt;""),COUNTIFS($A$3:$A1534,RELATORIO_MEDICAO!$C$5,$C$3:$C1534,RELATORIO_MEDICAO!$F$5),"")</f>
        <v/>
      </c>
      <c r="Z1534">
        <f>IF(OR($A1534="",PESQUISA!$C$4=""),0,IF(OR(ISNUMBER(SEARCH(PESQUISA!$C$4,$G1534)),ISNUMBER(SEARCH(PESQUISA!$C$4,$K1534)),ISNUMBER(SEARCH(PESQUISA!$C$4,$L1534))),1,0))</f>
        <v/>
      </c>
      <c r="AA1534">
        <f>IF($Z1534=1,SUM($Z$3:$Z1534),"")</f>
        <v/>
      </c>
      <c r="AB1534">
        <f>IF(OR($A1534="",PESQUISA!$C$50=""),0,IF(ISNUMBER(SEARCH(PESQUISA!$C$50,$I1534)),1,0))</f>
        <v/>
      </c>
      <c r="AC1534">
        <f>IF($AB1534=1,SUM($AB$3:$AB1534),"")</f>
        <v/>
      </c>
    </row>
    <row r="1535">
      <c r="A1535" s="20" t="n"/>
      <c r="B1535" s="20" t="n"/>
      <c r="C1535" s="20" t="n"/>
      <c r="D1535" s="20" t="n"/>
      <c r="E1535" s="20" t="n"/>
      <c r="F1535" s="20" t="n"/>
      <c r="G1535" s="20" t="n"/>
      <c r="H1535" s="20" t="n"/>
      <c r="I1535" s="20" t="n"/>
      <c r="J1535" s="20">
        <f>IFERROR(INDEX(CONFIGURACOES!$G$37:$G$300,MATCH($I1535,CONFIGURACOES!$B$37:$B$300,0)),"")</f>
        <v/>
      </c>
      <c r="K1535" s="20">
        <f>IFERROR(INDEX(CONFIGURACOES!$H$37:$H$300,MATCH($I1535,CONFIGURACOES!$B$37:$B$300,0)),"")</f>
        <v/>
      </c>
      <c r="L1535" s="20" t="n"/>
      <c r="M1535" s="20">
        <f>IFERROR(INDEX(CONFIGURACOES!$I$37:$I$300,MATCH($I1535,CONFIGURACOES!$B$37:$B$300,0)),"")</f>
        <v/>
      </c>
      <c r="N1535" s="21" t="n"/>
      <c r="O1535" s="21" t="n"/>
      <c r="P1535" s="21" t="n"/>
      <c r="Q1535" s="21" t="n"/>
      <c r="R1535" s="21">
        <f>IF($N1535="","",$N1535*IF($Q1535="",1,$Q1535)*IF($P1535="",1,$P1535)*IF($O1535="",1,$O1535))</f>
        <v/>
      </c>
      <c r="S1535" s="22">
        <f>IFERROR(INDEX(CONFIGURACOES!$J$37:$J$300,MATCH($I1535,CONFIGURACOES!$B$37:$B$300,0)),"")</f>
        <v/>
      </c>
      <c r="T1535" s="22">
        <f>IF(OR($R1535="",$S1535=""),"",$R1535*$S1535)</f>
        <v/>
      </c>
      <c r="U1535" s="20" t="n"/>
      <c r="V1535" s="20" t="n"/>
      <c r="W1535" s="20" t="n"/>
      <c r="X1535">
        <f>IF($A1535="","",$A1535&amp;"|"&amp;$C1535&amp;"|"&amp;$I1535)</f>
        <v/>
      </c>
      <c r="Y1535">
        <f>IF(AND($A1535=RELATORIO_MEDICAO!$C$5,$C1535=RELATORIO_MEDICAO!$F$5,$A1535&lt;&gt;""),COUNTIFS($A$3:$A1535,RELATORIO_MEDICAO!$C$5,$C$3:$C1535,RELATORIO_MEDICAO!$F$5),"")</f>
        <v/>
      </c>
      <c r="Z1535">
        <f>IF(OR($A1535="",PESQUISA!$C$4=""),0,IF(OR(ISNUMBER(SEARCH(PESQUISA!$C$4,$G1535)),ISNUMBER(SEARCH(PESQUISA!$C$4,$K1535)),ISNUMBER(SEARCH(PESQUISA!$C$4,$L1535))),1,0))</f>
        <v/>
      </c>
      <c r="AA1535">
        <f>IF($Z1535=1,SUM($Z$3:$Z1535),"")</f>
        <v/>
      </c>
      <c r="AB1535">
        <f>IF(OR($A1535="",PESQUISA!$C$50=""),0,IF(ISNUMBER(SEARCH(PESQUISA!$C$50,$I1535)),1,0))</f>
        <v/>
      </c>
      <c r="AC1535">
        <f>IF($AB1535=1,SUM($AB$3:$AB1535),"")</f>
        <v/>
      </c>
    </row>
    <row r="1536">
      <c r="A1536" s="20" t="n"/>
      <c r="B1536" s="20" t="n"/>
      <c r="C1536" s="20" t="n"/>
      <c r="D1536" s="20" t="n"/>
      <c r="E1536" s="20" t="n"/>
      <c r="F1536" s="20" t="n"/>
      <c r="G1536" s="20" t="n"/>
      <c r="H1536" s="20" t="n"/>
      <c r="I1536" s="20" t="n"/>
      <c r="J1536" s="20">
        <f>IFERROR(INDEX(CONFIGURACOES!$G$37:$G$300,MATCH($I1536,CONFIGURACOES!$B$37:$B$300,0)),"")</f>
        <v/>
      </c>
      <c r="K1536" s="20">
        <f>IFERROR(INDEX(CONFIGURACOES!$H$37:$H$300,MATCH($I1536,CONFIGURACOES!$B$37:$B$300,0)),"")</f>
        <v/>
      </c>
      <c r="L1536" s="20" t="n"/>
      <c r="M1536" s="20">
        <f>IFERROR(INDEX(CONFIGURACOES!$I$37:$I$300,MATCH($I1536,CONFIGURACOES!$B$37:$B$300,0)),"")</f>
        <v/>
      </c>
      <c r="N1536" s="21" t="n"/>
      <c r="O1536" s="21" t="n"/>
      <c r="P1536" s="21" t="n"/>
      <c r="Q1536" s="21" t="n"/>
      <c r="R1536" s="21">
        <f>IF($N1536="","",$N1536*IF($Q1536="",1,$Q1536)*IF($P1536="",1,$P1536)*IF($O1536="",1,$O1536))</f>
        <v/>
      </c>
      <c r="S1536" s="22">
        <f>IFERROR(INDEX(CONFIGURACOES!$J$37:$J$300,MATCH($I1536,CONFIGURACOES!$B$37:$B$300,0)),"")</f>
        <v/>
      </c>
      <c r="T1536" s="22">
        <f>IF(OR($R1536="",$S1536=""),"",$R1536*$S1536)</f>
        <v/>
      </c>
      <c r="U1536" s="20" t="n"/>
      <c r="V1536" s="20" t="n"/>
      <c r="W1536" s="20" t="n"/>
      <c r="X1536">
        <f>IF($A1536="","",$A1536&amp;"|"&amp;$C1536&amp;"|"&amp;$I1536)</f>
        <v/>
      </c>
      <c r="Y1536">
        <f>IF(AND($A1536=RELATORIO_MEDICAO!$C$5,$C1536=RELATORIO_MEDICAO!$F$5,$A1536&lt;&gt;""),COUNTIFS($A$3:$A1536,RELATORIO_MEDICAO!$C$5,$C$3:$C1536,RELATORIO_MEDICAO!$F$5),"")</f>
        <v/>
      </c>
      <c r="Z1536">
        <f>IF(OR($A1536="",PESQUISA!$C$4=""),0,IF(OR(ISNUMBER(SEARCH(PESQUISA!$C$4,$G1536)),ISNUMBER(SEARCH(PESQUISA!$C$4,$K1536)),ISNUMBER(SEARCH(PESQUISA!$C$4,$L1536))),1,0))</f>
        <v/>
      </c>
      <c r="AA1536">
        <f>IF($Z1536=1,SUM($Z$3:$Z1536),"")</f>
        <v/>
      </c>
      <c r="AB1536">
        <f>IF(OR($A1536="",PESQUISA!$C$50=""),0,IF(ISNUMBER(SEARCH(PESQUISA!$C$50,$I1536)),1,0))</f>
        <v/>
      </c>
      <c r="AC1536">
        <f>IF($AB1536=1,SUM($AB$3:$AB1536),"")</f>
        <v/>
      </c>
    </row>
    <row r="1537">
      <c r="A1537" s="20" t="n"/>
      <c r="B1537" s="20" t="n"/>
      <c r="C1537" s="20" t="n"/>
      <c r="D1537" s="20" t="n"/>
      <c r="E1537" s="20" t="n"/>
      <c r="F1537" s="20" t="n"/>
      <c r="G1537" s="20" t="n"/>
      <c r="H1537" s="20" t="n"/>
      <c r="I1537" s="20" t="n"/>
      <c r="J1537" s="20">
        <f>IFERROR(INDEX(CONFIGURACOES!$G$37:$G$300,MATCH($I1537,CONFIGURACOES!$B$37:$B$300,0)),"")</f>
        <v/>
      </c>
      <c r="K1537" s="20">
        <f>IFERROR(INDEX(CONFIGURACOES!$H$37:$H$300,MATCH($I1537,CONFIGURACOES!$B$37:$B$300,0)),"")</f>
        <v/>
      </c>
      <c r="L1537" s="20" t="n"/>
      <c r="M1537" s="20">
        <f>IFERROR(INDEX(CONFIGURACOES!$I$37:$I$300,MATCH($I1537,CONFIGURACOES!$B$37:$B$300,0)),"")</f>
        <v/>
      </c>
      <c r="N1537" s="21" t="n"/>
      <c r="O1537" s="21" t="n"/>
      <c r="P1537" s="21" t="n"/>
      <c r="Q1537" s="21" t="n"/>
      <c r="R1537" s="21">
        <f>IF($N1537="","",$N1537*IF($Q1537="",1,$Q1537)*IF($P1537="",1,$P1537)*IF($O1537="",1,$O1537))</f>
        <v/>
      </c>
      <c r="S1537" s="22">
        <f>IFERROR(INDEX(CONFIGURACOES!$J$37:$J$300,MATCH($I1537,CONFIGURACOES!$B$37:$B$300,0)),"")</f>
        <v/>
      </c>
      <c r="T1537" s="22">
        <f>IF(OR($R1537="",$S1537=""),"",$R1537*$S1537)</f>
        <v/>
      </c>
      <c r="U1537" s="20" t="n"/>
      <c r="V1537" s="20" t="n"/>
      <c r="W1537" s="20" t="n"/>
      <c r="X1537">
        <f>IF($A1537="","",$A1537&amp;"|"&amp;$C1537&amp;"|"&amp;$I1537)</f>
        <v/>
      </c>
      <c r="Y1537">
        <f>IF(AND($A1537=RELATORIO_MEDICAO!$C$5,$C1537=RELATORIO_MEDICAO!$F$5,$A1537&lt;&gt;""),COUNTIFS($A$3:$A1537,RELATORIO_MEDICAO!$C$5,$C$3:$C1537,RELATORIO_MEDICAO!$F$5),"")</f>
        <v/>
      </c>
      <c r="Z1537">
        <f>IF(OR($A1537="",PESQUISA!$C$4=""),0,IF(OR(ISNUMBER(SEARCH(PESQUISA!$C$4,$G1537)),ISNUMBER(SEARCH(PESQUISA!$C$4,$K1537)),ISNUMBER(SEARCH(PESQUISA!$C$4,$L1537))),1,0))</f>
        <v/>
      </c>
      <c r="AA1537">
        <f>IF($Z1537=1,SUM($Z$3:$Z1537),"")</f>
        <v/>
      </c>
      <c r="AB1537">
        <f>IF(OR($A1537="",PESQUISA!$C$50=""),0,IF(ISNUMBER(SEARCH(PESQUISA!$C$50,$I1537)),1,0))</f>
        <v/>
      </c>
      <c r="AC1537">
        <f>IF($AB1537=1,SUM($AB$3:$AB1537),"")</f>
        <v/>
      </c>
    </row>
    <row r="1538">
      <c r="A1538" s="20" t="n"/>
      <c r="B1538" s="20" t="n"/>
      <c r="C1538" s="20" t="n"/>
      <c r="D1538" s="20" t="n"/>
      <c r="E1538" s="20" t="n"/>
      <c r="F1538" s="20" t="n"/>
      <c r="G1538" s="20" t="n"/>
      <c r="H1538" s="20" t="n"/>
      <c r="I1538" s="20" t="n"/>
      <c r="J1538" s="20">
        <f>IFERROR(INDEX(CONFIGURACOES!$G$37:$G$300,MATCH($I1538,CONFIGURACOES!$B$37:$B$300,0)),"")</f>
        <v/>
      </c>
      <c r="K1538" s="20">
        <f>IFERROR(INDEX(CONFIGURACOES!$H$37:$H$300,MATCH($I1538,CONFIGURACOES!$B$37:$B$300,0)),"")</f>
        <v/>
      </c>
      <c r="L1538" s="20" t="n"/>
      <c r="M1538" s="20">
        <f>IFERROR(INDEX(CONFIGURACOES!$I$37:$I$300,MATCH($I1538,CONFIGURACOES!$B$37:$B$300,0)),"")</f>
        <v/>
      </c>
      <c r="N1538" s="21" t="n"/>
      <c r="O1538" s="21" t="n"/>
      <c r="P1538" s="21" t="n"/>
      <c r="Q1538" s="21" t="n"/>
      <c r="R1538" s="21">
        <f>IF($N1538="","",$N1538*IF($Q1538="",1,$Q1538)*IF($P1538="",1,$P1538)*IF($O1538="",1,$O1538))</f>
        <v/>
      </c>
      <c r="S1538" s="22">
        <f>IFERROR(INDEX(CONFIGURACOES!$J$37:$J$300,MATCH($I1538,CONFIGURACOES!$B$37:$B$300,0)),"")</f>
        <v/>
      </c>
      <c r="T1538" s="22">
        <f>IF(OR($R1538="",$S1538=""),"",$R1538*$S1538)</f>
        <v/>
      </c>
      <c r="U1538" s="20" t="n"/>
      <c r="V1538" s="20" t="n"/>
      <c r="W1538" s="20" t="n"/>
      <c r="X1538">
        <f>IF($A1538="","",$A1538&amp;"|"&amp;$C1538&amp;"|"&amp;$I1538)</f>
        <v/>
      </c>
      <c r="Y1538">
        <f>IF(AND($A1538=RELATORIO_MEDICAO!$C$5,$C1538=RELATORIO_MEDICAO!$F$5,$A1538&lt;&gt;""),COUNTIFS($A$3:$A1538,RELATORIO_MEDICAO!$C$5,$C$3:$C1538,RELATORIO_MEDICAO!$F$5),"")</f>
        <v/>
      </c>
      <c r="Z1538">
        <f>IF(OR($A1538="",PESQUISA!$C$4=""),0,IF(OR(ISNUMBER(SEARCH(PESQUISA!$C$4,$G1538)),ISNUMBER(SEARCH(PESQUISA!$C$4,$K1538)),ISNUMBER(SEARCH(PESQUISA!$C$4,$L1538))),1,0))</f>
        <v/>
      </c>
      <c r="AA1538">
        <f>IF($Z1538=1,SUM($Z$3:$Z1538),"")</f>
        <v/>
      </c>
      <c r="AB1538">
        <f>IF(OR($A1538="",PESQUISA!$C$50=""),0,IF(ISNUMBER(SEARCH(PESQUISA!$C$50,$I1538)),1,0))</f>
        <v/>
      </c>
      <c r="AC1538">
        <f>IF($AB1538=1,SUM($AB$3:$AB1538),"")</f>
        <v/>
      </c>
    </row>
    <row r="1539">
      <c r="A1539" s="20" t="n"/>
      <c r="B1539" s="20" t="n"/>
      <c r="C1539" s="20" t="n"/>
      <c r="D1539" s="20" t="n"/>
      <c r="E1539" s="20" t="n"/>
      <c r="F1539" s="20" t="n"/>
      <c r="G1539" s="20" t="n"/>
      <c r="H1539" s="20" t="n"/>
      <c r="I1539" s="20" t="n"/>
      <c r="J1539" s="20">
        <f>IFERROR(INDEX(CONFIGURACOES!$G$37:$G$300,MATCH($I1539,CONFIGURACOES!$B$37:$B$300,0)),"")</f>
        <v/>
      </c>
      <c r="K1539" s="20">
        <f>IFERROR(INDEX(CONFIGURACOES!$H$37:$H$300,MATCH($I1539,CONFIGURACOES!$B$37:$B$300,0)),"")</f>
        <v/>
      </c>
      <c r="L1539" s="20" t="n"/>
      <c r="M1539" s="20">
        <f>IFERROR(INDEX(CONFIGURACOES!$I$37:$I$300,MATCH($I1539,CONFIGURACOES!$B$37:$B$300,0)),"")</f>
        <v/>
      </c>
      <c r="N1539" s="21" t="n"/>
      <c r="O1539" s="21" t="n"/>
      <c r="P1539" s="21" t="n"/>
      <c r="Q1539" s="21" t="n"/>
      <c r="R1539" s="21">
        <f>IF($N1539="","",$N1539*IF($Q1539="",1,$Q1539)*IF($P1539="",1,$P1539)*IF($O1539="",1,$O1539))</f>
        <v/>
      </c>
      <c r="S1539" s="22">
        <f>IFERROR(INDEX(CONFIGURACOES!$J$37:$J$300,MATCH($I1539,CONFIGURACOES!$B$37:$B$300,0)),"")</f>
        <v/>
      </c>
      <c r="T1539" s="22">
        <f>IF(OR($R1539="",$S1539=""),"",$R1539*$S1539)</f>
        <v/>
      </c>
      <c r="U1539" s="20" t="n"/>
      <c r="V1539" s="20" t="n"/>
      <c r="W1539" s="20" t="n"/>
      <c r="X1539">
        <f>IF($A1539="","",$A1539&amp;"|"&amp;$C1539&amp;"|"&amp;$I1539)</f>
        <v/>
      </c>
      <c r="Y1539">
        <f>IF(AND($A1539=RELATORIO_MEDICAO!$C$5,$C1539=RELATORIO_MEDICAO!$F$5,$A1539&lt;&gt;""),COUNTIFS($A$3:$A1539,RELATORIO_MEDICAO!$C$5,$C$3:$C1539,RELATORIO_MEDICAO!$F$5),"")</f>
        <v/>
      </c>
      <c r="Z1539">
        <f>IF(OR($A1539="",PESQUISA!$C$4=""),0,IF(OR(ISNUMBER(SEARCH(PESQUISA!$C$4,$G1539)),ISNUMBER(SEARCH(PESQUISA!$C$4,$K1539)),ISNUMBER(SEARCH(PESQUISA!$C$4,$L1539))),1,0))</f>
        <v/>
      </c>
      <c r="AA1539">
        <f>IF($Z1539=1,SUM($Z$3:$Z1539),"")</f>
        <v/>
      </c>
      <c r="AB1539">
        <f>IF(OR($A1539="",PESQUISA!$C$50=""),0,IF(ISNUMBER(SEARCH(PESQUISA!$C$50,$I1539)),1,0))</f>
        <v/>
      </c>
      <c r="AC1539">
        <f>IF($AB1539=1,SUM($AB$3:$AB1539),"")</f>
        <v/>
      </c>
    </row>
    <row r="1540">
      <c r="A1540" s="20" t="n"/>
      <c r="B1540" s="20" t="n"/>
      <c r="C1540" s="20" t="n"/>
      <c r="D1540" s="20" t="n"/>
      <c r="E1540" s="20" t="n"/>
      <c r="F1540" s="20" t="n"/>
      <c r="G1540" s="20" t="n"/>
      <c r="H1540" s="20" t="n"/>
      <c r="I1540" s="20" t="n"/>
      <c r="J1540" s="20">
        <f>IFERROR(INDEX(CONFIGURACOES!$G$37:$G$300,MATCH($I1540,CONFIGURACOES!$B$37:$B$300,0)),"")</f>
        <v/>
      </c>
      <c r="K1540" s="20">
        <f>IFERROR(INDEX(CONFIGURACOES!$H$37:$H$300,MATCH($I1540,CONFIGURACOES!$B$37:$B$300,0)),"")</f>
        <v/>
      </c>
      <c r="L1540" s="20" t="n"/>
      <c r="M1540" s="20">
        <f>IFERROR(INDEX(CONFIGURACOES!$I$37:$I$300,MATCH($I1540,CONFIGURACOES!$B$37:$B$300,0)),"")</f>
        <v/>
      </c>
      <c r="N1540" s="21" t="n"/>
      <c r="O1540" s="21" t="n"/>
      <c r="P1540" s="21" t="n"/>
      <c r="Q1540" s="21" t="n"/>
      <c r="R1540" s="21">
        <f>IF($N1540="","",$N1540*IF($Q1540="",1,$Q1540)*IF($P1540="",1,$P1540)*IF($O1540="",1,$O1540))</f>
        <v/>
      </c>
      <c r="S1540" s="22">
        <f>IFERROR(INDEX(CONFIGURACOES!$J$37:$J$300,MATCH($I1540,CONFIGURACOES!$B$37:$B$300,0)),"")</f>
        <v/>
      </c>
      <c r="T1540" s="22">
        <f>IF(OR($R1540="",$S1540=""),"",$R1540*$S1540)</f>
        <v/>
      </c>
      <c r="U1540" s="20" t="n"/>
      <c r="V1540" s="20" t="n"/>
      <c r="W1540" s="20" t="n"/>
      <c r="X1540">
        <f>IF($A1540="","",$A1540&amp;"|"&amp;$C1540&amp;"|"&amp;$I1540)</f>
        <v/>
      </c>
      <c r="Y1540">
        <f>IF(AND($A1540=RELATORIO_MEDICAO!$C$5,$C1540=RELATORIO_MEDICAO!$F$5,$A1540&lt;&gt;""),COUNTIFS($A$3:$A1540,RELATORIO_MEDICAO!$C$5,$C$3:$C1540,RELATORIO_MEDICAO!$F$5),"")</f>
        <v/>
      </c>
      <c r="Z1540">
        <f>IF(OR($A1540="",PESQUISA!$C$4=""),0,IF(OR(ISNUMBER(SEARCH(PESQUISA!$C$4,$G1540)),ISNUMBER(SEARCH(PESQUISA!$C$4,$K1540)),ISNUMBER(SEARCH(PESQUISA!$C$4,$L1540))),1,0))</f>
        <v/>
      </c>
      <c r="AA1540">
        <f>IF($Z1540=1,SUM($Z$3:$Z1540),"")</f>
        <v/>
      </c>
      <c r="AB1540">
        <f>IF(OR($A1540="",PESQUISA!$C$50=""),0,IF(ISNUMBER(SEARCH(PESQUISA!$C$50,$I1540)),1,0))</f>
        <v/>
      </c>
      <c r="AC1540">
        <f>IF($AB1540=1,SUM($AB$3:$AB1540),"")</f>
        <v/>
      </c>
    </row>
    <row r="1541">
      <c r="A1541" s="20" t="n"/>
      <c r="B1541" s="20" t="n"/>
      <c r="C1541" s="20" t="n"/>
      <c r="D1541" s="20" t="n"/>
      <c r="E1541" s="20" t="n"/>
      <c r="F1541" s="20" t="n"/>
      <c r="G1541" s="20" t="n"/>
      <c r="H1541" s="20" t="n"/>
      <c r="I1541" s="20" t="n"/>
      <c r="J1541" s="20">
        <f>IFERROR(INDEX(CONFIGURACOES!$G$37:$G$300,MATCH($I1541,CONFIGURACOES!$B$37:$B$300,0)),"")</f>
        <v/>
      </c>
      <c r="K1541" s="20">
        <f>IFERROR(INDEX(CONFIGURACOES!$H$37:$H$300,MATCH($I1541,CONFIGURACOES!$B$37:$B$300,0)),"")</f>
        <v/>
      </c>
      <c r="L1541" s="20" t="n"/>
      <c r="M1541" s="20">
        <f>IFERROR(INDEX(CONFIGURACOES!$I$37:$I$300,MATCH($I1541,CONFIGURACOES!$B$37:$B$300,0)),"")</f>
        <v/>
      </c>
      <c r="N1541" s="21" t="n"/>
      <c r="O1541" s="21" t="n"/>
      <c r="P1541" s="21" t="n"/>
      <c r="Q1541" s="21" t="n"/>
      <c r="R1541" s="21">
        <f>IF($N1541="","",$N1541*IF($Q1541="",1,$Q1541)*IF($P1541="",1,$P1541)*IF($O1541="",1,$O1541))</f>
        <v/>
      </c>
      <c r="S1541" s="22">
        <f>IFERROR(INDEX(CONFIGURACOES!$J$37:$J$300,MATCH($I1541,CONFIGURACOES!$B$37:$B$300,0)),"")</f>
        <v/>
      </c>
      <c r="T1541" s="22">
        <f>IF(OR($R1541="",$S1541=""),"",$R1541*$S1541)</f>
        <v/>
      </c>
      <c r="U1541" s="20" t="n"/>
      <c r="V1541" s="20" t="n"/>
      <c r="W1541" s="20" t="n"/>
      <c r="X1541">
        <f>IF($A1541="","",$A1541&amp;"|"&amp;$C1541&amp;"|"&amp;$I1541)</f>
        <v/>
      </c>
      <c r="Y1541">
        <f>IF(AND($A1541=RELATORIO_MEDICAO!$C$5,$C1541=RELATORIO_MEDICAO!$F$5,$A1541&lt;&gt;""),COUNTIFS($A$3:$A1541,RELATORIO_MEDICAO!$C$5,$C$3:$C1541,RELATORIO_MEDICAO!$F$5),"")</f>
        <v/>
      </c>
      <c r="Z1541">
        <f>IF(OR($A1541="",PESQUISA!$C$4=""),0,IF(OR(ISNUMBER(SEARCH(PESQUISA!$C$4,$G1541)),ISNUMBER(SEARCH(PESQUISA!$C$4,$K1541)),ISNUMBER(SEARCH(PESQUISA!$C$4,$L1541))),1,0))</f>
        <v/>
      </c>
      <c r="AA1541">
        <f>IF($Z1541=1,SUM($Z$3:$Z1541),"")</f>
        <v/>
      </c>
      <c r="AB1541">
        <f>IF(OR($A1541="",PESQUISA!$C$50=""),0,IF(ISNUMBER(SEARCH(PESQUISA!$C$50,$I1541)),1,0))</f>
        <v/>
      </c>
      <c r="AC1541">
        <f>IF($AB1541=1,SUM($AB$3:$AB1541),"")</f>
        <v/>
      </c>
    </row>
    <row r="1542">
      <c r="A1542" s="20" t="n"/>
      <c r="B1542" s="20" t="n"/>
      <c r="C1542" s="20" t="n"/>
      <c r="D1542" s="20" t="n"/>
      <c r="E1542" s="20" t="n"/>
      <c r="F1542" s="20" t="n"/>
      <c r="G1542" s="20" t="n"/>
      <c r="H1542" s="20" t="n"/>
      <c r="I1542" s="20" t="n"/>
      <c r="J1542" s="20">
        <f>IFERROR(INDEX(CONFIGURACOES!$G$37:$G$300,MATCH($I1542,CONFIGURACOES!$B$37:$B$300,0)),"")</f>
        <v/>
      </c>
      <c r="K1542" s="20">
        <f>IFERROR(INDEX(CONFIGURACOES!$H$37:$H$300,MATCH($I1542,CONFIGURACOES!$B$37:$B$300,0)),"")</f>
        <v/>
      </c>
      <c r="L1542" s="20" t="n"/>
      <c r="M1542" s="20">
        <f>IFERROR(INDEX(CONFIGURACOES!$I$37:$I$300,MATCH($I1542,CONFIGURACOES!$B$37:$B$300,0)),"")</f>
        <v/>
      </c>
      <c r="N1542" s="21" t="n"/>
      <c r="O1542" s="21" t="n"/>
      <c r="P1542" s="21" t="n"/>
      <c r="Q1542" s="21" t="n"/>
      <c r="R1542" s="21">
        <f>IF($N1542="","",$N1542*IF($Q1542="",1,$Q1542)*IF($P1542="",1,$P1542)*IF($O1542="",1,$O1542))</f>
        <v/>
      </c>
      <c r="S1542" s="22">
        <f>IFERROR(INDEX(CONFIGURACOES!$J$37:$J$300,MATCH($I1542,CONFIGURACOES!$B$37:$B$300,0)),"")</f>
        <v/>
      </c>
      <c r="T1542" s="22">
        <f>IF(OR($R1542="",$S1542=""),"",$R1542*$S1542)</f>
        <v/>
      </c>
      <c r="U1542" s="20" t="n"/>
      <c r="V1542" s="20" t="n"/>
      <c r="W1542" s="20" t="n"/>
      <c r="X1542">
        <f>IF($A1542="","",$A1542&amp;"|"&amp;$C1542&amp;"|"&amp;$I1542)</f>
        <v/>
      </c>
      <c r="Y1542">
        <f>IF(AND($A1542=RELATORIO_MEDICAO!$C$5,$C1542=RELATORIO_MEDICAO!$F$5,$A1542&lt;&gt;""),COUNTIFS($A$3:$A1542,RELATORIO_MEDICAO!$C$5,$C$3:$C1542,RELATORIO_MEDICAO!$F$5),"")</f>
        <v/>
      </c>
      <c r="Z1542">
        <f>IF(OR($A1542="",PESQUISA!$C$4=""),0,IF(OR(ISNUMBER(SEARCH(PESQUISA!$C$4,$G1542)),ISNUMBER(SEARCH(PESQUISA!$C$4,$K1542)),ISNUMBER(SEARCH(PESQUISA!$C$4,$L1542))),1,0))</f>
        <v/>
      </c>
      <c r="AA1542">
        <f>IF($Z1542=1,SUM($Z$3:$Z1542),"")</f>
        <v/>
      </c>
      <c r="AB1542">
        <f>IF(OR($A1542="",PESQUISA!$C$50=""),0,IF(ISNUMBER(SEARCH(PESQUISA!$C$50,$I1542)),1,0))</f>
        <v/>
      </c>
      <c r="AC1542">
        <f>IF($AB1542=1,SUM($AB$3:$AB1542),"")</f>
        <v/>
      </c>
    </row>
    <row r="1543">
      <c r="A1543" s="20" t="n"/>
      <c r="B1543" s="20" t="n"/>
      <c r="C1543" s="20" t="n"/>
      <c r="D1543" s="20" t="n"/>
      <c r="E1543" s="20" t="n"/>
      <c r="F1543" s="20" t="n"/>
      <c r="G1543" s="20" t="n"/>
      <c r="H1543" s="20" t="n"/>
      <c r="I1543" s="20" t="n"/>
      <c r="J1543" s="20">
        <f>IFERROR(INDEX(CONFIGURACOES!$G$37:$G$300,MATCH($I1543,CONFIGURACOES!$B$37:$B$300,0)),"")</f>
        <v/>
      </c>
      <c r="K1543" s="20">
        <f>IFERROR(INDEX(CONFIGURACOES!$H$37:$H$300,MATCH($I1543,CONFIGURACOES!$B$37:$B$300,0)),"")</f>
        <v/>
      </c>
      <c r="L1543" s="20" t="n"/>
      <c r="M1543" s="20">
        <f>IFERROR(INDEX(CONFIGURACOES!$I$37:$I$300,MATCH($I1543,CONFIGURACOES!$B$37:$B$300,0)),"")</f>
        <v/>
      </c>
      <c r="N1543" s="21" t="n"/>
      <c r="O1543" s="21" t="n"/>
      <c r="P1543" s="21" t="n"/>
      <c r="Q1543" s="21" t="n"/>
      <c r="R1543" s="21">
        <f>IF($N1543="","",$N1543*IF($Q1543="",1,$Q1543)*IF($P1543="",1,$P1543)*IF($O1543="",1,$O1543))</f>
        <v/>
      </c>
      <c r="S1543" s="22">
        <f>IFERROR(INDEX(CONFIGURACOES!$J$37:$J$300,MATCH($I1543,CONFIGURACOES!$B$37:$B$300,0)),"")</f>
        <v/>
      </c>
      <c r="T1543" s="22">
        <f>IF(OR($R1543="",$S1543=""),"",$R1543*$S1543)</f>
        <v/>
      </c>
      <c r="U1543" s="20" t="n"/>
      <c r="V1543" s="20" t="n"/>
      <c r="W1543" s="20" t="n"/>
      <c r="X1543">
        <f>IF($A1543="","",$A1543&amp;"|"&amp;$C1543&amp;"|"&amp;$I1543)</f>
        <v/>
      </c>
      <c r="Y1543">
        <f>IF(AND($A1543=RELATORIO_MEDICAO!$C$5,$C1543=RELATORIO_MEDICAO!$F$5,$A1543&lt;&gt;""),COUNTIFS($A$3:$A1543,RELATORIO_MEDICAO!$C$5,$C$3:$C1543,RELATORIO_MEDICAO!$F$5),"")</f>
        <v/>
      </c>
      <c r="Z1543">
        <f>IF(OR($A1543="",PESQUISA!$C$4=""),0,IF(OR(ISNUMBER(SEARCH(PESQUISA!$C$4,$G1543)),ISNUMBER(SEARCH(PESQUISA!$C$4,$K1543)),ISNUMBER(SEARCH(PESQUISA!$C$4,$L1543))),1,0))</f>
        <v/>
      </c>
      <c r="AA1543">
        <f>IF($Z1543=1,SUM($Z$3:$Z1543),"")</f>
        <v/>
      </c>
      <c r="AB1543">
        <f>IF(OR($A1543="",PESQUISA!$C$50=""),0,IF(ISNUMBER(SEARCH(PESQUISA!$C$50,$I1543)),1,0))</f>
        <v/>
      </c>
      <c r="AC1543">
        <f>IF($AB1543=1,SUM($AB$3:$AB1543),"")</f>
        <v/>
      </c>
    </row>
    <row r="1544">
      <c r="A1544" s="20" t="n"/>
      <c r="B1544" s="20" t="n"/>
      <c r="C1544" s="20" t="n"/>
      <c r="D1544" s="20" t="n"/>
      <c r="E1544" s="20" t="n"/>
      <c r="F1544" s="20" t="n"/>
      <c r="G1544" s="20" t="n"/>
      <c r="H1544" s="20" t="n"/>
      <c r="I1544" s="20" t="n"/>
      <c r="J1544" s="20">
        <f>IFERROR(INDEX(CONFIGURACOES!$G$37:$G$300,MATCH($I1544,CONFIGURACOES!$B$37:$B$300,0)),"")</f>
        <v/>
      </c>
      <c r="K1544" s="20">
        <f>IFERROR(INDEX(CONFIGURACOES!$H$37:$H$300,MATCH($I1544,CONFIGURACOES!$B$37:$B$300,0)),"")</f>
        <v/>
      </c>
      <c r="L1544" s="20" t="n"/>
      <c r="M1544" s="20">
        <f>IFERROR(INDEX(CONFIGURACOES!$I$37:$I$300,MATCH($I1544,CONFIGURACOES!$B$37:$B$300,0)),"")</f>
        <v/>
      </c>
      <c r="N1544" s="21" t="n"/>
      <c r="O1544" s="21" t="n"/>
      <c r="P1544" s="21" t="n"/>
      <c r="Q1544" s="21" t="n"/>
      <c r="R1544" s="21">
        <f>IF($N1544="","",$N1544*IF($Q1544="",1,$Q1544)*IF($P1544="",1,$P1544)*IF($O1544="",1,$O1544))</f>
        <v/>
      </c>
      <c r="S1544" s="22">
        <f>IFERROR(INDEX(CONFIGURACOES!$J$37:$J$300,MATCH($I1544,CONFIGURACOES!$B$37:$B$300,0)),"")</f>
        <v/>
      </c>
      <c r="T1544" s="22">
        <f>IF(OR($R1544="",$S1544=""),"",$R1544*$S1544)</f>
        <v/>
      </c>
      <c r="U1544" s="20" t="n"/>
      <c r="V1544" s="20" t="n"/>
      <c r="W1544" s="20" t="n"/>
      <c r="X1544">
        <f>IF($A1544="","",$A1544&amp;"|"&amp;$C1544&amp;"|"&amp;$I1544)</f>
        <v/>
      </c>
      <c r="Y1544">
        <f>IF(AND($A1544=RELATORIO_MEDICAO!$C$5,$C1544=RELATORIO_MEDICAO!$F$5,$A1544&lt;&gt;""),COUNTIFS($A$3:$A1544,RELATORIO_MEDICAO!$C$5,$C$3:$C1544,RELATORIO_MEDICAO!$F$5),"")</f>
        <v/>
      </c>
      <c r="Z1544">
        <f>IF(OR($A1544="",PESQUISA!$C$4=""),0,IF(OR(ISNUMBER(SEARCH(PESQUISA!$C$4,$G1544)),ISNUMBER(SEARCH(PESQUISA!$C$4,$K1544)),ISNUMBER(SEARCH(PESQUISA!$C$4,$L1544))),1,0))</f>
        <v/>
      </c>
      <c r="AA1544">
        <f>IF($Z1544=1,SUM($Z$3:$Z1544),"")</f>
        <v/>
      </c>
      <c r="AB1544">
        <f>IF(OR($A1544="",PESQUISA!$C$50=""),0,IF(ISNUMBER(SEARCH(PESQUISA!$C$50,$I1544)),1,0))</f>
        <v/>
      </c>
      <c r="AC1544">
        <f>IF($AB1544=1,SUM($AB$3:$AB1544),"")</f>
        <v/>
      </c>
    </row>
    <row r="1545">
      <c r="A1545" s="20" t="n"/>
      <c r="B1545" s="20" t="n"/>
      <c r="C1545" s="20" t="n"/>
      <c r="D1545" s="20" t="n"/>
      <c r="E1545" s="20" t="n"/>
      <c r="F1545" s="20" t="n"/>
      <c r="G1545" s="20" t="n"/>
      <c r="H1545" s="20" t="n"/>
      <c r="I1545" s="20" t="n"/>
      <c r="J1545" s="20">
        <f>IFERROR(INDEX(CONFIGURACOES!$G$37:$G$300,MATCH($I1545,CONFIGURACOES!$B$37:$B$300,0)),"")</f>
        <v/>
      </c>
      <c r="K1545" s="20">
        <f>IFERROR(INDEX(CONFIGURACOES!$H$37:$H$300,MATCH($I1545,CONFIGURACOES!$B$37:$B$300,0)),"")</f>
        <v/>
      </c>
      <c r="L1545" s="20" t="n"/>
      <c r="M1545" s="20">
        <f>IFERROR(INDEX(CONFIGURACOES!$I$37:$I$300,MATCH($I1545,CONFIGURACOES!$B$37:$B$300,0)),"")</f>
        <v/>
      </c>
      <c r="N1545" s="21" t="n"/>
      <c r="O1545" s="21" t="n"/>
      <c r="P1545" s="21" t="n"/>
      <c r="Q1545" s="21" t="n"/>
      <c r="R1545" s="21">
        <f>IF($N1545="","",$N1545*IF($Q1545="",1,$Q1545)*IF($P1545="",1,$P1545)*IF($O1545="",1,$O1545))</f>
        <v/>
      </c>
      <c r="S1545" s="22">
        <f>IFERROR(INDEX(CONFIGURACOES!$J$37:$J$300,MATCH($I1545,CONFIGURACOES!$B$37:$B$300,0)),"")</f>
        <v/>
      </c>
      <c r="T1545" s="22">
        <f>IF(OR($R1545="",$S1545=""),"",$R1545*$S1545)</f>
        <v/>
      </c>
      <c r="U1545" s="20" t="n"/>
      <c r="V1545" s="20" t="n"/>
      <c r="W1545" s="20" t="n"/>
      <c r="X1545">
        <f>IF($A1545="","",$A1545&amp;"|"&amp;$C1545&amp;"|"&amp;$I1545)</f>
        <v/>
      </c>
      <c r="Y1545">
        <f>IF(AND($A1545=RELATORIO_MEDICAO!$C$5,$C1545=RELATORIO_MEDICAO!$F$5,$A1545&lt;&gt;""),COUNTIFS($A$3:$A1545,RELATORIO_MEDICAO!$C$5,$C$3:$C1545,RELATORIO_MEDICAO!$F$5),"")</f>
        <v/>
      </c>
      <c r="Z1545">
        <f>IF(OR($A1545="",PESQUISA!$C$4=""),0,IF(OR(ISNUMBER(SEARCH(PESQUISA!$C$4,$G1545)),ISNUMBER(SEARCH(PESQUISA!$C$4,$K1545)),ISNUMBER(SEARCH(PESQUISA!$C$4,$L1545))),1,0))</f>
        <v/>
      </c>
      <c r="AA1545">
        <f>IF($Z1545=1,SUM($Z$3:$Z1545),"")</f>
        <v/>
      </c>
      <c r="AB1545">
        <f>IF(OR($A1545="",PESQUISA!$C$50=""),0,IF(ISNUMBER(SEARCH(PESQUISA!$C$50,$I1545)),1,0))</f>
        <v/>
      </c>
      <c r="AC1545">
        <f>IF($AB1545=1,SUM($AB$3:$AB1545),"")</f>
        <v/>
      </c>
    </row>
    <row r="1546">
      <c r="A1546" s="20" t="n"/>
      <c r="B1546" s="20" t="n"/>
      <c r="C1546" s="20" t="n"/>
      <c r="D1546" s="20" t="n"/>
      <c r="E1546" s="20" t="n"/>
      <c r="F1546" s="20" t="n"/>
      <c r="G1546" s="20" t="n"/>
      <c r="H1546" s="20" t="n"/>
      <c r="I1546" s="20" t="n"/>
      <c r="J1546" s="20">
        <f>IFERROR(INDEX(CONFIGURACOES!$G$37:$G$300,MATCH($I1546,CONFIGURACOES!$B$37:$B$300,0)),"")</f>
        <v/>
      </c>
      <c r="K1546" s="20">
        <f>IFERROR(INDEX(CONFIGURACOES!$H$37:$H$300,MATCH($I1546,CONFIGURACOES!$B$37:$B$300,0)),"")</f>
        <v/>
      </c>
      <c r="L1546" s="20" t="n"/>
      <c r="M1546" s="20">
        <f>IFERROR(INDEX(CONFIGURACOES!$I$37:$I$300,MATCH($I1546,CONFIGURACOES!$B$37:$B$300,0)),"")</f>
        <v/>
      </c>
      <c r="N1546" s="21" t="n"/>
      <c r="O1546" s="21" t="n"/>
      <c r="P1546" s="21" t="n"/>
      <c r="Q1546" s="21" t="n"/>
      <c r="R1546" s="21">
        <f>IF($N1546="","",$N1546*IF($Q1546="",1,$Q1546)*IF($P1546="",1,$P1546)*IF($O1546="",1,$O1546))</f>
        <v/>
      </c>
      <c r="S1546" s="22">
        <f>IFERROR(INDEX(CONFIGURACOES!$J$37:$J$300,MATCH($I1546,CONFIGURACOES!$B$37:$B$300,0)),"")</f>
        <v/>
      </c>
      <c r="T1546" s="22">
        <f>IF(OR($R1546="",$S1546=""),"",$R1546*$S1546)</f>
        <v/>
      </c>
      <c r="U1546" s="20" t="n"/>
      <c r="V1546" s="20" t="n"/>
      <c r="W1546" s="20" t="n"/>
      <c r="X1546">
        <f>IF($A1546="","",$A1546&amp;"|"&amp;$C1546&amp;"|"&amp;$I1546)</f>
        <v/>
      </c>
      <c r="Y1546">
        <f>IF(AND($A1546=RELATORIO_MEDICAO!$C$5,$C1546=RELATORIO_MEDICAO!$F$5,$A1546&lt;&gt;""),COUNTIFS($A$3:$A1546,RELATORIO_MEDICAO!$C$5,$C$3:$C1546,RELATORIO_MEDICAO!$F$5),"")</f>
        <v/>
      </c>
      <c r="Z1546">
        <f>IF(OR($A1546="",PESQUISA!$C$4=""),0,IF(OR(ISNUMBER(SEARCH(PESQUISA!$C$4,$G1546)),ISNUMBER(SEARCH(PESQUISA!$C$4,$K1546)),ISNUMBER(SEARCH(PESQUISA!$C$4,$L1546))),1,0))</f>
        <v/>
      </c>
      <c r="AA1546">
        <f>IF($Z1546=1,SUM($Z$3:$Z1546),"")</f>
        <v/>
      </c>
      <c r="AB1546">
        <f>IF(OR($A1546="",PESQUISA!$C$50=""),0,IF(ISNUMBER(SEARCH(PESQUISA!$C$50,$I1546)),1,0))</f>
        <v/>
      </c>
      <c r="AC1546">
        <f>IF($AB1546=1,SUM($AB$3:$AB1546),"")</f>
        <v/>
      </c>
    </row>
    <row r="1547">
      <c r="A1547" s="20" t="n"/>
      <c r="B1547" s="20" t="n"/>
      <c r="C1547" s="20" t="n"/>
      <c r="D1547" s="20" t="n"/>
      <c r="E1547" s="20" t="n"/>
      <c r="F1547" s="20" t="n"/>
      <c r="G1547" s="20" t="n"/>
      <c r="H1547" s="20" t="n"/>
      <c r="I1547" s="20" t="n"/>
      <c r="J1547" s="20">
        <f>IFERROR(INDEX(CONFIGURACOES!$G$37:$G$300,MATCH($I1547,CONFIGURACOES!$B$37:$B$300,0)),"")</f>
        <v/>
      </c>
      <c r="K1547" s="20">
        <f>IFERROR(INDEX(CONFIGURACOES!$H$37:$H$300,MATCH($I1547,CONFIGURACOES!$B$37:$B$300,0)),"")</f>
        <v/>
      </c>
      <c r="L1547" s="20" t="n"/>
      <c r="M1547" s="20">
        <f>IFERROR(INDEX(CONFIGURACOES!$I$37:$I$300,MATCH($I1547,CONFIGURACOES!$B$37:$B$300,0)),"")</f>
        <v/>
      </c>
      <c r="N1547" s="21" t="n"/>
      <c r="O1547" s="21" t="n"/>
      <c r="P1547" s="21" t="n"/>
      <c r="Q1547" s="21" t="n"/>
      <c r="R1547" s="21">
        <f>IF($N1547="","",$N1547*IF($Q1547="",1,$Q1547)*IF($P1547="",1,$P1547)*IF($O1547="",1,$O1547))</f>
        <v/>
      </c>
      <c r="S1547" s="22">
        <f>IFERROR(INDEX(CONFIGURACOES!$J$37:$J$300,MATCH($I1547,CONFIGURACOES!$B$37:$B$300,0)),"")</f>
        <v/>
      </c>
      <c r="T1547" s="22">
        <f>IF(OR($R1547="",$S1547=""),"",$R1547*$S1547)</f>
        <v/>
      </c>
      <c r="U1547" s="20" t="n"/>
      <c r="V1547" s="20" t="n"/>
      <c r="W1547" s="20" t="n"/>
      <c r="X1547">
        <f>IF($A1547="","",$A1547&amp;"|"&amp;$C1547&amp;"|"&amp;$I1547)</f>
        <v/>
      </c>
      <c r="Y1547">
        <f>IF(AND($A1547=RELATORIO_MEDICAO!$C$5,$C1547=RELATORIO_MEDICAO!$F$5,$A1547&lt;&gt;""),COUNTIFS($A$3:$A1547,RELATORIO_MEDICAO!$C$5,$C$3:$C1547,RELATORIO_MEDICAO!$F$5),"")</f>
        <v/>
      </c>
      <c r="Z1547">
        <f>IF(OR($A1547="",PESQUISA!$C$4=""),0,IF(OR(ISNUMBER(SEARCH(PESQUISA!$C$4,$G1547)),ISNUMBER(SEARCH(PESQUISA!$C$4,$K1547)),ISNUMBER(SEARCH(PESQUISA!$C$4,$L1547))),1,0))</f>
        <v/>
      </c>
      <c r="AA1547">
        <f>IF($Z1547=1,SUM($Z$3:$Z1547),"")</f>
        <v/>
      </c>
      <c r="AB1547">
        <f>IF(OR($A1547="",PESQUISA!$C$50=""),0,IF(ISNUMBER(SEARCH(PESQUISA!$C$50,$I1547)),1,0))</f>
        <v/>
      </c>
      <c r="AC1547">
        <f>IF($AB1547=1,SUM($AB$3:$AB1547),"")</f>
        <v/>
      </c>
    </row>
    <row r="1548">
      <c r="A1548" s="20" t="n"/>
      <c r="B1548" s="20" t="n"/>
      <c r="C1548" s="20" t="n"/>
      <c r="D1548" s="20" t="n"/>
      <c r="E1548" s="20" t="n"/>
      <c r="F1548" s="20" t="n"/>
      <c r="G1548" s="20" t="n"/>
      <c r="H1548" s="20" t="n"/>
      <c r="I1548" s="20" t="n"/>
      <c r="J1548" s="20">
        <f>IFERROR(INDEX(CONFIGURACOES!$G$37:$G$300,MATCH($I1548,CONFIGURACOES!$B$37:$B$300,0)),"")</f>
        <v/>
      </c>
      <c r="K1548" s="20">
        <f>IFERROR(INDEX(CONFIGURACOES!$H$37:$H$300,MATCH($I1548,CONFIGURACOES!$B$37:$B$300,0)),"")</f>
        <v/>
      </c>
      <c r="L1548" s="20" t="n"/>
      <c r="M1548" s="20">
        <f>IFERROR(INDEX(CONFIGURACOES!$I$37:$I$300,MATCH($I1548,CONFIGURACOES!$B$37:$B$300,0)),"")</f>
        <v/>
      </c>
      <c r="N1548" s="21" t="n"/>
      <c r="O1548" s="21" t="n"/>
      <c r="P1548" s="21" t="n"/>
      <c r="Q1548" s="21" t="n"/>
      <c r="R1548" s="21">
        <f>IF($N1548="","",$N1548*IF($Q1548="",1,$Q1548)*IF($P1548="",1,$P1548)*IF($O1548="",1,$O1548))</f>
        <v/>
      </c>
      <c r="S1548" s="22">
        <f>IFERROR(INDEX(CONFIGURACOES!$J$37:$J$300,MATCH($I1548,CONFIGURACOES!$B$37:$B$300,0)),"")</f>
        <v/>
      </c>
      <c r="T1548" s="22">
        <f>IF(OR($R1548="",$S1548=""),"",$R1548*$S1548)</f>
        <v/>
      </c>
      <c r="U1548" s="20" t="n"/>
      <c r="V1548" s="20" t="n"/>
      <c r="W1548" s="20" t="n"/>
      <c r="X1548">
        <f>IF($A1548="","",$A1548&amp;"|"&amp;$C1548&amp;"|"&amp;$I1548)</f>
        <v/>
      </c>
      <c r="Y1548">
        <f>IF(AND($A1548=RELATORIO_MEDICAO!$C$5,$C1548=RELATORIO_MEDICAO!$F$5,$A1548&lt;&gt;""),COUNTIFS($A$3:$A1548,RELATORIO_MEDICAO!$C$5,$C$3:$C1548,RELATORIO_MEDICAO!$F$5),"")</f>
        <v/>
      </c>
      <c r="Z1548">
        <f>IF(OR($A1548="",PESQUISA!$C$4=""),0,IF(OR(ISNUMBER(SEARCH(PESQUISA!$C$4,$G1548)),ISNUMBER(SEARCH(PESQUISA!$C$4,$K1548)),ISNUMBER(SEARCH(PESQUISA!$C$4,$L1548))),1,0))</f>
        <v/>
      </c>
      <c r="AA1548">
        <f>IF($Z1548=1,SUM($Z$3:$Z1548),"")</f>
        <v/>
      </c>
      <c r="AB1548">
        <f>IF(OR($A1548="",PESQUISA!$C$50=""),0,IF(ISNUMBER(SEARCH(PESQUISA!$C$50,$I1548)),1,0))</f>
        <v/>
      </c>
      <c r="AC1548">
        <f>IF($AB1548=1,SUM($AB$3:$AB1548),"")</f>
        <v/>
      </c>
    </row>
    <row r="1549">
      <c r="A1549" s="20" t="n"/>
      <c r="B1549" s="20" t="n"/>
      <c r="C1549" s="20" t="n"/>
      <c r="D1549" s="20" t="n"/>
      <c r="E1549" s="20" t="n"/>
      <c r="F1549" s="20" t="n"/>
      <c r="G1549" s="20" t="n"/>
      <c r="H1549" s="20" t="n"/>
      <c r="I1549" s="20" t="n"/>
      <c r="J1549" s="20">
        <f>IFERROR(INDEX(CONFIGURACOES!$G$37:$G$300,MATCH($I1549,CONFIGURACOES!$B$37:$B$300,0)),"")</f>
        <v/>
      </c>
      <c r="K1549" s="20">
        <f>IFERROR(INDEX(CONFIGURACOES!$H$37:$H$300,MATCH($I1549,CONFIGURACOES!$B$37:$B$300,0)),"")</f>
        <v/>
      </c>
      <c r="L1549" s="20" t="n"/>
      <c r="M1549" s="20">
        <f>IFERROR(INDEX(CONFIGURACOES!$I$37:$I$300,MATCH($I1549,CONFIGURACOES!$B$37:$B$300,0)),"")</f>
        <v/>
      </c>
      <c r="N1549" s="21" t="n"/>
      <c r="O1549" s="21" t="n"/>
      <c r="P1549" s="21" t="n"/>
      <c r="Q1549" s="21" t="n"/>
      <c r="R1549" s="21">
        <f>IF($N1549="","",$N1549*IF($Q1549="",1,$Q1549)*IF($P1549="",1,$P1549)*IF($O1549="",1,$O1549))</f>
        <v/>
      </c>
      <c r="S1549" s="22">
        <f>IFERROR(INDEX(CONFIGURACOES!$J$37:$J$300,MATCH($I1549,CONFIGURACOES!$B$37:$B$300,0)),"")</f>
        <v/>
      </c>
      <c r="T1549" s="22">
        <f>IF(OR($R1549="",$S1549=""),"",$R1549*$S1549)</f>
        <v/>
      </c>
      <c r="U1549" s="20" t="n"/>
      <c r="V1549" s="20" t="n"/>
      <c r="W1549" s="20" t="n"/>
      <c r="X1549">
        <f>IF($A1549="","",$A1549&amp;"|"&amp;$C1549&amp;"|"&amp;$I1549)</f>
        <v/>
      </c>
      <c r="Y1549">
        <f>IF(AND($A1549=RELATORIO_MEDICAO!$C$5,$C1549=RELATORIO_MEDICAO!$F$5,$A1549&lt;&gt;""),COUNTIFS($A$3:$A1549,RELATORIO_MEDICAO!$C$5,$C$3:$C1549,RELATORIO_MEDICAO!$F$5),"")</f>
        <v/>
      </c>
      <c r="Z1549">
        <f>IF(OR($A1549="",PESQUISA!$C$4=""),0,IF(OR(ISNUMBER(SEARCH(PESQUISA!$C$4,$G1549)),ISNUMBER(SEARCH(PESQUISA!$C$4,$K1549)),ISNUMBER(SEARCH(PESQUISA!$C$4,$L1549))),1,0))</f>
        <v/>
      </c>
      <c r="AA1549">
        <f>IF($Z1549=1,SUM($Z$3:$Z1549),"")</f>
        <v/>
      </c>
      <c r="AB1549">
        <f>IF(OR($A1549="",PESQUISA!$C$50=""),0,IF(ISNUMBER(SEARCH(PESQUISA!$C$50,$I1549)),1,0))</f>
        <v/>
      </c>
      <c r="AC1549">
        <f>IF($AB1549=1,SUM($AB$3:$AB1549),"")</f>
        <v/>
      </c>
    </row>
    <row r="1550">
      <c r="A1550" s="20" t="n"/>
      <c r="B1550" s="20" t="n"/>
      <c r="C1550" s="20" t="n"/>
      <c r="D1550" s="20" t="n"/>
      <c r="E1550" s="20" t="n"/>
      <c r="F1550" s="20" t="n"/>
      <c r="G1550" s="20" t="n"/>
      <c r="H1550" s="20" t="n"/>
      <c r="I1550" s="20" t="n"/>
      <c r="J1550" s="20">
        <f>IFERROR(INDEX(CONFIGURACOES!$G$37:$G$300,MATCH($I1550,CONFIGURACOES!$B$37:$B$300,0)),"")</f>
        <v/>
      </c>
      <c r="K1550" s="20">
        <f>IFERROR(INDEX(CONFIGURACOES!$H$37:$H$300,MATCH($I1550,CONFIGURACOES!$B$37:$B$300,0)),"")</f>
        <v/>
      </c>
      <c r="L1550" s="20" t="n"/>
      <c r="M1550" s="20">
        <f>IFERROR(INDEX(CONFIGURACOES!$I$37:$I$300,MATCH($I1550,CONFIGURACOES!$B$37:$B$300,0)),"")</f>
        <v/>
      </c>
      <c r="N1550" s="21" t="n"/>
      <c r="O1550" s="21" t="n"/>
      <c r="P1550" s="21" t="n"/>
      <c r="Q1550" s="21" t="n"/>
      <c r="R1550" s="21">
        <f>IF($N1550="","",$N1550*IF($Q1550="",1,$Q1550)*IF($P1550="",1,$P1550)*IF($O1550="",1,$O1550))</f>
        <v/>
      </c>
      <c r="S1550" s="22">
        <f>IFERROR(INDEX(CONFIGURACOES!$J$37:$J$300,MATCH($I1550,CONFIGURACOES!$B$37:$B$300,0)),"")</f>
        <v/>
      </c>
      <c r="T1550" s="22">
        <f>IF(OR($R1550="",$S1550=""),"",$R1550*$S1550)</f>
        <v/>
      </c>
      <c r="U1550" s="20" t="n"/>
      <c r="V1550" s="20" t="n"/>
      <c r="W1550" s="20" t="n"/>
      <c r="X1550">
        <f>IF($A1550="","",$A1550&amp;"|"&amp;$C1550&amp;"|"&amp;$I1550)</f>
        <v/>
      </c>
      <c r="Y1550">
        <f>IF(AND($A1550=RELATORIO_MEDICAO!$C$5,$C1550=RELATORIO_MEDICAO!$F$5,$A1550&lt;&gt;""),COUNTIFS($A$3:$A1550,RELATORIO_MEDICAO!$C$5,$C$3:$C1550,RELATORIO_MEDICAO!$F$5),"")</f>
        <v/>
      </c>
      <c r="Z1550">
        <f>IF(OR($A1550="",PESQUISA!$C$4=""),0,IF(OR(ISNUMBER(SEARCH(PESQUISA!$C$4,$G1550)),ISNUMBER(SEARCH(PESQUISA!$C$4,$K1550)),ISNUMBER(SEARCH(PESQUISA!$C$4,$L1550))),1,0))</f>
        <v/>
      </c>
      <c r="AA1550">
        <f>IF($Z1550=1,SUM($Z$3:$Z1550),"")</f>
        <v/>
      </c>
      <c r="AB1550">
        <f>IF(OR($A1550="",PESQUISA!$C$50=""),0,IF(ISNUMBER(SEARCH(PESQUISA!$C$50,$I1550)),1,0))</f>
        <v/>
      </c>
      <c r="AC1550">
        <f>IF($AB1550=1,SUM($AB$3:$AB1550),"")</f>
        <v/>
      </c>
    </row>
    <row r="1551">
      <c r="A1551" s="20" t="n"/>
      <c r="B1551" s="20" t="n"/>
      <c r="C1551" s="20" t="n"/>
      <c r="D1551" s="20" t="n"/>
      <c r="E1551" s="20" t="n"/>
      <c r="F1551" s="20" t="n"/>
      <c r="G1551" s="20" t="n"/>
      <c r="H1551" s="20" t="n"/>
      <c r="I1551" s="20" t="n"/>
      <c r="J1551" s="20">
        <f>IFERROR(INDEX(CONFIGURACOES!$G$37:$G$300,MATCH($I1551,CONFIGURACOES!$B$37:$B$300,0)),"")</f>
        <v/>
      </c>
      <c r="K1551" s="20">
        <f>IFERROR(INDEX(CONFIGURACOES!$H$37:$H$300,MATCH($I1551,CONFIGURACOES!$B$37:$B$300,0)),"")</f>
        <v/>
      </c>
      <c r="L1551" s="20" t="n"/>
      <c r="M1551" s="20">
        <f>IFERROR(INDEX(CONFIGURACOES!$I$37:$I$300,MATCH($I1551,CONFIGURACOES!$B$37:$B$300,0)),"")</f>
        <v/>
      </c>
      <c r="N1551" s="21" t="n"/>
      <c r="O1551" s="21" t="n"/>
      <c r="P1551" s="21" t="n"/>
      <c r="Q1551" s="21" t="n"/>
      <c r="R1551" s="21">
        <f>IF($N1551="","",$N1551*IF($Q1551="",1,$Q1551)*IF($P1551="",1,$P1551)*IF($O1551="",1,$O1551))</f>
        <v/>
      </c>
      <c r="S1551" s="22">
        <f>IFERROR(INDEX(CONFIGURACOES!$J$37:$J$300,MATCH($I1551,CONFIGURACOES!$B$37:$B$300,0)),"")</f>
        <v/>
      </c>
      <c r="T1551" s="22">
        <f>IF(OR($R1551="",$S1551=""),"",$R1551*$S1551)</f>
        <v/>
      </c>
      <c r="U1551" s="20" t="n"/>
      <c r="V1551" s="20" t="n"/>
      <c r="W1551" s="20" t="n"/>
      <c r="X1551">
        <f>IF($A1551="","",$A1551&amp;"|"&amp;$C1551&amp;"|"&amp;$I1551)</f>
        <v/>
      </c>
      <c r="Y1551">
        <f>IF(AND($A1551=RELATORIO_MEDICAO!$C$5,$C1551=RELATORIO_MEDICAO!$F$5,$A1551&lt;&gt;""),COUNTIFS($A$3:$A1551,RELATORIO_MEDICAO!$C$5,$C$3:$C1551,RELATORIO_MEDICAO!$F$5),"")</f>
        <v/>
      </c>
      <c r="Z1551">
        <f>IF(OR($A1551="",PESQUISA!$C$4=""),0,IF(OR(ISNUMBER(SEARCH(PESQUISA!$C$4,$G1551)),ISNUMBER(SEARCH(PESQUISA!$C$4,$K1551)),ISNUMBER(SEARCH(PESQUISA!$C$4,$L1551))),1,0))</f>
        <v/>
      </c>
      <c r="AA1551">
        <f>IF($Z1551=1,SUM($Z$3:$Z1551),"")</f>
        <v/>
      </c>
      <c r="AB1551">
        <f>IF(OR($A1551="",PESQUISA!$C$50=""),0,IF(ISNUMBER(SEARCH(PESQUISA!$C$50,$I1551)),1,0))</f>
        <v/>
      </c>
      <c r="AC1551">
        <f>IF($AB1551=1,SUM($AB$3:$AB1551),"")</f>
        <v/>
      </c>
    </row>
    <row r="1552">
      <c r="A1552" s="20" t="n"/>
      <c r="B1552" s="20" t="n"/>
      <c r="C1552" s="20" t="n"/>
      <c r="D1552" s="20" t="n"/>
      <c r="E1552" s="20" t="n"/>
      <c r="F1552" s="20" t="n"/>
      <c r="G1552" s="20" t="n"/>
      <c r="H1552" s="20" t="n"/>
      <c r="I1552" s="20" t="n"/>
      <c r="J1552" s="20">
        <f>IFERROR(INDEX(CONFIGURACOES!$G$37:$G$300,MATCH($I1552,CONFIGURACOES!$B$37:$B$300,0)),"")</f>
        <v/>
      </c>
      <c r="K1552" s="20">
        <f>IFERROR(INDEX(CONFIGURACOES!$H$37:$H$300,MATCH($I1552,CONFIGURACOES!$B$37:$B$300,0)),"")</f>
        <v/>
      </c>
      <c r="L1552" s="20" t="n"/>
      <c r="M1552" s="20">
        <f>IFERROR(INDEX(CONFIGURACOES!$I$37:$I$300,MATCH($I1552,CONFIGURACOES!$B$37:$B$300,0)),"")</f>
        <v/>
      </c>
      <c r="N1552" s="21" t="n"/>
      <c r="O1552" s="21" t="n"/>
      <c r="P1552" s="21" t="n"/>
      <c r="Q1552" s="21" t="n"/>
      <c r="R1552" s="21">
        <f>IF($N1552="","",$N1552*IF($Q1552="",1,$Q1552)*IF($P1552="",1,$P1552)*IF($O1552="",1,$O1552))</f>
        <v/>
      </c>
      <c r="S1552" s="22">
        <f>IFERROR(INDEX(CONFIGURACOES!$J$37:$J$300,MATCH($I1552,CONFIGURACOES!$B$37:$B$300,0)),"")</f>
        <v/>
      </c>
      <c r="T1552" s="22">
        <f>IF(OR($R1552="",$S1552=""),"",$R1552*$S1552)</f>
        <v/>
      </c>
      <c r="U1552" s="20" t="n"/>
      <c r="V1552" s="20" t="n"/>
      <c r="W1552" s="20" t="n"/>
      <c r="X1552">
        <f>IF($A1552="","",$A1552&amp;"|"&amp;$C1552&amp;"|"&amp;$I1552)</f>
        <v/>
      </c>
      <c r="Y1552">
        <f>IF(AND($A1552=RELATORIO_MEDICAO!$C$5,$C1552=RELATORIO_MEDICAO!$F$5,$A1552&lt;&gt;""),COUNTIFS($A$3:$A1552,RELATORIO_MEDICAO!$C$5,$C$3:$C1552,RELATORIO_MEDICAO!$F$5),"")</f>
        <v/>
      </c>
      <c r="Z1552">
        <f>IF(OR($A1552="",PESQUISA!$C$4=""),0,IF(OR(ISNUMBER(SEARCH(PESQUISA!$C$4,$G1552)),ISNUMBER(SEARCH(PESQUISA!$C$4,$K1552)),ISNUMBER(SEARCH(PESQUISA!$C$4,$L1552))),1,0))</f>
        <v/>
      </c>
      <c r="AA1552">
        <f>IF($Z1552=1,SUM($Z$3:$Z1552),"")</f>
        <v/>
      </c>
      <c r="AB1552">
        <f>IF(OR($A1552="",PESQUISA!$C$50=""),0,IF(ISNUMBER(SEARCH(PESQUISA!$C$50,$I1552)),1,0))</f>
        <v/>
      </c>
      <c r="AC1552">
        <f>IF($AB1552=1,SUM($AB$3:$AB1552),"")</f>
        <v/>
      </c>
    </row>
    <row r="1553">
      <c r="A1553" s="20" t="n"/>
      <c r="B1553" s="20" t="n"/>
      <c r="C1553" s="20" t="n"/>
      <c r="D1553" s="20" t="n"/>
      <c r="E1553" s="20" t="n"/>
      <c r="F1553" s="20" t="n"/>
      <c r="G1553" s="20" t="n"/>
      <c r="H1553" s="20" t="n"/>
      <c r="I1553" s="20" t="n"/>
      <c r="J1553" s="20">
        <f>IFERROR(INDEX(CONFIGURACOES!$G$37:$G$300,MATCH($I1553,CONFIGURACOES!$B$37:$B$300,0)),"")</f>
        <v/>
      </c>
      <c r="K1553" s="20">
        <f>IFERROR(INDEX(CONFIGURACOES!$H$37:$H$300,MATCH($I1553,CONFIGURACOES!$B$37:$B$300,0)),"")</f>
        <v/>
      </c>
      <c r="L1553" s="20" t="n"/>
      <c r="M1553" s="20">
        <f>IFERROR(INDEX(CONFIGURACOES!$I$37:$I$300,MATCH($I1553,CONFIGURACOES!$B$37:$B$300,0)),"")</f>
        <v/>
      </c>
      <c r="N1553" s="21" t="n"/>
      <c r="O1553" s="21" t="n"/>
      <c r="P1553" s="21" t="n"/>
      <c r="Q1553" s="21" t="n"/>
      <c r="R1553" s="21">
        <f>IF($N1553="","",$N1553*IF($Q1553="",1,$Q1553)*IF($P1553="",1,$P1553)*IF($O1553="",1,$O1553))</f>
        <v/>
      </c>
      <c r="S1553" s="22">
        <f>IFERROR(INDEX(CONFIGURACOES!$J$37:$J$300,MATCH($I1553,CONFIGURACOES!$B$37:$B$300,0)),"")</f>
        <v/>
      </c>
      <c r="T1553" s="22">
        <f>IF(OR($R1553="",$S1553=""),"",$R1553*$S1553)</f>
        <v/>
      </c>
      <c r="U1553" s="20" t="n"/>
      <c r="V1553" s="20" t="n"/>
      <c r="W1553" s="20" t="n"/>
      <c r="X1553">
        <f>IF($A1553="","",$A1553&amp;"|"&amp;$C1553&amp;"|"&amp;$I1553)</f>
        <v/>
      </c>
      <c r="Y1553">
        <f>IF(AND($A1553=RELATORIO_MEDICAO!$C$5,$C1553=RELATORIO_MEDICAO!$F$5,$A1553&lt;&gt;""),COUNTIFS($A$3:$A1553,RELATORIO_MEDICAO!$C$5,$C$3:$C1553,RELATORIO_MEDICAO!$F$5),"")</f>
        <v/>
      </c>
      <c r="Z1553">
        <f>IF(OR($A1553="",PESQUISA!$C$4=""),0,IF(OR(ISNUMBER(SEARCH(PESQUISA!$C$4,$G1553)),ISNUMBER(SEARCH(PESQUISA!$C$4,$K1553)),ISNUMBER(SEARCH(PESQUISA!$C$4,$L1553))),1,0))</f>
        <v/>
      </c>
      <c r="AA1553">
        <f>IF($Z1553=1,SUM($Z$3:$Z1553),"")</f>
        <v/>
      </c>
      <c r="AB1553">
        <f>IF(OR($A1553="",PESQUISA!$C$50=""),0,IF(ISNUMBER(SEARCH(PESQUISA!$C$50,$I1553)),1,0))</f>
        <v/>
      </c>
      <c r="AC1553">
        <f>IF($AB1553=1,SUM($AB$3:$AB1553),"")</f>
        <v/>
      </c>
    </row>
    <row r="1554">
      <c r="A1554" s="20" t="n"/>
      <c r="B1554" s="20" t="n"/>
      <c r="C1554" s="20" t="n"/>
      <c r="D1554" s="20" t="n"/>
      <c r="E1554" s="20" t="n"/>
      <c r="F1554" s="20" t="n"/>
      <c r="G1554" s="20" t="n"/>
      <c r="H1554" s="20" t="n"/>
      <c r="I1554" s="20" t="n"/>
      <c r="J1554" s="20">
        <f>IFERROR(INDEX(CONFIGURACOES!$G$37:$G$300,MATCH($I1554,CONFIGURACOES!$B$37:$B$300,0)),"")</f>
        <v/>
      </c>
      <c r="K1554" s="20">
        <f>IFERROR(INDEX(CONFIGURACOES!$H$37:$H$300,MATCH($I1554,CONFIGURACOES!$B$37:$B$300,0)),"")</f>
        <v/>
      </c>
      <c r="L1554" s="20" t="n"/>
      <c r="M1554" s="20">
        <f>IFERROR(INDEX(CONFIGURACOES!$I$37:$I$300,MATCH($I1554,CONFIGURACOES!$B$37:$B$300,0)),"")</f>
        <v/>
      </c>
      <c r="N1554" s="21" t="n"/>
      <c r="O1554" s="21" t="n"/>
      <c r="P1554" s="21" t="n"/>
      <c r="Q1554" s="21" t="n"/>
      <c r="R1554" s="21">
        <f>IF($N1554="","",$N1554*IF($Q1554="",1,$Q1554)*IF($P1554="",1,$P1554)*IF($O1554="",1,$O1554))</f>
        <v/>
      </c>
      <c r="S1554" s="22">
        <f>IFERROR(INDEX(CONFIGURACOES!$J$37:$J$300,MATCH($I1554,CONFIGURACOES!$B$37:$B$300,0)),"")</f>
        <v/>
      </c>
      <c r="T1554" s="22">
        <f>IF(OR($R1554="",$S1554=""),"",$R1554*$S1554)</f>
        <v/>
      </c>
      <c r="U1554" s="20" t="n"/>
      <c r="V1554" s="20" t="n"/>
      <c r="W1554" s="20" t="n"/>
      <c r="X1554">
        <f>IF($A1554="","",$A1554&amp;"|"&amp;$C1554&amp;"|"&amp;$I1554)</f>
        <v/>
      </c>
      <c r="Y1554">
        <f>IF(AND($A1554=RELATORIO_MEDICAO!$C$5,$C1554=RELATORIO_MEDICAO!$F$5,$A1554&lt;&gt;""),COUNTIFS($A$3:$A1554,RELATORIO_MEDICAO!$C$5,$C$3:$C1554,RELATORIO_MEDICAO!$F$5),"")</f>
        <v/>
      </c>
      <c r="Z1554">
        <f>IF(OR($A1554="",PESQUISA!$C$4=""),0,IF(OR(ISNUMBER(SEARCH(PESQUISA!$C$4,$G1554)),ISNUMBER(SEARCH(PESQUISA!$C$4,$K1554)),ISNUMBER(SEARCH(PESQUISA!$C$4,$L1554))),1,0))</f>
        <v/>
      </c>
      <c r="AA1554">
        <f>IF($Z1554=1,SUM($Z$3:$Z1554),"")</f>
        <v/>
      </c>
      <c r="AB1554">
        <f>IF(OR($A1554="",PESQUISA!$C$50=""),0,IF(ISNUMBER(SEARCH(PESQUISA!$C$50,$I1554)),1,0))</f>
        <v/>
      </c>
      <c r="AC1554">
        <f>IF($AB1554=1,SUM($AB$3:$AB1554),"")</f>
        <v/>
      </c>
    </row>
    <row r="1555">
      <c r="A1555" s="20" t="n"/>
      <c r="B1555" s="20" t="n"/>
      <c r="C1555" s="20" t="n"/>
      <c r="D1555" s="20" t="n"/>
      <c r="E1555" s="20" t="n"/>
      <c r="F1555" s="20" t="n"/>
      <c r="G1555" s="20" t="n"/>
      <c r="H1555" s="20" t="n"/>
      <c r="I1555" s="20" t="n"/>
      <c r="J1555" s="20">
        <f>IFERROR(INDEX(CONFIGURACOES!$G$37:$G$300,MATCH($I1555,CONFIGURACOES!$B$37:$B$300,0)),"")</f>
        <v/>
      </c>
      <c r="K1555" s="20">
        <f>IFERROR(INDEX(CONFIGURACOES!$H$37:$H$300,MATCH($I1555,CONFIGURACOES!$B$37:$B$300,0)),"")</f>
        <v/>
      </c>
      <c r="L1555" s="20" t="n"/>
      <c r="M1555" s="20">
        <f>IFERROR(INDEX(CONFIGURACOES!$I$37:$I$300,MATCH($I1555,CONFIGURACOES!$B$37:$B$300,0)),"")</f>
        <v/>
      </c>
      <c r="N1555" s="21" t="n"/>
      <c r="O1555" s="21" t="n"/>
      <c r="P1555" s="21" t="n"/>
      <c r="Q1555" s="21" t="n"/>
      <c r="R1555" s="21">
        <f>IF($N1555="","",$N1555*IF($Q1555="",1,$Q1555)*IF($P1555="",1,$P1555)*IF($O1555="",1,$O1555))</f>
        <v/>
      </c>
      <c r="S1555" s="22">
        <f>IFERROR(INDEX(CONFIGURACOES!$J$37:$J$300,MATCH($I1555,CONFIGURACOES!$B$37:$B$300,0)),"")</f>
        <v/>
      </c>
      <c r="T1555" s="22">
        <f>IF(OR($R1555="",$S1555=""),"",$R1555*$S1555)</f>
        <v/>
      </c>
      <c r="U1555" s="20" t="n"/>
      <c r="V1555" s="20" t="n"/>
      <c r="W1555" s="20" t="n"/>
      <c r="X1555">
        <f>IF($A1555="","",$A1555&amp;"|"&amp;$C1555&amp;"|"&amp;$I1555)</f>
        <v/>
      </c>
      <c r="Y1555">
        <f>IF(AND($A1555=RELATORIO_MEDICAO!$C$5,$C1555=RELATORIO_MEDICAO!$F$5,$A1555&lt;&gt;""),COUNTIFS($A$3:$A1555,RELATORIO_MEDICAO!$C$5,$C$3:$C1555,RELATORIO_MEDICAO!$F$5),"")</f>
        <v/>
      </c>
      <c r="Z1555">
        <f>IF(OR($A1555="",PESQUISA!$C$4=""),0,IF(OR(ISNUMBER(SEARCH(PESQUISA!$C$4,$G1555)),ISNUMBER(SEARCH(PESQUISA!$C$4,$K1555)),ISNUMBER(SEARCH(PESQUISA!$C$4,$L1555))),1,0))</f>
        <v/>
      </c>
      <c r="AA1555">
        <f>IF($Z1555=1,SUM($Z$3:$Z1555),"")</f>
        <v/>
      </c>
      <c r="AB1555">
        <f>IF(OR($A1555="",PESQUISA!$C$50=""),0,IF(ISNUMBER(SEARCH(PESQUISA!$C$50,$I1555)),1,0))</f>
        <v/>
      </c>
      <c r="AC1555">
        <f>IF($AB1555=1,SUM($AB$3:$AB1555),"")</f>
        <v/>
      </c>
    </row>
    <row r="1556">
      <c r="A1556" s="20" t="n"/>
      <c r="B1556" s="20" t="n"/>
      <c r="C1556" s="20" t="n"/>
      <c r="D1556" s="20" t="n"/>
      <c r="E1556" s="20" t="n"/>
      <c r="F1556" s="20" t="n"/>
      <c r="G1556" s="20" t="n"/>
      <c r="H1556" s="20" t="n"/>
      <c r="I1556" s="20" t="n"/>
      <c r="J1556" s="20">
        <f>IFERROR(INDEX(CONFIGURACOES!$G$37:$G$300,MATCH($I1556,CONFIGURACOES!$B$37:$B$300,0)),"")</f>
        <v/>
      </c>
      <c r="K1556" s="20">
        <f>IFERROR(INDEX(CONFIGURACOES!$H$37:$H$300,MATCH($I1556,CONFIGURACOES!$B$37:$B$300,0)),"")</f>
        <v/>
      </c>
      <c r="L1556" s="20" t="n"/>
      <c r="M1556" s="20">
        <f>IFERROR(INDEX(CONFIGURACOES!$I$37:$I$300,MATCH($I1556,CONFIGURACOES!$B$37:$B$300,0)),"")</f>
        <v/>
      </c>
      <c r="N1556" s="21" t="n"/>
      <c r="O1556" s="21" t="n"/>
      <c r="P1556" s="21" t="n"/>
      <c r="Q1556" s="21" t="n"/>
      <c r="R1556" s="21">
        <f>IF($N1556="","",$N1556*IF($Q1556="",1,$Q1556)*IF($P1556="",1,$P1556)*IF($O1556="",1,$O1556))</f>
        <v/>
      </c>
      <c r="S1556" s="22">
        <f>IFERROR(INDEX(CONFIGURACOES!$J$37:$J$300,MATCH($I1556,CONFIGURACOES!$B$37:$B$300,0)),"")</f>
        <v/>
      </c>
      <c r="T1556" s="22">
        <f>IF(OR($R1556="",$S1556=""),"",$R1556*$S1556)</f>
        <v/>
      </c>
      <c r="U1556" s="20" t="n"/>
      <c r="V1556" s="20" t="n"/>
      <c r="W1556" s="20" t="n"/>
      <c r="X1556">
        <f>IF($A1556="","",$A1556&amp;"|"&amp;$C1556&amp;"|"&amp;$I1556)</f>
        <v/>
      </c>
      <c r="Y1556">
        <f>IF(AND($A1556=RELATORIO_MEDICAO!$C$5,$C1556=RELATORIO_MEDICAO!$F$5,$A1556&lt;&gt;""),COUNTIFS($A$3:$A1556,RELATORIO_MEDICAO!$C$5,$C$3:$C1556,RELATORIO_MEDICAO!$F$5),"")</f>
        <v/>
      </c>
      <c r="Z1556">
        <f>IF(OR($A1556="",PESQUISA!$C$4=""),0,IF(OR(ISNUMBER(SEARCH(PESQUISA!$C$4,$G1556)),ISNUMBER(SEARCH(PESQUISA!$C$4,$K1556)),ISNUMBER(SEARCH(PESQUISA!$C$4,$L1556))),1,0))</f>
        <v/>
      </c>
      <c r="AA1556">
        <f>IF($Z1556=1,SUM($Z$3:$Z1556),"")</f>
        <v/>
      </c>
      <c r="AB1556">
        <f>IF(OR($A1556="",PESQUISA!$C$50=""),0,IF(ISNUMBER(SEARCH(PESQUISA!$C$50,$I1556)),1,0))</f>
        <v/>
      </c>
      <c r="AC1556">
        <f>IF($AB1556=1,SUM($AB$3:$AB1556),"")</f>
        <v/>
      </c>
    </row>
    <row r="1557">
      <c r="A1557" s="20" t="n"/>
      <c r="B1557" s="20" t="n"/>
      <c r="C1557" s="20" t="n"/>
      <c r="D1557" s="20" t="n"/>
      <c r="E1557" s="20" t="n"/>
      <c r="F1557" s="20" t="n"/>
      <c r="G1557" s="20" t="n"/>
      <c r="H1557" s="20" t="n"/>
      <c r="I1557" s="20" t="n"/>
      <c r="J1557" s="20">
        <f>IFERROR(INDEX(CONFIGURACOES!$G$37:$G$300,MATCH($I1557,CONFIGURACOES!$B$37:$B$300,0)),"")</f>
        <v/>
      </c>
      <c r="K1557" s="20">
        <f>IFERROR(INDEX(CONFIGURACOES!$H$37:$H$300,MATCH($I1557,CONFIGURACOES!$B$37:$B$300,0)),"")</f>
        <v/>
      </c>
      <c r="L1557" s="20" t="n"/>
      <c r="M1557" s="20">
        <f>IFERROR(INDEX(CONFIGURACOES!$I$37:$I$300,MATCH($I1557,CONFIGURACOES!$B$37:$B$300,0)),"")</f>
        <v/>
      </c>
      <c r="N1557" s="21" t="n"/>
      <c r="O1557" s="21" t="n"/>
      <c r="P1557" s="21" t="n"/>
      <c r="Q1557" s="21" t="n"/>
      <c r="R1557" s="21">
        <f>IF($N1557="","",$N1557*IF($Q1557="",1,$Q1557)*IF($P1557="",1,$P1557)*IF($O1557="",1,$O1557))</f>
        <v/>
      </c>
      <c r="S1557" s="22">
        <f>IFERROR(INDEX(CONFIGURACOES!$J$37:$J$300,MATCH($I1557,CONFIGURACOES!$B$37:$B$300,0)),"")</f>
        <v/>
      </c>
      <c r="T1557" s="22">
        <f>IF(OR($R1557="",$S1557=""),"",$R1557*$S1557)</f>
        <v/>
      </c>
      <c r="U1557" s="20" t="n"/>
      <c r="V1557" s="20" t="n"/>
      <c r="W1557" s="20" t="n"/>
      <c r="X1557">
        <f>IF($A1557="","",$A1557&amp;"|"&amp;$C1557&amp;"|"&amp;$I1557)</f>
        <v/>
      </c>
      <c r="Y1557">
        <f>IF(AND($A1557=RELATORIO_MEDICAO!$C$5,$C1557=RELATORIO_MEDICAO!$F$5,$A1557&lt;&gt;""),COUNTIFS($A$3:$A1557,RELATORIO_MEDICAO!$C$5,$C$3:$C1557,RELATORIO_MEDICAO!$F$5),"")</f>
        <v/>
      </c>
      <c r="Z1557">
        <f>IF(OR($A1557="",PESQUISA!$C$4=""),0,IF(OR(ISNUMBER(SEARCH(PESQUISA!$C$4,$G1557)),ISNUMBER(SEARCH(PESQUISA!$C$4,$K1557)),ISNUMBER(SEARCH(PESQUISA!$C$4,$L1557))),1,0))</f>
        <v/>
      </c>
      <c r="AA1557">
        <f>IF($Z1557=1,SUM($Z$3:$Z1557),"")</f>
        <v/>
      </c>
      <c r="AB1557">
        <f>IF(OR($A1557="",PESQUISA!$C$50=""),0,IF(ISNUMBER(SEARCH(PESQUISA!$C$50,$I1557)),1,0))</f>
        <v/>
      </c>
      <c r="AC1557">
        <f>IF($AB1557=1,SUM($AB$3:$AB1557),"")</f>
        <v/>
      </c>
    </row>
    <row r="1558">
      <c r="A1558" s="20" t="n"/>
      <c r="B1558" s="20" t="n"/>
      <c r="C1558" s="20" t="n"/>
      <c r="D1558" s="20" t="n"/>
      <c r="E1558" s="20" t="n"/>
      <c r="F1558" s="20" t="n"/>
      <c r="G1558" s="20" t="n"/>
      <c r="H1558" s="20" t="n"/>
      <c r="I1558" s="20" t="n"/>
      <c r="J1558" s="20">
        <f>IFERROR(INDEX(CONFIGURACOES!$G$37:$G$300,MATCH($I1558,CONFIGURACOES!$B$37:$B$300,0)),"")</f>
        <v/>
      </c>
      <c r="K1558" s="20">
        <f>IFERROR(INDEX(CONFIGURACOES!$H$37:$H$300,MATCH($I1558,CONFIGURACOES!$B$37:$B$300,0)),"")</f>
        <v/>
      </c>
      <c r="L1558" s="20" t="n"/>
      <c r="M1558" s="20">
        <f>IFERROR(INDEX(CONFIGURACOES!$I$37:$I$300,MATCH($I1558,CONFIGURACOES!$B$37:$B$300,0)),"")</f>
        <v/>
      </c>
      <c r="N1558" s="21" t="n"/>
      <c r="O1558" s="21" t="n"/>
      <c r="P1558" s="21" t="n"/>
      <c r="Q1558" s="21" t="n"/>
      <c r="R1558" s="21">
        <f>IF($N1558="","",$N1558*IF($Q1558="",1,$Q1558)*IF($P1558="",1,$P1558)*IF($O1558="",1,$O1558))</f>
        <v/>
      </c>
      <c r="S1558" s="22">
        <f>IFERROR(INDEX(CONFIGURACOES!$J$37:$J$300,MATCH($I1558,CONFIGURACOES!$B$37:$B$300,0)),"")</f>
        <v/>
      </c>
      <c r="T1558" s="22">
        <f>IF(OR($R1558="",$S1558=""),"",$R1558*$S1558)</f>
        <v/>
      </c>
      <c r="U1558" s="20" t="n"/>
      <c r="V1558" s="20" t="n"/>
      <c r="W1558" s="20" t="n"/>
      <c r="X1558">
        <f>IF($A1558="","",$A1558&amp;"|"&amp;$C1558&amp;"|"&amp;$I1558)</f>
        <v/>
      </c>
      <c r="Y1558">
        <f>IF(AND($A1558=RELATORIO_MEDICAO!$C$5,$C1558=RELATORIO_MEDICAO!$F$5,$A1558&lt;&gt;""),COUNTIFS($A$3:$A1558,RELATORIO_MEDICAO!$C$5,$C$3:$C1558,RELATORIO_MEDICAO!$F$5),"")</f>
        <v/>
      </c>
      <c r="Z1558">
        <f>IF(OR($A1558="",PESQUISA!$C$4=""),0,IF(OR(ISNUMBER(SEARCH(PESQUISA!$C$4,$G1558)),ISNUMBER(SEARCH(PESQUISA!$C$4,$K1558)),ISNUMBER(SEARCH(PESQUISA!$C$4,$L1558))),1,0))</f>
        <v/>
      </c>
      <c r="AA1558">
        <f>IF($Z1558=1,SUM($Z$3:$Z1558),"")</f>
        <v/>
      </c>
      <c r="AB1558">
        <f>IF(OR($A1558="",PESQUISA!$C$50=""),0,IF(ISNUMBER(SEARCH(PESQUISA!$C$50,$I1558)),1,0))</f>
        <v/>
      </c>
      <c r="AC1558">
        <f>IF($AB1558=1,SUM($AB$3:$AB1558),"")</f>
        <v/>
      </c>
    </row>
    <row r="1559">
      <c r="A1559" s="20" t="n"/>
      <c r="B1559" s="20" t="n"/>
      <c r="C1559" s="20" t="n"/>
      <c r="D1559" s="20" t="n"/>
      <c r="E1559" s="20" t="n"/>
      <c r="F1559" s="20" t="n"/>
      <c r="G1559" s="20" t="n"/>
      <c r="H1559" s="20" t="n"/>
      <c r="I1559" s="20" t="n"/>
      <c r="J1559" s="20">
        <f>IFERROR(INDEX(CONFIGURACOES!$G$37:$G$300,MATCH($I1559,CONFIGURACOES!$B$37:$B$300,0)),"")</f>
        <v/>
      </c>
      <c r="K1559" s="20">
        <f>IFERROR(INDEX(CONFIGURACOES!$H$37:$H$300,MATCH($I1559,CONFIGURACOES!$B$37:$B$300,0)),"")</f>
        <v/>
      </c>
      <c r="L1559" s="20" t="n"/>
      <c r="M1559" s="20">
        <f>IFERROR(INDEX(CONFIGURACOES!$I$37:$I$300,MATCH($I1559,CONFIGURACOES!$B$37:$B$300,0)),"")</f>
        <v/>
      </c>
      <c r="N1559" s="21" t="n"/>
      <c r="O1559" s="21" t="n"/>
      <c r="P1559" s="21" t="n"/>
      <c r="Q1559" s="21" t="n"/>
      <c r="R1559" s="21">
        <f>IF($N1559="","",$N1559*IF($Q1559="",1,$Q1559)*IF($P1559="",1,$P1559)*IF($O1559="",1,$O1559))</f>
        <v/>
      </c>
      <c r="S1559" s="22">
        <f>IFERROR(INDEX(CONFIGURACOES!$J$37:$J$300,MATCH($I1559,CONFIGURACOES!$B$37:$B$300,0)),"")</f>
        <v/>
      </c>
      <c r="T1559" s="22">
        <f>IF(OR($R1559="",$S1559=""),"",$R1559*$S1559)</f>
        <v/>
      </c>
      <c r="U1559" s="20" t="n"/>
      <c r="V1559" s="20" t="n"/>
      <c r="W1559" s="20" t="n"/>
      <c r="X1559">
        <f>IF($A1559="","",$A1559&amp;"|"&amp;$C1559&amp;"|"&amp;$I1559)</f>
        <v/>
      </c>
      <c r="Y1559">
        <f>IF(AND($A1559=RELATORIO_MEDICAO!$C$5,$C1559=RELATORIO_MEDICAO!$F$5,$A1559&lt;&gt;""),COUNTIFS($A$3:$A1559,RELATORIO_MEDICAO!$C$5,$C$3:$C1559,RELATORIO_MEDICAO!$F$5),"")</f>
        <v/>
      </c>
      <c r="Z1559">
        <f>IF(OR($A1559="",PESQUISA!$C$4=""),0,IF(OR(ISNUMBER(SEARCH(PESQUISA!$C$4,$G1559)),ISNUMBER(SEARCH(PESQUISA!$C$4,$K1559)),ISNUMBER(SEARCH(PESQUISA!$C$4,$L1559))),1,0))</f>
        <v/>
      </c>
      <c r="AA1559">
        <f>IF($Z1559=1,SUM($Z$3:$Z1559),"")</f>
        <v/>
      </c>
      <c r="AB1559">
        <f>IF(OR($A1559="",PESQUISA!$C$50=""),0,IF(ISNUMBER(SEARCH(PESQUISA!$C$50,$I1559)),1,0))</f>
        <v/>
      </c>
      <c r="AC1559">
        <f>IF($AB1559=1,SUM($AB$3:$AB1559),"")</f>
        <v/>
      </c>
    </row>
    <row r="1560">
      <c r="A1560" s="20" t="n"/>
      <c r="B1560" s="20" t="n"/>
      <c r="C1560" s="20" t="n"/>
      <c r="D1560" s="20" t="n"/>
      <c r="E1560" s="20" t="n"/>
      <c r="F1560" s="20" t="n"/>
      <c r="G1560" s="20" t="n"/>
      <c r="H1560" s="20" t="n"/>
      <c r="I1560" s="20" t="n"/>
      <c r="J1560" s="20">
        <f>IFERROR(INDEX(CONFIGURACOES!$G$37:$G$300,MATCH($I1560,CONFIGURACOES!$B$37:$B$300,0)),"")</f>
        <v/>
      </c>
      <c r="K1560" s="20">
        <f>IFERROR(INDEX(CONFIGURACOES!$H$37:$H$300,MATCH($I1560,CONFIGURACOES!$B$37:$B$300,0)),"")</f>
        <v/>
      </c>
      <c r="L1560" s="20" t="n"/>
      <c r="M1560" s="20">
        <f>IFERROR(INDEX(CONFIGURACOES!$I$37:$I$300,MATCH($I1560,CONFIGURACOES!$B$37:$B$300,0)),"")</f>
        <v/>
      </c>
      <c r="N1560" s="21" t="n"/>
      <c r="O1560" s="21" t="n"/>
      <c r="P1560" s="21" t="n"/>
      <c r="Q1560" s="21" t="n"/>
      <c r="R1560" s="21">
        <f>IF($N1560="","",$N1560*IF($Q1560="",1,$Q1560)*IF($P1560="",1,$P1560)*IF($O1560="",1,$O1560))</f>
        <v/>
      </c>
      <c r="S1560" s="22">
        <f>IFERROR(INDEX(CONFIGURACOES!$J$37:$J$300,MATCH($I1560,CONFIGURACOES!$B$37:$B$300,0)),"")</f>
        <v/>
      </c>
      <c r="T1560" s="22">
        <f>IF(OR($R1560="",$S1560=""),"",$R1560*$S1560)</f>
        <v/>
      </c>
      <c r="U1560" s="20" t="n"/>
      <c r="V1560" s="20" t="n"/>
      <c r="W1560" s="20" t="n"/>
      <c r="X1560">
        <f>IF($A1560="","",$A1560&amp;"|"&amp;$C1560&amp;"|"&amp;$I1560)</f>
        <v/>
      </c>
      <c r="Y1560">
        <f>IF(AND($A1560=RELATORIO_MEDICAO!$C$5,$C1560=RELATORIO_MEDICAO!$F$5,$A1560&lt;&gt;""),COUNTIFS($A$3:$A1560,RELATORIO_MEDICAO!$C$5,$C$3:$C1560,RELATORIO_MEDICAO!$F$5),"")</f>
        <v/>
      </c>
      <c r="Z1560">
        <f>IF(OR($A1560="",PESQUISA!$C$4=""),0,IF(OR(ISNUMBER(SEARCH(PESQUISA!$C$4,$G1560)),ISNUMBER(SEARCH(PESQUISA!$C$4,$K1560)),ISNUMBER(SEARCH(PESQUISA!$C$4,$L1560))),1,0))</f>
        <v/>
      </c>
      <c r="AA1560">
        <f>IF($Z1560=1,SUM($Z$3:$Z1560),"")</f>
        <v/>
      </c>
      <c r="AB1560">
        <f>IF(OR($A1560="",PESQUISA!$C$50=""),0,IF(ISNUMBER(SEARCH(PESQUISA!$C$50,$I1560)),1,0))</f>
        <v/>
      </c>
      <c r="AC1560">
        <f>IF($AB1560=1,SUM($AB$3:$AB1560),"")</f>
        <v/>
      </c>
    </row>
    <row r="1561">
      <c r="A1561" s="20" t="n"/>
      <c r="B1561" s="20" t="n"/>
      <c r="C1561" s="20" t="n"/>
      <c r="D1561" s="20" t="n"/>
      <c r="E1561" s="20" t="n"/>
      <c r="F1561" s="20" t="n"/>
      <c r="G1561" s="20" t="n"/>
      <c r="H1561" s="20" t="n"/>
      <c r="I1561" s="20" t="n"/>
      <c r="J1561" s="20">
        <f>IFERROR(INDEX(CONFIGURACOES!$G$37:$G$300,MATCH($I1561,CONFIGURACOES!$B$37:$B$300,0)),"")</f>
        <v/>
      </c>
      <c r="K1561" s="20">
        <f>IFERROR(INDEX(CONFIGURACOES!$H$37:$H$300,MATCH($I1561,CONFIGURACOES!$B$37:$B$300,0)),"")</f>
        <v/>
      </c>
      <c r="L1561" s="20" t="n"/>
      <c r="M1561" s="20">
        <f>IFERROR(INDEX(CONFIGURACOES!$I$37:$I$300,MATCH($I1561,CONFIGURACOES!$B$37:$B$300,0)),"")</f>
        <v/>
      </c>
      <c r="N1561" s="21" t="n"/>
      <c r="O1561" s="21" t="n"/>
      <c r="P1561" s="21" t="n"/>
      <c r="Q1561" s="21" t="n"/>
      <c r="R1561" s="21">
        <f>IF($N1561="","",$N1561*IF($Q1561="",1,$Q1561)*IF($P1561="",1,$P1561)*IF($O1561="",1,$O1561))</f>
        <v/>
      </c>
      <c r="S1561" s="22">
        <f>IFERROR(INDEX(CONFIGURACOES!$J$37:$J$300,MATCH($I1561,CONFIGURACOES!$B$37:$B$300,0)),"")</f>
        <v/>
      </c>
      <c r="T1561" s="22">
        <f>IF(OR($R1561="",$S1561=""),"",$R1561*$S1561)</f>
        <v/>
      </c>
      <c r="U1561" s="20" t="n"/>
      <c r="V1561" s="20" t="n"/>
      <c r="W1561" s="20" t="n"/>
      <c r="X1561">
        <f>IF($A1561="","",$A1561&amp;"|"&amp;$C1561&amp;"|"&amp;$I1561)</f>
        <v/>
      </c>
      <c r="Y1561">
        <f>IF(AND($A1561=RELATORIO_MEDICAO!$C$5,$C1561=RELATORIO_MEDICAO!$F$5,$A1561&lt;&gt;""),COUNTIFS($A$3:$A1561,RELATORIO_MEDICAO!$C$5,$C$3:$C1561,RELATORIO_MEDICAO!$F$5),"")</f>
        <v/>
      </c>
      <c r="Z1561">
        <f>IF(OR($A1561="",PESQUISA!$C$4=""),0,IF(OR(ISNUMBER(SEARCH(PESQUISA!$C$4,$G1561)),ISNUMBER(SEARCH(PESQUISA!$C$4,$K1561)),ISNUMBER(SEARCH(PESQUISA!$C$4,$L1561))),1,0))</f>
        <v/>
      </c>
      <c r="AA1561">
        <f>IF($Z1561=1,SUM($Z$3:$Z1561),"")</f>
        <v/>
      </c>
      <c r="AB1561">
        <f>IF(OR($A1561="",PESQUISA!$C$50=""),0,IF(ISNUMBER(SEARCH(PESQUISA!$C$50,$I1561)),1,0))</f>
        <v/>
      </c>
      <c r="AC1561">
        <f>IF($AB1561=1,SUM($AB$3:$AB1561),"")</f>
        <v/>
      </c>
    </row>
    <row r="1562">
      <c r="A1562" s="20" t="n"/>
      <c r="B1562" s="20" t="n"/>
      <c r="C1562" s="20" t="n"/>
      <c r="D1562" s="20" t="n"/>
      <c r="E1562" s="20" t="n"/>
      <c r="F1562" s="20" t="n"/>
      <c r="G1562" s="20" t="n"/>
      <c r="H1562" s="20" t="n"/>
      <c r="I1562" s="20" t="n"/>
      <c r="J1562" s="20">
        <f>IFERROR(INDEX(CONFIGURACOES!$G$37:$G$300,MATCH($I1562,CONFIGURACOES!$B$37:$B$300,0)),"")</f>
        <v/>
      </c>
      <c r="K1562" s="20">
        <f>IFERROR(INDEX(CONFIGURACOES!$H$37:$H$300,MATCH($I1562,CONFIGURACOES!$B$37:$B$300,0)),"")</f>
        <v/>
      </c>
      <c r="L1562" s="20" t="n"/>
      <c r="M1562" s="20">
        <f>IFERROR(INDEX(CONFIGURACOES!$I$37:$I$300,MATCH($I1562,CONFIGURACOES!$B$37:$B$300,0)),"")</f>
        <v/>
      </c>
      <c r="N1562" s="21" t="n"/>
      <c r="O1562" s="21" t="n"/>
      <c r="P1562" s="21" t="n"/>
      <c r="Q1562" s="21" t="n"/>
      <c r="R1562" s="21">
        <f>IF($N1562="","",$N1562*IF($Q1562="",1,$Q1562)*IF($P1562="",1,$P1562)*IF($O1562="",1,$O1562))</f>
        <v/>
      </c>
      <c r="S1562" s="22">
        <f>IFERROR(INDEX(CONFIGURACOES!$J$37:$J$300,MATCH($I1562,CONFIGURACOES!$B$37:$B$300,0)),"")</f>
        <v/>
      </c>
      <c r="T1562" s="22">
        <f>IF(OR($R1562="",$S1562=""),"",$R1562*$S1562)</f>
        <v/>
      </c>
      <c r="U1562" s="20" t="n"/>
      <c r="V1562" s="20" t="n"/>
      <c r="W1562" s="20" t="n"/>
      <c r="X1562">
        <f>IF($A1562="","",$A1562&amp;"|"&amp;$C1562&amp;"|"&amp;$I1562)</f>
        <v/>
      </c>
      <c r="Y1562">
        <f>IF(AND($A1562=RELATORIO_MEDICAO!$C$5,$C1562=RELATORIO_MEDICAO!$F$5,$A1562&lt;&gt;""),COUNTIFS($A$3:$A1562,RELATORIO_MEDICAO!$C$5,$C$3:$C1562,RELATORIO_MEDICAO!$F$5),"")</f>
        <v/>
      </c>
      <c r="Z1562">
        <f>IF(OR($A1562="",PESQUISA!$C$4=""),0,IF(OR(ISNUMBER(SEARCH(PESQUISA!$C$4,$G1562)),ISNUMBER(SEARCH(PESQUISA!$C$4,$K1562)),ISNUMBER(SEARCH(PESQUISA!$C$4,$L1562))),1,0))</f>
        <v/>
      </c>
      <c r="AA1562">
        <f>IF($Z1562=1,SUM($Z$3:$Z1562),"")</f>
        <v/>
      </c>
      <c r="AB1562">
        <f>IF(OR($A1562="",PESQUISA!$C$50=""),0,IF(ISNUMBER(SEARCH(PESQUISA!$C$50,$I1562)),1,0))</f>
        <v/>
      </c>
      <c r="AC1562">
        <f>IF($AB1562=1,SUM($AB$3:$AB1562),"")</f>
        <v/>
      </c>
    </row>
    <row r="1563">
      <c r="A1563" s="20" t="n"/>
      <c r="B1563" s="20" t="n"/>
      <c r="C1563" s="20" t="n"/>
      <c r="D1563" s="20" t="n"/>
      <c r="E1563" s="20" t="n"/>
      <c r="F1563" s="20" t="n"/>
      <c r="G1563" s="20" t="n"/>
      <c r="H1563" s="20" t="n"/>
      <c r="I1563" s="20" t="n"/>
      <c r="J1563" s="20">
        <f>IFERROR(INDEX(CONFIGURACOES!$G$37:$G$300,MATCH($I1563,CONFIGURACOES!$B$37:$B$300,0)),"")</f>
        <v/>
      </c>
      <c r="K1563" s="20">
        <f>IFERROR(INDEX(CONFIGURACOES!$H$37:$H$300,MATCH($I1563,CONFIGURACOES!$B$37:$B$300,0)),"")</f>
        <v/>
      </c>
      <c r="L1563" s="20" t="n"/>
      <c r="M1563" s="20">
        <f>IFERROR(INDEX(CONFIGURACOES!$I$37:$I$300,MATCH($I1563,CONFIGURACOES!$B$37:$B$300,0)),"")</f>
        <v/>
      </c>
      <c r="N1563" s="21" t="n"/>
      <c r="O1563" s="21" t="n"/>
      <c r="P1563" s="21" t="n"/>
      <c r="Q1563" s="21" t="n"/>
      <c r="R1563" s="21">
        <f>IF($N1563="","",$N1563*IF($Q1563="",1,$Q1563)*IF($P1563="",1,$P1563)*IF($O1563="",1,$O1563))</f>
        <v/>
      </c>
      <c r="S1563" s="22">
        <f>IFERROR(INDEX(CONFIGURACOES!$J$37:$J$300,MATCH($I1563,CONFIGURACOES!$B$37:$B$300,0)),"")</f>
        <v/>
      </c>
      <c r="T1563" s="22">
        <f>IF(OR($R1563="",$S1563=""),"",$R1563*$S1563)</f>
        <v/>
      </c>
      <c r="U1563" s="20" t="n"/>
      <c r="V1563" s="20" t="n"/>
      <c r="W1563" s="20" t="n"/>
      <c r="X1563">
        <f>IF($A1563="","",$A1563&amp;"|"&amp;$C1563&amp;"|"&amp;$I1563)</f>
        <v/>
      </c>
      <c r="Y1563">
        <f>IF(AND($A1563=RELATORIO_MEDICAO!$C$5,$C1563=RELATORIO_MEDICAO!$F$5,$A1563&lt;&gt;""),COUNTIFS($A$3:$A1563,RELATORIO_MEDICAO!$C$5,$C$3:$C1563,RELATORIO_MEDICAO!$F$5),"")</f>
        <v/>
      </c>
      <c r="Z1563">
        <f>IF(OR($A1563="",PESQUISA!$C$4=""),0,IF(OR(ISNUMBER(SEARCH(PESQUISA!$C$4,$G1563)),ISNUMBER(SEARCH(PESQUISA!$C$4,$K1563)),ISNUMBER(SEARCH(PESQUISA!$C$4,$L1563))),1,0))</f>
        <v/>
      </c>
      <c r="AA1563">
        <f>IF($Z1563=1,SUM($Z$3:$Z1563),"")</f>
        <v/>
      </c>
      <c r="AB1563">
        <f>IF(OR($A1563="",PESQUISA!$C$50=""),0,IF(ISNUMBER(SEARCH(PESQUISA!$C$50,$I1563)),1,0))</f>
        <v/>
      </c>
      <c r="AC1563">
        <f>IF($AB1563=1,SUM($AB$3:$AB1563),"")</f>
        <v/>
      </c>
    </row>
    <row r="1564">
      <c r="A1564" s="20" t="n"/>
      <c r="B1564" s="20" t="n"/>
      <c r="C1564" s="20" t="n"/>
      <c r="D1564" s="20" t="n"/>
      <c r="E1564" s="20" t="n"/>
      <c r="F1564" s="20" t="n"/>
      <c r="G1564" s="20" t="n"/>
      <c r="H1564" s="20" t="n"/>
      <c r="I1564" s="20" t="n"/>
      <c r="J1564" s="20">
        <f>IFERROR(INDEX(CONFIGURACOES!$G$37:$G$300,MATCH($I1564,CONFIGURACOES!$B$37:$B$300,0)),"")</f>
        <v/>
      </c>
      <c r="K1564" s="20">
        <f>IFERROR(INDEX(CONFIGURACOES!$H$37:$H$300,MATCH($I1564,CONFIGURACOES!$B$37:$B$300,0)),"")</f>
        <v/>
      </c>
      <c r="L1564" s="20" t="n"/>
      <c r="M1564" s="20">
        <f>IFERROR(INDEX(CONFIGURACOES!$I$37:$I$300,MATCH($I1564,CONFIGURACOES!$B$37:$B$300,0)),"")</f>
        <v/>
      </c>
      <c r="N1564" s="21" t="n"/>
      <c r="O1564" s="21" t="n"/>
      <c r="P1564" s="21" t="n"/>
      <c r="Q1564" s="21" t="n"/>
      <c r="R1564" s="21">
        <f>IF($N1564="","",$N1564*IF($Q1564="",1,$Q1564)*IF($P1564="",1,$P1564)*IF($O1564="",1,$O1564))</f>
        <v/>
      </c>
      <c r="S1564" s="22">
        <f>IFERROR(INDEX(CONFIGURACOES!$J$37:$J$300,MATCH($I1564,CONFIGURACOES!$B$37:$B$300,0)),"")</f>
        <v/>
      </c>
      <c r="T1564" s="22">
        <f>IF(OR($R1564="",$S1564=""),"",$R1564*$S1564)</f>
        <v/>
      </c>
      <c r="U1564" s="20" t="n"/>
      <c r="V1564" s="20" t="n"/>
      <c r="W1564" s="20" t="n"/>
      <c r="X1564">
        <f>IF($A1564="","",$A1564&amp;"|"&amp;$C1564&amp;"|"&amp;$I1564)</f>
        <v/>
      </c>
      <c r="Y1564">
        <f>IF(AND($A1564=RELATORIO_MEDICAO!$C$5,$C1564=RELATORIO_MEDICAO!$F$5,$A1564&lt;&gt;""),COUNTIFS($A$3:$A1564,RELATORIO_MEDICAO!$C$5,$C$3:$C1564,RELATORIO_MEDICAO!$F$5),"")</f>
        <v/>
      </c>
      <c r="Z1564">
        <f>IF(OR($A1564="",PESQUISA!$C$4=""),0,IF(OR(ISNUMBER(SEARCH(PESQUISA!$C$4,$G1564)),ISNUMBER(SEARCH(PESQUISA!$C$4,$K1564)),ISNUMBER(SEARCH(PESQUISA!$C$4,$L1564))),1,0))</f>
        <v/>
      </c>
      <c r="AA1564">
        <f>IF($Z1564=1,SUM($Z$3:$Z1564),"")</f>
        <v/>
      </c>
      <c r="AB1564">
        <f>IF(OR($A1564="",PESQUISA!$C$50=""),0,IF(ISNUMBER(SEARCH(PESQUISA!$C$50,$I1564)),1,0))</f>
        <v/>
      </c>
      <c r="AC1564">
        <f>IF($AB1564=1,SUM($AB$3:$AB1564),"")</f>
        <v/>
      </c>
    </row>
    <row r="1565">
      <c r="A1565" s="20" t="n"/>
      <c r="B1565" s="20" t="n"/>
      <c r="C1565" s="20" t="n"/>
      <c r="D1565" s="20" t="n"/>
      <c r="E1565" s="20" t="n"/>
      <c r="F1565" s="20" t="n"/>
      <c r="G1565" s="20" t="n"/>
      <c r="H1565" s="20" t="n"/>
      <c r="I1565" s="20" t="n"/>
      <c r="J1565" s="20">
        <f>IFERROR(INDEX(CONFIGURACOES!$G$37:$G$300,MATCH($I1565,CONFIGURACOES!$B$37:$B$300,0)),"")</f>
        <v/>
      </c>
      <c r="K1565" s="20">
        <f>IFERROR(INDEX(CONFIGURACOES!$H$37:$H$300,MATCH($I1565,CONFIGURACOES!$B$37:$B$300,0)),"")</f>
        <v/>
      </c>
      <c r="L1565" s="20" t="n"/>
      <c r="M1565" s="20">
        <f>IFERROR(INDEX(CONFIGURACOES!$I$37:$I$300,MATCH($I1565,CONFIGURACOES!$B$37:$B$300,0)),"")</f>
        <v/>
      </c>
      <c r="N1565" s="21" t="n"/>
      <c r="O1565" s="21" t="n"/>
      <c r="P1565" s="21" t="n"/>
      <c r="Q1565" s="21" t="n"/>
      <c r="R1565" s="21">
        <f>IF($N1565="","",$N1565*IF($Q1565="",1,$Q1565)*IF($P1565="",1,$P1565)*IF($O1565="",1,$O1565))</f>
        <v/>
      </c>
      <c r="S1565" s="22">
        <f>IFERROR(INDEX(CONFIGURACOES!$J$37:$J$300,MATCH($I1565,CONFIGURACOES!$B$37:$B$300,0)),"")</f>
        <v/>
      </c>
      <c r="T1565" s="22">
        <f>IF(OR($R1565="",$S1565=""),"",$R1565*$S1565)</f>
        <v/>
      </c>
      <c r="U1565" s="20" t="n"/>
      <c r="V1565" s="20" t="n"/>
      <c r="W1565" s="20" t="n"/>
      <c r="X1565">
        <f>IF($A1565="","",$A1565&amp;"|"&amp;$C1565&amp;"|"&amp;$I1565)</f>
        <v/>
      </c>
      <c r="Y1565">
        <f>IF(AND($A1565=RELATORIO_MEDICAO!$C$5,$C1565=RELATORIO_MEDICAO!$F$5,$A1565&lt;&gt;""),COUNTIFS($A$3:$A1565,RELATORIO_MEDICAO!$C$5,$C$3:$C1565,RELATORIO_MEDICAO!$F$5),"")</f>
        <v/>
      </c>
      <c r="Z1565">
        <f>IF(OR($A1565="",PESQUISA!$C$4=""),0,IF(OR(ISNUMBER(SEARCH(PESQUISA!$C$4,$G1565)),ISNUMBER(SEARCH(PESQUISA!$C$4,$K1565)),ISNUMBER(SEARCH(PESQUISA!$C$4,$L1565))),1,0))</f>
        <v/>
      </c>
      <c r="AA1565">
        <f>IF($Z1565=1,SUM($Z$3:$Z1565),"")</f>
        <v/>
      </c>
      <c r="AB1565">
        <f>IF(OR($A1565="",PESQUISA!$C$50=""),0,IF(ISNUMBER(SEARCH(PESQUISA!$C$50,$I1565)),1,0))</f>
        <v/>
      </c>
      <c r="AC1565">
        <f>IF($AB1565=1,SUM($AB$3:$AB1565),"")</f>
        <v/>
      </c>
    </row>
    <row r="1566">
      <c r="A1566" s="20" t="n"/>
      <c r="B1566" s="20" t="n"/>
      <c r="C1566" s="20" t="n"/>
      <c r="D1566" s="20" t="n"/>
      <c r="E1566" s="20" t="n"/>
      <c r="F1566" s="20" t="n"/>
      <c r="G1566" s="20" t="n"/>
      <c r="H1566" s="20" t="n"/>
      <c r="I1566" s="20" t="n"/>
      <c r="J1566" s="20">
        <f>IFERROR(INDEX(CONFIGURACOES!$G$37:$G$300,MATCH($I1566,CONFIGURACOES!$B$37:$B$300,0)),"")</f>
        <v/>
      </c>
      <c r="K1566" s="20">
        <f>IFERROR(INDEX(CONFIGURACOES!$H$37:$H$300,MATCH($I1566,CONFIGURACOES!$B$37:$B$300,0)),"")</f>
        <v/>
      </c>
      <c r="L1566" s="20" t="n"/>
      <c r="M1566" s="20">
        <f>IFERROR(INDEX(CONFIGURACOES!$I$37:$I$300,MATCH($I1566,CONFIGURACOES!$B$37:$B$300,0)),"")</f>
        <v/>
      </c>
      <c r="N1566" s="21" t="n"/>
      <c r="O1566" s="21" t="n"/>
      <c r="P1566" s="21" t="n"/>
      <c r="Q1566" s="21" t="n"/>
      <c r="R1566" s="21">
        <f>IF($N1566="","",$N1566*IF($Q1566="",1,$Q1566)*IF($P1566="",1,$P1566)*IF($O1566="",1,$O1566))</f>
        <v/>
      </c>
      <c r="S1566" s="22">
        <f>IFERROR(INDEX(CONFIGURACOES!$J$37:$J$300,MATCH($I1566,CONFIGURACOES!$B$37:$B$300,0)),"")</f>
        <v/>
      </c>
      <c r="T1566" s="22">
        <f>IF(OR($R1566="",$S1566=""),"",$R1566*$S1566)</f>
        <v/>
      </c>
      <c r="U1566" s="20" t="n"/>
      <c r="V1566" s="20" t="n"/>
      <c r="W1566" s="20" t="n"/>
      <c r="X1566">
        <f>IF($A1566="","",$A1566&amp;"|"&amp;$C1566&amp;"|"&amp;$I1566)</f>
        <v/>
      </c>
      <c r="Y1566">
        <f>IF(AND($A1566=RELATORIO_MEDICAO!$C$5,$C1566=RELATORIO_MEDICAO!$F$5,$A1566&lt;&gt;""),COUNTIFS($A$3:$A1566,RELATORIO_MEDICAO!$C$5,$C$3:$C1566,RELATORIO_MEDICAO!$F$5),"")</f>
        <v/>
      </c>
      <c r="Z1566">
        <f>IF(OR($A1566="",PESQUISA!$C$4=""),0,IF(OR(ISNUMBER(SEARCH(PESQUISA!$C$4,$G1566)),ISNUMBER(SEARCH(PESQUISA!$C$4,$K1566)),ISNUMBER(SEARCH(PESQUISA!$C$4,$L1566))),1,0))</f>
        <v/>
      </c>
      <c r="AA1566">
        <f>IF($Z1566=1,SUM($Z$3:$Z1566),"")</f>
        <v/>
      </c>
      <c r="AB1566">
        <f>IF(OR($A1566="",PESQUISA!$C$50=""),0,IF(ISNUMBER(SEARCH(PESQUISA!$C$50,$I1566)),1,0))</f>
        <v/>
      </c>
      <c r="AC1566">
        <f>IF($AB1566=1,SUM($AB$3:$AB1566),"")</f>
        <v/>
      </c>
    </row>
    <row r="1567">
      <c r="A1567" s="20" t="n"/>
      <c r="B1567" s="20" t="n"/>
      <c r="C1567" s="20" t="n"/>
      <c r="D1567" s="20" t="n"/>
      <c r="E1567" s="20" t="n"/>
      <c r="F1567" s="20" t="n"/>
      <c r="G1567" s="20" t="n"/>
      <c r="H1567" s="20" t="n"/>
      <c r="I1567" s="20" t="n"/>
      <c r="J1567" s="20">
        <f>IFERROR(INDEX(CONFIGURACOES!$G$37:$G$300,MATCH($I1567,CONFIGURACOES!$B$37:$B$300,0)),"")</f>
        <v/>
      </c>
      <c r="K1567" s="20">
        <f>IFERROR(INDEX(CONFIGURACOES!$H$37:$H$300,MATCH($I1567,CONFIGURACOES!$B$37:$B$300,0)),"")</f>
        <v/>
      </c>
      <c r="L1567" s="20" t="n"/>
      <c r="M1567" s="20">
        <f>IFERROR(INDEX(CONFIGURACOES!$I$37:$I$300,MATCH($I1567,CONFIGURACOES!$B$37:$B$300,0)),"")</f>
        <v/>
      </c>
      <c r="N1567" s="21" t="n"/>
      <c r="O1567" s="21" t="n"/>
      <c r="P1567" s="21" t="n"/>
      <c r="Q1567" s="21" t="n"/>
      <c r="R1567" s="21">
        <f>IF($N1567="","",$N1567*IF($Q1567="",1,$Q1567)*IF($P1567="",1,$P1567)*IF($O1567="",1,$O1567))</f>
        <v/>
      </c>
      <c r="S1567" s="22">
        <f>IFERROR(INDEX(CONFIGURACOES!$J$37:$J$300,MATCH($I1567,CONFIGURACOES!$B$37:$B$300,0)),"")</f>
        <v/>
      </c>
      <c r="T1567" s="22">
        <f>IF(OR($R1567="",$S1567=""),"",$R1567*$S1567)</f>
        <v/>
      </c>
      <c r="U1567" s="20" t="n"/>
      <c r="V1567" s="20" t="n"/>
      <c r="W1567" s="20" t="n"/>
      <c r="X1567">
        <f>IF($A1567="","",$A1567&amp;"|"&amp;$C1567&amp;"|"&amp;$I1567)</f>
        <v/>
      </c>
      <c r="Y1567">
        <f>IF(AND($A1567=RELATORIO_MEDICAO!$C$5,$C1567=RELATORIO_MEDICAO!$F$5,$A1567&lt;&gt;""),COUNTIFS($A$3:$A1567,RELATORIO_MEDICAO!$C$5,$C$3:$C1567,RELATORIO_MEDICAO!$F$5),"")</f>
        <v/>
      </c>
      <c r="Z1567">
        <f>IF(OR($A1567="",PESQUISA!$C$4=""),0,IF(OR(ISNUMBER(SEARCH(PESQUISA!$C$4,$G1567)),ISNUMBER(SEARCH(PESQUISA!$C$4,$K1567)),ISNUMBER(SEARCH(PESQUISA!$C$4,$L1567))),1,0))</f>
        <v/>
      </c>
      <c r="AA1567">
        <f>IF($Z1567=1,SUM($Z$3:$Z1567),"")</f>
        <v/>
      </c>
      <c r="AB1567">
        <f>IF(OR($A1567="",PESQUISA!$C$50=""),0,IF(ISNUMBER(SEARCH(PESQUISA!$C$50,$I1567)),1,0))</f>
        <v/>
      </c>
      <c r="AC1567">
        <f>IF($AB1567=1,SUM($AB$3:$AB1567),"")</f>
        <v/>
      </c>
    </row>
    <row r="1568">
      <c r="A1568" s="20" t="n"/>
      <c r="B1568" s="20" t="n"/>
      <c r="C1568" s="20" t="n"/>
      <c r="D1568" s="20" t="n"/>
      <c r="E1568" s="20" t="n"/>
      <c r="F1568" s="20" t="n"/>
      <c r="G1568" s="20" t="n"/>
      <c r="H1568" s="20" t="n"/>
      <c r="I1568" s="20" t="n"/>
      <c r="J1568" s="20">
        <f>IFERROR(INDEX(CONFIGURACOES!$G$37:$G$300,MATCH($I1568,CONFIGURACOES!$B$37:$B$300,0)),"")</f>
        <v/>
      </c>
      <c r="K1568" s="20">
        <f>IFERROR(INDEX(CONFIGURACOES!$H$37:$H$300,MATCH($I1568,CONFIGURACOES!$B$37:$B$300,0)),"")</f>
        <v/>
      </c>
      <c r="L1568" s="20" t="n"/>
      <c r="M1568" s="20">
        <f>IFERROR(INDEX(CONFIGURACOES!$I$37:$I$300,MATCH($I1568,CONFIGURACOES!$B$37:$B$300,0)),"")</f>
        <v/>
      </c>
      <c r="N1568" s="21" t="n"/>
      <c r="O1568" s="21" t="n"/>
      <c r="P1568" s="21" t="n"/>
      <c r="Q1568" s="21" t="n"/>
      <c r="R1568" s="21">
        <f>IF($N1568="","",$N1568*IF($Q1568="",1,$Q1568)*IF($P1568="",1,$P1568)*IF($O1568="",1,$O1568))</f>
        <v/>
      </c>
      <c r="S1568" s="22">
        <f>IFERROR(INDEX(CONFIGURACOES!$J$37:$J$300,MATCH($I1568,CONFIGURACOES!$B$37:$B$300,0)),"")</f>
        <v/>
      </c>
      <c r="T1568" s="22">
        <f>IF(OR($R1568="",$S1568=""),"",$R1568*$S1568)</f>
        <v/>
      </c>
      <c r="U1568" s="20" t="n"/>
      <c r="V1568" s="20" t="n"/>
      <c r="W1568" s="20" t="n"/>
      <c r="X1568">
        <f>IF($A1568="","",$A1568&amp;"|"&amp;$C1568&amp;"|"&amp;$I1568)</f>
        <v/>
      </c>
      <c r="Y1568">
        <f>IF(AND($A1568=RELATORIO_MEDICAO!$C$5,$C1568=RELATORIO_MEDICAO!$F$5,$A1568&lt;&gt;""),COUNTIFS($A$3:$A1568,RELATORIO_MEDICAO!$C$5,$C$3:$C1568,RELATORIO_MEDICAO!$F$5),"")</f>
        <v/>
      </c>
      <c r="Z1568">
        <f>IF(OR($A1568="",PESQUISA!$C$4=""),0,IF(OR(ISNUMBER(SEARCH(PESQUISA!$C$4,$G1568)),ISNUMBER(SEARCH(PESQUISA!$C$4,$K1568)),ISNUMBER(SEARCH(PESQUISA!$C$4,$L1568))),1,0))</f>
        <v/>
      </c>
      <c r="AA1568">
        <f>IF($Z1568=1,SUM($Z$3:$Z1568),"")</f>
        <v/>
      </c>
      <c r="AB1568">
        <f>IF(OR($A1568="",PESQUISA!$C$50=""),0,IF(ISNUMBER(SEARCH(PESQUISA!$C$50,$I1568)),1,0))</f>
        <v/>
      </c>
      <c r="AC1568">
        <f>IF($AB1568=1,SUM($AB$3:$AB1568),"")</f>
        <v/>
      </c>
    </row>
    <row r="1569">
      <c r="A1569" s="20" t="n"/>
      <c r="B1569" s="20" t="n"/>
      <c r="C1569" s="20" t="n"/>
      <c r="D1569" s="20" t="n"/>
      <c r="E1569" s="20" t="n"/>
      <c r="F1569" s="20" t="n"/>
      <c r="G1569" s="20" t="n"/>
      <c r="H1569" s="20" t="n"/>
      <c r="I1569" s="20" t="n"/>
      <c r="J1569" s="20">
        <f>IFERROR(INDEX(CONFIGURACOES!$G$37:$G$300,MATCH($I1569,CONFIGURACOES!$B$37:$B$300,0)),"")</f>
        <v/>
      </c>
      <c r="K1569" s="20">
        <f>IFERROR(INDEX(CONFIGURACOES!$H$37:$H$300,MATCH($I1569,CONFIGURACOES!$B$37:$B$300,0)),"")</f>
        <v/>
      </c>
      <c r="L1569" s="20" t="n"/>
      <c r="M1569" s="20">
        <f>IFERROR(INDEX(CONFIGURACOES!$I$37:$I$300,MATCH($I1569,CONFIGURACOES!$B$37:$B$300,0)),"")</f>
        <v/>
      </c>
      <c r="N1569" s="21" t="n"/>
      <c r="O1569" s="21" t="n"/>
      <c r="P1569" s="21" t="n"/>
      <c r="Q1569" s="21" t="n"/>
      <c r="R1569" s="21">
        <f>IF($N1569="","",$N1569*IF($Q1569="",1,$Q1569)*IF($P1569="",1,$P1569)*IF($O1569="",1,$O1569))</f>
        <v/>
      </c>
      <c r="S1569" s="22">
        <f>IFERROR(INDEX(CONFIGURACOES!$J$37:$J$300,MATCH($I1569,CONFIGURACOES!$B$37:$B$300,0)),"")</f>
        <v/>
      </c>
      <c r="T1569" s="22">
        <f>IF(OR($R1569="",$S1569=""),"",$R1569*$S1569)</f>
        <v/>
      </c>
      <c r="U1569" s="20" t="n"/>
      <c r="V1569" s="20" t="n"/>
      <c r="W1569" s="20" t="n"/>
      <c r="X1569">
        <f>IF($A1569="","",$A1569&amp;"|"&amp;$C1569&amp;"|"&amp;$I1569)</f>
        <v/>
      </c>
      <c r="Y1569">
        <f>IF(AND($A1569=RELATORIO_MEDICAO!$C$5,$C1569=RELATORIO_MEDICAO!$F$5,$A1569&lt;&gt;""),COUNTIFS($A$3:$A1569,RELATORIO_MEDICAO!$C$5,$C$3:$C1569,RELATORIO_MEDICAO!$F$5),"")</f>
        <v/>
      </c>
      <c r="Z1569">
        <f>IF(OR($A1569="",PESQUISA!$C$4=""),0,IF(OR(ISNUMBER(SEARCH(PESQUISA!$C$4,$G1569)),ISNUMBER(SEARCH(PESQUISA!$C$4,$K1569)),ISNUMBER(SEARCH(PESQUISA!$C$4,$L1569))),1,0))</f>
        <v/>
      </c>
      <c r="AA1569">
        <f>IF($Z1569=1,SUM($Z$3:$Z1569),"")</f>
        <v/>
      </c>
      <c r="AB1569">
        <f>IF(OR($A1569="",PESQUISA!$C$50=""),0,IF(ISNUMBER(SEARCH(PESQUISA!$C$50,$I1569)),1,0))</f>
        <v/>
      </c>
      <c r="AC1569">
        <f>IF($AB1569=1,SUM($AB$3:$AB1569),"")</f>
        <v/>
      </c>
    </row>
    <row r="1570">
      <c r="A1570" s="20" t="n"/>
      <c r="B1570" s="20" t="n"/>
      <c r="C1570" s="20" t="n"/>
      <c r="D1570" s="20" t="n"/>
      <c r="E1570" s="20" t="n"/>
      <c r="F1570" s="20" t="n"/>
      <c r="G1570" s="20" t="n"/>
      <c r="H1570" s="20" t="n"/>
      <c r="I1570" s="20" t="n"/>
      <c r="J1570" s="20">
        <f>IFERROR(INDEX(CONFIGURACOES!$G$37:$G$300,MATCH($I1570,CONFIGURACOES!$B$37:$B$300,0)),"")</f>
        <v/>
      </c>
      <c r="K1570" s="20">
        <f>IFERROR(INDEX(CONFIGURACOES!$H$37:$H$300,MATCH($I1570,CONFIGURACOES!$B$37:$B$300,0)),"")</f>
        <v/>
      </c>
      <c r="L1570" s="20" t="n"/>
      <c r="M1570" s="20">
        <f>IFERROR(INDEX(CONFIGURACOES!$I$37:$I$300,MATCH($I1570,CONFIGURACOES!$B$37:$B$300,0)),"")</f>
        <v/>
      </c>
      <c r="N1570" s="21" t="n"/>
      <c r="O1570" s="21" t="n"/>
      <c r="P1570" s="21" t="n"/>
      <c r="Q1570" s="21" t="n"/>
      <c r="R1570" s="21">
        <f>IF($N1570="","",$N1570*IF($Q1570="",1,$Q1570)*IF($P1570="",1,$P1570)*IF($O1570="",1,$O1570))</f>
        <v/>
      </c>
      <c r="S1570" s="22">
        <f>IFERROR(INDEX(CONFIGURACOES!$J$37:$J$300,MATCH($I1570,CONFIGURACOES!$B$37:$B$300,0)),"")</f>
        <v/>
      </c>
      <c r="T1570" s="22">
        <f>IF(OR($R1570="",$S1570=""),"",$R1570*$S1570)</f>
        <v/>
      </c>
      <c r="U1570" s="20" t="n"/>
      <c r="V1570" s="20" t="n"/>
      <c r="W1570" s="20" t="n"/>
      <c r="X1570">
        <f>IF($A1570="","",$A1570&amp;"|"&amp;$C1570&amp;"|"&amp;$I1570)</f>
        <v/>
      </c>
      <c r="Y1570">
        <f>IF(AND($A1570=RELATORIO_MEDICAO!$C$5,$C1570=RELATORIO_MEDICAO!$F$5,$A1570&lt;&gt;""),COUNTIFS($A$3:$A1570,RELATORIO_MEDICAO!$C$5,$C$3:$C1570,RELATORIO_MEDICAO!$F$5),"")</f>
        <v/>
      </c>
      <c r="Z1570">
        <f>IF(OR($A1570="",PESQUISA!$C$4=""),0,IF(OR(ISNUMBER(SEARCH(PESQUISA!$C$4,$G1570)),ISNUMBER(SEARCH(PESQUISA!$C$4,$K1570)),ISNUMBER(SEARCH(PESQUISA!$C$4,$L1570))),1,0))</f>
        <v/>
      </c>
      <c r="AA1570">
        <f>IF($Z1570=1,SUM($Z$3:$Z1570),"")</f>
        <v/>
      </c>
      <c r="AB1570">
        <f>IF(OR($A1570="",PESQUISA!$C$50=""),0,IF(ISNUMBER(SEARCH(PESQUISA!$C$50,$I1570)),1,0))</f>
        <v/>
      </c>
      <c r="AC1570">
        <f>IF($AB1570=1,SUM($AB$3:$AB1570),"")</f>
        <v/>
      </c>
    </row>
    <row r="1571">
      <c r="A1571" s="20" t="n"/>
      <c r="B1571" s="20" t="n"/>
      <c r="C1571" s="20" t="n"/>
      <c r="D1571" s="20" t="n"/>
      <c r="E1571" s="20" t="n"/>
      <c r="F1571" s="20" t="n"/>
      <c r="G1571" s="20" t="n"/>
      <c r="H1571" s="20" t="n"/>
      <c r="I1571" s="20" t="n"/>
      <c r="J1571" s="20">
        <f>IFERROR(INDEX(CONFIGURACOES!$G$37:$G$300,MATCH($I1571,CONFIGURACOES!$B$37:$B$300,0)),"")</f>
        <v/>
      </c>
      <c r="K1571" s="20">
        <f>IFERROR(INDEX(CONFIGURACOES!$H$37:$H$300,MATCH($I1571,CONFIGURACOES!$B$37:$B$300,0)),"")</f>
        <v/>
      </c>
      <c r="L1571" s="20" t="n"/>
      <c r="M1571" s="20">
        <f>IFERROR(INDEX(CONFIGURACOES!$I$37:$I$300,MATCH($I1571,CONFIGURACOES!$B$37:$B$300,0)),"")</f>
        <v/>
      </c>
      <c r="N1571" s="21" t="n"/>
      <c r="O1571" s="21" t="n"/>
      <c r="P1571" s="21" t="n"/>
      <c r="Q1571" s="21" t="n"/>
      <c r="R1571" s="21">
        <f>IF($N1571="","",$N1571*IF($Q1571="",1,$Q1571)*IF($P1571="",1,$P1571)*IF($O1571="",1,$O1571))</f>
        <v/>
      </c>
      <c r="S1571" s="22">
        <f>IFERROR(INDEX(CONFIGURACOES!$J$37:$J$300,MATCH($I1571,CONFIGURACOES!$B$37:$B$300,0)),"")</f>
        <v/>
      </c>
      <c r="T1571" s="22">
        <f>IF(OR($R1571="",$S1571=""),"",$R1571*$S1571)</f>
        <v/>
      </c>
      <c r="U1571" s="20" t="n"/>
      <c r="V1571" s="20" t="n"/>
      <c r="W1571" s="20" t="n"/>
      <c r="X1571">
        <f>IF($A1571="","",$A1571&amp;"|"&amp;$C1571&amp;"|"&amp;$I1571)</f>
        <v/>
      </c>
      <c r="Y1571">
        <f>IF(AND($A1571=RELATORIO_MEDICAO!$C$5,$C1571=RELATORIO_MEDICAO!$F$5,$A1571&lt;&gt;""),COUNTIFS($A$3:$A1571,RELATORIO_MEDICAO!$C$5,$C$3:$C1571,RELATORIO_MEDICAO!$F$5),"")</f>
        <v/>
      </c>
      <c r="Z1571">
        <f>IF(OR($A1571="",PESQUISA!$C$4=""),0,IF(OR(ISNUMBER(SEARCH(PESQUISA!$C$4,$G1571)),ISNUMBER(SEARCH(PESQUISA!$C$4,$K1571)),ISNUMBER(SEARCH(PESQUISA!$C$4,$L1571))),1,0))</f>
        <v/>
      </c>
      <c r="AA1571">
        <f>IF($Z1571=1,SUM($Z$3:$Z1571),"")</f>
        <v/>
      </c>
      <c r="AB1571">
        <f>IF(OR($A1571="",PESQUISA!$C$50=""),0,IF(ISNUMBER(SEARCH(PESQUISA!$C$50,$I1571)),1,0))</f>
        <v/>
      </c>
      <c r="AC1571">
        <f>IF($AB1571=1,SUM($AB$3:$AB1571),"")</f>
        <v/>
      </c>
    </row>
    <row r="1572">
      <c r="A1572" s="20" t="n"/>
      <c r="B1572" s="20" t="n"/>
      <c r="C1572" s="20" t="n"/>
      <c r="D1572" s="20" t="n"/>
      <c r="E1572" s="20" t="n"/>
      <c r="F1572" s="20" t="n"/>
      <c r="G1572" s="20" t="n"/>
      <c r="H1572" s="20" t="n"/>
      <c r="I1572" s="20" t="n"/>
      <c r="J1572" s="20">
        <f>IFERROR(INDEX(CONFIGURACOES!$G$37:$G$300,MATCH($I1572,CONFIGURACOES!$B$37:$B$300,0)),"")</f>
        <v/>
      </c>
      <c r="K1572" s="20">
        <f>IFERROR(INDEX(CONFIGURACOES!$H$37:$H$300,MATCH($I1572,CONFIGURACOES!$B$37:$B$300,0)),"")</f>
        <v/>
      </c>
      <c r="L1572" s="20" t="n"/>
      <c r="M1572" s="20">
        <f>IFERROR(INDEX(CONFIGURACOES!$I$37:$I$300,MATCH($I1572,CONFIGURACOES!$B$37:$B$300,0)),"")</f>
        <v/>
      </c>
      <c r="N1572" s="21" t="n"/>
      <c r="O1572" s="21" t="n"/>
      <c r="P1572" s="21" t="n"/>
      <c r="Q1572" s="21" t="n"/>
      <c r="R1572" s="21">
        <f>IF($N1572="","",$N1572*IF($Q1572="",1,$Q1572)*IF($P1572="",1,$P1572)*IF($O1572="",1,$O1572))</f>
        <v/>
      </c>
      <c r="S1572" s="22">
        <f>IFERROR(INDEX(CONFIGURACOES!$J$37:$J$300,MATCH($I1572,CONFIGURACOES!$B$37:$B$300,0)),"")</f>
        <v/>
      </c>
      <c r="T1572" s="22">
        <f>IF(OR($R1572="",$S1572=""),"",$R1572*$S1572)</f>
        <v/>
      </c>
      <c r="U1572" s="20" t="n"/>
      <c r="V1572" s="20" t="n"/>
      <c r="W1572" s="20" t="n"/>
      <c r="X1572">
        <f>IF($A1572="","",$A1572&amp;"|"&amp;$C1572&amp;"|"&amp;$I1572)</f>
        <v/>
      </c>
      <c r="Y1572">
        <f>IF(AND($A1572=RELATORIO_MEDICAO!$C$5,$C1572=RELATORIO_MEDICAO!$F$5,$A1572&lt;&gt;""),COUNTIFS($A$3:$A1572,RELATORIO_MEDICAO!$C$5,$C$3:$C1572,RELATORIO_MEDICAO!$F$5),"")</f>
        <v/>
      </c>
      <c r="Z1572">
        <f>IF(OR($A1572="",PESQUISA!$C$4=""),0,IF(OR(ISNUMBER(SEARCH(PESQUISA!$C$4,$G1572)),ISNUMBER(SEARCH(PESQUISA!$C$4,$K1572)),ISNUMBER(SEARCH(PESQUISA!$C$4,$L1572))),1,0))</f>
        <v/>
      </c>
      <c r="AA1572">
        <f>IF($Z1572=1,SUM($Z$3:$Z1572),"")</f>
        <v/>
      </c>
      <c r="AB1572">
        <f>IF(OR($A1572="",PESQUISA!$C$50=""),0,IF(ISNUMBER(SEARCH(PESQUISA!$C$50,$I1572)),1,0))</f>
        <v/>
      </c>
      <c r="AC1572">
        <f>IF($AB1572=1,SUM($AB$3:$AB1572),"")</f>
        <v/>
      </c>
    </row>
    <row r="1573">
      <c r="A1573" s="20" t="n"/>
      <c r="B1573" s="20" t="n"/>
      <c r="C1573" s="20" t="n"/>
      <c r="D1573" s="20" t="n"/>
      <c r="E1573" s="20" t="n"/>
      <c r="F1573" s="20" t="n"/>
      <c r="G1573" s="20" t="n"/>
      <c r="H1573" s="20" t="n"/>
      <c r="I1573" s="20" t="n"/>
      <c r="J1573" s="20">
        <f>IFERROR(INDEX(CONFIGURACOES!$G$37:$G$300,MATCH($I1573,CONFIGURACOES!$B$37:$B$300,0)),"")</f>
        <v/>
      </c>
      <c r="K1573" s="20">
        <f>IFERROR(INDEX(CONFIGURACOES!$H$37:$H$300,MATCH($I1573,CONFIGURACOES!$B$37:$B$300,0)),"")</f>
        <v/>
      </c>
      <c r="L1573" s="20" t="n"/>
      <c r="M1573" s="20">
        <f>IFERROR(INDEX(CONFIGURACOES!$I$37:$I$300,MATCH($I1573,CONFIGURACOES!$B$37:$B$300,0)),"")</f>
        <v/>
      </c>
      <c r="N1573" s="21" t="n"/>
      <c r="O1573" s="21" t="n"/>
      <c r="P1573" s="21" t="n"/>
      <c r="Q1573" s="21" t="n"/>
      <c r="R1573" s="21">
        <f>IF($N1573="","",$N1573*IF($Q1573="",1,$Q1573)*IF($P1573="",1,$P1573)*IF($O1573="",1,$O1573))</f>
        <v/>
      </c>
      <c r="S1573" s="22">
        <f>IFERROR(INDEX(CONFIGURACOES!$J$37:$J$300,MATCH($I1573,CONFIGURACOES!$B$37:$B$300,0)),"")</f>
        <v/>
      </c>
      <c r="T1573" s="22">
        <f>IF(OR($R1573="",$S1573=""),"",$R1573*$S1573)</f>
        <v/>
      </c>
      <c r="U1573" s="20" t="n"/>
      <c r="V1573" s="20" t="n"/>
      <c r="W1573" s="20" t="n"/>
      <c r="X1573">
        <f>IF($A1573="","",$A1573&amp;"|"&amp;$C1573&amp;"|"&amp;$I1573)</f>
        <v/>
      </c>
      <c r="Y1573">
        <f>IF(AND($A1573=RELATORIO_MEDICAO!$C$5,$C1573=RELATORIO_MEDICAO!$F$5,$A1573&lt;&gt;""),COUNTIFS($A$3:$A1573,RELATORIO_MEDICAO!$C$5,$C$3:$C1573,RELATORIO_MEDICAO!$F$5),"")</f>
        <v/>
      </c>
      <c r="Z1573">
        <f>IF(OR($A1573="",PESQUISA!$C$4=""),0,IF(OR(ISNUMBER(SEARCH(PESQUISA!$C$4,$G1573)),ISNUMBER(SEARCH(PESQUISA!$C$4,$K1573)),ISNUMBER(SEARCH(PESQUISA!$C$4,$L1573))),1,0))</f>
        <v/>
      </c>
      <c r="AA1573">
        <f>IF($Z1573=1,SUM($Z$3:$Z1573),"")</f>
        <v/>
      </c>
      <c r="AB1573">
        <f>IF(OR($A1573="",PESQUISA!$C$50=""),0,IF(ISNUMBER(SEARCH(PESQUISA!$C$50,$I1573)),1,0))</f>
        <v/>
      </c>
      <c r="AC1573">
        <f>IF($AB1573=1,SUM($AB$3:$AB1573),"")</f>
        <v/>
      </c>
    </row>
    <row r="1574">
      <c r="A1574" s="20" t="n"/>
      <c r="B1574" s="20" t="n"/>
      <c r="C1574" s="20" t="n"/>
      <c r="D1574" s="20" t="n"/>
      <c r="E1574" s="20" t="n"/>
      <c r="F1574" s="20" t="n"/>
      <c r="G1574" s="20" t="n"/>
      <c r="H1574" s="20" t="n"/>
      <c r="I1574" s="20" t="n"/>
      <c r="J1574" s="20">
        <f>IFERROR(INDEX(CONFIGURACOES!$G$37:$G$300,MATCH($I1574,CONFIGURACOES!$B$37:$B$300,0)),"")</f>
        <v/>
      </c>
      <c r="K1574" s="20">
        <f>IFERROR(INDEX(CONFIGURACOES!$H$37:$H$300,MATCH($I1574,CONFIGURACOES!$B$37:$B$300,0)),"")</f>
        <v/>
      </c>
      <c r="L1574" s="20" t="n"/>
      <c r="M1574" s="20">
        <f>IFERROR(INDEX(CONFIGURACOES!$I$37:$I$300,MATCH($I1574,CONFIGURACOES!$B$37:$B$300,0)),"")</f>
        <v/>
      </c>
      <c r="N1574" s="21" t="n"/>
      <c r="O1574" s="21" t="n"/>
      <c r="P1574" s="21" t="n"/>
      <c r="Q1574" s="21" t="n"/>
      <c r="R1574" s="21">
        <f>IF($N1574="","",$N1574*IF($Q1574="",1,$Q1574)*IF($P1574="",1,$P1574)*IF($O1574="",1,$O1574))</f>
        <v/>
      </c>
      <c r="S1574" s="22">
        <f>IFERROR(INDEX(CONFIGURACOES!$J$37:$J$300,MATCH($I1574,CONFIGURACOES!$B$37:$B$300,0)),"")</f>
        <v/>
      </c>
      <c r="T1574" s="22">
        <f>IF(OR($R1574="",$S1574=""),"",$R1574*$S1574)</f>
        <v/>
      </c>
      <c r="U1574" s="20" t="n"/>
      <c r="V1574" s="20" t="n"/>
      <c r="W1574" s="20" t="n"/>
      <c r="X1574">
        <f>IF($A1574="","",$A1574&amp;"|"&amp;$C1574&amp;"|"&amp;$I1574)</f>
        <v/>
      </c>
      <c r="Y1574">
        <f>IF(AND($A1574=RELATORIO_MEDICAO!$C$5,$C1574=RELATORIO_MEDICAO!$F$5,$A1574&lt;&gt;""),COUNTIFS($A$3:$A1574,RELATORIO_MEDICAO!$C$5,$C$3:$C1574,RELATORIO_MEDICAO!$F$5),"")</f>
        <v/>
      </c>
      <c r="Z1574">
        <f>IF(OR($A1574="",PESQUISA!$C$4=""),0,IF(OR(ISNUMBER(SEARCH(PESQUISA!$C$4,$G1574)),ISNUMBER(SEARCH(PESQUISA!$C$4,$K1574)),ISNUMBER(SEARCH(PESQUISA!$C$4,$L1574))),1,0))</f>
        <v/>
      </c>
      <c r="AA1574">
        <f>IF($Z1574=1,SUM($Z$3:$Z1574),"")</f>
        <v/>
      </c>
      <c r="AB1574">
        <f>IF(OR($A1574="",PESQUISA!$C$50=""),0,IF(ISNUMBER(SEARCH(PESQUISA!$C$50,$I1574)),1,0))</f>
        <v/>
      </c>
      <c r="AC1574">
        <f>IF($AB1574=1,SUM($AB$3:$AB1574),"")</f>
        <v/>
      </c>
    </row>
    <row r="1575">
      <c r="A1575" s="20" t="n"/>
      <c r="B1575" s="20" t="n"/>
      <c r="C1575" s="20" t="n"/>
      <c r="D1575" s="20" t="n"/>
      <c r="E1575" s="20" t="n"/>
      <c r="F1575" s="20" t="n"/>
      <c r="G1575" s="20" t="n"/>
      <c r="H1575" s="20" t="n"/>
      <c r="I1575" s="20" t="n"/>
      <c r="J1575" s="20">
        <f>IFERROR(INDEX(CONFIGURACOES!$G$37:$G$300,MATCH($I1575,CONFIGURACOES!$B$37:$B$300,0)),"")</f>
        <v/>
      </c>
      <c r="K1575" s="20">
        <f>IFERROR(INDEX(CONFIGURACOES!$H$37:$H$300,MATCH($I1575,CONFIGURACOES!$B$37:$B$300,0)),"")</f>
        <v/>
      </c>
      <c r="L1575" s="20" t="n"/>
      <c r="M1575" s="20">
        <f>IFERROR(INDEX(CONFIGURACOES!$I$37:$I$300,MATCH($I1575,CONFIGURACOES!$B$37:$B$300,0)),"")</f>
        <v/>
      </c>
      <c r="N1575" s="21" t="n"/>
      <c r="O1575" s="21" t="n"/>
      <c r="P1575" s="21" t="n"/>
      <c r="Q1575" s="21" t="n"/>
      <c r="R1575" s="21">
        <f>IF($N1575="","",$N1575*IF($Q1575="",1,$Q1575)*IF($P1575="",1,$P1575)*IF($O1575="",1,$O1575))</f>
        <v/>
      </c>
      <c r="S1575" s="22">
        <f>IFERROR(INDEX(CONFIGURACOES!$J$37:$J$300,MATCH($I1575,CONFIGURACOES!$B$37:$B$300,0)),"")</f>
        <v/>
      </c>
      <c r="T1575" s="22">
        <f>IF(OR($R1575="",$S1575=""),"",$R1575*$S1575)</f>
        <v/>
      </c>
      <c r="U1575" s="20" t="n"/>
      <c r="V1575" s="20" t="n"/>
      <c r="W1575" s="20" t="n"/>
      <c r="X1575">
        <f>IF($A1575="","",$A1575&amp;"|"&amp;$C1575&amp;"|"&amp;$I1575)</f>
        <v/>
      </c>
      <c r="Y1575">
        <f>IF(AND($A1575=RELATORIO_MEDICAO!$C$5,$C1575=RELATORIO_MEDICAO!$F$5,$A1575&lt;&gt;""),COUNTIFS($A$3:$A1575,RELATORIO_MEDICAO!$C$5,$C$3:$C1575,RELATORIO_MEDICAO!$F$5),"")</f>
        <v/>
      </c>
      <c r="Z1575">
        <f>IF(OR($A1575="",PESQUISA!$C$4=""),0,IF(OR(ISNUMBER(SEARCH(PESQUISA!$C$4,$G1575)),ISNUMBER(SEARCH(PESQUISA!$C$4,$K1575)),ISNUMBER(SEARCH(PESQUISA!$C$4,$L1575))),1,0))</f>
        <v/>
      </c>
      <c r="AA1575">
        <f>IF($Z1575=1,SUM($Z$3:$Z1575),"")</f>
        <v/>
      </c>
      <c r="AB1575">
        <f>IF(OR($A1575="",PESQUISA!$C$50=""),0,IF(ISNUMBER(SEARCH(PESQUISA!$C$50,$I1575)),1,0))</f>
        <v/>
      </c>
      <c r="AC1575">
        <f>IF($AB1575=1,SUM($AB$3:$AB1575),"")</f>
        <v/>
      </c>
    </row>
    <row r="1576">
      <c r="A1576" s="20" t="n"/>
      <c r="B1576" s="20" t="n"/>
      <c r="C1576" s="20" t="n"/>
      <c r="D1576" s="20" t="n"/>
      <c r="E1576" s="20" t="n"/>
      <c r="F1576" s="20" t="n"/>
      <c r="G1576" s="20" t="n"/>
      <c r="H1576" s="20" t="n"/>
      <c r="I1576" s="20" t="n"/>
      <c r="J1576" s="20">
        <f>IFERROR(INDEX(CONFIGURACOES!$G$37:$G$300,MATCH($I1576,CONFIGURACOES!$B$37:$B$300,0)),"")</f>
        <v/>
      </c>
      <c r="K1576" s="20">
        <f>IFERROR(INDEX(CONFIGURACOES!$H$37:$H$300,MATCH($I1576,CONFIGURACOES!$B$37:$B$300,0)),"")</f>
        <v/>
      </c>
      <c r="L1576" s="20" t="n"/>
      <c r="M1576" s="20">
        <f>IFERROR(INDEX(CONFIGURACOES!$I$37:$I$300,MATCH($I1576,CONFIGURACOES!$B$37:$B$300,0)),"")</f>
        <v/>
      </c>
      <c r="N1576" s="21" t="n"/>
      <c r="O1576" s="21" t="n"/>
      <c r="P1576" s="21" t="n"/>
      <c r="Q1576" s="21" t="n"/>
      <c r="R1576" s="21">
        <f>IF($N1576="","",$N1576*IF($Q1576="",1,$Q1576)*IF($P1576="",1,$P1576)*IF($O1576="",1,$O1576))</f>
        <v/>
      </c>
      <c r="S1576" s="22">
        <f>IFERROR(INDEX(CONFIGURACOES!$J$37:$J$300,MATCH($I1576,CONFIGURACOES!$B$37:$B$300,0)),"")</f>
        <v/>
      </c>
      <c r="T1576" s="22">
        <f>IF(OR($R1576="",$S1576=""),"",$R1576*$S1576)</f>
        <v/>
      </c>
      <c r="U1576" s="20" t="n"/>
      <c r="V1576" s="20" t="n"/>
      <c r="W1576" s="20" t="n"/>
      <c r="X1576">
        <f>IF($A1576="","",$A1576&amp;"|"&amp;$C1576&amp;"|"&amp;$I1576)</f>
        <v/>
      </c>
      <c r="Y1576">
        <f>IF(AND($A1576=RELATORIO_MEDICAO!$C$5,$C1576=RELATORIO_MEDICAO!$F$5,$A1576&lt;&gt;""),COUNTIFS($A$3:$A1576,RELATORIO_MEDICAO!$C$5,$C$3:$C1576,RELATORIO_MEDICAO!$F$5),"")</f>
        <v/>
      </c>
      <c r="Z1576">
        <f>IF(OR($A1576="",PESQUISA!$C$4=""),0,IF(OR(ISNUMBER(SEARCH(PESQUISA!$C$4,$G1576)),ISNUMBER(SEARCH(PESQUISA!$C$4,$K1576)),ISNUMBER(SEARCH(PESQUISA!$C$4,$L1576))),1,0))</f>
        <v/>
      </c>
      <c r="AA1576">
        <f>IF($Z1576=1,SUM($Z$3:$Z1576),"")</f>
        <v/>
      </c>
      <c r="AB1576">
        <f>IF(OR($A1576="",PESQUISA!$C$50=""),0,IF(ISNUMBER(SEARCH(PESQUISA!$C$50,$I1576)),1,0))</f>
        <v/>
      </c>
      <c r="AC1576">
        <f>IF($AB1576=1,SUM($AB$3:$AB1576),"")</f>
        <v/>
      </c>
    </row>
    <row r="1577">
      <c r="A1577" s="20" t="n"/>
      <c r="B1577" s="20" t="n"/>
      <c r="C1577" s="20" t="n"/>
      <c r="D1577" s="20" t="n"/>
      <c r="E1577" s="20" t="n"/>
      <c r="F1577" s="20" t="n"/>
      <c r="G1577" s="20" t="n"/>
      <c r="H1577" s="20" t="n"/>
      <c r="I1577" s="20" t="n"/>
      <c r="J1577" s="20">
        <f>IFERROR(INDEX(CONFIGURACOES!$G$37:$G$300,MATCH($I1577,CONFIGURACOES!$B$37:$B$300,0)),"")</f>
        <v/>
      </c>
      <c r="K1577" s="20">
        <f>IFERROR(INDEX(CONFIGURACOES!$H$37:$H$300,MATCH($I1577,CONFIGURACOES!$B$37:$B$300,0)),"")</f>
        <v/>
      </c>
      <c r="L1577" s="20" t="n"/>
      <c r="M1577" s="20">
        <f>IFERROR(INDEX(CONFIGURACOES!$I$37:$I$300,MATCH($I1577,CONFIGURACOES!$B$37:$B$300,0)),"")</f>
        <v/>
      </c>
      <c r="N1577" s="21" t="n"/>
      <c r="O1577" s="21" t="n"/>
      <c r="P1577" s="21" t="n"/>
      <c r="Q1577" s="21" t="n"/>
      <c r="R1577" s="21">
        <f>IF($N1577="","",$N1577*IF($Q1577="",1,$Q1577)*IF($P1577="",1,$P1577)*IF($O1577="",1,$O1577))</f>
        <v/>
      </c>
      <c r="S1577" s="22">
        <f>IFERROR(INDEX(CONFIGURACOES!$J$37:$J$300,MATCH($I1577,CONFIGURACOES!$B$37:$B$300,0)),"")</f>
        <v/>
      </c>
      <c r="T1577" s="22">
        <f>IF(OR($R1577="",$S1577=""),"",$R1577*$S1577)</f>
        <v/>
      </c>
      <c r="U1577" s="20" t="n"/>
      <c r="V1577" s="20" t="n"/>
      <c r="W1577" s="20" t="n"/>
      <c r="X1577">
        <f>IF($A1577="","",$A1577&amp;"|"&amp;$C1577&amp;"|"&amp;$I1577)</f>
        <v/>
      </c>
      <c r="Y1577">
        <f>IF(AND($A1577=RELATORIO_MEDICAO!$C$5,$C1577=RELATORIO_MEDICAO!$F$5,$A1577&lt;&gt;""),COUNTIFS($A$3:$A1577,RELATORIO_MEDICAO!$C$5,$C$3:$C1577,RELATORIO_MEDICAO!$F$5),"")</f>
        <v/>
      </c>
      <c r="Z1577">
        <f>IF(OR($A1577="",PESQUISA!$C$4=""),0,IF(OR(ISNUMBER(SEARCH(PESQUISA!$C$4,$G1577)),ISNUMBER(SEARCH(PESQUISA!$C$4,$K1577)),ISNUMBER(SEARCH(PESQUISA!$C$4,$L1577))),1,0))</f>
        <v/>
      </c>
      <c r="AA1577">
        <f>IF($Z1577=1,SUM($Z$3:$Z1577),"")</f>
        <v/>
      </c>
      <c r="AB1577">
        <f>IF(OR($A1577="",PESQUISA!$C$50=""),0,IF(ISNUMBER(SEARCH(PESQUISA!$C$50,$I1577)),1,0))</f>
        <v/>
      </c>
      <c r="AC1577">
        <f>IF($AB1577=1,SUM($AB$3:$AB1577),"")</f>
        <v/>
      </c>
    </row>
    <row r="1578">
      <c r="A1578" s="20" t="n"/>
      <c r="B1578" s="20" t="n"/>
      <c r="C1578" s="20" t="n"/>
      <c r="D1578" s="20" t="n"/>
      <c r="E1578" s="20" t="n"/>
      <c r="F1578" s="20" t="n"/>
      <c r="G1578" s="20" t="n"/>
      <c r="H1578" s="20" t="n"/>
      <c r="I1578" s="20" t="n"/>
      <c r="J1578" s="20">
        <f>IFERROR(INDEX(CONFIGURACOES!$G$37:$G$300,MATCH($I1578,CONFIGURACOES!$B$37:$B$300,0)),"")</f>
        <v/>
      </c>
      <c r="K1578" s="20">
        <f>IFERROR(INDEX(CONFIGURACOES!$H$37:$H$300,MATCH($I1578,CONFIGURACOES!$B$37:$B$300,0)),"")</f>
        <v/>
      </c>
      <c r="L1578" s="20" t="n"/>
      <c r="M1578" s="20">
        <f>IFERROR(INDEX(CONFIGURACOES!$I$37:$I$300,MATCH($I1578,CONFIGURACOES!$B$37:$B$300,0)),"")</f>
        <v/>
      </c>
      <c r="N1578" s="21" t="n"/>
      <c r="O1578" s="21" t="n"/>
      <c r="P1578" s="21" t="n"/>
      <c r="Q1578" s="21" t="n"/>
      <c r="R1578" s="21">
        <f>IF($N1578="","",$N1578*IF($Q1578="",1,$Q1578)*IF($P1578="",1,$P1578)*IF($O1578="",1,$O1578))</f>
        <v/>
      </c>
      <c r="S1578" s="22">
        <f>IFERROR(INDEX(CONFIGURACOES!$J$37:$J$300,MATCH($I1578,CONFIGURACOES!$B$37:$B$300,0)),"")</f>
        <v/>
      </c>
      <c r="T1578" s="22">
        <f>IF(OR($R1578="",$S1578=""),"",$R1578*$S1578)</f>
        <v/>
      </c>
      <c r="U1578" s="20" t="n"/>
      <c r="V1578" s="20" t="n"/>
      <c r="W1578" s="20" t="n"/>
      <c r="X1578">
        <f>IF($A1578="","",$A1578&amp;"|"&amp;$C1578&amp;"|"&amp;$I1578)</f>
        <v/>
      </c>
      <c r="Y1578">
        <f>IF(AND($A1578=RELATORIO_MEDICAO!$C$5,$C1578=RELATORIO_MEDICAO!$F$5,$A1578&lt;&gt;""),COUNTIFS($A$3:$A1578,RELATORIO_MEDICAO!$C$5,$C$3:$C1578,RELATORIO_MEDICAO!$F$5),"")</f>
        <v/>
      </c>
      <c r="Z1578">
        <f>IF(OR($A1578="",PESQUISA!$C$4=""),0,IF(OR(ISNUMBER(SEARCH(PESQUISA!$C$4,$G1578)),ISNUMBER(SEARCH(PESQUISA!$C$4,$K1578)),ISNUMBER(SEARCH(PESQUISA!$C$4,$L1578))),1,0))</f>
        <v/>
      </c>
      <c r="AA1578">
        <f>IF($Z1578=1,SUM($Z$3:$Z1578),"")</f>
        <v/>
      </c>
      <c r="AB1578">
        <f>IF(OR($A1578="",PESQUISA!$C$50=""),0,IF(ISNUMBER(SEARCH(PESQUISA!$C$50,$I1578)),1,0))</f>
        <v/>
      </c>
      <c r="AC1578">
        <f>IF($AB1578=1,SUM($AB$3:$AB1578),"")</f>
        <v/>
      </c>
    </row>
    <row r="1579">
      <c r="A1579" s="20" t="n"/>
      <c r="B1579" s="20" t="n"/>
      <c r="C1579" s="20" t="n"/>
      <c r="D1579" s="20" t="n"/>
      <c r="E1579" s="20" t="n"/>
      <c r="F1579" s="20" t="n"/>
      <c r="G1579" s="20" t="n"/>
      <c r="H1579" s="20" t="n"/>
      <c r="I1579" s="20" t="n"/>
      <c r="J1579" s="20">
        <f>IFERROR(INDEX(CONFIGURACOES!$G$37:$G$300,MATCH($I1579,CONFIGURACOES!$B$37:$B$300,0)),"")</f>
        <v/>
      </c>
      <c r="K1579" s="20">
        <f>IFERROR(INDEX(CONFIGURACOES!$H$37:$H$300,MATCH($I1579,CONFIGURACOES!$B$37:$B$300,0)),"")</f>
        <v/>
      </c>
      <c r="L1579" s="20" t="n"/>
      <c r="M1579" s="20">
        <f>IFERROR(INDEX(CONFIGURACOES!$I$37:$I$300,MATCH($I1579,CONFIGURACOES!$B$37:$B$300,0)),"")</f>
        <v/>
      </c>
      <c r="N1579" s="21" t="n"/>
      <c r="O1579" s="21" t="n"/>
      <c r="P1579" s="21" t="n"/>
      <c r="Q1579" s="21" t="n"/>
      <c r="R1579" s="21">
        <f>IF($N1579="","",$N1579*IF($Q1579="",1,$Q1579)*IF($P1579="",1,$P1579)*IF($O1579="",1,$O1579))</f>
        <v/>
      </c>
      <c r="S1579" s="22">
        <f>IFERROR(INDEX(CONFIGURACOES!$J$37:$J$300,MATCH($I1579,CONFIGURACOES!$B$37:$B$300,0)),"")</f>
        <v/>
      </c>
      <c r="T1579" s="22">
        <f>IF(OR($R1579="",$S1579=""),"",$R1579*$S1579)</f>
        <v/>
      </c>
      <c r="U1579" s="20" t="n"/>
      <c r="V1579" s="20" t="n"/>
      <c r="W1579" s="20" t="n"/>
      <c r="X1579">
        <f>IF($A1579="","",$A1579&amp;"|"&amp;$C1579&amp;"|"&amp;$I1579)</f>
        <v/>
      </c>
      <c r="Y1579">
        <f>IF(AND($A1579=RELATORIO_MEDICAO!$C$5,$C1579=RELATORIO_MEDICAO!$F$5,$A1579&lt;&gt;""),COUNTIFS($A$3:$A1579,RELATORIO_MEDICAO!$C$5,$C$3:$C1579,RELATORIO_MEDICAO!$F$5),"")</f>
        <v/>
      </c>
      <c r="Z1579">
        <f>IF(OR($A1579="",PESQUISA!$C$4=""),0,IF(OR(ISNUMBER(SEARCH(PESQUISA!$C$4,$G1579)),ISNUMBER(SEARCH(PESQUISA!$C$4,$K1579)),ISNUMBER(SEARCH(PESQUISA!$C$4,$L1579))),1,0))</f>
        <v/>
      </c>
      <c r="AA1579">
        <f>IF($Z1579=1,SUM($Z$3:$Z1579),"")</f>
        <v/>
      </c>
      <c r="AB1579">
        <f>IF(OR($A1579="",PESQUISA!$C$50=""),0,IF(ISNUMBER(SEARCH(PESQUISA!$C$50,$I1579)),1,0))</f>
        <v/>
      </c>
      <c r="AC1579">
        <f>IF($AB1579=1,SUM($AB$3:$AB1579),"")</f>
        <v/>
      </c>
    </row>
    <row r="1580">
      <c r="A1580" s="20" t="n"/>
      <c r="B1580" s="20" t="n"/>
      <c r="C1580" s="20" t="n"/>
      <c r="D1580" s="20" t="n"/>
      <c r="E1580" s="20" t="n"/>
      <c r="F1580" s="20" t="n"/>
      <c r="G1580" s="20" t="n"/>
      <c r="H1580" s="20" t="n"/>
      <c r="I1580" s="20" t="n"/>
      <c r="J1580" s="20">
        <f>IFERROR(INDEX(CONFIGURACOES!$G$37:$G$300,MATCH($I1580,CONFIGURACOES!$B$37:$B$300,0)),"")</f>
        <v/>
      </c>
      <c r="K1580" s="20">
        <f>IFERROR(INDEX(CONFIGURACOES!$H$37:$H$300,MATCH($I1580,CONFIGURACOES!$B$37:$B$300,0)),"")</f>
        <v/>
      </c>
      <c r="L1580" s="20" t="n"/>
      <c r="M1580" s="20">
        <f>IFERROR(INDEX(CONFIGURACOES!$I$37:$I$300,MATCH($I1580,CONFIGURACOES!$B$37:$B$300,0)),"")</f>
        <v/>
      </c>
      <c r="N1580" s="21" t="n"/>
      <c r="O1580" s="21" t="n"/>
      <c r="P1580" s="21" t="n"/>
      <c r="Q1580" s="21" t="n"/>
      <c r="R1580" s="21">
        <f>IF($N1580="","",$N1580*IF($Q1580="",1,$Q1580)*IF($P1580="",1,$P1580)*IF($O1580="",1,$O1580))</f>
        <v/>
      </c>
      <c r="S1580" s="22">
        <f>IFERROR(INDEX(CONFIGURACOES!$J$37:$J$300,MATCH($I1580,CONFIGURACOES!$B$37:$B$300,0)),"")</f>
        <v/>
      </c>
      <c r="T1580" s="22">
        <f>IF(OR($R1580="",$S1580=""),"",$R1580*$S1580)</f>
        <v/>
      </c>
      <c r="U1580" s="20" t="n"/>
      <c r="V1580" s="20" t="n"/>
      <c r="W1580" s="20" t="n"/>
      <c r="X1580">
        <f>IF($A1580="","",$A1580&amp;"|"&amp;$C1580&amp;"|"&amp;$I1580)</f>
        <v/>
      </c>
      <c r="Y1580">
        <f>IF(AND($A1580=RELATORIO_MEDICAO!$C$5,$C1580=RELATORIO_MEDICAO!$F$5,$A1580&lt;&gt;""),COUNTIFS($A$3:$A1580,RELATORIO_MEDICAO!$C$5,$C$3:$C1580,RELATORIO_MEDICAO!$F$5),"")</f>
        <v/>
      </c>
      <c r="Z1580">
        <f>IF(OR($A1580="",PESQUISA!$C$4=""),0,IF(OR(ISNUMBER(SEARCH(PESQUISA!$C$4,$G1580)),ISNUMBER(SEARCH(PESQUISA!$C$4,$K1580)),ISNUMBER(SEARCH(PESQUISA!$C$4,$L1580))),1,0))</f>
        <v/>
      </c>
      <c r="AA1580">
        <f>IF($Z1580=1,SUM($Z$3:$Z1580),"")</f>
        <v/>
      </c>
      <c r="AB1580">
        <f>IF(OR($A1580="",PESQUISA!$C$50=""),0,IF(ISNUMBER(SEARCH(PESQUISA!$C$50,$I1580)),1,0))</f>
        <v/>
      </c>
      <c r="AC1580">
        <f>IF($AB1580=1,SUM($AB$3:$AB1580),"")</f>
        <v/>
      </c>
    </row>
    <row r="1581">
      <c r="A1581" s="20" t="n"/>
      <c r="B1581" s="20" t="n"/>
      <c r="C1581" s="20" t="n"/>
      <c r="D1581" s="20" t="n"/>
      <c r="E1581" s="20" t="n"/>
      <c r="F1581" s="20" t="n"/>
      <c r="G1581" s="20" t="n"/>
      <c r="H1581" s="20" t="n"/>
      <c r="I1581" s="20" t="n"/>
      <c r="J1581" s="20">
        <f>IFERROR(INDEX(CONFIGURACOES!$G$37:$G$300,MATCH($I1581,CONFIGURACOES!$B$37:$B$300,0)),"")</f>
        <v/>
      </c>
      <c r="K1581" s="20">
        <f>IFERROR(INDEX(CONFIGURACOES!$H$37:$H$300,MATCH($I1581,CONFIGURACOES!$B$37:$B$300,0)),"")</f>
        <v/>
      </c>
      <c r="L1581" s="20" t="n"/>
      <c r="M1581" s="20">
        <f>IFERROR(INDEX(CONFIGURACOES!$I$37:$I$300,MATCH($I1581,CONFIGURACOES!$B$37:$B$300,0)),"")</f>
        <v/>
      </c>
      <c r="N1581" s="21" t="n"/>
      <c r="O1581" s="21" t="n"/>
      <c r="P1581" s="21" t="n"/>
      <c r="Q1581" s="21" t="n"/>
      <c r="R1581" s="21">
        <f>IF($N1581="","",$N1581*IF($Q1581="",1,$Q1581)*IF($P1581="",1,$P1581)*IF($O1581="",1,$O1581))</f>
        <v/>
      </c>
      <c r="S1581" s="22">
        <f>IFERROR(INDEX(CONFIGURACOES!$J$37:$J$300,MATCH($I1581,CONFIGURACOES!$B$37:$B$300,0)),"")</f>
        <v/>
      </c>
      <c r="T1581" s="22">
        <f>IF(OR($R1581="",$S1581=""),"",$R1581*$S1581)</f>
        <v/>
      </c>
      <c r="U1581" s="20" t="n"/>
      <c r="V1581" s="20" t="n"/>
      <c r="W1581" s="20" t="n"/>
      <c r="X1581">
        <f>IF($A1581="","",$A1581&amp;"|"&amp;$C1581&amp;"|"&amp;$I1581)</f>
        <v/>
      </c>
      <c r="Y1581">
        <f>IF(AND($A1581=RELATORIO_MEDICAO!$C$5,$C1581=RELATORIO_MEDICAO!$F$5,$A1581&lt;&gt;""),COUNTIFS($A$3:$A1581,RELATORIO_MEDICAO!$C$5,$C$3:$C1581,RELATORIO_MEDICAO!$F$5),"")</f>
        <v/>
      </c>
      <c r="Z1581">
        <f>IF(OR($A1581="",PESQUISA!$C$4=""),0,IF(OR(ISNUMBER(SEARCH(PESQUISA!$C$4,$G1581)),ISNUMBER(SEARCH(PESQUISA!$C$4,$K1581)),ISNUMBER(SEARCH(PESQUISA!$C$4,$L1581))),1,0))</f>
        <v/>
      </c>
      <c r="AA1581">
        <f>IF($Z1581=1,SUM($Z$3:$Z1581),"")</f>
        <v/>
      </c>
      <c r="AB1581">
        <f>IF(OR($A1581="",PESQUISA!$C$50=""),0,IF(ISNUMBER(SEARCH(PESQUISA!$C$50,$I1581)),1,0))</f>
        <v/>
      </c>
      <c r="AC1581">
        <f>IF($AB1581=1,SUM($AB$3:$AB1581),"")</f>
        <v/>
      </c>
    </row>
    <row r="1582">
      <c r="A1582" s="20" t="n"/>
      <c r="B1582" s="20" t="n"/>
      <c r="C1582" s="20" t="n"/>
      <c r="D1582" s="20" t="n"/>
      <c r="E1582" s="20" t="n"/>
      <c r="F1582" s="20" t="n"/>
      <c r="G1582" s="20" t="n"/>
      <c r="H1582" s="20" t="n"/>
      <c r="I1582" s="20" t="n"/>
      <c r="J1582" s="20">
        <f>IFERROR(INDEX(CONFIGURACOES!$G$37:$G$300,MATCH($I1582,CONFIGURACOES!$B$37:$B$300,0)),"")</f>
        <v/>
      </c>
      <c r="K1582" s="20">
        <f>IFERROR(INDEX(CONFIGURACOES!$H$37:$H$300,MATCH($I1582,CONFIGURACOES!$B$37:$B$300,0)),"")</f>
        <v/>
      </c>
      <c r="L1582" s="20" t="n"/>
      <c r="M1582" s="20">
        <f>IFERROR(INDEX(CONFIGURACOES!$I$37:$I$300,MATCH($I1582,CONFIGURACOES!$B$37:$B$300,0)),"")</f>
        <v/>
      </c>
      <c r="N1582" s="21" t="n"/>
      <c r="O1582" s="21" t="n"/>
      <c r="P1582" s="21" t="n"/>
      <c r="Q1582" s="21" t="n"/>
      <c r="R1582" s="21">
        <f>IF($N1582="","",$N1582*IF($Q1582="",1,$Q1582)*IF($P1582="",1,$P1582)*IF($O1582="",1,$O1582))</f>
        <v/>
      </c>
      <c r="S1582" s="22">
        <f>IFERROR(INDEX(CONFIGURACOES!$J$37:$J$300,MATCH($I1582,CONFIGURACOES!$B$37:$B$300,0)),"")</f>
        <v/>
      </c>
      <c r="T1582" s="22">
        <f>IF(OR($R1582="",$S1582=""),"",$R1582*$S1582)</f>
        <v/>
      </c>
      <c r="U1582" s="20" t="n"/>
      <c r="V1582" s="20" t="n"/>
      <c r="W1582" s="20" t="n"/>
      <c r="X1582">
        <f>IF($A1582="","",$A1582&amp;"|"&amp;$C1582&amp;"|"&amp;$I1582)</f>
        <v/>
      </c>
      <c r="Y1582">
        <f>IF(AND($A1582=RELATORIO_MEDICAO!$C$5,$C1582=RELATORIO_MEDICAO!$F$5,$A1582&lt;&gt;""),COUNTIFS($A$3:$A1582,RELATORIO_MEDICAO!$C$5,$C$3:$C1582,RELATORIO_MEDICAO!$F$5),"")</f>
        <v/>
      </c>
      <c r="Z1582">
        <f>IF(OR($A1582="",PESQUISA!$C$4=""),0,IF(OR(ISNUMBER(SEARCH(PESQUISA!$C$4,$G1582)),ISNUMBER(SEARCH(PESQUISA!$C$4,$K1582)),ISNUMBER(SEARCH(PESQUISA!$C$4,$L1582))),1,0))</f>
        <v/>
      </c>
      <c r="AA1582">
        <f>IF($Z1582=1,SUM($Z$3:$Z1582),"")</f>
        <v/>
      </c>
      <c r="AB1582">
        <f>IF(OR($A1582="",PESQUISA!$C$50=""),0,IF(ISNUMBER(SEARCH(PESQUISA!$C$50,$I1582)),1,0))</f>
        <v/>
      </c>
      <c r="AC1582">
        <f>IF($AB1582=1,SUM($AB$3:$AB1582),"")</f>
        <v/>
      </c>
    </row>
    <row r="1583">
      <c r="A1583" s="20" t="n"/>
      <c r="B1583" s="20" t="n"/>
      <c r="C1583" s="20" t="n"/>
      <c r="D1583" s="20" t="n"/>
      <c r="E1583" s="20" t="n"/>
      <c r="F1583" s="20" t="n"/>
      <c r="G1583" s="20" t="n"/>
      <c r="H1583" s="20" t="n"/>
      <c r="I1583" s="20" t="n"/>
      <c r="J1583" s="20">
        <f>IFERROR(INDEX(CONFIGURACOES!$G$37:$G$300,MATCH($I1583,CONFIGURACOES!$B$37:$B$300,0)),"")</f>
        <v/>
      </c>
      <c r="K1583" s="20">
        <f>IFERROR(INDEX(CONFIGURACOES!$H$37:$H$300,MATCH($I1583,CONFIGURACOES!$B$37:$B$300,0)),"")</f>
        <v/>
      </c>
      <c r="L1583" s="20" t="n"/>
      <c r="M1583" s="20">
        <f>IFERROR(INDEX(CONFIGURACOES!$I$37:$I$300,MATCH($I1583,CONFIGURACOES!$B$37:$B$300,0)),"")</f>
        <v/>
      </c>
      <c r="N1583" s="21" t="n"/>
      <c r="O1583" s="21" t="n"/>
      <c r="P1583" s="21" t="n"/>
      <c r="Q1583" s="21" t="n"/>
      <c r="R1583" s="21">
        <f>IF($N1583="","",$N1583*IF($Q1583="",1,$Q1583)*IF($P1583="",1,$P1583)*IF($O1583="",1,$O1583))</f>
        <v/>
      </c>
      <c r="S1583" s="22">
        <f>IFERROR(INDEX(CONFIGURACOES!$J$37:$J$300,MATCH($I1583,CONFIGURACOES!$B$37:$B$300,0)),"")</f>
        <v/>
      </c>
      <c r="T1583" s="22">
        <f>IF(OR($R1583="",$S1583=""),"",$R1583*$S1583)</f>
        <v/>
      </c>
      <c r="U1583" s="20" t="n"/>
      <c r="V1583" s="20" t="n"/>
      <c r="W1583" s="20" t="n"/>
      <c r="X1583">
        <f>IF($A1583="","",$A1583&amp;"|"&amp;$C1583&amp;"|"&amp;$I1583)</f>
        <v/>
      </c>
      <c r="Y1583">
        <f>IF(AND($A1583=RELATORIO_MEDICAO!$C$5,$C1583=RELATORIO_MEDICAO!$F$5,$A1583&lt;&gt;""),COUNTIFS($A$3:$A1583,RELATORIO_MEDICAO!$C$5,$C$3:$C1583,RELATORIO_MEDICAO!$F$5),"")</f>
        <v/>
      </c>
      <c r="Z1583">
        <f>IF(OR($A1583="",PESQUISA!$C$4=""),0,IF(OR(ISNUMBER(SEARCH(PESQUISA!$C$4,$G1583)),ISNUMBER(SEARCH(PESQUISA!$C$4,$K1583)),ISNUMBER(SEARCH(PESQUISA!$C$4,$L1583))),1,0))</f>
        <v/>
      </c>
      <c r="AA1583">
        <f>IF($Z1583=1,SUM($Z$3:$Z1583),"")</f>
        <v/>
      </c>
      <c r="AB1583">
        <f>IF(OR($A1583="",PESQUISA!$C$50=""),0,IF(ISNUMBER(SEARCH(PESQUISA!$C$50,$I1583)),1,0))</f>
        <v/>
      </c>
      <c r="AC1583">
        <f>IF($AB1583=1,SUM($AB$3:$AB1583),"")</f>
        <v/>
      </c>
    </row>
    <row r="1584">
      <c r="A1584" s="20" t="n"/>
      <c r="B1584" s="20" t="n"/>
      <c r="C1584" s="20" t="n"/>
      <c r="D1584" s="20" t="n"/>
      <c r="E1584" s="20" t="n"/>
      <c r="F1584" s="20" t="n"/>
      <c r="G1584" s="20" t="n"/>
      <c r="H1584" s="20" t="n"/>
      <c r="I1584" s="20" t="n"/>
      <c r="J1584" s="20">
        <f>IFERROR(INDEX(CONFIGURACOES!$G$37:$G$300,MATCH($I1584,CONFIGURACOES!$B$37:$B$300,0)),"")</f>
        <v/>
      </c>
      <c r="K1584" s="20">
        <f>IFERROR(INDEX(CONFIGURACOES!$H$37:$H$300,MATCH($I1584,CONFIGURACOES!$B$37:$B$300,0)),"")</f>
        <v/>
      </c>
      <c r="L1584" s="20" t="n"/>
      <c r="M1584" s="20">
        <f>IFERROR(INDEX(CONFIGURACOES!$I$37:$I$300,MATCH($I1584,CONFIGURACOES!$B$37:$B$300,0)),"")</f>
        <v/>
      </c>
      <c r="N1584" s="21" t="n"/>
      <c r="O1584" s="21" t="n"/>
      <c r="P1584" s="21" t="n"/>
      <c r="Q1584" s="21" t="n"/>
      <c r="R1584" s="21">
        <f>IF($N1584="","",$N1584*IF($Q1584="",1,$Q1584)*IF($P1584="",1,$P1584)*IF($O1584="",1,$O1584))</f>
        <v/>
      </c>
      <c r="S1584" s="22">
        <f>IFERROR(INDEX(CONFIGURACOES!$J$37:$J$300,MATCH($I1584,CONFIGURACOES!$B$37:$B$300,0)),"")</f>
        <v/>
      </c>
      <c r="T1584" s="22">
        <f>IF(OR($R1584="",$S1584=""),"",$R1584*$S1584)</f>
        <v/>
      </c>
      <c r="U1584" s="20" t="n"/>
      <c r="V1584" s="20" t="n"/>
      <c r="W1584" s="20" t="n"/>
      <c r="X1584">
        <f>IF($A1584="","",$A1584&amp;"|"&amp;$C1584&amp;"|"&amp;$I1584)</f>
        <v/>
      </c>
      <c r="Y1584">
        <f>IF(AND($A1584=RELATORIO_MEDICAO!$C$5,$C1584=RELATORIO_MEDICAO!$F$5,$A1584&lt;&gt;""),COUNTIFS($A$3:$A1584,RELATORIO_MEDICAO!$C$5,$C$3:$C1584,RELATORIO_MEDICAO!$F$5),"")</f>
        <v/>
      </c>
      <c r="Z1584">
        <f>IF(OR($A1584="",PESQUISA!$C$4=""),0,IF(OR(ISNUMBER(SEARCH(PESQUISA!$C$4,$G1584)),ISNUMBER(SEARCH(PESQUISA!$C$4,$K1584)),ISNUMBER(SEARCH(PESQUISA!$C$4,$L1584))),1,0))</f>
        <v/>
      </c>
      <c r="AA1584">
        <f>IF($Z1584=1,SUM($Z$3:$Z1584),"")</f>
        <v/>
      </c>
      <c r="AB1584">
        <f>IF(OR($A1584="",PESQUISA!$C$50=""),0,IF(ISNUMBER(SEARCH(PESQUISA!$C$50,$I1584)),1,0))</f>
        <v/>
      </c>
      <c r="AC1584">
        <f>IF($AB1584=1,SUM($AB$3:$AB1584),"")</f>
        <v/>
      </c>
    </row>
    <row r="1585">
      <c r="A1585" s="20" t="n"/>
      <c r="B1585" s="20" t="n"/>
      <c r="C1585" s="20" t="n"/>
      <c r="D1585" s="20" t="n"/>
      <c r="E1585" s="20" t="n"/>
      <c r="F1585" s="20" t="n"/>
      <c r="G1585" s="20" t="n"/>
      <c r="H1585" s="20" t="n"/>
      <c r="I1585" s="20" t="n"/>
      <c r="J1585" s="20">
        <f>IFERROR(INDEX(CONFIGURACOES!$G$37:$G$300,MATCH($I1585,CONFIGURACOES!$B$37:$B$300,0)),"")</f>
        <v/>
      </c>
      <c r="K1585" s="20">
        <f>IFERROR(INDEX(CONFIGURACOES!$H$37:$H$300,MATCH($I1585,CONFIGURACOES!$B$37:$B$300,0)),"")</f>
        <v/>
      </c>
      <c r="L1585" s="20" t="n"/>
      <c r="M1585" s="20">
        <f>IFERROR(INDEX(CONFIGURACOES!$I$37:$I$300,MATCH($I1585,CONFIGURACOES!$B$37:$B$300,0)),"")</f>
        <v/>
      </c>
      <c r="N1585" s="21" t="n"/>
      <c r="O1585" s="21" t="n"/>
      <c r="P1585" s="21" t="n"/>
      <c r="Q1585" s="21" t="n"/>
      <c r="R1585" s="21">
        <f>IF($N1585="","",$N1585*IF($Q1585="",1,$Q1585)*IF($P1585="",1,$P1585)*IF($O1585="",1,$O1585))</f>
        <v/>
      </c>
      <c r="S1585" s="22">
        <f>IFERROR(INDEX(CONFIGURACOES!$J$37:$J$300,MATCH($I1585,CONFIGURACOES!$B$37:$B$300,0)),"")</f>
        <v/>
      </c>
      <c r="T1585" s="22">
        <f>IF(OR($R1585="",$S1585=""),"",$R1585*$S1585)</f>
        <v/>
      </c>
      <c r="U1585" s="20" t="n"/>
      <c r="V1585" s="20" t="n"/>
      <c r="W1585" s="20" t="n"/>
      <c r="X1585">
        <f>IF($A1585="","",$A1585&amp;"|"&amp;$C1585&amp;"|"&amp;$I1585)</f>
        <v/>
      </c>
      <c r="Y1585">
        <f>IF(AND($A1585=RELATORIO_MEDICAO!$C$5,$C1585=RELATORIO_MEDICAO!$F$5,$A1585&lt;&gt;""),COUNTIFS($A$3:$A1585,RELATORIO_MEDICAO!$C$5,$C$3:$C1585,RELATORIO_MEDICAO!$F$5),"")</f>
        <v/>
      </c>
      <c r="Z1585">
        <f>IF(OR($A1585="",PESQUISA!$C$4=""),0,IF(OR(ISNUMBER(SEARCH(PESQUISA!$C$4,$G1585)),ISNUMBER(SEARCH(PESQUISA!$C$4,$K1585)),ISNUMBER(SEARCH(PESQUISA!$C$4,$L1585))),1,0))</f>
        <v/>
      </c>
      <c r="AA1585">
        <f>IF($Z1585=1,SUM($Z$3:$Z1585),"")</f>
        <v/>
      </c>
      <c r="AB1585">
        <f>IF(OR($A1585="",PESQUISA!$C$50=""),0,IF(ISNUMBER(SEARCH(PESQUISA!$C$50,$I1585)),1,0))</f>
        <v/>
      </c>
      <c r="AC1585">
        <f>IF($AB1585=1,SUM($AB$3:$AB1585),"")</f>
        <v/>
      </c>
    </row>
    <row r="1586">
      <c r="A1586" s="20" t="n"/>
      <c r="B1586" s="20" t="n"/>
      <c r="C1586" s="20" t="n"/>
      <c r="D1586" s="20" t="n"/>
      <c r="E1586" s="20" t="n"/>
      <c r="F1586" s="20" t="n"/>
      <c r="G1586" s="20" t="n"/>
      <c r="H1586" s="20" t="n"/>
      <c r="I1586" s="20" t="n"/>
      <c r="J1586" s="20">
        <f>IFERROR(INDEX(CONFIGURACOES!$G$37:$G$300,MATCH($I1586,CONFIGURACOES!$B$37:$B$300,0)),"")</f>
        <v/>
      </c>
      <c r="K1586" s="20">
        <f>IFERROR(INDEX(CONFIGURACOES!$H$37:$H$300,MATCH($I1586,CONFIGURACOES!$B$37:$B$300,0)),"")</f>
        <v/>
      </c>
      <c r="L1586" s="20" t="n"/>
      <c r="M1586" s="20">
        <f>IFERROR(INDEX(CONFIGURACOES!$I$37:$I$300,MATCH($I1586,CONFIGURACOES!$B$37:$B$300,0)),"")</f>
        <v/>
      </c>
      <c r="N1586" s="21" t="n"/>
      <c r="O1586" s="21" t="n"/>
      <c r="P1586" s="21" t="n"/>
      <c r="Q1586" s="21" t="n"/>
      <c r="R1586" s="21">
        <f>IF($N1586="","",$N1586*IF($Q1586="",1,$Q1586)*IF($P1586="",1,$P1586)*IF($O1586="",1,$O1586))</f>
        <v/>
      </c>
      <c r="S1586" s="22">
        <f>IFERROR(INDEX(CONFIGURACOES!$J$37:$J$300,MATCH($I1586,CONFIGURACOES!$B$37:$B$300,0)),"")</f>
        <v/>
      </c>
      <c r="T1586" s="22">
        <f>IF(OR($R1586="",$S1586=""),"",$R1586*$S1586)</f>
        <v/>
      </c>
      <c r="U1586" s="20" t="n"/>
      <c r="V1586" s="20" t="n"/>
      <c r="W1586" s="20" t="n"/>
      <c r="X1586">
        <f>IF($A1586="","",$A1586&amp;"|"&amp;$C1586&amp;"|"&amp;$I1586)</f>
        <v/>
      </c>
      <c r="Y1586">
        <f>IF(AND($A1586=RELATORIO_MEDICAO!$C$5,$C1586=RELATORIO_MEDICAO!$F$5,$A1586&lt;&gt;""),COUNTIFS($A$3:$A1586,RELATORIO_MEDICAO!$C$5,$C$3:$C1586,RELATORIO_MEDICAO!$F$5),"")</f>
        <v/>
      </c>
      <c r="Z1586">
        <f>IF(OR($A1586="",PESQUISA!$C$4=""),0,IF(OR(ISNUMBER(SEARCH(PESQUISA!$C$4,$G1586)),ISNUMBER(SEARCH(PESQUISA!$C$4,$K1586)),ISNUMBER(SEARCH(PESQUISA!$C$4,$L1586))),1,0))</f>
        <v/>
      </c>
      <c r="AA1586">
        <f>IF($Z1586=1,SUM($Z$3:$Z1586),"")</f>
        <v/>
      </c>
      <c r="AB1586">
        <f>IF(OR($A1586="",PESQUISA!$C$50=""),0,IF(ISNUMBER(SEARCH(PESQUISA!$C$50,$I1586)),1,0))</f>
        <v/>
      </c>
      <c r="AC1586">
        <f>IF($AB1586=1,SUM($AB$3:$AB1586),"")</f>
        <v/>
      </c>
    </row>
    <row r="1587">
      <c r="A1587" s="20" t="n"/>
      <c r="B1587" s="20" t="n"/>
      <c r="C1587" s="20" t="n"/>
      <c r="D1587" s="20" t="n"/>
      <c r="E1587" s="20" t="n"/>
      <c r="F1587" s="20" t="n"/>
      <c r="G1587" s="20" t="n"/>
      <c r="H1587" s="20" t="n"/>
      <c r="I1587" s="20" t="n"/>
      <c r="J1587" s="20">
        <f>IFERROR(INDEX(CONFIGURACOES!$G$37:$G$300,MATCH($I1587,CONFIGURACOES!$B$37:$B$300,0)),"")</f>
        <v/>
      </c>
      <c r="K1587" s="20">
        <f>IFERROR(INDEX(CONFIGURACOES!$H$37:$H$300,MATCH($I1587,CONFIGURACOES!$B$37:$B$300,0)),"")</f>
        <v/>
      </c>
      <c r="L1587" s="20" t="n"/>
      <c r="M1587" s="20">
        <f>IFERROR(INDEX(CONFIGURACOES!$I$37:$I$300,MATCH($I1587,CONFIGURACOES!$B$37:$B$300,0)),"")</f>
        <v/>
      </c>
      <c r="N1587" s="21" t="n"/>
      <c r="O1587" s="21" t="n"/>
      <c r="P1587" s="21" t="n"/>
      <c r="Q1587" s="21" t="n"/>
      <c r="R1587" s="21">
        <f>IF($N1587="","",$N1587*IF($Q1587="",1,$Q1587)*IF($P1587="",1,$P1587)*IF($O1587="",1,$O1587))</f>
        <v/>
      </c>
      <c r="S1587" s="22">
        <f>IFERROR(INDEX(CONFIGURACOES!$J$37:$J$300,MATCH($I1587,CONFIGURACOES!$B$37:$B$300,0)),"")</f>
        <v/>
      </c>
      <c r="T1587" s="22">
        <f>IF(OR($R1587="",$S1587=""),"",$R1587*$S1587)</f>
        <v/>
      </c>
      <c r="U1587" s="20" t="n"/>
      <c r="V1587" s="20" t="n"/>
      <c r="W1587" s="20" t="n"/>
      <c r="X1587">
        <f>IF($A1587="","",$A1587&amp;"|"&amp;$C1587&amp;"|"&amp;$I1587)</f>
        <v/>
      </c>
      <c r="Y1587">
        <f>IF(AND($A1587=RELATORIO_MEDICAO!$C$5,$C1587=RELATORIO_MEDICAO!$F$5,$A1587&lt;&gt;""),COUNTIFS($A$3:$A1587,RELATORIO_MEDICAO!$C$5,$C$3:$C1587,RELATORIO_MEDICAO!$F$5),"")</f>
        <v/>
      </c>
      <c r="Z1587">
        <f>IF(OR($A1587="",PESQUISA!$C$4=""),0,IF(OR(ISNUMBER(SEARCH(PESQUISA!$C$4,$G1587)),ISNUMBER(SEARCH(PESQUISA!$C$4,$K1587)),ISNUMBER(SEARCH(PESQUISA!$C$4,$L1587))),1,0))</f>
        <v/>
      </c>
      <c r="AA1587">
        <f>IF($Z1587=1,SUM($Z$3:$Z1587),"")</f>
        <v/>
      </c>
      <c r="AB1587">
        <f>IF(OR($A1587="",PESQUISA!$C$50=""),0,IF(ISNUMBER(SEARCH(PESQUISA!$C$50,$I1587)),1,0))</f>
        <v/>
      </c>
      <c r="AC1587">
        <f>IF($AB1587=1,SUM($AB$3:$AB1587),"")</f>
        <v/>
      </c>
    </row>
    <row r="1588">
      <c r="A1588" s="20" t="n"/>
      <c r="B1588" s="20" t="n"/>
      <c r="C1588" s="20" t="n"/>
      <c r="D1588" s="20" t="n"/>
      <c r="E1588" s="20" t="n"/>
      <c r="F1588" s="20" t="n"/>
      <c r="G1588" s="20" t="n"/>
      <c r="H1588" s="20" t="n"/>
      <c r="I1588" s="20" t="n"/>
      <c r="J1588" s="20">
        <f>IFERROR(INDEX(CONFIGURACOES!$G$37:$G$300,MATCH($I1588,CONFIGURACOES!$B$37:$B$300,0)),"")</f>
        <v/>
      </c>
      <c r="K1588" s="20">
        <f>IFERROR(INDEX(CONFIGURACOES!$H$37:$H$300,MATCH($I1588,CONFIGURACOES!$B$37:$B$300,0)),"")</f>
        <v/>
      </c>
      <c r="L1588" s="20" t="n"/>
      <c r="M1588" s="20">
        <f>IFERROR(INDEX(CONFIGURACOES!$I$37:$I$300,MATCH($I1588,CONFIGURACOES!$B$37:$B$300,0)),"")</f>
        <v/>
      </c>
      <c r="N1588" s="21" t="n"/>
      <c r="O1588" s="21" t="n"/>
      <c r="P1588" s="21" t="n"/>
      <c r="Q1588" s="21" t="n"/>
      <c r="R1588" s="21">
        <f>IF($N1588="","",$N1588*IF($Q1588="",1,$Q1588)*IF($P1588="",1,$P1588)*IF($O1588="",1,$O1588))</f>
        <v/>
      </c>
      <c r="S1588" s="22">
        <f>IFERROR(INDEX(CONFIGURACOES!$J$37:$J$300,MATCH($I1588,CONFIGURACOES!$B$37:$B$300,0)),"")</f>
        <v/>
      </c>
      <c r="T1588" s="22">
        <f>IF(OR($R1588="",$S1588=""),"",$R1588*$S1588)</f>
        <v/>
      </c>
      <c r="U1588" s="20" t="n"/>
      <c r="V1588" s="20" t="n"/>
      <c r="W1588" s="20" t="n"/>
      <c r="X1588">
        <f>IF($A1588="","",$A1588&amp;"|"&amp;$C1588&amp;"|"&amp;$I1588)</f>
        <v/>
      </c>
      <c r="Y1588">
        <f>IF(AND($A1588=RELATORIO_MEDICAO!$C$5,$C1588=RELATORIO_MEDICAO!$F$5,$A1588&lt;&gt;""),COUNTIFS($A$3:$A1588,RELATORIO_MEDICAO!$C$5,$C$3:$C1588,RELATORIO_MEDICAO!$F$5),"")</f>
        <v/>
      </c>
      <c r="Z1588">
        <f>IF(OR($A1588="",PESQUISA!$C$4=""),0,IF(OR(ISNUMBER(SEARCH(PESQUISA!$C$4,$G1588)),ISNUMBER(SEARCH(PESQUISA!$C$4,$K1588)),ISNUMBER(SEARCH(PESQUISA!$C$4,$L1588))),1,0))</f>
        <v/>
      </c>
      <c r="AA1588">
        <f>IF($Z1588=1,SUM($Z$3:$Z1588),"")</f>
        <v/>
      </c>
      <c r="AB1588">
        <f>IF(OR($A1588="",PESQUISA!$C$50=""),0,IF(ISNUMBER(SEARCH(PESQUISA!$C$50,$I1588)),1,0))</f>
        <v/>
      </c>
      <c r="AC1588">
        <f>IF($AB1588=1,SUM($AB$3:$AB1588),"")</f>
        <v/>
      </c>
    </row>
    <row r="1589">
      <c r="A1589" s="20" t="n"/>
      <c r="B1589" s="20" t="n"/>
      <c r="C1589" s="20" t="n"/>
      <c r="D1589" s="20" t="n"/>
      <c r="E1589" s="20" t="n"/>
      <c r="F1589" s="20" t="n"/>
      <c r="G1589" s="20" t="n"/>
      <c r="H1589" s="20" t="n"/>
      <c r="I1589" s="20" t="n"/>
      <c r="J1589" s="20">
        <f>IFERROR(INDEX(CONFIGURACOES!$G$37:$G$300,MATCH($I1589,CONFIGURACOES!$B$37:$B$300,0)),"")</f>
        <v/>
      </c>
      <c r="K1589" s="20">
        <f>IFERROR(INDEX(CONFIGURACOES!$H$37:$H$300,MATCH($I1589,CONFIGURACOES!$B$37:$B$300,0)),"")</f>
        <v/>
      </c>
      <c r="L1589" s="20" t="n"/>
      <c r="M1589" s="20">
        <f>IFERROR(INDEX(CONFIGURACOES!$I$37:$I$300,MATCH($I1589,CONFIGURACOES!$B$37:$B$300,0)),"")</f>
        <v/>
      </c>
      <c r="N1589" s="21" t="n"/>
      <c r="O1589" s="21" t="n"/>
      <c r="P1589" s="21" t="n"/>
      <c r="Q1589" s="21" t="n"/>
      <c r="R1589" s="21">
        <f>IF($N1589="","",$N1589*IF($Q1589="",1,$Q1589)*IF($P1589="",1,$P1589)*IF($O1589="",1,$O1589))</f>
        <v/>
      </c>
      <c r="S1589" s="22">
        <f>IFERROR(INDEX(CONFIGURACOES!$J$37:$J$300,MATCH($I1589,CONFIGURACOES!$B$37:$B$300,0)),"")</f>
        <v/>
      </c>
      <c r="T1589" s="22">
        <f>IF(OR($R1589="",$S1589=""),"",$R1589*$S1589)</f>
        <v/>
      </c>
      <c r="U1589" s="20" t="n"/>
      <c r="V1589" s="20" t="n"/>
      <c r="W1589" s="20" t="n"/>
      <c r="X1589">
        <f>IF($A1589="","",$A1589&amp;"|"&amp;$C1589&amp;"|"&amp;$I1589)</f>
        <v/>
      </c>
      <c r="Y1589">
        <f>IF(AND($A1589=RELATORIO_MEDICAO!$C$5,$C1589=RELATORIO_MEDICAO!$F$5,$A1589&lt;&gt;""),COUNTIFS($A$3:$A1589,RELATORIO_MEDICAO!$C$5,$C$3:$C1589,RELATORIO_MEDICAO!$F$5),"")</f>
        <v/>
      </c>
      <c r="Z1589">
        <f>IF(OR($A1589="",PESQUISA!$C$4=""),0,IF(OR(ISNUMBER(SEARCH(PESQUISA!$C$4,$G1589)),ISNUMBER(SEARCH(PESQUISA!$C$4,$K1589)),ISNUMBER(SEARCH(PESQUISA!$C$4,$L1589))),1,0))</f>
        <v/>
      </c>
      <c r="AA1589">
        <f>IF($Z1589=1,SUM($Z$3:$Z1589),"")</f>
        <v/>
      </c>
      <c r="AB1589">
        <f>IF(OR($A1589="",PESQUISA!$C$50=""),0,IF(ISNUMBER(SEARCH(PESQUISA!$C$50,$I1589)),1,0))</f>
        <v/>
      </c>
      <c r="AC1589">
        <f>IF($AB1589=1,SUM($AB$3:$AB1589),"")</f>
        <v/>
      </c>
    </row>
    <row r="1590">
      <c r="A1590" s="20" t="n"/>
      <c r="B1590" s="20" t="n"/>
      <c r="C1590" s="20" t="n"/>
      <c r="D1590" s="20" t="n"/>
      <c r="E1590" s="20" t="n"/>
      <c r="F1590" s="20" t="n"/>
      <c r="G1590" s="20" t="n"/>
      <c r="H1590" s="20" t="n"/>
      <c r="I1590" s="20" t="n"/>
      <c r="J1590" s="20">
        <f>IFERROR(INDEX(CONFIGURACOES!$G$37:$G$300,MATCH($I1590,CONFIGURACOES!$B$37:$B$300,0)),"")</f>
        <v/>
      </c>
      <c r="K1590" s="20">
        <f>IFERROR(INDEX(CONFIGURACOES!$H$37:$H$300,MATCH($I1590,CONFIGURACOES!$B$37:$B$300,0)),"")</f>
        <v/>
      </c>
      <c r="L1590" s="20" t="n"/>
      <c r="M1590" s="20">
        <f>IFERROR(INDEX(CONFIGURACOES!$I$37:$I$300,MATCH($I1590,CONFIGURACOES!$B$37:$B$300,0)),"")</f>
        <v/>
      </c>
      <c r="N1590" s="21" t="n"/>
      <c r="O1590" s="21" t="n"/>
      <c r="P1590" s="21" t="n"/>
      <c r="Q1590" s="21" t="n"/>
      <c r="R1590" s="21">
        <f>IF($N1590="","",$N1590*IF($Q1590="",1,$Q1590)*IF($P1590="",1,$P1590)*IF($O1590="",1,$O1590))</f>
        <v/>
      </c>
      <c r="S1590" s="22">
        <f>IFERROR(INDEX(CONFIGURACOES!$J$37:$J$300,MATCH($I1590,CONFIGURACOES!$B$37:$B$300,0)),"")</f>
        <v/>
      </c>
      <c r="T1590" s="22">
        <f>IF(OR($R1590="",$S1590=""),"",$R1590*$S1590)</f>
        <v/>
      </c>
      <c r="U1590" s="20" t="n"/>
      <c r="V1590" s="20" t="n"/>
      <c r="W1590" s="20" t="n"/>
      <c r="X1590">
        <f>IF($A1590="","",$A1590&amp;"|"&amp;$C1590&amp;"|"&amp;$I1590)</f>
        <v/>
      </c>
      <c r="Y1590">
        <f>IF(AND($A1590=RELATORIO_MEDICAO!$C$5,$C1590=RELATORIO_MEDICAO!$F$5,$A1590&lt;&gt;""),COUNTIFS($A$3:$A1590,RELATORIO_MEDICAO!$C$5,$C$3:$C1590,RELATORIO_MEDICAO!$F$5),"")</f>
        <v/>
      </c>
      <c r="Z1590">
        <f>IF(OR($A1590="",PESQUISA!$C$4=""),0,IF(OR(ISNUMBER(SEARCH(PESQUISA!$C$4,$G1590)),ISNUMBER(SEARCH(PESQUISA!$C$4,$K1590)),ISNUMBER(SEARCH(PESQUISA!$C$4,$L1590))),1,0))</f>
        <v/>
      </c>
      <c r="AA1590">
        <f>IF($Z1590=1,SUM($Z$3:$Z1590),"")</f>
        <v/>
      </c>
      <c r="AB1590">
        <f>IF(OR($A1590="",PESQUISA!$C$50=""),0,IF(ISNUMBER(SEARCH(PESQUISA!$C$50,$I1590)),1,0))</f>
        <v/>
      </c>
      <c r="AC1590">
        <f>IF($AB1590=1,SUM($AB$3:$AB1590),"")</f>
        <v/>
      </c>
    </row>
    <row r="1591">
      <c r="A1591" s="20" t="n"/>
      <c r="B1591" s="20" t="n"/>
      <c r="C1591" s="20" t="n"/>
      <c r="D1591" s="20" t="n"/>
      <c r="E1591" s="20" t="n"/>
      <c r="F1591" s="20" t="n"/>
      <c r="G1591" s="20" t="n"/>
      <c r="H1591" s="20" t="n"/>
      <c r="I1591" s="20" t="n"/>
      <c r="J1591" s="20">
        <f>IFERROR(INDEX(CONFIGURACOES!$G$37:$G$300,MATCH($I1591,CONFIGURACOES!$B$37:$B$300,0)),"")</f>
        <v/>
      </c>
      <c r="K1591" s="20">
        <f>IFERROR(INDEX(CONFIGURACOES!$H$37:$H$300,MATCH($I1591,CONFIGURACOES!$B$37:$B$300,0)),"")</f>
        <v/>
      </c>
      <c r="L1591" s="20" t="n"/>
      <c r="M1591" s="20">
        <f>IFERROR(INDEX(CONFIGURACOES!$I$37:$I$300,MATCH($I1591,CONFIGURACOES!$B$37:$B$300,0)),"")</f>
        <v/>
      </c>
      <c r="N1591" s="21" t="n"/>
      <c r="O1591" s="21" t="n"/>
      <c r="P1591" s="21" t="n"/>
      <c r="Q1591" s="21" t="n"/>
      <c r="R1591" s="21">
        <f>IF($N1591="","",$N1591*IF($Q1591="",1,$Q1591)*IF($P1591="",1,$P1591)*IF($O1591="",1,$O1591))</f>
        <v/>
      </c>
      <c r="S1591" s="22">
        <f>IFERROR(INDEX(CONFIGURACOES!$J$37:$J$300,MATCH($I1591,CONFIGURACOES!$B$37:$B$300,0)),"")</f>
        <v/>
      </c>
      <c r="T1591" s="22">
        <f>IF(OR($R1591="",$S1591=""),"",$R1591*$S1591)</f>
        <v/>
      </c>
      <c r="U1591" s="20" t="n"/>
      <c r="V1591" s="20" t="n"/>
      <c r="W1591" s="20" t="n"/>
      <c r="X1591">
        <f>IF($A1591="","",$A1591&amp;"|"&amp;$C1591&amp;"|"&amp;$I1591)</f>
        <v/>
      </c>
      <c r="Y1591">
        <f>IF(AND($A1591=RELATORIO_MEDICAO!$C$5,$C1591=RELATORIO_MEDICAO!$F$5,$A1591&lt;&gt;""),COUNTIFS($A$3:$A1591,RELATORIO_MEDICAO!$C$5,$C$3:$C1591,RELATORIO_MEDICAO!$F$5),"")</f>
        <v/>
      </c>
      <c r="Z1591">
        <f>IF(OR($A1591="",PESQUISA!$C$4=""),0,IF(OR(ISNUMBER(SEARCH(PESQUISA!$C$4,$G1591)),ISNUMBER(SEARCH(PESQUISA!$C$4,$K1591)),ISNUMBER(SEARCH(PESQUISA!$C$4,$L1591))),1,0))</f>
        <v/>
      </c>
      <c r="AA1591">
        <f>IF($Z1591=1,SUM($Z$3:$Z1591),"")</f>
        <v/>
      </c>
      <c r="AB1591">
        <f>IF(OR($A1591="",PESQUISA!$C$50=""),0,IF(ISNUMBER(SEARCH(PESQUISA!$C$50,$I1591)),1,0))</f>
        <v/>
      </c>
      <c r="AC1591">
        <f>IF($AB1591=1,SUM($AB$3:$AB1591),"")</f>
        <v/>
      </c>
    </row>
    <row r="1592">
      <c r="A1592" s="20" t="n"/>
      <c r="B1592" s="20" t="n"/>
      <c r="C1592" s="20" t="n"/>
      <c r="D1592" s="20" t="n"/>
      <c r="E1592" s="20" t="n"/>
      <c r="F1592" s="20" t="n"/>
      <c r="G1592" s="20" t="n"/>
      <c r="H1592" s="20" t="n"/>
      <c r="I1592" s="20" t="n"/>
      <c r="J1592" s="20">
        <f>IFERROR(INDEX(CONFIGURACOES!$G$37:$G$300,MATCH($I1592,CONFIGURACOES!$B$37:$B$300,0)),"")</f>
        <v/>
      </c>
      <c r="K1592" s="20">
        <f>IFERROR(INDEX(CONFIGURACOES!$H$37:$H$300,MATCH($I1592,CONFIGURACOES!$B$37:$B$300,0)),"")</f>
        <v/>
      </c>
      <c r="L1592" s="20" t="n"/>
      <c r="M1592" s="20">
        <f>IFERROR(INDEX(CONFIGURACOES!$I$37:$I$300,MATCH($I1592,CONFIGURACOES!$B$37:$B$300,0)),"")</f>
        <v/>
      </c>
      <c r="N1592" s="21" t="n"/>
      <c r="O1592" s="21" t="n"/>
      <c r="P1592" s="21" t="n"/>
      <c r="Q1592" s="21" t="n"/>
      <c r="R1592" s="21">
        <f>IF($N1592="","",$N1592*IF($Q1592="",1,$Q1592)*IF($P1592="",1,$P1592)*IF($O1592="",1,$O1592))</f>
        <v/>
      </c>
      <c r="S1592" s="22">
        <f>IFERROR(INDEX(CONFIGURACOES!$J$37:$J$300,MATCH($I1592,CONFIGURACOES!$B$37:$B$300,0)),"")</f>
        <v/>
      </c>
      <c r="T1592" s="22">
        <f>IF(OR($R1592="",$S1592=""),"",$R1592*$S1592)</f>
        <v/>
      </c>
      <c r="U1592" s="20" t="n"/>
      <c r="V1592" s="20" t="n"/>
      <c r="W1592" s="20" t="n"/>
      <c r="X1592">
        <f>IF($A1592="","",$A1592&amp;"|"&amp;$C1592&amp;"|"&amp;$I1592)</f>
        <v/>
      </c>
      <c r="Y1592">
        <f>IF(AND($A1592=RELATORIO_MEDICAO!$C$5,$C1592=RELATORIO_MEDICAO!$F$5,$A1592&lt;&gt;""),COUNTIFS($A$3:$A1592,RELATORIO_MEDICAO!$C$5,$C$3:$C1592,RELATORIO_MEDICAO!$F$5),"")</f>
        <v/>
      </c>
      <c r="Z1592">
        <f>IF(OR($A1592="",PESQUISA!$C$4=""),0,IF(OR(ISNUMBER(SEARCH(PESQUISA!$C$4,$G1592)),ISNUMBER(SEARCH(PESQUISA!$C$4,$K1592)),ISNUMBER(SEARCH(PESQUISA!$C$4,$L1592))),1,0))</f>
        <v/>
      </c>
      <c r="AA1592">
        <f>IF($Z1592=1,SUM($Z$3:$Z1592),"")</f>
        <v/>
      </c>
      <c r="AB1592">
        <f>IF(OR($A1592="",PESQUISA!$C$50=""),0,IF(ISNUMBER(SEARCH(PESQUISA!$C$50,$I1592)),1,0))</f>
        <v/>
      </c>
      <c r="AC1592">
        <f>IF($AB1592=1,SUM($AB$3:$AB1592),"")</f>
        <v/>
      </c>
    </row>
    <row r="1593">
      <c r="A1593" s="20" t="n"/>
      <c r="B1593" s="20" t="n"/>
      <c r="C1593" s="20" t="n"/>
      <c r="D1593" s="20" t="n"/>
      <c r="E1593" s="20" t="n"/>
      <c r="F1593" s="20" t="n"/>
      <c r="G1593" s="20" t="n"/>
      <c r="H1593" s="20" t="n"/>
      <c r="I1593" s="20" t="n"/>
      <c r="J1593" s="20">
        <f>IFERROR(INDEX(CONFIGURACOES!$G$37:$G$300,MATCH($I1593,CONFIGURACOES!$B$37:$B$300,0)),"")</f>
        <v/>
      </c>
      <c r="K1593" s="20">
        <f>IFERROR(INDEX(CONFIGURACOES!$H$37:$H$300,MATCH($I1593,CONFIGURACOES!$B$37:$B$300,0)),"")</f>
        <v/>
      </c>
      <c r="L1593" s="20" t="n"/>
      <c r="M1593" s="20">
        <f>IFERROR(INDEX(CONFIGURACOES!$I$37:$I$300,MATCH($I1593,CONFIGURACOES!$B$37:$B$300,0)),"")</f>
        <v/>
      </c>
      <c r="N1593" s="21" t="n"/>
      <c r="O1593" s="21" t="n"/>
      <c r="P1593" s="21" t="n"/>
      <c r="Q1593" s="21" t="n"/>
      <c r="R1593" s="21">
        <f>IF($N1593="","",$N1593*IF($Q1593="",1,$Q1593)*IF($P1593="",1,$P1593)*IF($O1593="",1,$O1593))</f>
        <v/>
      </c>
      <c r="S1593" s="22">
        <f>IFERROR(INDEX(CONFIGURACOES!$J$37:$J$300,MATCH($I1593,CONFIGURACOES!$B$37:$B$300,0)),"")</f>
        <v/>
      </c>
      <c r="T1593" s="22">
        <f>IF(OR($R1593="",$S1593=""),"",$R1593*$S1593)</f>
        <v/>
      </c>
      <c r="U1593" s="20" t="n"/>
      <c r="V1593" s="20" t="n"/>
      <c r="W1593" s="20" t="n"/>
      <c r="X1593">
        <f>IF($A1593="","",$A1593&amp;"|"&amp;$C1593&amp;"|"&amp;$I1593)</f>
        <v/>
      </c>
      <c r="Y1593">
        <f>IF(AND($A1593=RELATORIO_MEDICAO!$C$5,$C1593=RELATORIO_MEDICAO!$F$5,$A1593&lt;&gt;""),COUNTIFS($A$3:$A1593,RELATORIO_MEDICAO!$C$5,$C$3:$C1593,RELATORIO_MEDICAO!$F$5),"")</f>
        <v/>
      </c>
      <c r="Z1593">
        <f>IF(OR($A1593="",PESQUISA!$C$4=""),0,IF(OR(ISNUMBER(SEARCH(PESQUISA!$C$4,$G1593)),ISNUMBER(SEARCH(PESQUISA!$C$4,$K1593)),ISNUMBER(SEARCH(PESQUISA!$C$4,$L1593))),1,0))</f>
        <v/>
      </c>
      <c r="AA1593">
        <f>IF($Z1593=1,SUM($Z$3:$Z1593),"")</f>
        <v/>
      </c>
      <c r="AB1593">
        <f>IF(OR($A1593="",PESQUISA!$C$50=""),0,IF(ISNUMBER(SEARCH(PESQUISA!$C$50,$I1593)),1,0))</f>
        <v/>
      </c>
      <c r="AC1593">
        <f>IF($AB1593=1,SUM($AB$3:$AB1593),"")</f>
        <v/>
      </c>
    </row>
    <row r="1594">
      <c r="A1594" s="20" t="n"/>
      <c r="B1594" s="20" t="n"/>
      <c r="C1594" s="20" t="n"/>
      <c r="D1594" s="20" t="n"/>
      <c r="E1594" s="20" t="n"/>
      <c r="F1594" s="20" t="n"/>
      <c r="G1594" s="20" t="n"/>
      <c r="H1594" s="20" t="n"/>
      <c r="I1594" s="20" t="n"/>
      <c r="J1594" s="20">
        <f>IFERROR(INDEX(CONFIGURACOES!$G$37:$G$300,MATCH($I1594,CONFIGURACOES!$B$37:$B$300,0)),"")</f>
        <v/>
      </c>
      <c r="K1594" s="20">
        <f>IFERROR(INDEX(CONFIGURACOES!$H$37:$H$300,MATCH($I1594,CONFIGURACOES!$B$37:$B$300,0)),"")</f>
        <v/>
      </c>
      <c r="L1594" s="20" t="n"/>
      <c r="M1594" s="20">
        <f>IFERROR(INDEX(CONFIGURACOES!$I$37:$I$300,MATCH($I1594,CONFIGURACOES!$B$37:$B$300,0)),"")</f>
        <v/>
      </c>
      <c r="N1594" s="21" t="n"/>
      <c r="O1594" s="21" t="n"/>
      <c r="P1594" s="21" t="n"/>
      <c r="Q1594" s="21" t="n"/>
      <c r="R1594" s="21">
        <f>IF($N1594="","",$N1594*IF($Q1594="",1,$Q1594)*IF($P1594="",1,$P1594)*IF($O1594="",1,$O1594))</f>
        <v/>
      </c>
      <c r="S1594" s="22">
        <f>IFERROR(INDEX(CONFIGURACOES!$J$37:$J$300,MATCH($I1594,CONFIGURACOES!$B$37:$B$300,0)),"")</f>
        <v/>
      </c>
      <c r="T1594" s="22">
        <f>IF(OR($R1594="",$S1594=""),"",$R1594*$S1594)</f>
        <v/>
      </c>
      <c r="U1594" s="20" t="n"/>
      <c r="V1594" s="20" t="n"/>
      <c r="W1594" s="20" t="n"/>
      <c r="X1594">
        <f>IF($A1594="","",$A1594&amp;"|"&amp;$C1594&amp;"|"&amp;$I1594)</f>
        <v/>
      </c>
      <c r="Y1594">
        <f>IF(AND($A1594=RELATORIO_MEDICAO!$C$5,$C1594=RELATORIO_MEDICAO!$F$5,$A1594&lt;&gt;""),COUNTIFS($A$3:$A1594,RELATORIO_MEDICAO!$C$5,$C$3:$C1594,RELATORIO_MEDICAO!$F$5),"")</f>
        <v/>
      </c>
      <c r="Z1594">
        <f>IF(OR($A1594="",PESQUISA!$C$4=""),0,IF(OR(ISNUMBER(SEARCH(PESQUISA!$C$4,$G1594)),ISNUMBER(SEARCH(PESQUISA!$C$4,$K1594)),ISNUMBER(SEARCH(PESQUISA!$C$4,$L1594))),1,0))</f>
        <v/>
      </c>
      <c r="AA1594">
        <f>IF($Z1594=1,SUM($Z$3:$Z1594),"")</f>
        <v/>
      </c>
      <c r="AB1594">
        <f>IF(OR($A1594="",PESQUISA!$C$50=""),0,IF(ISNUMBER(SEARCH(PESQUISA!$C$50,$I1594)),1,0))</f>
        <v/>
      </c>
      <c r="AC1594">
        <f>IF($AB1594=1,SUM($AB$3:$AB1594),"")</f>
        <v/>
      </c>
    </row>
    <row r="1595">
      <c r="A1595" s="20" t="n"/>
      <c r="B1595" s="20" t="n"/>
      <c r="C1595" s="20" t="n"/>
      <c r="D1595" s="20" t="n"/>
      <c r="E1595" s="20" t="n"/>
      <c r="F1595" s="20" t="n"/>
      <c r="G1595" s="20" t="n"/>
      <c r="H1595" s="20" t="n"/>
      <c r="I1595" s="20" t="n"/>
      <c r="J1595" s="20">
        <f>IFERROR(INDEX(CONFIGURACOES!$G$37:$G$300,MATCH($I1595,CONFIGURACOES!$B$37:$B$300,0)),"")</f>
        <v/>
      </c>
      <c r="K1595" s="20">
        <f>IFERROR(INDEX(CONFIGURACOES!$H$37:$H$300,MATCH($I1595,CONFIGURACOES!$B$37:$B$300,0)),"")</f>
        <v/>
      </c>
      <c r="L1595" s="20" t="n"/>
      <c r="M1595" s="20">
        <f>IFERROR(INDEX(CONFIGURACOES!$I$37:$I$300,MATCH($I1595,CONFIGURACOES!$B$37:$B$300,0)),"")</f>
        <v/>
      </c>
      <c r="N1595" s="21" t="n"/>
      <c r="O1595" s="21" t="n"/>
      <c r="P1595" s="21" t="n"/>
      <c r="Q1595" s="21" t="n"/>
      <c r="R1595" s="21">
        <f>IF($N1595="","",$N1595*IF($Q1595="",1,$Q1595)*IF($P1595="",1,$P1595)*IF($O1595="",1,$O1595))</f>
        <v/>
      </c>
      <c r="S1595" s="22">
        <f>IFERROR(INDEX(CONFIGURACOES!$J$37:$J$300,MATCH($I1595,CONFIGURACOES!$B$37:$B$300,0)),"")</f>
        <v/>
      </c>
      <c r="T1595" s="22">
        <f>IF(OR($R1595="",$S1595=""),"",$R1595*$S1595)</f>
        <v/>
      </c>
      <c r="U1595" s="20" t="n"/>
      <c r="V1595" s="20" t="n"/>
      <c r="W1595" s="20" t="n"/>
      <c r="X1595">
        <f>IF($A1595="","",$A1595&amp;"|"&amp;$C1595&amp;"|"&amp;$I1595)</f>
        <v/>
      </c>
      <c r="Y1595">
        <f>IF(AND($A1595=RELATORIO_MEDICAO!$C$5,$C1595=RELATORIO_MEDICAO!$F$5,$A1595&lt;&gt;""),COUNTIFS($A$3:$A1595,RELATORIO_MEDICAO!$C$5,$C$3:$C1595,RELATORIO_MEDICAO!$F$5),"")</f>
        <v/>
      </c>
      <c r="Z1595">
        <f>IF(OR($A1595="",PESQUISA!$C$4=""),0,IF(OR(ISNUMBER(SEARCH(PESQUISA!$C$4,$G1595)),ISNUMBER(SEARCH(PESQUISA!$C$4,$K1595)),ISNUMBER(SEARCH(PESQUISA!$C$4,$L1595))),1,0))</f>
        <v/>
      </c>
      <c r="AA1595">
        <f>IF($Z1595=1,SUM($Z$3:$Z1595),"")</f>
        <v/>
      </c>
      <c r="AB1595">
        <f>IF(OR($A1595="",PESQUISA!$C$50=""),0,IF(ISNUMBER(SEARCH(PESQUISA!$C$50,$I1595)),1,0))</f>
        <v/>
      </c>
      <c r="AC1595">
        <f>IF($AB1595=1,SUM($AB$3:$AB1595),"")</f>
        <v/>
      </c>
    </row>
    <row r="1596">
      <c r="A1596" s="20" t="n"/>
      <c r="B1596" s="20" t="n"/>
      <c r="C1596" s="20" t="n"/>
      <c r="D1596" s="20" t="n"/>
      <c r="E1596" s="20" t="n"/>
      <c r="F1596" s="20" t="n"/>
      <c r="G1596" s="20" t="n"/>
      <c r="H1596" s="20" t="n"/>
      <c r="I1596" s="20" t="n"/>
      <c r="J1596" s="20">
        <f>IFERROR(INDEX(CONFIGURACOES!$G$37:$G$300,MATCH($I1596,CONFIGURACOES!$B$37:$B$300,0)),"")</f>
        <v/>
      </c>
      <c r="K1596" s="20">
        <f>IFERROR(INDEX(CONFIGURACOES!$H$37:$H$300,MATCH($I1596,CONFIGURACOES!$B$37:$B$300,0)),"")</f>
        <v/>
      </c>
      <c r="L1596" s="20" t="n"/>
      <c r="M1596" s="20">
        <f>IFERROR(INDEX(CONFIGURACOES!$I$37:$I$300,MATCH($I1596,CONFIGURACOES!$B$37:$B$300,0)),"")</f>
        <v/>
      </c>
      <c r="N1596" s="21" t="n"/>
      <c r="O1596" s="21" t="n"/>
      <c r="P1596" s="21" t="n"/>
      <c r="Q1596" s="21" t="n"/>
      <c r="R1596" s="21">
        <f>IF($N1596="","",$N1596*IF($Q1596="",1,$Q1596)*IF($P1596="",1,$P1596)*IF($O1596="",1,$O1596))</f>
        <v/>
      </c>
      <c r="S1596" s="22">
        <f>IFERROR(INDEX(CONFIGURACOES!$J$37:$J$300,MATCH($I1596,CONFIGURACOES!$B$37:$B$300,0)),"")</f>
        <v/>
      </c>
      <c r="T1596" s="22">
        <f>IF(OR($R1596="",$S1596=""),"",$R1596*$S1596)</f>
        <v/>
      </c>
      <c r="U1596" s="20" t="n"/>
      <c r="V1596" s="20" t="n"/>
      <c r="W1596" s="20" t="n"/>
      <c r="X1596">
        <f>IF($A1596="","",$A1596&amp;"|"&amp;$C1596&amp;"|"&amp;$I1596)</f>
        <v/>
      </c>
      <c r="Y1596">
        <f>IF(AND($A1596=RELATORIO_MEDICAO!$C$5,$C1596=RELATORIO_MEDICAO!$F$5,$A1596&lt;&gt;""),COUNTIFS($A$3:$A1596,RELATORIO_MEDICAO!$C$5,$C$3:$C1596,RELATORIO_MEDICAO!$F$5),"")</f>
        <v/>
      </c>
      <c r="Z1596">
        <f>IF(OR($A1596="",PESQUISA!$C$4=""),0,IF(OR(ISNUMBER(SEARCH(PESQUISA!$C$4,$G1596)),ISNUMBER(SEARCH(PESQUISA!$C$4,$K1596)),ISNUMBER(SEARCH(PESQUISA!$C$4,$L1596))),1,0))</f>
        <v/>
      </c>
      <c r="AA1596">
        <f>IF($Z1596=1,SUM($Z$3:$Z1596),"")</f>
        <v/>
      </c>
      <c r="AB1596">
        <f>IF(OR($A1596="",PESQUISA!$C$50=""),0,IF(ISNUMBER(SEARCH(PESQUISA!$C$50,$I1596)),1,0))</f>
        <v/>
      </c>
      <c r="AC1596">
        <f>IF($AB1596=1,SUM($AB$3:$AB1596),"")</f>
        <v/>
      </c>
    </row>
    <row r="1597">
      <c r="A1597" s="20" t="n"/>
      <c r="B1597" s="20" t="n"/>
      <c r="C1597" s="20" t="n"/>
      <c r="D1597" s="20" t="n"/>
      <c r="E1597" s="20" t="n"/>
      <c r="F1597" s="20" t="n"/>
      <c r="G1597" s="20" t="n"/>
      <c r="H1597" s="20" t="n"/>
      <c r="I1597" s="20" t="n"/>
      <c r="J1597" s="20">
        <f>IFERROR(INDEX(CONFIGURACOES!$G$37:$G$300,MATCH($I1597,CONFIGURACOES!$B$37:$B$300,0)),"")</f>
        <v/>
      </c>
      <c r="K1597" s="20">
        <f>IFERROR(INDEX(CONFIGURACOES!$H$37:$H$300,MATCH($I1597,CONFIGURACOES!$B$37:$B$300,0)),"")</f>
        <v/>
      </c>
      <c r="L1597" s="20" t="n"/>
      <c r="M1597" s="20">
        <f>IFERROR(INDEX(CONFIGURACOES!$I$37:$I$300,MATCH($I1597,CONFIGURACOES!$B$37:$B$300,0)),"")</f>
        <v/>
      </c>
      <c r="N1597" s="21" t="n"/>
      <c r="O1597" s="21" t="n"/>
      <c r="P1597" s="21" t="n"/>
      <c r="Q1597" s="21" t="n"/>
      <c r="R1597" s="21">
        <f>IF($N1597="","",$N1597*IF($Q1597="",1,$Q1597)*IF($P1597="",1,$P1597)*IF($O1597="",1,$O1597))</f>
        <v/>
      </c>
      <c r="S1597" s="22">
        <f>IFERROR(INDEX(CONFIGURACOES!$J$37:$J$300,MATCH($I1597,CONFIGURACOES!$B$37:$B$300,0)),"")</f>
        <v/>
      </c>
      <c r="T1597" s="22">
        <f>IF(OR($R1597="",$S1597=""),"",$R1597*$S1597)</f>
        <v/>
      </c>
      <c r="U1597" s="20" t="n"/>
      <c r="V1597" s="20" t="n"/>
      <c r="W1597" s="20" t="n"/>
      <c r="X1597">
        <f>IF($A1597="","",$A1597&amp;"|"&amp;$C1597&amp;"|"&amp;$I1597)</f>
        <v/>
      </c>
      <c r="Y1597">
        <f>IF(AND($A1597=RELATORIO_MEDICAO!$C$5,$C1597=RELATORIO_MEDICAO!$F$5,$A1597&lt;&gt;""),COUNTIFS($A$3:$A1597,RELATORIO_MEDICAO!$C$5,$C$3:$C1597,RELATORIO_MEDICAO!$F$5),"")</f>
        <v/>
      </c>
      <c r="Z1597">
        <f>IF(OR($A1597="",PESQUISA!$C$4=""),0,IF(OR(ISNUMBER(SEARCH(PESQUISA!$C$4,$G1597)),ISNUMBER(SEARCH(PESQUISA!$C$4,$K1597)),ISNUMBER(SEARCH(PESQUISA!$C$4,$L1597))),1,0))</f>
        <v/>
      </c>
      <c r="AA1597">
        <f>IF($Z1597=1,SUM($Z$3:$Z1597),"")</f>
        <v/>
      </c>
      <c r="AB1597">
        <f>IF(OR($A1597="",PESQUISA!$C$50=""),0,IF(ISNUMBER(SEARCH(PESQUISA!$C$50,$I1597)),1,0))</f>
        <v/>
      </c>
      <c r="AC1597">
        <f>IF($AB1597=1,SUM($AB$3:$AB1597),"")</f>
        <v/>
      </c>
    </row>
    <row r="1598">
      <c r="A1598" s="20" t="n"/>
      <c r="B1598" s="20" t="n"/>
      <c r="C1598" s="20" t="n"/>
      <c r="D1598" s="20" t="n"/>
      <c r="E1598" s="20" t="n"/>
      <c r="F1598" s="20" t="n"/>
      <c r="G1598" s="20" t="n"/>
      <c r="H1598" s="20" t="n"/>
      <c r="I1598" s="20" t="n"/>
      <c r="J1598" s="20">
        <f>IFERROR(INDEX(CONFIGURACOES!$G$37:$G$300,MATCH($I1598,CONFIGURACOES!$B$37:$B$300,0)),"")</f>
        <v/>
      </c>
      <c r="K1598" s="20">
        <f>IFERROR(INDEX(CONFIGURACOES!$H$37:$H$300,MATCH($I1598,CONFIGURACOES!$B$37:$B$300,0)),"")</f>
        <v/>
      </c>
      <c r="L1598" s="20" t="n"/>
      <c r="M1598" s="20">
        <f>IFERROR(INDEX(CONFIGURACOES!$I$37:$I$300,MATCH($I1598,CONFIGURACOES!$B$37:$B$300,0)),"")</f>
        <v/>
      </c>
      <c r="N1598" s="21" t="n"/>
      <c r="O1598" s="21" t="n"/>
      <c r="P1598" s="21" t="n"/>
      <c r="Q1598" s="21" t="n"/>
      <c r="R1598" s="21">
        <f>IF($N1598="","",$N1598*IF($Q1598="",1,$Q1598)*IF($P1598="",1,$P1598)*IF($O1598="",1,$O1598))</f>
        <v/>
      </c>
      <c r="S1598" s="22">
        <f>IFERROR(INDEX(CONFIGURACOES!$J$37:$J$300,MATCH($I1598,CONFIGURACOES!$B$37:$B$300,0)),"")</f>
        <v/>
      </c>
      <c r="T1598" s="22">
        <f>IF(OR($R1598="",$S1598=""),"",$R1598*$S1598)</f>
        <v/>
      </c>
      <c r="U1598" s="20" t="n"/>
      <c r="V1598" s="20" t="n"/>
      <c r="W1598" s="20" t="n"/>
      <c r="X1598">
        <f>IF($A1598="","",$A1598&amp;"|"&amp;$C1598&amp;"|"&amp;$I1598)</f>
        <v/>
      </c>
      <c r="Y1598">
        <f>IF(AND($A1598=RELATORIO_MEDICAO!$C$5,$C1598=RELATORIO_MEDICAO!$F$5,$A1598&lt;&gt;""),COUNTIFS($A$3:$A1598,RELATORIO_MEDICAO!$C$5,$C$3:$C1598,RELATORIO_MEDICAO!$F$5),"")</f>
        <v/>
      </c>
      <c r="Z1598">
        <f>IF(OR($A1598="",PESQUISA!$C$4=""),0,IF(OR(ISNUMBER(SEARCH(PESQUISA!$C$4,$G1598)),ISNUMBER(SEARCH(PESQUISA!$C$4,$K1598)),ISNUMBER(SEARCH(PESQUISA!$C$4,$L1598))),1,0))</f>
        <v/>
      </c>
      <c r="AA1598">
        <f>IF($Z1598=1,SUM($Z$3:$Z1598),"")</f>
        <v/>
      </c>
      <c r="AB1598">
        <f>IF(OR($A1598="",PESQUISA!$C$50=""),0,IF(ISNUMBER(SEARCH(PESQUISA!$C$50,$I1598)),1,0))</f>
        <v/>
      </c>
      <c r="AC1598">
        <f>IF($AB1598=1,SUM($AB$3:$AB1598),"")</f>
        <v/>
      </c>
    </row>
    <row r="1599">
      <c r="A1599" s="20" t="n"/>
      <c r="B1599" s="20" t="n"/>
      <c r="C1599" s="20" t="n"/>
      <c r="D1599" s="20" t="n"/>
      <c r="E1599" s="20" t="n"/>
      <c r="F1599" s="20" t="n"/>
      <c r="G1599" s="20" t="n"/>
      <c r="H1599" s="20" t="n"/>
      <c r="I1599" s="20" t="n"/>
      <c r="J1599" s="20">
        <f>IFERROR(INDEX(CONFIGURACOES!$G$37:$G$300,MATCH($I1599,CONFIGURACOES!$B$37:$B$300,0)),"")</f>
        <v/>
      </c>
      <c r="K1599" s="20">
        <f>IFERROR(INDEX(CONFIGURACOES!$H$37:$H$300,MATCH($I1599,CONFIGURACOES!$B$37:$B$300,0)),"")</f>
        <v/>
      </c>
      <c r="L1599" s="20" t="n"/>
      <c r="M1599" s="20">
        <f>IFERROR(INDEX(CONFIGURACOES!$I$37:$I$300,MATCH($I1599,CONFIGURACOES!$B$37:$B$300,0)),"")</f>
        <v/>
      </c>
      <c r="N1599" s="21" t="n"/>
      <c r="O1599" s="21" t="n"/>
      <c r="P1599" s="21" t="n"/>
      <c r="Q1599" s="21" t="n"/>
      <c r="R1599" s="21">
        <f>IF($N1599="","",$N1599*IF($Q1599="",1,$Q1599)*IF($P1599="",1,$P1599)*IF($O1599="",1,$O1599))</f>
        <v/>
      </c>
      <c r="S1599" s="22">
        <f>IFERROR(INDEX(CONFIGURACOES!$J$37:$J$300,MATCH($I1599,CONFIGURACOES!$B$37:$B$300,0)),"")</f>
        <v/>
      </c>
      <c r="T1599" s="22">
        <f>IF(OR($R1599="",$S1599=""),"",$R1599*$S1599)</f>
        <v/>
      </c>
      <c r="U1599" s="20" t="n"/>
      <c r="V1599" s="20" t="n"/>
      <c r="W1599" s="20" t="n"/>
      <c r="X1599">
        <f>IF($A1599="","",$A1599&amp;"|"&amp;$C1599&amp;"|"&amp;$I1599)</f>
        <v/>
      </c>
      <c r="Y1599">
        <f>IF(AND($A1599=RELATORIO_MEDICAO!$C$5,$C1599=RELATORIO_MEDICAO!$F$5,$A1599&lt;&gt;""),COUNTIFS($A$3:$A1599,RELATORIO_MEDICAO!$C$5,$C$3:$C1599,RELATORIO_MEDICAO!$F$5),"")</f>
        <v/>
      </c>
      <c r="Z1599">
        <f>IF(OR($A1599="",PESQUISA!$C$4=""),0,IF(OR(ISNUMBER(SEARCH(PESQUISA!$C$4,$G1599)),ISNUMBER(SEARCH(PESQUISA!$C$4,$K1599)),ISNUMBER(SEARCH(PESQUISA!$C$4,$L1599))),1,0))</f>
        <v/>
      </c>
      <c r="AA1599">
        <f>IF($Z1599=1,SUM($Z$3:$Z1599),"")</f>
        <v/>
      </c>
      <c r="AB1599">
        <f>IF(OR($A1599="",PESQUISA!$C$50=""),0,IF(ISNUMBER(SEARCH(PESQUISA!$C$50,$I1599)),1,0))</f>
        <v/>
      </c>
      <c r="AC1599">
        <f>IF($AB1599=1,SUM($AB$3:$AB1599),"")</f>
        <v/>
      </c>
    </row>
    <row r="1600">
      <c r="A1600" s="20" t="n"/>
      <c r="B1600" s="20" t="n"/>
      <c r="C1600" s="20" t="n"/>
      <c r="D1600" s="20" t="n"/>
      <c r="E1600" s="20" t="n"/>
      <c r="F1600" s="20" t="n"/>
      <c r="G1600" s="20" t="n"/>
      <c r="H1600" s="20" t="n"/>
      <c r="I1600" s="20" t="n"/>
      <c r="J1600" s="20">
        <f>IFERROR(INDEX(CONFIGURACOES!$G$37:$G$300,MATCH($I1600,CONFIGURACOES!$B$37:$B$300,0)),"")</f>
        <v/>
      </c>
      <c r="K1600" s="20">
        <f>IFERROR(INDEX(CONFIGURACOES!$H$37:$H$300,MATCH($I1600,CONFIGURACOES!$B$37:$B$300,0)),"")</f>
        <v/>
      </c>
      <c r="L1600" s="20" t="n"/>
      <c r="M1600" s="20">
        <f>IFERROR(INDEX(CONFIGURACOES!$I$37:$I$300,MATCH($I1600,CONFIGURACOES!$B$37:$B$300,0)),"")</f>
        <v/>
      </c>
      <c r="N1600" s="21" t="n"/>
      <c r="O1600" s="21" t="n"/>
      <c r="P1600" s="21" t="n"/>
      <c r="Q1600" s="21" t="n"/>
      <c r="R1600" s="21">
        <f>IF($N1600="","",$N1600*IF($Q1600="",1,$Q1600)*IF($P1600="",1,$P1600)*IF($O1600="",1,$O1600))</f>
        <v/>
      </c>
      <c r="S1600" s="22">
        <f>IFERROR(INDEX(CONFIGURACOES!$J$37:$J$300,MATCH($I1600,CONFIGURACOES!$B$37:$B$300,0)),"")</f>
        <v/>
      </c>
      <c r="T1600" s="22">
        <f>IF(OR($R1600="",$S1600=""),"",$R1600*$S1600)</f>
        <v/>
      </c>
      <c r="U1600" s="20" t="n"/>
      <c r="V1600" s="20" t="n"/>
      <c r="W1600" s="20" t="n"/>
      <c r="X1600">
        <f>IF($A1600="","",$A1600&amp;"|"&amp;$C1600&amp;"|"&amp;$I1600)</f>
        <v/>
      </c>
      <c r="Y1600">
        <f>IF(AND($A1600=RELATORIO_MEDICAO!$C$5,$C1600=RELATORIO_MEDICAO!$F$5,$A1600&lt;&gt;""),COUNTIFS($A$3:$A1600,RELATORIO_MEDICAO!$C$5,$C$3:$C1600,RELATORIO_MEDICAO!$F$5),"")</f>
        <v/>
      </c>
      <c r="Z1600">
        <f>IF(OR($A1600="",PESQUISA!$C$4=""),0,IF(OR(ISNUMBER(SEARCH(PESQUISA!$C$4,$G1600)),ISNUMBER(SEARCH(PESQUISA!$C$4,$K1600)),ISNUMBER(SEARCH(PESQUISA!$C$4,$L1600))),1,0))</f>
        <v/>
      </c>
      <c r="AA1600">
        <f>IF($Z1600=1,SUM($Z$3:$Z1600),"")</f>
        <v/>
      </c>
      <c r="AB1600">
        <f>IF(OR($A1600="",PESQUISA!$C$50=""),0,IF(ISNUMBER(SEARCH(PESQUISA!$C$50,$I1600)),1,0))</f>
        <v/>
      </c>
      <c r="AC1600">
        <f>IF($AB1600=1,SUM($AB$3:$AB1600),"")</f>
        <v/>
      </c>
    </row>
    <row r="1601">
      <c r="A1601" s="20" t="n"/>
      <c r="B1601" s="20" t="n"/>
      <c r="C1601" s="20" t="n"/>
      <c r="D1601" s="20" t="n"/>
      <c r="E1601" s="20" t="n"/>
      <c r="F1601" s="20" t="n"/>
      <c r="G1601" s="20" t="n"/>
      <c r="H1601" s="20" t="n"/>
      <c r="I1601" s="20" t="n"/>
      <c r="J1601" s="20">
        <f>IFERROR(INDEX(CONFIGURACOES!$G$37:$G$300,MATCH($I1601,CONFIGURACOES!$B$37:$B$300,0)),"")</f>
        <v/>
      </c>
      <c r="K1601" s="20">
        <f>IFERROR(INDEX(CONFIGURACOES!$H$37:$H$300,MATCH($I1601,CONFIGURACOES!$B$37:$B$300,0)),"")</f>
        <v/>
      </c>
      <c r="L1601" s="20" t="n"/>
      <c r="M1601" s="20">
        <f>IFERROR(INDEX(CONFIGURACOES!$I$37:$I$300,MATCH($I1601,CONFIGURACOES!$B$37:$B$300,0)),"")</f>
        <v/>
      </c>
      <c r="N1601" s="21" t="n"/>
      <c r="O1601" s="21" t="n"/>
      <c r="P1601" s="21" t="n"/>
      <c r="Q1601" s="21" t="n"/>
      <c r="R1601" s="21">
        <f>IF($N1601="","",$N1601*IF($Q1601="",1,$Q1601)*IF($P1601="",1,$P1601)*IF($O1601="",1,$O1601))</f>
        <v/>
      </c>
      <c r="S1601" s="22">
        <f>IFERROR(INDEX(CONFIGURACOES!$J$37:$J$300,MATCH($I1601,CONFIGURACOES!$B$37:$B$300,0)),"")</f>
        <v/>
      </c>
      <c r="T1601" s="22">
        <f>IF(OR($R1601="",$S1601=""),"",$R1601*$S1601)</f>
        <v/>
      </c>
      <c r="U1601" s="20" t="n"/>
      <c r="V1601" s="20" t="n"/>
      <c r="W1601" s="20" t="n"/>
      <c r="X1601">
        <f>IF($A1601="","",$A1601&amp;"|"&amp;$C1601&amp;"|"&amp;$I1601)</f>
        <v/>
      </c>
      <c r="Y1601">
        <f>IF(AND($A1601=RELATORIO_MEDICAO!$C$5,$C1601=RELATORIO_MEDICAO!$F$5,$A1601&lt;&gt;""),COUNTIFS($A$3:$A1601,RELATORIO_MEDICAO!$C$5,$C$3:$C1601,RELATORIO_MEDICAO!$F$5),"")</f>
        <v/>
      </c>
      <c r="Z1601">
        <f>IF(OR($A1601="",PESQUISA!$C$4=""),0,IF(OR(ISNUMBER(SEARCH(PESQUISA!$C$4,$G1601)),ISNUMBER(SEARCH(PESQUISA!$C$4,$K1601)),ISNUMBER(SEARCH(PESQUISA!$C$4,$L1601))),1,0))</f>
        <v/>
      </c>
      <c r="AA1601">
        <f>IF($Z1601=1,SUM($Z$3:$Z1601),"")</f>
        <v/>
      </c>
      <c r="AB1601">
        <f>IF(OR($A1601="",PESQUISA!$C$50=""),0,IF(ISNUMBER(SEARCH(PESQUISA!$C$50,$I1601)),1,0))</f>
        <v/>
      </c>
      <c r="AC1601">
        <f>IF($AB1601=1,SUM($AB$3:$AB1601),"")</f>
        <v/>
      </c>
    </row>
    <row r="1602">
      <c r="A1602" s="20" t="n"/>
      <c r="B1602" s="20" t="n"/>
      <c r="C1602" s="20" t="n"/>
      <c r="D1602" s="20" t="n"/>
      <c r="E1602" s="20" t="n"/>
      <c r="F1602" s="20" t="n"/>
      <c r="G1602" s="20" t="n"/>
      <c r="H1602" s="20" t="n"/>
      <c r="I1602" s="20" t="n"/>
      <c r="J1602" s="20">
        <f>IFERROR(INDEX(CONFIGURACOES!$G$37:$G$300,MATCH($I1602,CONFIGURACOES!$B$37:$B$300,0)),"")</f>
        <v/>
      </c>
      <c r="K1602" s="20">
        <f>IFERROR(INDEX(CONFIGURACOES!$H$37:$H$300,MATCH($I1602,CONFIGURACOES!$B$37:$B$300,0)),"")</f>
        <v/>
      </c>
      <c r="L1602" s="20" t="n"/>
      <c r="M1602" s="20">
        <f>IFERROR(INDEX(CONFIGURACOES!$I$37:$I$300,MATCH($I1602,CONFIGURACOES!$B$37:$B$300,0)),"")</f>
        <v/>
      </c>
      <c r="N1602" s="21" t="n"/>
      <c r="O1602" s="21" t="n"/>
      <c r="P1602" s="21" t="n"/>
      <c r="Q1602" s="21" t="n"/>
      <c r="R1602" s="21">
        <f>IF($N1602="","",$N1602*IF($Q1602="",1,$Q1602)*IF($P1602="",1,$P1602)*IF($O1602="",1,$O1602))</f>
        <v/>
      </c>
      <c r="S1602" s="22">
        <f>IFERROR(INDEX(CONFIGURACOES!$J$37:$J$300,MATCH($I1602,CONFIGURACOES!$B$37:$B$300,0)),"")</f>
        <v/>
      </c>
      <c r="T1602" s="22">
        <f>IF(OR($R1602="",$S1602=""),"",$R1602*$S1602)</f>
        <v/>
      </c>
      <c r="U1602" s="20" t="n"/>
      <c r="V1602" s="20" t="n"/>
      <c r="W1602" s="20" t="n"/>
      <c r="X1602">
        <f>IF($A1602="","",$A1602&amp;"|"&amp;$C1602&amp;"|"&amp;$I1602)</f>
        <v/>
      </c>
      <c r="Y1602">
        <f>IF(AND($A1602=RELATORIO_MEDICAO!$C$5,$C1602=RELATORIO_MEDICAO!$F$5,$A1602&lt;&gt;""),COUNTIFS($A$3:$A1602,RELATORIO_MEDICAO!$C$5,$C$3:$C1602,RELATORIO_MEDICAO!$F$5),"")</f>
        <v/>
      </c>
      <c r="Z1602">
        <f>IF(OR($A1602="",PESQUISA!$C$4=""),0,IF(OR(ISNUMBER(SEARCH(PESQUISA!$C$4,$G1602)),ISNUMBER(SEARCH(PESQUISA!$C$4,$K1602)),ISNUMBER(SEARCH(PESQUISA!$C$4,$L1602))),1,0))</f>
        <v/>
      </c>
      <c r="AA1602">
        <f>IF($Z1602=1,SUM($Z$3:$Z1602),"")</f>
        <v/>
      </c>
      <c r="AB1602">
        <f>IF(OR($A1602="",PESQUISA!$C$50=""),0,IF(ISNUMBER(SEARCH(PESQUISA!$C$50,$I1602)),1,0))</f>
        <v/>
      </c>
      <c r="AC1602">
        <f>IF($AB1602=1,SUM($AB$3:$AB1602),"")</f>
        <v/>
      </c>
    </row>
    <row r="1603">
      <c r="A1603" s="20" t="n"/>
      <c r="B1603" s="20" t="n"/>
      <c r="C1603" s="20" t="n"/>
      <c r="D1603" s="20" t="n"/>
      <c r="E1603" s="20" t="n"/>
      <c r="F1603" s="20" t="n"/>
      <c r="G1603" s="20" t="n"/>
      <c r="H1603" s="20" t="n"/>
      <c r="I1603" s="20" t="n"/>
      <c r="J1603" s="20">
        <f>IFERROR(INDEX(CONFIGURACOES!$G$37:$G$300,MATCH($I1603,CONFIGURACOES!$B$37:$B$300,0)),"")</f>
        <v/>
      </c>
      <c r="K1603" s="20">
        <f>IFERROR(INDEX(CONFIGURACOES!$H$37:$H$300,MATCH($I1603,CONFIGURACOES!$B$37:$B$300,0)),"")</f>
        <v/>
      </c>
      <c r="L1603" s="20" t="n"/>
      <c r="M1603" s="20">
        <f>IFERROR(INDEX(CONFIGURACOES!$I$37:$I$300,MATCH($I1603,CONFIGURACOES!$B$37:$B$300,0)),"")</f>
        <v/>
      </c>
      <c r="N1603" s="21" t="n"/>
      <c r="O1603" s="21" t="n"/>
      <c r="P1603" s="21" t="n"/>
      <c r="Q1603" s="21" t="n"/>
      <c r="R1603" s="21">
        <f>IF($N1603="","",$N1603*IF($Q1603="",1,$Q1603)*IF($P1603="",1,$P1603)*IF($O1603="",1,$O1603))</f>
        <v/>
      </c>
      <c r="S1603" s="22">
        <f>IFERROR(INDEX(CONFIGURACOES!$J$37:$J$300,MATCH($I1603,CONFIGURACOES!$B$37:$B$300,0)),"")</f>
        <v/>
      </c>
      <c r="T1603" s="22">
        <f>IF(OR($R1603="",$S1603=""),"",$R1603*$S1603)</f>
        <v/>
      </c>
      <c r="U1603" s="20" t="n"/>
      <c r="V1603" s="20" t="n"/>
      <c r="W1603" s="20" t="n"/>
      <c r="X1603">
        <f>IF($A1603="","",$A1603&amp;"|"&amp;$C1603&amp;"|"&amp;$I1603)</f>
        <v/>
      </c>
      <c r="Y1603">
        <f>IF(AND($A1603=RELATORIO_MEDICAO!$C$5,$C1603=RELATORIO_MEDICAO!$F$5,$A1603&lt;&gt;""),COUNTIFS($A$3:$A1603,RELATORIO_MEDICAO!$C$5,$C$3:$C1603,RELATORIO_MEDICAO!$F$5),"")</f>
        <v/>
      </c>
      <c r="Z1603">
        <f>IF(OR($A1603="",PESQUISA!$C$4=""),0,IF(OR(ISNUMBER(SEARCH(PESQUISA!$C$4,$G1603)),ISNUMBER(SEARCH(PESQUISA!$C$4,$K1603)),ISNUMBER(SEARCH(PESQUISA!$C$4,$L1603))),1,0))</f>
        <v/>
      </c>
      <c r="AA1603">
        <f>IF($Z1603=1,SUM($Z$3:$Z1603),"")</f>
        <v/>
      </c>
      <c r="AB1603">
        <f>IF(OR($A1603="",PESQUISA!$C$50=""),0,IF(ISNUMBER(SEARCH(PESQUISA!$C$50,$I1603)),1,0))</f>
        <v/>
      </c>
      <c r="AC1603">
        <f>IF($AB1603=1,SUM($AB$3:$AB1603),"")</f>
        <v/>
      </c>
    </row>
    <row r="1604">
      <c r="A1604" s="20" t="n"/>
      <c r="B1604" s="20" t="n"/>
      <c r="C1604" s="20" t="n"/>
      <c r="D1604" s="20" t="n"/>
      <c r="E1604" s="20" t="n"/>
      <c r="F1604" s="20" t="n"/>
      <c r="G1604" s="20" t="n"/>
      <c r="H1604" s="20" t="n"/>
      <c r="I1604" s="20" t="n"/>
      <c r="J1604" s="20">
        <f>IFERROR(INDEX(CONFIGURACOES!$G$37:$G$300,MATCH($I1604,CONFIGURACOES!$B$37:$B$300,0)),"")</f>
        <v/>
      </c>
      <c r="K1604" s="20">
        <f>IFERROR(INDEX(CONFIGURACOES!$H$37:$H$300,MATCH($I1604,CONFIGURACOES!$B$37:$B$300,0)),"")</f>
        <v/>
      </c>
      <c r="L1604" s="20" t="n"/>
      <c r="M1604" s="20">
        <f>IFERROR(INDEX(CONFIGURACOES!$I$37:$I$300,MATCH($I1604,CONFIGURACOES!$B$37:$B$300,0)),"")</f>
        <v/>
      </c>
      <c r="N1604" s="21" t="n"/>
      <c r="O1604" s="21" t="n"/>
      <c r="P1604" s="21" t="n"/>
      <c r="Q1604" s="21" t="n"/>
      <c r="R1604" s="21">
        <f>IF($N1604="","",$N1604*IF($Q1604="",1,$Q1604)*IF($P1604="",1,$P1604)*IF($O1604="",1,$O1604))</f>
        <v/>
      </c>
      <c r="S1604" s="22">
        <f>IFERROR(INDEX(CONFIGURACOES!$J$37:$J$300,MATCH($I1604,CONFIGURACOES!$B$37:$B$300,0)),"")</f>
        <v/>
      </c>
      <c r="T1604" s="22">
        <f>IF(OR($R1604="",$S1604=""),"",$R1604*$S1604)</f>
        <v/>
      </c>
      <c r="U1604" s="20" t="n"/>
      <c r="V1604" s="20" t="n"/>
      <c r="W1604" s="20" t="n"/>
      <c r="X1604">
        <f>IF($A1604="","",$A1604&amp;"|"&amp;$C1604&amp;"|"&amp;$I1604)</f>
        <v/>
      </c>
      <c r="Y1604">
        <f>IF(AND($A1604=RELATORIO_MEDICAO!$C$5,$C1604=RELATORIO_MEDICAO!$F$5,$A1604&lt;&gt;""),COUNTIFS($A$3:$A1604,RELATORIO_MEDICAO!$C$5,$C$3:$C1604,RELATORIO_MEDICAO!$F$5),"")</f>
        <v/>
      </c>
      <c r="Z1604">
        <f>IF(OR($A1604="",PESQUISA!$C$4=""),0,IF(OR(ISNUMBER(SEARCH(PESQUISA!$C$4,$G1604)),ISNUMBER(SEARCH(PESQUISA!$C$4,$K1604)),ISNUMBER(SEARCH(PESQUISA!$C$4,$L1604))),1,0))</f>
        <v/>
      </c>
      <c r="AA1604">
        <f>IF($Z1604=1,SUM($Z$3:$Z1604),"")</f>
        <v/>
      </c>
      <c r="AB1604">
        <f>IF(OR($A1604="",PESQUISA!$C$50=""),0,IF(ISNUMBER(SEARCH(PESQUISA!$C$50,$I1604)),1,0))</f>
        <v/>
      </c>
      <c r="AC1604">
        <f>IF($AB1604=1,SUM($AB$3:$AB1604),"")</f>
        <v/>
      </c>
    </row>
    <row r="1605">
      <c r="A1605" s="20" t="n"/>
      <c r="B1605" s="20" t="n"/>
      <c r="C1605" s="20" t="n"/>
      <c r="D1605" s="20" t="n"/>
      <c r="E1605" s="20" t="n"/>
      <c r="F1605" s="20" t="n"/>
      <c r="G1605" s="20" t="n"/>
      <c r="H1605" s="20" t="n"/>
      <c r="I1605" s="20" t="n"/>
      <c r="J1605" s="20">
        <f>IFERROR(INDEX(CONFIGURACOES!$G$37:$G$300,MATCH($I1605,CONFIGURACOES!$B$37:$B$300,0)),"")</f>
        <v/>
      </c>
      <c r="K1605" s="20">
        <f>IFERROR(INDEX(CONFIGURACOES!$H$37:$H$300,MATCH($I1605,CONFIGURACOES!$B$37:$B$300,0)),"")</f>
        <v/>
      </c>
      <c r="L1605" s="20" t="n"/>
      <c r="M1605" s="20">
        <f>IFERROR(INDEX(CONFIGURACOES!$I$37:$I$300,MATCH($I1605,CONFIGURACOES!$B$37:$B$300,0)),"")</f>
        <v/>
      </c>
      <c r="N1605" s="21" t="n"/>
      <c r="O1605" s="21" t="n"/>
      <c r="P1605" s="21" t="n"/>
      <c r="Q1605" s="21" t="n"/>
      <c r="R1605" s="21">
        <f>IF($N1605="","",$N1605*IF($Q1605="",1,$Q1605)*IF($P1605="",1,$P1605)*IF($O1605="",1,$O1605))</f>
        <v/>
      </c>
      <c r="S1605" s="22">
        <f>IFERROR(INDEX(CONFIGURACOES!$J$37:$J$300,MATCH($I1605,CONFIGURACOES!$B$37:$B$300,0)),"")</f>
        <v/>
      </c>
      <c r="T1605" s="22">
        <f>IF(OR($R1605="",$S1605=""),"",$R1605*$S1605)</f>
        <v/>
      </c>
      <c r="U1605" s="20" t="n"/>
      <c r="V1605" s="20" t="n"/>
      <c r="W1605" s="20" t="n"/>
      <c r="X1605">
        <f>IF($A1605="","",$A1605&amp;"|"&amp;$C1605&amp;"|"&amp;$I1605)</f>
        <v/>
      </c>
      <c r="Y1605">
        <f>IF(AND($A1605=RELATORIO_MEDICAO!$C$5,$C1605=RELATORIO_MEDICAO!$F$5,$A1605&lt;&gt;""),COUNTIFS($A$3:$A1605,RELATORIO_MEDICAO!$C$5,$C$3:$C1605,RELATORIO_MEDICAO!$F$5),"")</f>
        <v/>
      </c>
      <c r="Z1605">
        <f>IF(OR($A1605="",PESQUISA!$C$4=""),0,IF(OR(ISNUMBER(SEARCH(PESQUISA!$C$4,$G1605)),ISNUMBER(SEARCH(PESQUISA!$C$4,$K1605)),ISNUMBER(SEARCH(PESQUISA!$C$4,$L1605))),1,0))</f>
        <v/>
      </c>
      <c r="AA1605">
        <f>IF($Z1605=1,SUM($Z$3:$Z1605),"")</f>
        <v/>
      </c>
      <c r="AB1605">
        <f>IF(OR($A1605="",PESQUISA!$C$50=""),0,IF(ISNUMBER(SEARCH(PESQUISA!$C$50,$I1605)),1,0))</f>
        <v/>
      </c>
      <c r="AC1605">
        <f>IF($AB1605=1,SUM($AB$3:$AB1605),"")</f>
        <v/>
      </c>
    </row>
    <row r="1606">
      <c r="A1606" s="20" t="n"/>
      <c r="B1606" s="20" t="n"/>
      <c r="C1606" s="20" t="n"/>
      <c r="D1606" s="20" t="n"/>
      <c r="E1606" s="20" t="n"/>
      <c r="F1606" s="20" t="n"/>
      <c r="G1606" s="20" t="n"/>
      <c r="H1606" s="20" t="n"/>
      <c r="I1606" s="20" t="n"/>
      <c r="J1606" s="20">
        <f>IFERROR(INDEX(CONFIGURACOES!$G$37:$G$300,MATCH($I1606,CONFIGURACOES!$B$37:$B$300,0)),"")</f>
        <v/>
      </c>
      <c r="K1606" s="20">
        <f>IFERROR(INDEX(CONFIGURACOES!$H$37:$H$300,MATCH($I1606,CONFIGURACOES!$B$37:$B$300,0)),"")</f>
        <v/>
      </c>
      <c r="L1606" s="20" t="n"/>
      <c r="M1606" s="20">
        <f>IFERROR(INDEX(CONFIGURACOES!$I$37:$I$300,MATCH($I1606,CONFIGURACOES!$B$37:$B$300,0)),"")</f>
        <v/>
      </c>
      <c r="N1606" s="21" t="n"/>
      <c r="O1606" s="21" t="n"/>
      <c r="P1606" s="21" t="n"/>
      <c r="Q1606" s="21" t="n"/>
      <c r="R1606" s="21">
        <f>IF($N1606="","",$N1606*IF($Q1606="",1,$Q1606)*IF($P1606="",1,$P1606)*IF($O1606="",1,$O1606))</f>
        <v/>
      </c>
      <c r="S1606" s="22">
        <f>IFERROR(INDEX(CONFIGURACOES!$J$37:$J$300,MATCH($I1606,CONFIGURACOES!$B$37:$B$300,0)),"")</f>
        <v/>
      </c>
      <c r="T1606" s="22">
        <f>IF(OR($R1606="",$S1606=""),"",$R1606*$S1606)</f>
        <v/>
      </c>
      <c r="U1606" s="20" t="n"/>
      <c r="V1606" s="20" t="n"/>
      <c r="W1606" s="20" t="n"/>
      <c r="X1606">
        <f>IF($A1606="","",$A1606&amp;"|"&amp;$C1606&amp;"|"&amp;$I1606)</f>
        <v/>
      </c>
      <c r="Y1606">
        <f>IF(AND($A1606=RELATORIO_MEDICAO!$C$5,$C1606=RELATORIO_MEDICAO!$F$5,$A1606&lt;&gt;""),COUNTIFS($A$3:$A1606,RELATORIO_MEDICAO!$C$5,$C$3:$C1606,RELATORIO_MEDICAO!$F$5),"")</f>
        <v/>
      </c>
      <c r="Z1606">
        <f>IF(OR($A1606="",PESQUISA!$C$4=""),0,IF(OR(ISNUMBER(SEARCH(PESQUISA!$C$4,$G1606)),ISNUMBER(SEARCH(PESQUISA!$C$4,$K1606)),ISNUMBER(SEARCH(PESQUISA!$C$4,$L1606))),1,0))</f>
        <v/>
      </c>
      <c r="AA1606">
        <f>IF($Z1606=1,SUM($Z$3:$Z1606),"")</f>
        <v/>
      </c>
      <c r="AB1606">
        <f>IF(OR($A1606="",PESQUISA!$C$50=""),0,IF(ISNUMBER(SEARCH(PESQUISA!$C$50,$I1606)),1,0))</f>
        <v/>
      </c>
      <c r="AC1606">
        <f>IF($AB1606=1,SUM($AB$3:$AB1606),"")</f>
        <v/>
      </c>
    </row>
    <row r="1607">
      <c r="A1607" s="20" t="n"/>
      <c r="B1607" s="20" t="n"/>
      <c r="C1607" s="20" t="n"/>
      <c r="D1607" s="20" t="n"/>
      <c r="E1607" s="20" t="n"/>
      <c r="F1607" s="20" t="n"/>
      <c r="G1607" s="20" t="n"/>
      <c r="H1607" s="20" t="n"/>
      <c r="I1607" s="20" t="n"/>
      <c r="J1607" s="20">
        <f>IFERROR(INDEX(CONFIGURACOES!$G$37:$G$300,MATCH($I1607,CONFIGURACOES!$B$37:$B$300,0)),"")</f>
        <v/>
      </c>
      <c r="K1607" s="20">
        <f>IFERROR(INDEX(CONFIGURACOES!$H$37:$H$300,MATCH($I1607,CONFIGURACOES!$B$37:$B$300,0)),"")</f>
        <v/>
      </c>
      <c r="L1607" s="20" t="n"/>
      <c r="M1607" s="20">
        <f>IFERROR(INDEX(CONFIGURACOES!$I$37:$I$300,MATCH($I1607,CONFIGURACOES!$B$37:$B$300,0)),"")</f>
        <v/>
      </c>
      <c r="N1607" s="21" t="n"/>
      <c r="O1607" s="21" t="n"/>
      <c r="P1607" s="21" t="n"/>
      <c r="Q1607" s="21" t="n"/>
      <c r="R1607" s="21">
        <f>IF($N1607="","",$N1607*IF($Q1607="",1,$Q1607)*IF($P1607="",1,$P1607)*IF($O1607="",1,$O1607))</f>
        <v/>
      </c>
      <c r="S1607" s="22">
        <f>IFERROR(INDEX(CONFIGURACOES!$J$37:$J$300,MATCH($I1607,CONFIGURACOES!$B$37:$B$300,0)),"")</f>
        <v/>
      </c>
      <c r="T1607" s="22">
        <f>IF(OR($R1607="",$S1607=""),"",$R1607*$S1607)</f>
        <v/>
      </c>
      <c r="U1607" s="20" t="n"/>
      <c r="V1607" s="20" t="n"/>
      <c r="W1607" s="20" t="n"/>
      <c r="X1607">
        <f>IF($A1607="","",$A1607&amp;"|"&amp;$C1607&amp;"|"&amp;$I1607)</f>
        <v/>
      </c>
      <c r="Y1607">
        <f>IF(AND($A1607=RELATORIO_MEDICAO!$C$5,$C1607=RELATORIO_MEDICAO!$F$5,$A1607&lt;&gt;""),COUNTIFS($A$3:$A1607,RELATORIO_MEDICAO!$C$5,$C$3:$C1607,RELATORIO_MEDICAO!$F$5),"")</f>
        <v/>
      </c>
      <c r="Z1607">
        <f>IF(OR($A1607="",PESQUISA!$C$4=""),0,IF(OR(ISNUMBER(SEARCH(PESQUISA!$C$4,$G1607)),ISNUMBER(SEARCH(PESQUISA!$C$4,$K1607)),ISNUMBER(SEARCH(PESQUISA!$C$4,$L1607))),1,0))</f>
        <v/>
      </c>
      <c r="AA1607">
        <f>IF($Z1607=1,SUM($Z$3:$Z1607),"")</f>
        <v/>
      </c>
      <c r="AB1607">
        <f>IF(OR($A1607="",PESQUISA!$C$50=""),0,IF(ISNUMBER(SEARCH(PESQUISA!$C$50,$I1607)),1,0))</f>
        <v/>
      </c>
      <c r="AC1607">
        <f>IF($AB1607=1,SUM($AB$3:$AB1607),"")</f>
        <v/>
      </c>
    </row>
    <row r="1608">
      <c r="A1608" s="20" t="n"/>
      <c r="B1608" s="20" t="n"/>
      <c r="C1608" s="20" t="n"/>
      <c r="D1608" s="20" t="n"/>
      <c r="E1608" s="20" t="n"/>
      <c r="F1608" s="20" t="n"/>
      <c r="G1608" s="20" t="n"/>
      <c r="H1608" s="20" t="n"/>
      <c r="I1608" s="20" t="n"/>
      <c r="J1608" s="20">
        <f>IFERROR(INDEX(CONFIGURACOES!$G$37:$G$300,MATCH($I1608,CONFIGURACOES!$B$37:$B$300,0)),"")</f>
        <v/>
      </c>
      <c r="K1608" s="20">
        <f>IFERROR(INDEX(CONFIGURACOES!$H$37:$H$300,MATCH($I1608,CONFIGURACOES!$B$37:$B$300,0)),"")</f>
        <v/>
      </c>
      <c r="L1608" s="20" t="n"/>
      <c r="M1608" s="20">
        <f>IFERROR(INDEX(CONFIGURACOES!$I$37:$I$300,MATCH($I1608,CONFIGURACOES!$B$37:$B$300,0)),"")</f>
        <v/>
      </c>
      <c r="N1608" s="21" t="n"/>
      <c r="O1608" s="21" t="n"/>
      <c r="P1608" s="21" t="n"/>
      <c r="Q1608" s="21" t="n"/>
      <c r="R1608" s="21">
        <f>IF($N1608="","",$N1608*IF($Q1608="",1,$Q1608)*IF($P1608="",1,$P1608)*IF($O1608="",1,$O1608))</f>
        <v/>
      </c>
      <c r="S1608" s="22">
        <f>IFERROR(INDEX(CONFIGURACOES!$J$37:$J$300,MATCH($I1608,CONFIGURACOES!$B$37:$B$300,0)),"")</f>
        <v/>
      </c>
      <c r="T1608" s="22">
        <f>IF(OR($R1608="",$S1608=""),"",$R1608*$S1608)</f>
        <v/>
      </c>
      <c r="U1608" s="20" t="n"/>
      <c r="V1608" s="20" t="n"/>
      <c r="W1608" s="20" t="n"/>
      <c r="X1608">
        <f>IF($A1608="","",$A1608&amp;"|"&amp;$C1608&amp;"|"&amp;$I1608)</f>
        <v/>
      </c>
      <c r="Y1608">
        <f>IF(AND($A1608=RELATORIO_MEDICAO!$C$5,$C1608=RELATORIO_MEDICAO!$F$5,$A1608&lt;&gt;""),COUNTIFS($A$3:$A1608,RELATORIO_MEDICAO!$C$5,$C$3:$C1608,RELATORIO_MEDICAO!$F$5),"")</f>
        <v/>
      </c>
      <c r="Z1608">
        <f>IF(OR($A1608="",PESQUISA!$C$4=""),0,IF(OR(ISNUMBER(SEARCH(PESQUISA!$C$4,$G1608)),ISNUMBER(SEARCH(PESQUISA!$C$4,$K1608)),ISNUMBER(SEARCH(PESQUISA!$C$4,$L1608))),1,0))</f>
        <v/>
      </c>
      <c r="AA1608">
        <f>IF($Z1608=1,SUM($Z$3:$Z1608),"")</f>
        <v/>
      </c>
      <c r="AB1608">
        <f>IF(OR($A1608="",PESQUISA!$C$50=""),0,IF(ISNUMBER(SEARCH(PESQUISA!$C$50,$I1608)),1,0))</f>
        <v/>
      </c>
      <c r="AC1608">
        <f>IF($AB1608=1,SUM($AB$3:$AB1608),"")</f>
        <v/>
      </c>
    </row>
    <row r="1609">
      <c r="A1609" s="20" t="n"/>
      <c r="B1609" s="20" t="n"/>
      <c r="C1609" s="20" t="n"/>
      <c r="D1609" s="20" t="n"/>
      <c r="E1609" s="20" t="n"/>
      <c r="F1609" s="20" t="n"/>
      <c r="G1609" s="20" t="n"/>
      <c r="H1609" s="20" t="n"/>
      <c r="I1609" s="20" t="n"/>
      <c r="J1609" s="20">
        <f>IFERROR(INDEX(CONFIGURACOES!$G$37:$G$300,MATCH($I1609,CONFIGURACOES!$B$37:$B$300,0)),"")</f>
        <v/>
      </c>
      <c r="K1609" s="20">
        <f>IFERROR(INDEX(CONFIGURACOES!$H$37:$H$300,MATCH($I1609,CONFIGURACOES!$B$37:$B$300,0)),"")</f>
        <v/>
      </c>
      <c r="L1609" s="20" t="n"/>
      <c r="M1609" s="20">
        <f>IFERROR(INDEX(CONFIGURACOES!$I$37:$I$300,MATCH($I1609,CONFIGURACOES!$B$37:$B$300,0)),"")</f>
        <v/>
      </c>
      <c r="N1609" s="21" t="n"/>
      <c r="O1609" s="21" t="n"/>
      <c r="P1609" s="21" t="n"/>
      <c r="Q1609" s="21" t="n"/>
      <c r="R1609" s="21">
        <f>IF($N1609="","",$N1609*IF($Q1609="",1,$Q1609)*IF($P1609="",1,$P1609)*IF($O1609="",1,$O1609))</f>
        <v/>
      </c>
      <c r="S1609" s="22">
        <f>IFERROR(INDEX(CONFIGURACOES!$J$37:$J$300,MATCH($I1609,CONFIGURACOES!$B$37:$B$300,0)),"")</f>
        <v/>
      </c>
      <c r="T1609" s="22">
        <f>IF(OR($R1609="",$S1609=""),"",$R1609*$S1609)</f>
        <v/>
      </c>
      <c r="U1609" s="20" t="n"/>
      <c r="V1609" s="20" t="n"/>
      <c r="W1609" s="20" t="n"/>
      <c r="X1609">
        <f>IF($A1609="","",$A1609&amp;"|"&amp;$C1609&amp;"|"&amp;$I1609)</f>
        <v/>
      </c>
      <c r="Y1609">
        <f>IF(AND($A1609=RELATORIO_MEDICAO!$C$5,$C1609=RELATORIO_MEDICAO!$F$5,$A1609&lt;&gt;""),COUNTIFS($A$3:$A1609,RELATORIO_MEDICAO!$C$5,$C$3:$C1609,RELATORIO_MEDICAO!$F$5),"")</f>
        <v/>
      </c>
      <c r="Z1609">
        <f>IF(OR($A1609="",PESQUISA!$C$4=""),0,IF(OR(ISNUMBER(SEARCH(PESQUISA!$C$4,$G1609)),ISNUMBER(SEARCH(PESQUISA!$C$4,$K1609)),ISNUMBER(SEARCH(PESQUISA!$C$4,$L1609))),1,0))</f>
        <v/>
      </c>
      <c r="AA1609">
        <f>IF($Z1609=1,SUM($Z$3:$Z1609),"")</f>
        <v/>
      </c>
      <c r="AB1609">
        <f>IF(OR($A1609="",PESQUISA!$C$50=""),0,IF(ISNUMBER(SEARCH(PESQUISA!$C$50,$I1609)),1,0))</f>
        <v/>
      </c>
      <c r="AC1609">
        <f>IF($AB1609=1,SUM($AB$3:$AB1609),"")</f>
        <v/>
      </c>
    </row>
    <row r="1610">
      <c r="A1610" s="20" t="n"/>
      <c r="B1610" s="20" t="n"/>
      <c r="C1610" s="20" t="n"/>
      <c r="D1610" s="20" t="n"/>
      <c r="E1610" s="20" t="n"/>
      <c r="F1610" s="20" t="n"/>
      <c r="G1610" s="20" t="n"/>
      <c r="H1610" s="20" t="n"/>
      <c r="I1610" s="20" t="n"/>
      <c r="J1610" s="20">
        <f>IFERROR(INDEX(CONFIGURACOES!$G$37:$G$300,MATCH($I1610,CONFIGURACOES!$B$37:$B$300,0)),"")</f>
        <v/>
      </c>
      <c r="K1610" s="20">
        <f>IFERROR(INDEX(CONFIGURACOES!$H$37:$H$300,MATCH($I1610,CONFIGURACOES!$B$37:$B$300,0)),"")</f>
        <v/>
      </c>
      <c r="L1610" s="20" t="n"/>
      <c r="M1610" s="20">
        <f>IFERROR(INDEX(CONFIGURACOES!$I$37:$I$300,MATCH($I1610,CONFIGURACOES!$B$37:$B$300,0)),"")</f>
        <v/>
      </c>
      <c r="N1610" s="21" t="n"/>
      <c r="O1610" s="21" t="n"/>
      <c r="P1610" s="21" t="n"/>
      <c r="Q1610" s="21" t="n"/>
      <c r="R1610" s="21">
        <f>IF($N1610="","",$N1610*IF($Q1610="",1,$Q1610)*IF($P1610="",1,$P1610)*IF($O1610="",1,$O1610))</f>
        <v/>
      </c>
      <c r="S1610" s="22">
        <f>IFERROR(INDEX(CONFIGURACOES!$J$37:$J$300,MATCH($I1610,CONFIGURACOES!$B$37:$B$300,0)),"")</f>
        <v/>
      </c>
      <c r="T1610" s="22">
        <f>IF(OR($R1610="",$S1610=""),"",$R1610*$S1610)</f>
        <v/>
      </c>
      <c r="U1610" s="20" t="n"/>
      <c r="V1610" s="20" t="n"/>
      <c r="W1610" s="20" t="n"/>
      <c r="X1610">
        <f>IF($A1610="","",$A1610&amp;"|"&amp;$C1610&amp;"|"&amp;$I1610)</f>
        <v/>
      </c>
      <c r="Y1610">
        <f>IF(AND($A1610=RELATORIO_MEDICAO!$C$5,$C1610=RELATORIO_MEDICAO!$F$5,$A1610&lt;&gt;""),COUNTIFS($A$3:$A1610,RELATORIO_MEDICAO!$C$5,$C$3:$C1610,RELATORIO_MEDICAO!$F$5),"")</f>
        <v/>
      </c>
      <c r="Z1610">
        <f>IF(OR($A1610="",PESQUISA!$C$4=""),0,IF(OR(ISNUMBER(SEARCH(PESQUISA!$C$4,$G1610)),ISNUMBER(SEARCH(PESQUISA!$C$4,$K1610)),ISNUMBER(SEARCH(PESQUISA!$C$4,$L1610))),1,0))</f>
        <v/>
      </c>
      <c r="AA1610">
        <f>IF($Z1610=1,SUM($Z$3:$Z1610),"")</f>
        <v/>
      </c>
      <c r="AB1610">
        <f>IF(OR($A1610="",PESQUISA!$C$50=""),0,IF(ISNUMBER(SEARCH(PESQUISA!$C$50,$I1610)),1,0))</f>
        <v/>
      </c>
      <c r="AC1610">
        <f>IF($AB1610=1,SUM($AB$3:$AB1610),"")</f>
        <v/>
      </c>
    </row>
    <row r="1611">
      <c r="A1611" s="20" t="n"/>
      <c r="B1611" s="20" t="n"/>
      <c r="C1611" s="20" t="n"/>
      <c r="D1611" s="20" t="n"/>
      <c r="E1611" s="20" t="n"/>
      <c r="F1611" s="20" t="n"/>
      <c r="G1611" s="20" t="n"/>
      <c r="H1611" s="20" t="n"/>
      <c r="I1611" s="20" t="n"/>
      <c r="J1611" s="20">
        <f>IFERROR(INDEX(CONFIGURACOES!$G$37:$G$300,MATCH($I1611,CONFIGURACOES!$B$37:$B$300,0)),"")</f>
        <v/>
      </c>
      <c r="K1611" s="20">
        <f>IFERROR(INDEX(CONFIGURACOES!$H$37:$H$300,MATCH($I1611,CONFIGURACOES!$B$37:$B$300,0)),"")</f>
        <v/>
      </c>
      <c r="L1611" s="20" t="n"/>
      <c r="M1611" s="20">
        <f>IFERROR(INDEX(CONFIGURACOES!$I$37:$I$300,MATCH($I1611,CONFIGURACOES!$B$37:$B$300,0)),"")</f>
        <v/>
      </c>
      <c r="N1611" s="21" t="n"/>
      <c r="O1611" s="21" t="n"/>
      <c r="P1611" s="21" t="n"/>
      <c r="Q1611" s="21" t="n"/>
      <c r="R1611" s="21">
        <f>IF($N1611="","",$N1611*IF($Q1611="",1,$Q1611)*IF($P1611="",1,$P1611)*IF($O1611="",1,$O1611))</f>
        <v/>
      </c>
      <c r="S1611" s="22">
        <f>IFERROR(INDEX(CONFIGURACOES!$J$37:$J$300,MATCH($I1611,CONFIGURACOES!$B$37:$B$300,0)),"")</f>
        <v/>
      </c>
      <c r="T1611" s="22">
        <f>IF(OR($R1611="",$S1611=""),"",$R1611*$S1611)</f>
        <v/>
      </c>
      <c r="U1611" s="20" t="n"/>
      <c r="V1611" s="20" t="n"/>
      <c r="W1611" s="20" t="n"/>
      <c r="X1611">
        <f>IF($A1611="","",$A1611&amp;"|"&amp;$C1611&amp;"|"&amp;$I1611)</f>
        <v/>
      </c>
      <c r="Y1611">
        <f>IF(AND($A1611=RELATORIO_MEDICAO!$C$5,$C1611=RELATORIO_MEDICAO!$F$5,$A1611&lt;&gt;""),COUNTIFS($A$3:$A1611,RELATORIO_MEDICAO!$C$5,$C$3:$C1611,RELATORIO_MEDICAO!$F$5),"")</f>
        <v/>
      </c>
      <c r="Z1611">
        <f>IF(OR($A1611="",PESQUISA!$C$4=""),0,IF(OR(ISNUMBER(SEARCH(PESQUISA!$C$4,$G1611)),ISNUMBER(SEARCH(PESQUISA!$C$4,$K1611)),ISNUMBER(SEARCH(PESQUISA!$C$4,$L1611))),1,0))</f>
        <v/>
      </c>
      <c r="AA1611">
        <f>IF($Z1611=1,SUM($Z$3:$Z1611),"")</f>
        <v/>
      </c>
      <c r="AB1611">
        <f>IF(OR($A1611="",PESQUISA!$C$50=""),0,IF(ISNUMBER(SEARCH(PESQUISA!$C$50,$I1611)),1,0))</f>
        <v/>
      </c>
      <c r="AC1611">
        <f>IF($AB1611=1,SUM($AB$3:$AB1611),"")</f>
        <v/>
      </c>
    </row>
    <row r="1612">
      <c r="A1612" s="20" t="n"/>
      <c r="B1612" s="20" t="n"/>
      <c r="C1612" s="20" t="n"/>
      <c r="D1612" s="20" t="n"/>
      <c r="E1612" s="20" t="n"/>
      <c r="F1612" s="20" t="n"/>
      <c r="G1612" s="20" t="n"/>
      <c r="H1612" s="20" t="n"/>
      <c r="I1612" s="20" t="n"/>
      <c r="J1612" s="20">
        <f>IFERROR(INDEX(CONFIGURACOES!$G$37:$G$300,MATCH($I1612,CONFIGURACOES!$B$37:$B$300,0)),"")</f>
        <v/>
      </c>
      <c r="K1612" s="20">
        <f>IFERROR(INDEX(CONFIGURACOES!$H$37:$H$300,MATCH($I1612,CONFIGURACOES!$B$37:$B$300,0)),"")</f>
        <v/>
      </c>
      <c r="L1612" s="20" t="n"/>
      <c r="M1612" s="20">
        <f>IFERROR(INDEX(CONFIGURACOES!$I$37:$I$300,MATCH($I1612,CONFIGURACOES!$B$37:$B$300,0)),"")</f>
        <v/>
      </c>
      <c r="N1612" s="21" t="n"/>
      <c r="O1612" s="21" t="n"/>
      <c r="P1612" s="21" t="n"/>
      <c r="Q1612" s="21" t="n"/>
      <c r="R1612" s="21">
        <f>IF($N1612="","",$N1612*IF($Q1612="",1,$Q1612)*IF($P1612="",1,$P1612)*IF($O1612="",1,$O1612))</f>
        <v/>
      </c>
      <c r="S1612" s="22">
        <f>IFERROR(INDEX(CONFIGURACOES!$J$37:$J$300,MATCH($I1612,CONFIGURACOES!$B$37:$B$300,0)),"")</f>
        <v/>
      </c>
      <c r="T1612" s="22">
        <f>IF(OR($R1612="",$S1612=""),"",$R1612*$S1612)</f>
        <v/>
      </c>
      <c r="U1612" s="20" t="n"/>
      <c r="V1612" s="20" t="n"/>
      <c r="W1612" s="20" t="n"/>
      <c r="X1612">
        <f>IF($A1612="","",$A1612&amp;"|"&amp;$C1612&amp;"|"&amp;$I1612)</f>
        <v/>
      </c>
      <c r="Y1612">
        <f>IF(AND($A1612=RELATORIO_MEDICAO!$C$5,$C1612=RELATORIO_MEDICAO!$F$5,$A1612&lt;&gt;""),COUNTIFS($A$3:$A1612,RELATORIO_MEDICAO!$C$5,$C$3:$C1612,RELATORIO_MEDICAO!$F$5),"")</f>
        <v/>
      </c>
      <c r="Z1612">
        <f>IF(OR($A1612="",PESQUISA!$C$4=""),0,IF(OR(ISNUMBER(SEARCH(PESQUISA!$C$4,$G1612)),ISNUMBER(SEARCH(PESQUISA!$C$4,$K1612)),ISNUMBER(SEARCH(PESQUISA!$C$4,$L1612))),1,0))</f>
        <v/>
      </c>
      <c r="AA1612">
        <f>IF($Z1612=1,SUM($Z$3:$Z1612),"")</f>
        <v/>
      </c>
      <c r="AB1612">
        <f>IF(OR($A1612="",PESQUISA!$C$50=""),0,IF(ISNUMBER(SEARCH(PESQUISA!$C$50,$I1612)),1,0))</f>
        <v/>
      </c>
      <c r="AC1612">
        <f>IF($AB1612=1,SUM($AB$3:$AB1612),"")</f>
        <v/>
      </c>
    </row>
    <row r="1613">
      <c r="A1613" s="20" t="n"/>
      <c r="B1613" s="20" t="n"/>
      <c r="C1613" s="20" t="n"/>
      <c r="D1613" s="20" t="n"/>
      <c r="E1613" s="20" t="n"/>
      <c r="F1613" s="20" t="n"/>
      <c r="G1613" s="20" t="n"/>
      <c r="H1613" s="20" t="n"/>
      <c r="I1613" s="20" t="n"/>
      <c r="J1613" s="20">
        <f>IFERROR(INDEX(CONFIGURACOES!$G$37:$G$300,MATCH($I1613,CONFIGURACOES!$B$37:$B$300,0)),"")</f>
        <v/>
      </c>
      <c r="K1613" s="20">
        <f>IFERROR(INDEX(CONFIGURACOES!$H$37:$H$300,MATCH($I1613,CONFIGURACOES!$B$37:$B$300,0)),"")</f>
        <v/>
      </c>
      <c r="L1613" s="20" t="n"/>
      <c r="M1613" s="20">
        <f>IFERROR(INDEX(CONFIGURACOES!$I$37:$I$300,MATCH($I1613,CONFIGURACOES!$B$37:$B$300,0)),"")</f>
        <v/>
      </c>
      <c r="N1613" s="21" t="n"/>
      <c r="O1613" s="21" t="n"/>
      <c r="P1613" s="21" t="n"/>
      <c r="Q1613" s="21" t="n"/>
      <c r="R1613" s="21">
        <f>IF($N1613="","",$N1613*IF($Q1613="",1,$Q1613)*IF($P1613="",1,$P1613)*IF($O1613="",1,$O1613))</f>
        <v/>
      </c>
      <c r="S1613" s="22">
        <f>IFERROR(INDEX(CONFIGURACOES!$J$37:$J$300,MATCH($I1613,CONFIGURACOES!$B$37:$B$300,0)),"")</f>
        <v/>
      </c>
      <c r="T1613" s="22">
        <f>IF(OR($R1613="",$S1613=""),"",$R1613*$S1613)</f>
        <v/>
      </c>
      <c r="U1613" s="20" t="n"/>
      <c r="V1613" s="20" t="n"/>
      <c r="W1613" s="20" t="n"/>
      <c r="X1613">
        <f>IF($A1613="","",$A1613&amp;"|"&amp;$C1613&amp;"|"&amp;$I1613)</f>
        <v/>
      </c>
      <c r="Y1613">
        <f>IF(AND($A1613=RELATORIO_MEDICAO!$C$5,$C1613=RELATORIO_MEDICAO!$F$5,$A1613&lt;&gt;""),COUNTIFS($A$3:$A1613,RELATORIO_MEDICAO!$C$5,$C$3:$C1613,RELATORIO_MEDICAO!$F$5),"")</f>
        <v/>
      </c>
      <c r="Z1613">
        <f>IF(OR($A1613="",PESQUISA!$C$4=""),0,IF(OR(ISNUMBER(SEARCH(PESQUISA!$C$4,$G1613)),ISNUMBER(SEARCH(PESQUISA!$C$4,$K1613)),ISNUMBER(SEARCH(PESQUISA!$C$4,$L1613))),1,0))</f>
        <v/>
      </c>
      <c r="AA1613">
        <f>IF($Z1613=1,SUM($Z$3:$Z1613),"")</f>
        <v/>
      </c>
      <c r="AB1613">
        <f>IF(OR($A1613="",PESQUISA!$C$50=""),0,IF(ISNUMBER(SEARCH(PESQUISA!$C$50,$I1613)),1,0))</f>
        <v/>
      </c>
      <c r="AC1613">
        <f>IF($AB1613=1,SUM($AB$3:$AB1613),"")</f>
        <v/>
      </c>
    </row>
    <row r="1614">
      <c r="A1614" s="20" t="n"/>
      <c r="B1614" s="20" t="n"/>
      <c r="C1614" s="20" t="n"/>
      <c r="D1614" s="20" t="n"/>
      <c r="E1614" s="20" t="n"/>
      <c r="F1614" s="20" t="n"/>
      <c r="G1614" s="20" t="n"/>
      <c r="H1614" s="20" t="n"/>
      <c r="I1614" s="20" t="n"/>
      <c r="J1614" s="20">
        <f>IFERROR(INDEX(CONFIGURACOES!$G$37:$G$300,MATCH($I1614,CONFIGURACOES!$B$37:$B$300,0)),"")</f>
        <v/>
      </c>
      <c r="K1614" s="20">
        <f>IFERROR(INDEX(CONFIGURACOES!$H$37:$H$300,MATCH($I1614,CONFIGURACOES!$B$37:$B$300,0)),"")</f>
        <v/>
      </c>
      <c r="L1614" s="20" t="n"/>
      <c r="M1614" s="20">
        <f>IFERROR(INDEX(CONFIGURACOES!$I$37:$I$300,MATCH($I1614,CONFIGURACOES!$B$37:$B$300,0)),"")</f>
        <v/>
      </c>
      <c r="N1614" s="21" t="n"/>
      <c r="O1614" s="21" t="n"/>
      <c r="P1614" s="21" t="n"/>
      <c r="Q1614" s="21" t="n"/>
      <c r="R1614" s="21">
        <f>IF($N1614="","",$N1614*IF($Q1614="",1,$Q1614)*IF($P1614="",1,$P1614)*IF($O1614="",1,$O1614))</f>
        <v/>
      </c>
      <c r="S1614" s="22">
        <f>IFERROR(INDEX(CONFIGURACOES!$J$37:$J$300,MATCH($I1614,CONFIGURACOES!$B$37:$B$300,0)),"")</f>
        <v/>
      </c>
      <c r="T1614" s="22">
        <f>IF(OR($R1614="",$S1614=""),"",$R1614*$S1614)</f>
        <v/>
      </c>
      <c r="U1614" s="20" t="n"/>
      <c r="V1614" s="20" t="n"/>
      <c r="W1614" s="20" t="n"/>
      <c r="X1614">
        <f>IF($A1614="","",$A1614&amp;"|"&amp;$C1614&amp;"|"&amp;$I1614)</f>
        <v/>
      </c>
      <c r="Y1614">
        <f>IF(AND($A1614=RELATORIO_MEDICAO!$C$5,$C1614=RELATORIO_MEDICAO!$F$5,$A1614&lt;&gt;""),COUNTIFS($A$3:$A1614,RELATORIO_MEDICAO!$C$5,$C$3:$C1614,RELATORIO_MEDICAO!$F$5),"")</f>
        <v/>
      </c>
      <c r="Z1614">
        <f>IF(OR($A1614="",PESQUISA!$C$4=""),0,IF(OR(ISNUMBER(SEARCH(PESQUISA!$C$4,$G1614)),ISNUMBER(SEARCH(PESQUISA!$C$4,$K1614)),ISNUMBER(SEARCH(PESQUISA!$C$4,$L1614))),1,0))</f>
        <v/>
      </c>
      <c r="AA1614">
        <f>IF($Z1614=1,SUM($Z$3:$Z1614),"")</f>
        <v/>
      </c>
      <c r="AB1614">
        <f>IF(OR($A1614="",PESQUISA!$C$50=""),0,IF(ISNUMBER(SEARCH(PESQUISA!$C$50,$I1614)),1,0))</f>
        <v/>
      </c>
      <c r="AC1614">
        <f>IF($AB1614=1,SUM($AB$3:$AB1614),"")</f>
        <v/>
      </c>
    </row>
    <row r="1615">
      <c r="A1615" s="20" t="n"/>
      <c r="B1615" s="20" t="n"/>
      <c r="C1615" s="20" t="n"/>
      <c r="D1615" s="20" t="n"/>
      <c r="E1615" s="20" t="n"/>
      <c r="F1615" s="20" t="n"/>
      <c r="G1615" s="20" t="n"/>
      <c r="H1615" s="20" t="n"/>
      <c r="I1615" s="20" t="n"/>
      <c r="J1615" s="20">
        <f>IFERROR(INDEX(CONFIGURACOES!$G$37:$G$300,MATCH($I1615,CONFIGURACOES!$B$37:$B$300,0)),"")</f>
        <v/>
      </c>
      <c r="K1615" s="20">
        <f>IFERROR(INDEX(CONFIGURACOES!$H$37:$H$300,MATCH($I1615,CONFIGURACOES!$B$37:$B$300,0)),"")</f>
        <v/>
      </c>
      <c r="L1615" s="20" t="n"/>
      <c r="M1615" s="20">
        <f>IFERROR(INDEX(CONFIGURACOES!$I$37:$I$300,MATCH($I1615,CONFIGURACOES!$B$37:$B$300,0)),"")</f>
        <v/>
      </c>
      <c r="N1615" s="21" t="n"/>
      <c r="O1615" s="21" t="n"/>
      <c r="P1615" s="21" t="n"/>
      <c r="Q1615" s="21" t="n"/>
      <c r="R1615" s="21">
        <f>IF($N1615="","",$N1615*IF($Q1615="",1,$Q1615)*IF($P1615="",1,$P1615)*IF($O1615="",1,$O1615))</f>
        <v/>
      </c>
      <c r="S1615" s="22">
        <f>IFERROR(INDEX(CONFIGURACOES!$J$37:$J$300,MATCH($I1615,CONFIGURACOES!$B$37:$B$300,0)),"")</f>
        <v/>
      </c>
      <c r="T1615" s="22">
        <f>IF(OR($R1615="",$S1615=""),"",$R1615*$S1615)</f>
        <v/>
      </c>
      <c r="U1615" s="20" t="n"/>
      <c r="V1615" s="20" t="n"/>
      <c r="W1615" s="20" t="n"/>
      <c r="X1615">
        <f>IF($A1615="","",$A1615&amp;"|"&amp;$C1615&amp;"|"&amp;$I1615)</f>
        <v/>
      </c>
      <c r="Y1615">
        <f>IF(AND($A1615=RELATORIO_MEDICAO!$C$5,$C1615=RELATORIO_MEDICAO!$F$5,$A1615&lt;&gt;""),COUNTIFS($A$3:$A1615,RELATORIO_MEDICAO!$C$5,$C$3:$C1615,RELATORIO_MEDICAO!$F$5),"")</f>
        <v/>
      </c>
      <c r="Z1615">
        <f>IF(OR($A1615="",PESQUISA!$C$4=""),0,IF(OR(ISNUMBER(SEARCH(PESQUISA!$C$4,$G1615)),ISNUMBER(SEARCH(PESQUISA!$C$4,$K1615)),ISNUMBER(SEARCH(PESQUISA!$C$4,$L1615))),1,0))</f>
        <v/>
      </c>
      <c r="AA1615">
        <f>IF($Z1615=1,SUM($Z$3:$Z1615),"")</f>
        <v/>
      </c>
      <c r="AB1615">
        <f>IF(OR($A1615="",PESQUISA!$C$50=""),0,IF(ISNUMBER(SEARCH(PESQUISA!$C$50,$I1615)),1,0))</f>
        <v/>
      </c>
      <c r="AC1615">
        <f>IF($AB1615=1,SUM($AB$3:$AB1615),"")</f>
        <v/>
      </c>
    </row>
    <row r="1616">
      <c r="A1616" s="20" t="n"/>
      <c r="B1616" s="20" t="n"/>
      <c r="C1616" s="20" t="n"/>
      <c r="D1616" s="20" t="n"/>
      <c r="E1616" s="20" t="n"/>
      <c r="F1616" s="20" t="n"/>
      <c r="G1616" s="20" t="n"/>
      <c r="H1616" s="20" t="n"/>
      <c r="I1616" s="20" t="n"/>
      <c r="J1616" s="20">
        <f>IFERROR(INDEX(CONFIGURACOES!$G$37:$G$300,MATCH($I1616,CONFIGURACOES!$B$37:$B$300,0)),"")</f>
        <v/>
      </c>
      <c r="K1616" s="20">
        <f>IFERROR(INDEX(CONFIGURACOES!$H$37:$H$300,MATCH($I1616,CONFIGURACOES!$B$37:$B$300,0)),"")</f>
        <v/>
      </c>
      <c r="L1616" s="20" t="n"/>
      <c r="M1616" s="20">
        <f>IFERROR(INDEX(CONFIGURACOES!$I$37:$I$300,MATCH($I1616,CONFIGURACOES!$B$37:$B$300,0)),"")</f>
        <v/>
      </c>
      <c r="N1616" s="21" t="n"/>
      <c r="O1616" s="21" t="n"/>
      <c r="P1616" s="21" t="n"/>
      <c r="Q1616" s="21" t="n"/>
      <c r="R1616" s="21">
        <f>IF($N1616="","",$N1616*IF($Q1616="",1,$Q1616)*IF($P1616="",1,$P1616)*IF($O1616="",1,$O1616))</f>
        <v/>
      </c>
      <c r="S1616" s="22">
        <f>IFERROR(INDEX(CONFIGURACOES!$J$37:$J$300,MATCH($I1616,CONFIGURACOES!$B$37:$B$300,0)),"")</f>
        <v/>
      </c>
      <c r="T1616" s="22">
        <f>IF(OR($R1616="",$S1616=""),"",$R1616*$S1616)</f>
        <v/>
      </c>
      <c r="U1616" s="20" t="n"/>
      <c r="V1616" s="20" t="n"/>
      <c r="W1616" s="20" t="n"/>
      <c r="X1616">
        <f>IF($A1616="","",$A1616&amp;"|"&amp;$C1616&amp;"|"&amp;$I1616)</f>
        <v/>
      </c>
      <c r="Y1616">
        <f>IF(AND($A1616=RELATORIO_MEDICAO!$C$5,$C1616=RELATORIO_MEDICAO!$F$5,$A1616&lt;&gt;""),COUNTIFS($A$3:$A1616,RELATORIO_MEDICAO!$C$5,$C$3:$C1616,RELATORIO_MEDICAO!$F$5),"")</f>
        <v/>
      </c>
      <c r="Z1616">
        <f>IF(OR($A1616="",PESQUISA!$C$4=""),0,IF(OR(ISNUMBER(SEARCH(PESQUISA!$C$4,$G1616)),ISNUMBER(SEARCH(PESQUISA!$C$4,$K1616)),ISNUMBER(SEARCH(PESQUISA!$C$4,$L1616))),1,0))</f>
        <v/>
      </c>
      <c r="AA1616">
        <f>IF($Z1616=1,SUM($Z$3:$Z1616),"")</f>
        <v/>
      </c>
      <c r="AB1616">
        <f>IF(OR($A1616="",PESQUISA!$C$50=""),0,IF(ISNUMBER(SEARCH(PESQUISA!$C$50,$I1616)),1,0))</f>
        <v/>
      </c>
      <c r="AC1616">
        <f>IF($AB1616=1,SUM($AB$3:$AB1616),"")</f>
        <v/>
      </c>
    </row>
    <row r="1617">
      <c r="A1617" s="20" t="n"/>
      <c r="B1617" s="20" t="n"/>
      <c r="C1617" s="20" t="n"/>
      <c r="D1617" s="20" t="n"/>
      <c r="E1617" s="20" t="n"/>
      <c r="F1617" s="20" t="n"/>
      <c r="G1617" s="20" t="n"/>
      <c r="H1617" s="20" t="n"/>
      <c r="I1617" s="20" t="n"/>
      <c r="J1617" s="20">
        <f>IFERROR(INDEX(CONFIGURACOES!$G$37:$G$300,MATCH($I1617,CONFIGURACOES!$B$37:$B$300,0)),"")</f>
        <v/>
      </c>
      <c r="K1617" s="20">
        <f>IFERROR(INDEX(CONFIGURACOES!$H$37:$H$300,MATCH($I1617,CONFIGURACOES!$B$37:$B$300,0)),"")</f>
        <v/>
      </c>
      <c r="L1617" s="20" t="n"/>
      <c r="M1617" s="20">
        <f>IFERROR(INDEX(CONFIGURACOES!$I$37:$I$300,MATCH($I1617,CONFIGURACOES!$B$37:$B$300,0)),"")</f>
        <v/>
      </c>
      <c r="N1617" s="21" t="n"/>
      <c r="O1617" s="21" t="n"/>
      <c r="P1617" s="21" t="n"/>
      <c r="Q1617" s="21" t="n"/>
      <c r="R1617" s="21">
        <f>IF($N1617="","",$N1617*IF($Q1617="",1,$Q1617)*IF($P1617="",1,$P1617)*IF($O1617="",1,$O1617))</f>
        <v/>
      </c>
      <c r="S1617" s="22">
        <f>IFERROR(INDEX(CONFIGURACOES!$J$37:$J$300,MATCH($I1617,CONFIGURACOES!$B$37:$B$300,0)),"")</f>
        <v/>
      </c>
      <c r="T1617" s="22">
        <f>IF(OR($R1617="",$S1617=""),"",$R1617*$S1617)</f>
        <v/>
      </c>
      <c r="U1617" s="20" t="n"/>
      <c r="V1617" s="20" t="n"/>
      <c r="W1617" s="20" t="n"/>
      <c r="X1617">
        <f>IF($A1617="","",$A1617&amp;"|"&amp;$C1617&amp;"|"&amp;$I1617)</f>
        <v/>
      </c>
      <c r="Y1617">
        <f>IF(AND($A1617=RELATORIO_MEDICAO!$C$5,$C1617=RELATORIO_MEDICAO!$F$5,$A1617&lt;&gt;""),COUNTIFS($A$3:$A1617,RELATORIO_MEDICAO!$C$5,$C$3:$C1617,RELATORIO_MEDICAO!$F$5),"")</f>
        <v/>
      </c>
      <c r="Z1617">
        <f>IF(OR($A1617="",PESQUISA!$C$4=""),0,IF(OR(ISNUMBER(SEARCH(PESQUISA!$C$4,$G1617)),ISNUMBER(SEARCH(PESQUISA!$C$4,$K1617)),ISNUMBER(SEARCH(PESQUISA!$C$4,$L1617))),1,0))</f>
        <v/>
      </c>
      <c r="AA1617">
        <f>IF($Z1617=1,SUM($Z$3:$Z1617),"")</f>
        <v/>
      </c>
      <c r="AB1617">
        <f>IF(OR($A1617="",PESQUISA!$C$50=""),0,IF(ISNUMBER(SEARCH(PESQUISA!$C$50,$I1617)),1,0))</f>
        <v/>
      </c>
      <c r="AC1617">
        <f>IF($AB1617=1,SUM($AB$3:$AB1617),"")</f>
        <v/>
      </c>
    </row>
    <row r="1618">
      <c r="A1618" s="20" t="n"/>
      <c r="B1618" s="20" t="n"/>
      <c r="C1618" s="20" t="n"/>
      <c r="D1618" s="20" t="n"/>
      <c r="E1618" s="20" t="n"/>
      <c r="F1618" s="20" t="n"/>
      <c r="G1618" s="20" t="n"/>
      <c r="H1618" s="20" t="n"/>
      <c r="I1618" s="20" t="n"/>
      <c r="J1618" s="20">
        <f>IFERROR(INDEX(CONFIGURACOES!$G$37:$G$300,MATCH($I1618,CONFIGURACOES!$B$37:$B$300,0)),"")</f>
        <v/>
      </c>
      <c r="K1618" s="20">
        <f>IFERROR(INDEX(CONFIGURACOES!$H$37:$H$300,MATCH($I1618,CONFIGURACOES!$B$37:$B$300,0)),"")</f>
        <v/>
      </c>
      <c r="L1618" s="20" t="n"/>
      <c r="M1618" s="20">
        <f>IFERROR(INDEX(CONFIGURACOES!$I$37:$I$300,MATCH($I1618,CONFIGURACOES!$B$37:$B$300,0)),"")</f>
        <v/>
      </c>
      <c r="N1618" s="21" t="n"/>
      <c r="O1618" s="21" t="n"/>
      <c r="P1618" s="21" t="n"/>
      <c r="Q1618" s="21" t="n"/>
      <c r="R1618" s="21">
        <f>IF($N1618="","",$N1618*IF($Q1618="",1,$Q1618)*IF($P1618="",1,$P1618)*IF($O1618="",1,$O1618))</f>
        <v/>
      </c>
      <c r="S1618" s="22">
        <f>IFERROR(INDEX(CONFIGURACOES!$J$37:$J$300,MATCH($I1618,CONFIGURACOES!$B$37:$B$300,0)),"")</f>
        <v/>
      </c>
      <c r="T1618" s="22">
        <f>IF(OR($R1618="",$S1618=""),"",$R1618*$S1618)</f>
        <v/>
      </c>
      <c r="U1618" s="20" t="n"/>
      <c r="V1618" s="20" t="n"/>
      <c r="W1618" s="20" t="n"/>
      <c r="X1618">
        <f>IF($A1618="","",$A1618&amp;"|"&amp;$C1618&amp;"|"&amp;$I1618)</f>
        <v/>
      </c>
      <c r="Y1618">
        <f>IF(AND($A1618=RELATORIO_MEDICAO!$C$5,$C1618=RELATORIO_MEDICAO!$F$5,$A1618&lt;&gt;""),COUNTIFS($A$3:$A1618,RELATORIO_MEDICAO!$C$5,$C$3:$C1618,RELATORIO_MEDICAO!$F$5),"")</f>
        <v/>
      </c>
      <c r="Z1618">
        <f>IF(OR($A1618="",PESQUISA!$C$4=""),0,IF(OR(ISNUMBER(SEARCH(PESQUISA!$C$4,$G1618)),ISNUMBER(SEARCH(PESQUISA!$C$4,$K1618)),ISNUMBER(SEARCH(PESQUISA!$C$4,$L1618))),1,0))</f>
        <v/>
      </c>
      <c r="AA1618">
        <f>IF($Z1618=1,SUM($Z$3:$Z1618),"")</f>
        <v/>
      </c>
      <c r="AB1618">
        <f>IF(OR($A1618="",PESQUISA!$C$50=""),0,IF(ISNUMBER(SEARCH(PESQUISA!$C$50,$I1618)),1,0))</f>
        <v/>
      </c>
      <c r="AC1618">
        <f>IF($AB1618=1,SUM($AB$3:$AB1618),"")</f>
        <v/>
      </c>
    </row>
    <row r="1619">
      <c r="A1619" s="20" t="n"/>
      <c r="B1619" s="20" t="n"/>
      <c r="C1619" s="20" t="n"/>
      <c r="D1619" s="20" t="n"/>
      <c r="E1619" s="20" t="n"/>
      <c r="F1619" s="20" t="n"/>
      <c r="G1619" s="20" t="n"/>
      <c r="H1619" s="20" t="n"/>
      <c r="I1619" s="20" t="n"/>
      <c r="J1619" s="20">
        <f>IFERROR(INDEX(CONFIGURACOES!$G$37:$G$300,MATCH($I1619,CONFIGURACOES!$B$37:$B$300,0)),"")</f>
        <v/>
      </c>
      <c r="K1619" s="20">
        <f>IFERROR(INDEX(CONFIGURACOES!$H$37:$H$300,MATCH($I1619,CONFIGURACOES!$B$37:$B$300,0)),"")</f>
        <v/>
      </c>
      <c r="L1619" s="20" t="n"/>
      <c r="M1619" s="20">
        <f>IFERROR(INDEX(CONFIGURACOES!$I$37:$I$300,MATCH($I1619,CONFIGURACOES!$B$37:$B$300,0)),"")</f>
        <v/>
      </c>
      <c r="N1619" s="21" t="n"/>
      <c r="O1619" s="21" t="n"/>
      <c r="P1619" s="21" t="n"/>
      <c r="Q1619" s="21" t="n"/>
      <c r="R1619" s="21">
        <f>IF($N1619="","",$N1619*IF($Q1619="",1,$Q1619)*IF($P1619="",1,$P1619)*IF($O1619="",1,$O1619))</f>
        <v/>
      </c>
      <c r="S1619" s="22">
        <f>IFERROR(INDEX(CONFIGURACOES!$J$37:$J$300,MATCH($I1619,CONFIGURACOES!$B$37:$B$300,0)),"")</f>
        <v/>
      </c>
      <c r="T1619" s="22">
        <f>IF(OR($R1619="",$S1619=""),"",$R1619*$S1619)</f>
        <v/>
      </c>
      <c r="U1619" s="20" t="n"/>
      <c r="V1619" s="20" t="n"/>
      <c r="W1619" s="20" t="n"/>
      <c r="X1619">
        <f>IF($A1619="","",$A1619&amp;"|"&amp;$C1619&amp;"|"&amp;$I1619)</f>
        <v/>
      </c>
      <c r="Y1619">
        <f>IF(AND($A1619=RELATORIO_MEDICAO!$C$5,$C1619=RELATORIO_MEDICAO!$F$5,$A1619&lt;&gt;""),COUNTIFS($A$3:$A1619,RELATORIO_MEDICAO!$C$5,$C$3:$C1619,RELATORIO_MEDICAO!$F$5),"")</f>
        <v/>
      </c>
      <c r="Z1619">
        <f>IF(OR($A1619="",PESQUISA!$C$4=""),0,IF(OR(ISNUMBER(SEARCH(PESQUISA!$C$4,$G1619)),ISNUMBER(SEARCH(PESQUISA!$C$4,$K1619)),ISNUMBER(SEARCH(PESQUISA!$C$4,$L1619))),1,0))</f>
        <v/>
      </c>
      <c r="AA1619">
        <f>IF($Z1619=1,SUM($Z$3:$Z1619),"")</f>
        <v/>
      </c>
      <c r="AB1619">
        <f>IF(OR($A1619="",PESQUISA!$C$50=""),0,IF(ISNUMBER(SEARCH(PESQUISA!$C$50,$I1619)),1,0))</f>
        <v/>
      </c>
      <c r="AC1619">
        <f>IF($AB1619=1,SUM($AB$3:$AB1619),"")</f>
        <v/>
      </c>
    </row>
    <row r="1620">
      <c r="A1620" s="20" t="n"/>
      <c r="B1620" s="20" t="n"/>
      <c r="C1620" s="20" t="n"/>
      <c r="D1620" s="20" t="n"/>
      <c r="E1620" s="20" t="n"/>
      <c r="F1620" s="20" t="n"/>
      <c r="G1620" s="20" t="n"/>
      <c r="H1620" s="20" t="n"/>
      <c r="I1620" s="20" t="n"/>
      <c r="J1620" s="20">
        <f>IFERROR(INDEX(CONFIGURACOES!$G$37:$G$300,MATCH($I1620,CONFIGURACOES!$B$37:$B$300,0)),"")</f>
        <v/>
      </c>
      <c r="K1620" s="20">
        <f>IFERROR(INDEX(CONFIGURACOES!$H$37:$H$300,MATCH($I1620,CONFIGURACOES!$B$37:$B$300,0)),"")</f>
        <v/>
      </c>
      <c r="L1620" s="20" t="n"/>
      <c r="M1620" s="20">
        <f>IFERROR(INDEX(CONFIGURACOES!$I$37:$I$300,MATCH($I1620,CONFIGURACOES!$B$37:$B$300,0)),"")</f>
        <v/>
      </c>
      <c r="N1620" s="21" t="n"/>
      <c r="O1620" s="21" t="n"/>
      <c r="P1620" s="21" t="n"/>
      <c r="Q1620" s="21" t="n"/>
      <c r="R1620" s="21">
        <f>IF($N1620="","",$N1620*IF($Q1620="",1,$Q1620)*IF($P1620="",1,$P1620)*IF($O1620="",1,$O1620))</f>
        <v/>
      </c>
      <c r="S1620" s="22">
        <f>IFERROR(INDEX(CONFIGURACOES!$J$37:$J$300,MATCH($I1620,CONFIGURACOES!$B$37:$B$300,0)),"")</f>
        <v/>
      </c>
      <c r="T1620" s="22">
        <f>IF(OR($R1620="",$S1620=""),"",$R1620*$S1620)</f>
        <v/>
      </c>
      <c r="U1620" s="20" t="n"/>
      <c r="V1620" s="20" t="n"/>
      <c r="W1620" s="20" t="n"/>
      <c r="X1620">
        <f>IF($A1620="","",$A1620&amp;"|"&amp;$C1620&amp;"|"&amp;$I1620)</f>
        <v/>
      </c>
      <c r="Y1620">
        <f>IF(AND($A1620=RELATORIO_MEDICAO!$C$5,$C1620=RELATORIO_MEDICAO!$F$5,$A1620&lt;&gt;""),COUNTIFS($A$3:$A1620,RELATORIO_MEDICAO!$C$5,$C$3:$C1620,RELATORIO_MEDICAO!$F$5),"")</f>
        <v/>
      </c>
      <c r="Z1620">
        <f>IF(OR($A1620="",PESQUISA!$C$4=""),0,IF(OR(ISNUMBER(SEARCH(PESQUISA!$C$4,$G1620)),ISNUMBER(SEARCH(PESQUISA!$C$4,$K1620)),ISNUMBER(SEARCH(PESQUISA!$C$4,$L1620))),1,0))</f>
        <v/>
      </c>
      <c r="AA1620">
        <f>IF($Z1620=1,SUM($Z$3:$Z1620),"")</f>
        <v/>
      </c>
      <c r="AB1620">
        <f>IF(OR($A1620="",PESQUISA!$C$50=""),0,IF(ISNUMBER(SEARCH(PESQUISA!$C$50,$I1620)),1,0))</f>
        <v/>
      </c>
      <c r="AC1620">
        <f>IF($AB1620=1,SUM($AB$3:$AB1620),"")</f>
        <v/>
      </c>
    </row>
    <row r="1621">
      <c r="A1621" s="20" t="n"/>
      <c r="B1621" s="20" t="n"/>
      <c r="C1621" s="20" t="n"/>
      <c r="D1621" s="20" t="n"/>
      <c r="E1621" s="20" t="n"/>
      <c r="F1621" s="20" t="n"/>
      <c r="G1621" s="20" t="n"/>
      <c r="H1621" s="20" t="n"/>
      <c r="I1621" s="20" t="n"/>
      <c r="J1621" s="20">
        <f>IFERROR(INDEX(CONFIGURACOES!$G$37:$G$300,MATCH($I1621,CONFIGURACOES!$B$37:$B$300,0)),"")</f>
        <v/>
      </c>
      <c r="K1621" s="20">
        <f>IFERROR(INDEX(CONFIGURACOES!$H$37:$H$300,MATCH($I1621,CONFIGURACOES!$B$37:$B$300,0)),"")</f>
        <v/>
      </c>
      <c r="L1621" s="20" t="n"/>
      <c r="M1621" s="20">
        <f>IFERROR(INDEX(CONFIGURACOES!$I$37:$I$300,MATCH($I1621,CONFIGURACOES!$B$37:$B$300,0)),"")</f>
        <v/>
      </c>
      <c r="N1621" s="21" t="n"/>
      <c r="O1621" s="21" t="n"/>
      <c r="P1621" s="21" t="n"/>
      <c r="Q1621" s="21" t="n"/>
      <c r="R1621" s="21">
        <f>IF($N1621="","",$N1621*IF($Q1621="",1,$Q1621)*IF($P1621="",1,$P1621)*IF($O1621="",1,$O1621))</f>
        <v/>
      </c>
      <c r="S1621" s="22">
        <f>IFERROR(INDEX(CONFIGURACOES!$J$37:$J$300,MATCH($I1621,CONFIGURACOES!$B$37:$B$300,0)),"")</f>
        <v/>
      </c>
      <c r="T1621" s="22">
        <f>IF(OR($R1621="",$S1621=""),"",$R1621*$S1621)</f>
        <v/>
      </c>
      <c r="U1621" s="20" t="n"/>
      <c r="V1621" s="20" t="n"/>
      <c r="W1621" s="20" t="n"/>
      <c r="X1621">
        <f>IF($A1621="","",$A1621&amp;"|"&amp;$C1621&amp;"|"&amp;$I1621)</f>
        <v/>
      </c>
      <c r="Y1621">
        <f>IF(AND($A1621=RELATORIO_MEDICAO!$C$5,$C1621=RELATORIO_MEDICAO!$F$5,$A1621&lt;&gt;""),COUNTIFS($A$3:$A1621,RELATORIO_MEDICAO!$C$5,$C$3:$C1621,RELATORIO_MEDICAO!$F$5),"")</f>
        <v/>
      </c>
      <c r="Z1621">
        <f>IF(OR($A1621="",PESQUISA!$C$4=""),0,IF(OR(ISNUMBER(SEARCH(PESQUISA!$C$4,$G1621)),ISNUMBER(SEARCH(PESQUISA!$C$4,$K1621)),ISNUMBER(SEARCH(PESQUISA!$C$4,$L1621))),1,0))</f>
        <v/>
      </c>
      <c r="AA1621">
        <f>IF($Z1621=1,SUM($Z$3:$Z1621),"")</f>
        <v/>
      </c>
      <c r="AB1621">
        <f>IF(OR($A1621="",PESQUISA!$C$50=""),0,IF(ISNUMBER(SEARCH(PESQUISA!$C$50,$I1621)),1,0))</f>
        <v/>
      </c>
      <c r="AC1621">
        <f>IF($AB1621=1,SUM($AB$3:$AB1621),"")</f>
        <v/>
      </c>
    </row>
    <row r="1622">
      <c r="A1622" s="20" t="n"/>
      <c r="B1622" s="20" t="n"/>
      <c r="C1622" s="20" t="n"/>
      <c r="D1622" s="20" t="n"/>
      <c r="E1622" s="20" t="n"/>
      <c r="F1622" s="20" t="n"/>
      <c r="G1622" s="20" t="n"/>
      <c r="H1622" s="20" t="n"/>
      <c r="I1622" s="20" t="n"/>
      <c r="J1622" s="20">
        <f>IFERROR(INDEX(CONFIGURACOES!$G$37:$G$300,MATCH($I1622,CONFIGURACOES!$B$37:$B$300,0)),"")</f>
        <v/>
      </c>
      <c r="K1622" s="20">
        <f>IFERROR(INDEX(CONFIGURACOES!$H$37:$H$300,MATCH($I1622,CONFIGURACOES!$B$37:$B$300,0)),"")</f>
        <v/>
      </c>
      <c r="L1622" s="20" t="n"/>
      <c r="M1622" s="20">
        <f>IFERROR(INDEX(CONFIGURACOES!$I$37:$I$300,MATCH($I1622,CONFIGURACOES!$B$37:$B$300,0)),"")</f>
        <v/>
      </c>
      <c r="N1622" s="21" t="n"/>
      <c r="O1622" s="21" t="n"/>
      <c r="P1622" s="21" t="n"/>
      <c r="Q1622" s="21" t="n"/>
      <c r="R1622" s="21">
        <f>IF($N1622="","",$N1622*IF($Q1622="",1,$Q1622)*IF($P1622="",1,$P1622)*IF($O1622="",1,$O1622))</f>
        <v/>
      </c>
      <c r="S1622" s="22">
        <f>IFERROR(INDEX(CONFIGURACOES!$J$37:$J$300,MATCH($I1622,CONFIGURACOES!$B$37:$B$300,0)),"")</f>
        <v/>
      </c>
      <c r="T1622" s="22">
        <f>IF(OR($R1622="",$S1622=""),"",$R1622*$S1622)</f>
        <v/>
      </c>
      <c r="U1622" s="20" t="n"/>
      <c r="V1622" s="20" t="n"/>
      <c r="W1622" s="20" t="n"/>
      <c r="X1622">
        <f>IF($A1622="","",$A1622&amp;"|"&amp;$C1622&amp;"|"&amp;$I1622)</f>
        <v/>
      </c>
      <c r="Y1622">
        <f>IF(AND($A1622=RELATORIO_MEDICAO!$C$5,$C1622=RELATORIO_MEDICAO!$F$5,$A1622&lt;&gt;""),COUNTIFS($A$3:$A1622,RELATORIO_MEDICAO!$C$5,$C$3:$C1622,RELATORIO_MEDICAO!$F$5),"")</f>
        <v/>
      </c>
      <c r="Z1622">
        <f>IF(OR($A1622="",PESQUISA!$C$4=""),0,IF(OR(ISNUMBER(SEARCH(PESQUISA!$C$4,$G1622)),ISNUMBER(SEARCH(PESQUISA!$C$4,$K1622)),ISNUMBER(SEARCH(PESQUISA!$C$4,$L1622))),1,0))</f>
        <v/>
      </c>
      <c r="AA1622">
        <f>IF($Z1622=1,SUM($Z$3:$Z1622),"")</f>
        <v/>
      </c>
      <c r="AB1622">
        <f>IF(OR($A1622="",PESQUISA!$C$50=""),0,IF(ISNUMBER(SEARCH(PESQUISA!$C$50,$I1622)),1,0))</f>
        <v/>
      </c>
      <c r="AC1622">
        <f>IF($AB1622=1,SUM($AB$3:$AB1622),"")</f>
        <v/>
      </c>
    </row>
    <row r="1623">
      <c r="A1623" s="20" t="n"/>
      <c r="B1623" s="20" t="n"/>
      <c r="C1623" s="20" t="n"/>
      <c r="D1623" s="20" t="n"/>
      <c r="E1623" s="20" t="n"/>
      <c r="F1623" s="20" t="n"/>
      <c r="G1623" s="20" t="n"/>
      <c r="H1623" s="20" t="n"/>
      <c r="I1623" s="20" t="n"/>
      <c r="J1623" s="20">
        <f>IFERROR(INDEX(CONFIGURACOES!$G$37:$G$300,MATCH($I1623,CONFIGURACOES!$B$37:$B$300,0)),"")</f>
        <v/>
      </c>
      <c r="K1623" s="20">
        <f>IFERROR(INDEX(CONFIGURACOES!$H$37:$H$300,MATCH($I1623,CONFIGURACOES!$B$37:$B$300,0)),"")</f>
        <v/>
      </c>
      <c r="L1623" s="20" t="n"/>
      <c r="M1623" s="20">
        <f>IFERROR(INDEX(CONFIGURACOES!$I$37:$I$300,MATCH($I1623,CONFIGURACOES!$B$37:$B$300,0)),"")</f>
        <v/>
      </c>
      <c r="N1623" s="21" t="n"/>
      <c r="O1623" s="21" t="n"/>
      <c r="P1623" s="21" t="n"/>
      <c r="Q1623" s="21" t="n"/>
      <c r="R1623" s="21">
        <f>IF($N1623="","",$N1623*IF($Q1623="",1,$Q1623)*IF($P1623="",1,$P1623)*IF($O1623="",1,$O1623))</f>
        <v/>
      </c>
      <c r="S1623" s="22">
        <f>IFERROR(INDEX(CONFIGURACOES!$J$37:$J$300,MATCH($I1623,CONFIGURACOES!$B$37:$B$300,0)),"")</f>
        <v/>
      </c>
      <c r="T1623" s="22">
        <f>IF(OR($R1623="",$S1623=""),"",$R1623*$S1623)</f>
        <v/>
      </c>
      <c r="U1623" s="20" t="n"/>
      <c r="V1623" s="20" t="n"/>
      <c r="W1623" s="20" t="n"/>
      <c r="X1623">
        <f>IF($A1623="","",$A1623&amp;"|"&amp;$C1623&amp;"|"&amp;$I1623)</f>
        <v/>
      </c>
      <c r="Y1623">
        <f>IF(AND($A1623=RELATORIO_MEDICAO!$C$5,$C1623=RELATORIO_MEDICAO!$F$5,$A1623&lt;&gt;""),COUNTIFS($A$3:$A1623,RELATORIO_MEDICAO!$C$5,$C$3:$C1623,RELATORIO_MEDICAO!$F$5),"")</f>
        <v/>
      </c>
      <c r="Z1623">
        <f>IF(OR($A1623="",PESQUISA!$C$4=""),0,IF(OR(ISNUMBER(SEARCH(PESQUISA!$C$4,$G1623)),ISNUMBER(SEARCH(PESQUISA!$C$4,$K1623)),ISNUMBER(SEARCH(PESQUISA!$C$4,$L1623))),1,0))</f>
        <v/>
      </c>
      <c r="AA1623">
        <f>IF($Z1623=1,SUM($Z$3:$Z1623),"")</f>
        <v/>
      </c>
      <c r="AB1623">
        <f>IF(OR($A1623="",PESQUISA!$C$50=""),0,IF(ISNUMBER(SEARCH(PESQUISA!$C$50,$I1623)),1,0))</f>
        <v/>
      </c>
      <c r="AC1623">
        <f>IF($AB1623=1,SUM($AB$3:$AB1623),"")</f>
        <v/>
      </c>
    </row>
    <row r="1624">
      <c r="A1624" s="20" t="n"/>
      <c r="B1624" s="20" t="n"/>
      <c r="C1624" s="20" t="n"/>
      <c r="D1624" s="20" t="n"/>
      <c r="E1624" s="20" t="n"/>
      <c r="F1624" s="20" t="n"/>
      <c r="G1624" s="20" t="n"/>
      <c r="H1624" s="20" t="n"/>
      <c r="I1624" s="20" t="n"/>
      <c r="J1624" s="20">
        <f>IFERROR(INDEX(CONFIGURACOES!$G$37:$G$300,MATCH($I1624,CONFIGURACOES!$B$37:$B$300,0)),"")</f>
        <v/>
      </c>
      <c r="K1624" s="20">
        <f>IFERROR(INDEX(CONFIGURACOES!$H$37:$H$300,MATCH($I1624,CONFIGURACOES!$B$37:$B$300,0)),"")</f>
        <v/>
      </c>
      <c r="L1624" s="20" t="n"/>
      <c r="M1624" s="20">
        <f>IFERROR(INDEX(CONFIGURACOES!$I$37:$I$300,MATCH($I1624,CONFIGURACOES!$B$37:$B$300,0)),"")</f>
        <v/>
      </c>
      <c r="N1624" s="21" t="n"/>
      <c r="O1624" s="21" t="n"/>
      <c r="P1624" s="21" t="n"/>
      <c r="Q1624" s="21" t="n"/>
      <c r="R1624" s="21">
        <f>IF($N1624="","",$N1624*IF($Q1624="",1,$Q1624)*IF($P1624="",1,$P1624)*IF($O1624="",1,$O1624))</f>
        <v/>
      </c>
      <c r="S1624" s="22">
        <f>IFERROR(INDEX(CONFIGURACOES!$J$37:$J$300,MATCH($I1624,CONFIGURACOES!$B$37:$B$300,0)),"")</f>
        <v/>
      </c>
      <c r="T1624" s="22">
        <f>IF(OR($R1624="",$S1624=""),"",$R1624*$S1624)</f>
        <v/>
      </c>
      <c r="U1624" s="20" t="n"/>
      <c r="V1624" s="20" t="n"/>
      <c r="W1624" s="20" t="n"/>
      <c r="X1624">
        <f>IF($A1624="","",$A1624&amp;"|"&amp;$C1624&amp;"|"&amp;$I1624)</f>
        <v/>
      </c>
      <c r="Y1624">
        <f>IF(AND($A1624=RELATORIO_MEDICAO!$C$5,$C1624=RELATORIO_MEDICAO!$F$5,$A1624&lt;&gt;""),COUNTIFS($A$3:$A1624,RELATORIO_MEDICAO!$C$5,$C$3:$C1624,RELATORIO_MEDICAO!$F$5),"")</f>
        <v/>
      </c>
      <c r="Z1624">
        <f>IF(OR($A1624="",PESQUISA!$C$4=""),0,IF(OR(ISNUMBER(SEARCH(PESQUISA!$C$4,$G1624)),ISNUMBER(SEARCH(PESQUISA!$C$4,$K1624)),ISNUMBER(SEARCH(PESQUISA!$C$4,$L1624))),1,0))</f>
        <v/>
      </c>
      <c r="AA1624">
        <f>IF($Z1624=1,SUM($Z$3:$Z1624),"")</f>
        <v/>
      </c>
      <c r="AB1624">
        <f>IF(OR($A1624="",PESQUISA!$C$50=""),0,IF(ISNUMBER(SEARCH(PESQUISA!$C$50,$I1624)),1,0))</f>
        <v/>
      </c>
      <c r="AC1624">
        <f>IF($AB1624=1,SUM($AB$3:$AB1624),"")</f>
        <v/>
      </c>
    </row>
    <row r="1625">
      <c r="A1625" s="20" t="n"/>
      <c r="B1625" s="20" t="n"/>
      <c r="C1625" s="20" t="n"/>
      <c r="D1625" s="20" t="n"/>
      <c r="E1625" s="20" t="n"/>
      <c r="F1625" s="20" t="n"/>
      <c r="G1625" s="20" t="n"/>
      <c r="H1625" s="20" t="n"/>
      <c r="I1625" s="20" t="n"/>
      <c r="J1625" s="20">
        <f>IFERROR(INDEX(CONFIGURACOES!$G$37:$G$300,MATCH($I1625,CONFIGURACOES!$B$37:$B$300,0)),"")</f>
        <v/>
      </c>
      <c r="K1625" s="20">
        <f>IFERROR(INDEX(CONFIGURACOES!$H$37:$H$300,MATCH($I1625,CONFIGURACOES!$B$37:$B$300,0)),"")</f>
        <v/>
      </c>
      <c r="L1625" s="20" t="n"/>
      <c r="M1625" s="20">
        <f>IFERROR(INDEX(CONFIGURACOES!$I$37:$I$300,MATCH($I1625,CONFIGURACOES!$B$37:$B$300,0)),"")</f>
        <v/>
      </c>
      <c r="N1625" s="21" t="n"/>
      <c r="O1625" s="21" t="n"/>
      <c r="P1625" s="21" t="n"/>
      <c r="Q1625" s="21" t="n"/>
      <c r="R1625" s="21">
        <f>IF($N1625="","",$N1625*IF($Q1625="",1,$Q1625)*IF($P1625="",1,$P1625)*IF($O1625="",1,$O1625))</f>
        <v/>
      </c>
      <c r="S1625" s="22">
        <f>IFERROR(INDEX(CONFIGURACOES!$J$37:$J$300,MATCH($I1625,CONFIGURACOES!$B$37:$B$300,0)),"")</f>
        <v/>
      </c>
      <c r="T1625" s="22">
        <f>IF(OR($R1625="",$S1625=""),"",$R1625*$S1625)</f>
        <v/>
      </c>
      <c r="U1625" s="20" t="n"/>
      <c r="V1625" s="20" t="n"/>
      <c r="W1625" s="20" t="n"/>
      <c r="X1625">
        <f>IF($A1625="","",$A1625&amp;"|"&amp;$C1625&amp;"|"&amp;$I1625)</f>
        <v/>
      </c>
      <c r="Y1625">
        <f>IF(AND($A1625=RELATORIO_MEDICAO!$C$5,$C1625=RELATORIO_MEDICAO!$F$5,$A1625&lt;&gt;""),COUNTIFS($A$3:$A1625,RELATORIO_MEDICAO!$C$5,$C$3:$C1625,RELATORIO_MEDICAO!$F$5),"")</f>
        <v/>
      </c>
      <c r="Z1625">
        <f>IF(OR($A1625="",PESQUISA!$C$4=""),0,IF(OR(ISNUMBER(SEARCH(PESQUISA!$C$4,$G1625)),ISNUMBER(SEARCH(PESQUISA!$C$4,$K1625)),ISNUMBER(SEARCH(PESQUISA!$C$4,$L1625))),1,0))</f>
        <v/>
      </c>
      <c r="AA1625">
        <f>IF($Z1625=1,SUM($Z$3:$Z1625),"")</f>
        <v/>
      </c>
      <c r="AB1625">
        <f>IF(OR($A1625="",PESQUISA!$C$50=""),0,IF(ISNUMBER(SEARCH(PESQUISA!$C$50,$I1625)),1,0))</f>
        <v/>
      </c>
      <c r="AC1625">
        <f>IF($AB1625=1,SUM($AB$3:$AB1625),"")</f>
        <v/>
      </c>
    </row>
    <row r="1626">
      <c r="A1626" s="20" t="n"/>
      <c r="B1626" s="20" t="n"/>
      <c r="C1626" s="20" t="n"/>
      <c r="D1626" s="20" t="n"/>
      <c r="E1626" s="20" t="n"/>
      <c r="F1626" s="20" t="n"/>
      <c r="G1626" s="20" t="n"/>
      <c r="H1626" s="20" t="n"/>
      <c r="I1626" s="20" t="n"/>
      <c r="J1626" s="20">
        <f>IFERROR(INDEX(CONFIGURACOES!$G$37:$G$300,MATCH($I1626,CONFIGURACOES!$B$37:$B$300,0)),"")</f>
        <v/>
      </c>
      <c r="K1626" s="20">
        <f>IFERROR(INDEX(CONFIGURACOES!$H$37:$H$300,MATCH($I1626,CONFIGURACOES!$B$37:$B$300,0)),"")</f>
        <v/>
      </c>
      <c r="L1626" s="20" t="n"/>
      <c r="M1626" s="20">
        <f>IFERROR(INDEX(CONFIGURACOES!$I$37:$I$300,MATCH($I1626,CONFIGURACOES!$B$37:$B$300,0)),"")</f>
        <v/>
      </c>
      <c r="N1626" s="21" t="n"/>
      <c r="O1626" s="21" t="n"/>
      <c r="P1626" s="21" t="n"/>
      <c r="Q1626" s="21" t="n"/>
      <c r="R1626" s="21">
        <f>IF($N1626="","",$N1626*IF($Q1626="",1,$Q1626)*IF($P1626="",1,$P1626)*IF($O1626="",1,$O1626))</f>
        <v/>
      </c>
      <c r="S1626" s="22">
        <f>IFERROR(INDEX(CONFIGURACOES!$J$37:$J$300,MATCH($I1626,CONFIGURACOES!$B$37:$B$300,0)),"")</f>
        <v/>
      </c>
      <c r="T1626" s="22">
        <f>IF(OR($R1626="",$S1626=""),"",$R1626*$S1626)</f>
        <v/>
      </c>
      <c r="U1626" s="20" t="n"/>
      <c r="V1626" s="20" t="n"/>
      <c r="W1626" s="20" t="n"/>
      <c r="X1626">
        <f>IF($A1626="","",$A1626&amp;"|"&amp;$C1626&amp;"|"&amp;$I1626)</f>
        <v/>
      </c>
      <c r="Y1626">
        <f>IF(AND($A1626=RELATORIO_MEDICAO!$C$5,$C1626=RELATORIO_MEDICAO!$F$5,$A1626&lt;&gt;""),COUNTIFS($A$3:$A1626,RELATORIO_MEDICAO!$C$5,$C$3:$C1626,RELATORIO_MEDICAO!$F$5),"")</f>
        <v/>
      </c>
      <c r="Z1626">
        <f>IF(OR($A1626="",PESQUISA!$C$4=""),0,IF(OR(ISNUMBER(SEARCH(PESQUISA!$C$4,$G1626)),ISNUMBER(SEARCH(PESQUISA!$C$4,$K1626)),ISNUMBER(SEARCH(PESQUISA!$C$4,$L1626))),1,0))</f>
        <v/>
      </c>
      <c r="AA1626">
        <f>IF($Z1626=1,SUM($Z$3:$Z1626),"")</f>
        <v/>
      </c>
      <c r="AB1626">
        <f>IF(OR($A1626="",PESQUISA!$C$50=""),0,IF(ISNUMBER(SEARCH(PESQUISA!$C$50,$I1626)),1,0))</f>
        <v/>
      </c>
      <c r="AC1626">
        <f>IF($AB1626=1,SUM($AB$3:$AB1626),"")</f>
        <v/>
      </c>
    </row>
    <row r="1627">
      <c r="A1627" s="20" t="n"/>
      <c r="B1627" s="20" t="n"/>
      <c r="C1627" s="20" t="n"/>
      <c r="D1627" s="20" t="n"/>
      <c r="E1627" s="20" t="n"/>
      <c r="F1627" s="20" t="n"/>
      <c r="G1627" s="20" t="n"/>
      <c r="H1627" s="20" t="n"/>
      <c r="I1627" s="20" t="n"/>
      <c r="J1627" s="20">
        <f>IFERROR(INDEX(CONFIGURACOES!$G$37:$G$300,MATCH($I1627,CONFIGURACOES!$B$37:$B$300,0)),"")</f>
        <v/>
      </c>
      <c r="K1627" s="20">
        <f>IFERROR(INDEX(CONFIGURACOES!$H$37:$H$300,MATCH($I1627,CONFIGURACOES!$B$37:$B$300,0)),"")</f>
        <v/>
      </c>
      <c r="L1627" s="20" t="n"/>
      <c r="M1627" s="20">
        <f>IFERROR(INDEX(CONFIGURACOES!$I$37:$I$300,MATCH($I1627,CONFIGURACOES!$B$37:$B$300,0)),"")</f>
        <v/>
      </c>
      <c r="N1627" s="21" t="n"/>
      <c r="O1627" s="21" t="n"/>
      <c r="P1627" s="21" t="n"/>
      <c r="Q1627" s="21" t="n"/>
      <c r="R1627" s="21">
        <f>IF($N1627="","",$N1627*IF($Q1627="",1,$Q1627)*IF($P1627="",1,$P1627)*IF($O1627="",1,$O1627))</f>
        <v/>
      </c>
      <c r="S1627" s="22">
        <f>IFERROR(INDEX(CONFIGURACOES!$J$37:$J$300,MATCH($I1627,CONFIGURACOES!$B$37:$B$300,0)),"")</f>
        <v/>
      </c>
      <c r="T1627" s="22">
        <f>IF(OR($R1627="",$S1627=""),"",$R1627*$S1627)</f>
        <v/>
      </c>
      <c r="U1627" s="20" t="n"/>
      <c r="V1627" s="20" t="n"/>
      <c r="W1627" s="20" t="n"/>
      <c r="X1627">
        <f>IF($A1627="","",$A1627&amp;"|"&amp;$C1627&amp;"|"&amp;$I1627)</f>
        <v/>
      </c>
      <c r="Y1627">
        <f>IF(AND($A1627=RELATORIO_MEDICAO!$C$5,$C1627=RELATORIO_MEDICAO!$F$5,$A1627&lt;&gt;""),COUNTIFS($A$3:$A1627,RELATORIO_MEDICAO!$C$5,$C$3:$C1627,RELATORIO_MEDICAO!$F$5),"")</f>
        <v/>
      </c>
      <c r="Z1627">
        <f>IF(OR($A1627="",PESQUISA!$C$4=""),0,IF(OR(ISNUMBER(SEARCH(PESQUISA!$C$4,$G1627)),ISNUMBER(SEARCH(PESQUISA!$C$4,$K1627)),ISNUMBER(SEARCH(PESQUISA!$C$4,$L1627))),1,0))</f>
        <v/>
      </c>
      <c r="AA1627">
        <f>IF($Z1627=1,SUM($Z$3:$Z1627),"")</f>
        <v/>
      </c>
      <c r="AB1627">
        <f>IF(OR($A1627="",PESQUISA!$C$50=""),0,IF(ISNUMBER(SEARCH(PESQUISA!$C$50,$I1627)),1,0))</f>
        <v/>
      </c>
      <c r="AC1627">
        <f>IF($AB1627=1,SUM($AB$3:$AB1627),"")</f>
        <v/>
      </c>
    </row>
    <row r="1628">
      <c r="A1628" s="20" t="n"/>
      <c r="B1628" s="20" t="n"/>
      <c r="C1628" s="20" t="n"/>
      <c r="D1628" s="20" t="n"/>
      <c r="E1628" s="20" t="n"/>
      <c r="F1628" s="20" t="n"/>
      <c r="G1628" s="20" t="n"/>
      <c r="H1628" s="20" t="n"/>
      <c r="I1628" s="20" t="n"/>
      <c r="J1628" s="20">
        <f>IFERROR(INDEX(CONFIGURACOES!$G$37:$G$300,MATCH($I1628,CONFIGURACOES!$B$37:$B$300,0)),"")</f>
        <v/>
      </c>
      <c r="K1628" s="20">
        <f>IFERROR(INDEX(CONFIGURACOES!$H$37:$H$300,MATCH($I1628,CONFIGURACOES!$B$37:$B$300,0)),"")</f>
        <v/>
      </c>
      <c r="L1628" s="20" t="n"/>
      <c r="M1628" s="20">
        <f>IFERROR(INDEX(CONFIGURACOES!$I$37:$I$300,MATCH($I1628,CONFIGURACOES!$B$37:$B$300,0)),"")</f>
        <v/>
      </c>
      <c r="N1628" s="21" t="n"/>
      <c r="O1628" s="21" t="n"/>
      <c r="P1628" s="21" t="n"/>
      <c r="Q1628" s="21" t="n"/>
      <c r="R1628" s="21">
        <f>IF($N1628="","",$N1628*IF($Q1628="",1,$Q1628)*IF($P1628="",1,$P1628)*IF($O1628="",1,$O1628))</f>
        <v/>
      </c>
      <c r="S1628" s="22">
        <f>IFERROR(INDEX(CONFIGURACOES!$J$37:$J$300,MATCH($I1628,CONFIGURACOES!$B$37:$B$300,0)),"")</f>
        <v/>
      </c>
      <c r="T1628" s="22">
        <f>IF(OR($R1628="",$S1628=""),"",$R1628*$S1628)</f>
        <v/>
      </c>
      <c r="U1628" s="20" t="n"/>
      <c r="V1628" s="20" t="n"/>
      <c r="W1628" s="20" t="n"/>
      <c r="X1628">
        <f>IF($A1628="","",$A1628&amp;"|"&amp;$C1628&amp;"|"&amp;$I1628)</f>
        <v/>
      </c>
      <c r="Y1628">
        <f>IF(AND($A1628=RELATORIO_MEDICAO!$C$5,$C1628=RELATORIO_MEDICAO!$F$5,$A1628&lt;&gt;""),COUNTIFS($A$3:$A1628,RELATORIO_MEDICAO!$C$5,$C$3:$C1628,RELATORIO_MEDICAO!$F$5),"")</f>
        <v/>
      </c>
      <c r="Z1628">
        <f>IF(OR($A1628="",PESQUISA!$C$4=""),0,IF(OR(ISNUMBER(SEARCH(PESQUISA!$C$4,$G1628)),ISNUMBER(SEARCH(PESQUISA!$C$4,$K1628)),ISNUMBER(SEARCH(PESQUISA!$C$4,$L1628))),1,0))</f>
        <v/>
      </c>
      <c r="AA1628">
        <f>IF($Z1628=1,SUM($Z$3:$Z1628),"")</f>
        <v/>
      </c>
      <c r="AB1628">
        <f>IF(OR($A1628="",PESQUISA!$C$50=""),0,IF(ISNUMBER(SEARCH(PESQUISA!$C$50,$I1628)),1,0))</f>
        <v/>
      </c>
      <c r="AC1628">
        <f>IF($AB1628=1,SUM($AB$3:$AB1628),"")</f>
        <v/>
      </c>
    </row>
    <row r="1629">
      <c r="A1629" s="20" t="n"/>
      <c r="B1629" s="20" t="n"/>
      <c r="C1629" s="20" t="n"/>
      <c r="D1629" s="20" t="n"/>
      <c r="E1629" s="20" t="n"/>
      <c r="F1629" s="20" t="n"/>
      <c r="G1629" s="20" t="n"/>
      <c r="H1629" s="20" t="n"/>
      <c r="I1629" s="20" t="n"/>
      <c r="J1629" s="20">
        <f>IFERROR(INDEX(CONFIGURACOES!$G$37:$G$300,MATCH($I1629,CONFIGURACOES!$B$37:$B$300,0)),"")</f>
        <v/>
      </c>
      <c r="K1629" s="20">
        <f>IFERROR(INDEX(CONFIGURACOES!$H$37:$H$300,MATCH($I1629,CONFIGURACOES!$B$37:$B$300,0)),"")</f>
        <v/>
      </c>
      <c r="L1629" s="20" t="n"/>
      <c r="M1629" s="20">
        <f>IFERROR(INDEX(CONFIGURACOES!$I$37:$I$300,MATCH($I1629,CONFIGURACOES!$B$37:$B$300,0)),"")</f>
        <v/>
      </c>
      <c r="N1629" s="21" t="n"/>
      <c r="O1629" s="21" t="n"/>
      <c r="P1629" s="21" t="n"/>
      <c r="Q1629" s="21" t="n"/>
      <c r="R1629" s="21">
        <f>IF($N1629="","",$N1629*IF($Q1629="",1,$Q1629)*IF($P1629="",1,$P1629)*IF($O1629="",1,$O1629))</f>
        <v/>
      </c>
      <c r="S1629" s="22">
        <f>IFERROR(INDEX(CONFIGURACOES!$J$37:$J$300,MATCH($I1629,CONFIGURACOES!$B$37:$B$300,0)),"")</f>
        <v/>
      </c>
      <c r="T1629" s="22">
        <f>IF(OR($R1629="",$S1629=""),"",$R1629*$S1629)</f>
        <v/>
      </c>
      <c r="U1629" s="20" t="n"/>
      <c r="V1629" s="20" t="n"/>
      <c r="W1629" s="20" t="n"/>
      <c r="X1629">
        <f>IF($A1629="","",$A1629&amp;"|"&amp;$C1629&amp;"|"&amp;$I1629)</f>
        <v/>
      </c>
      <c r="Y1629">
        <f>IF(AND($A1629=RELATORIO_MEDICAO!$C$5,$C1629=RELATORIO_MEDICAO!$F$5,$A1629&lt;&gt;""),COUNTIFS($A$3:$A1629,RELATORIO_MEDICAO!$C$5,$C$3:$C1629,RELATORIO_MEDICAO!$F$5),"")</f>
        <v/>
      </c>
      <c r="Z1629">
        <f>IF(OR($A1629="",PESQUISA!$C$4=""),0,IF(OR(ISNUMBER(SEARCH(PESQUISA!$C$4,$G1629)),ISNUMBER(SEARCH(PESQUISA!$C$4,$K1629)),ISNUMBER(SEARCH(PESQUISA!$C$4,$L1629))),1,0))</f>
        <v/>
      </c>
      <c r="AA1629">
        <f>IF($Z1629=1,SUM($Z$3:$Z1629),"")</f>
        <v/>
      </c>
      <c r="AB1629">
        <f>IF(OR($A1629="",PESQUISA!$C$50=""),0,IF(ISNUMBER(SEARCH(PESQUISA!$C$50,$I1629)),1,0))</f>
        <v/>
      </c>
      <c r="AC1629">
        <f>IF($AB1629=1,SUM($AB$3:$AB1629),"")</f>
        <v/>
      </c>
    </row>
    <row r="1630">
      <c r="A1630" s="20" t="n"/>
      <c r="B1630" s="20" t="n"/>
      <c r="C1630" s="20" t="n"/>
      <c r="D1630" s="20" t="n"/>
      <c r="E1630" s="20" t="n"/>
      <c r="F1630" s="20" t="n"/>
      <c r="G1630" s="20" t="n"/>
      <c r="H1630" s="20" t="n"/>
      <c r="I1630" s="20" t="n"/>
      <c r="J1630" s="20">
        <f>IFERROR(INDEX(CONFIGURACOES!$G$37:$G$300,MATCH($I1630,CONFIGURACOES!$B$37:$B$300,0)),"")</f>
        <v/>
      </c>
      <c r="K1630" s="20">
        <f>IFERROR(INDEX(CONFIGURACOES!$H$37:$H$300,MATCH($I1630,CONFIGURACOES!$B$37:$B$300,0)),"")</f>
        <v/>
      </c>
      <c r="L1630" s="20" t="n"/>
      <c r="M1630" s="20">
        <f>IFERROR(INDEX(CONFIGURACOES!$I$37:$I$300,MATCH($I1630,CONFIGURACOES!$B$37:$B$300,0)),"")</f>
        <v/>
      </c>
      <c r="N1630" s="21" t="n"/>
      <c r="O1630" s="21" t="n"/>
      <c r="P1630" s="21" t="n"/>
      <c r="Q1630" s="21" t="n"/>
      <c r="R1630" s="21">
        <f>IF($N1630="","",$N1630*IF($Q1630="",1,$Q1630)*IF($P1630="",1,$P1630)*IF($O1630="",1,$O1630))</f>
        <v/>
      </c>
      <c r="S1630" s="22">
        <f>IFERROR(INDEX(CONFIGURACOES!$J$37:$J$300,MATCH($I1630,CONFIGURACOES!$B$37:$B$300,0)),"")</f>
        <v/>
      </c>
      <c r="T1630" s="22">
        <f>IF(OR($R1630="",$S1630=""),"",$R1630*$S1630)</f>
        <v/>
      </c>
      <c r="U1630" s="20" t="n"/>
      <c r="V1630" s="20" t="n"/>
      <c r="W1630" s="20" t="n"/>
      <c r="X1630">
        <f>IF($A1630="","",$A1630&amp;"|"&amp;$C1630&amp;"|"&amp;$I1630)</f>
        <v/>
      </c>
      <c r="Y1630">
        <f>IF(AND($A1630=RELATORIO_MEDICAO!$C$5,$C1630=RELATORIO_MEDICAO!$F$5,$A1630&lt;&gt;""),COUNTIFS($A$3:$A1630,RELATORIO_MEDICAO!$C$5,$C$3:$C1630,RELATORIO_MEDICAO!$F$5),"")</f>
        <v/>
      </c>
      <c r="Z1630">
        <f>IF(OR($A1630="",PESQUISA!$C$4=""),0,IF(OR(ISNUMBER(SEARCH(PESQUISA!$C$4,$G1630)),ISNUMBER(SEARCH(PESQUISA!$C$4,$K1630)),ISNUMBER(SEARCH(PESQUISA!$C$4,$L1630))),1,0))</f>
        <v/>
      </c>
      <c r="AA1630">
        <f>IF($Z1630=1,SUM($Z$3:$Z1630),"")</f>
        <v/>
      </c>
      <c r="AB1630">
        <f>IF(OR($A1630="",PESQUISA!$C$50=""),0,IF(ISNUMBER(SEARCH(PESQUISA!$C$50,$I1630)),1,0))</f>
        <v/>
      </c>
      <c r="AC1630">
        <f>IF($AB1630=1,SUM($AB$3:$AB1630),"")</f>
        <v/>
      </c>
    </row>
    <row r="1631">
      <c r="A1631" s="20" t="n"/>
      <c r="B1631" s="20" t="n"/>
      <c r="C1631" s="20" t="n"/>
      <c r="D1631" s="20" t="n"/>
      <c r="E1631" s="20" t="n"/>
      <c r="F1631" s="20" t="n"/>
      <c r="G1631" s="20" t="n"/>
      <c r="H1631" s="20" t="n"/>
      <c r="I1631" s="20" t="n"/>
      <c r="J1631" s="20">
        <f>IFERROR(INDEX(CONFIGURACOES!$G$37:$G$300,MATCH($I1631,CONFIGURACOES!$B$37:$B$300,0)),"")</f>
        <v/>
      </c>
      <c r="K1631" s="20">
        <f>IFERROR(INDEX(CONFIGURACOES!$H$37:$H$300,MATCH($I1631,CONFIGURACOES!$B$37:$B$300,0)),"")</f>
        <v/>
      </c>
      <c r="L1631" s="20" t="n"/>
      <c r="M1631" s="20">
        <f>IFERROR(INDEX(CONFIGURACOES!$I$37:$I$300,MATCH($I1631,CONFIGURACOES!$B$37:$B$300,0)),"")</f>
        <v/>
      </c>
      <c r="N1631" s="21" t="n"/>
      <c r="O1631" s="21" t="n"/>
      <c r="P1631" s="21" t="n"/>
      <c r="Q1631" s="21" t="n"/>
      <c r="R1631" s="21">
        <f>IF($N1631="","",$N1631*IF($Q1631="",1,$Q1631)*IF($P1631="",1,$P1631)*IF($O1631="",1,$O1631))</f>
        <v/>
      </c>
      <c r="S1631" s="22">
        <f>IFERROR(INDEX(CONFIGURACOES!$J$37:$J$300,MATCH($I1631,CONFIGURACOES!$B$37:$B$300,0)),"")</f>
        <v/>
      </c>
      <c r="T1631" s="22">
        <f>IF(OR($R1631="",$S1631=""),"",$R1631*$S1631)</f>
        <v/>
      </c>
      <c r="U1631" s="20" t="n"/>
      <c r="V1631" s="20" t="n"/>
      <c r="W1631" s="20" t="n"/>
      <c r="X1631">
        <f>IF($A1631="","",$A1631&amp;"|"&amp;$C1631&amp;"|"&amp;$I1631)</f>
        <v/>
      </c>
      <c r="Y1631">
        <f>IF(AND($A1631=RELATORIO_MEDICAO!$C$5,$C1631=RELATORIO_MEDICAO!$F$5,$A1631&lt;&gt;""),COUNTIFS($A$3:$A1631,RELATORIO_MEDICAO!$C$5,$C$3:$C1631,RELATORIO_MEDICAO!$F$5),"")</f>
        <v/>
      </c>
      <c r="Z1631">
        <f>IF(OR($A1631="",PESQUISA!$C$4=""),0,IF(OR(ISNUMBER(SEARCH(PESQUISA!$C$4,$G1631)),ISNUMBER(SEARCH(PESQUISA!$C$4,$K1631)),ISNUMBER(SEARCH(PESQUISA!$C$4,$L1631))),1,0))</f>
        <v/>
      </c>
      <c r="AA1631">
        <f>IF($Z1631=1,SUM($Z$3:$Z1631),"")</f>
        <v/>
      </c>
      <c r="AB1631">
        <f>IF(OR($A1631="",PESQUISA!$C$50=""),0,IF(ISNUMBER(SEARCH(PESQUISA!$C$50,$I1631)),1,0))</f>
        <v/>
      </c>
      <c r="AC1631">
        <f>IF($AB1631=1,SUM($AB$3:$AB1631),"")</f>
        <v/>
      </c>
    </row>
    <row r="1632">
      <c r="A1632" s="20" t="n"/>
      <c r="B1632" s="20" t="n"/>
      <c r="C1632" s="20" t="n"/>
      <c r="D1632" s="20" t="n"/>
      <c r="E1632" s="20" t="n"/>
      <c r="F1632" s="20" t="n"/>
      <c r="G1632" s="20" t="n"/>
      <c r="H1632" s="20" t="n"/>
      <c r="I1632" s="20" t="n"/>
      <c r="J1632" s="20">
        <f>IFERROR(INDEX(CONFIGURACOES!$G$37:$G$300,MATCH($I1632,CONFIGURACOES!$B$37:$B$300,0)),"")</f>
        <v/>
      </c>
      <c r="K1632" s="20">
        <f>IFERROR(INDEX(CONFIGURACOES!$H$37:$H$300,MATCH($I1632,CONFIGURACOES!$B$37:$B$300,0)),"")</f>
        <v/>
      </c>
      <c r="L1632" s="20" t="n"/>
      <c r="M1632" s="20">
        <f>IFERROR(INDEX(CONFIGURACOES!$I$37:$I$300,MATCH($I1632,CONFIGURACOES!$B$37:$B$300,0)),"")</f>
        <v/>
      </c>
      <c r="N1632" s="21" t="n"/>
      <c r="O1632" s="21" t="n"/>
      <c r="P1632" s="21" t="n"/>
      <c r="Q1632" s="21" t="n"/>
      <c r="R1632" s="21">
        <f>IF($N1632="","",$N1632*IF($Q1632="",1,$Q1632)*IF($P1632="",1,$P1632)*IF($O1632="",1,$O1632))</f>
        <v/>
      </c>
      <c r="S1632" s="22">
        <f>IFERROR(INDEX(CONFIGURACOES!$J$37:$J$300,MATCH($I1632,CONFIGURACOES!$B$37:$B$300,0)),"")</f>
        <v/>
      </c>
      <c r="T1632" s="22">
        <f>IF(OR($R1632="",$S1632=""),"",$R1632*$S1632)</f>
        <v/>
      </c>
      <c r="U1632" s="20" t="n"/>
      <c r="V1632" s="20" t="n"/>
      <c r="W1632" s="20" t="n"/>
      <c r="X1632">
        <f>IF($A1632="","",$A1632&amp;"|"&amp;$C1632&amp;"|"&amp;$I1632)</f>
        <v/>
      </c>
      <c r="Y1632">
        <f>IF(AND($A1632=RELATORIO_MEDICAO!$C$5,$C1632=RELATORIO_MEDICAO!$F$5,$A1632&lt;&gt;""),COUNTIFS($A$3:$A1632,RELATORIO_MEDICAO!$C$5,$C$3:$C1632,RELATORIO_MEDICAO!$F$5),"")</f>
        <v/>
      </c>
      <c r="Z1632">
        <f>IF(OR($A1632="",PESQUISA!$C$4=""),0,IF(OR(ISNUMBER(SEARCH(PESQUISA!$C$4,$G1632)),ISNUMBER(SEARCH(PESQUISA!$C$4,$K1632)),ISNUMBER(SEARCH(PESQUISA!$C$4,$L1632))),1,0))</f>
        <v/>
      </c>
      <c r="AA1632">
        <f>IF($Z1632=1,SUM($Z$3:$Z1632),"")</f>
        <v/>
      </c>
      <c r="AB1632">
        <f>IF(OR($A1632="",PESQUISA!$C$50=""),0,IF(ISNUMBER(SEARCH(PESQUISA!$C$50,$I1632)),1,0))</f>
        <v/>
      </c>
      <c r="AC1632">
        <f>IF($AB1632=1,SUM($AB$3:$AB1632),"")</f>
        <v/>
      </c>
    </row>
    <row r="1633">
      <c r="A1633" s="20" t="n"/>
      <c r="B1633" s="20" t="n"/>
      <c r="C1633" s="20" t="n"/>
      <c r="D1633" s="20" t="n"/>
      <c r="E1633" s="20" t="n"/>
      <c r="F1633" s="20" t="n"/>
      <c r="G1633" s="20" t="n"/>
      <c r="H1633" s="20" t="n"/>
      <c r="I1633" s="20" t="n"/>
      <c r="J1633" s="20">
        <f>IFERROR(INDEX(CONFIGURACOES!$G$37:$G$300,MATCH($I1633,CONFIGURACOES!$B$37:$B$300,0)),"")</f>
        <v/>
      </c>
      <c r="K1633" s="20">
        <f>IFERROR(INDEX(CONFIGURACOES!$H$37:$H$300,MATCH($I1633,CONFIGURACOES!$B$37:$B$300,0)),"")</f>
        <v/>
      </c>
      <c r="L1633" s="20" t="n"/>
      <c r="M1633" s="20">
        <f>IFERROR(INDEX(CONFIGURACOES!$I$37:$I$300,MATCH($I1633,CONFIGURACOES!$B$37:$B$300,0)),"")</f>
        <v/>
      </c>
      <c r="N1633" s="21" t="n"/>
      <c r="O1633" s="21" t="n"/>
      <c r="P1633" s="21" t="n"/>
      <c r="Q1633" s="21" t="n"/>
      <c r="R1633" s="21">
        <f>IF($N1633="","",$N1633*IF($Q1633="",1,$Q1633)*IF($P1633="",1,$P1633)*IF($O1633="",1,$O1633))</f>
        <v/>
      </c>
      <c r="S1633" s="22">
        <f>IFERROR(INDEX(CONFIGURACOES!$J$37:$J$300,MATCH($I1633,CONFIGURACOES!$B$37:$B$300,0)),"")</f>
        <v/>
      </c>
      <c r="T1633" s="22">
        <f>IF(OR($R1633="",$S1633=""),"",$R1633*$S1633)</f>
        <v/>
      </c>
      <c r="U1633" s="20" t="n"/>
      <c r="V1633" s="20" t="n"/>
      <c r="W1633" s="20" t="n"/>
      <c r="X1633">
        <f>IF($A1633="","",$A1633&amp;"|"&amp;$C1633&amp;"|"&amp;$I1633)</f>
        <v/>
      </c>
      <c r="Y1633">
        <f>IF(AND($A1633=RELATORIO_MEDICAO!$C$5,$C1633=RELATORIO_MEDICAO!$F$5,$A1633&lt;&gt;""),COUNTIFS($A$3:$A1633,RELATORIO_MEDICAO!$C$5,$C$3:$C1633,RELATORIO_MEDICAO!$F$5),"")</f>
        <v/>
      </c>
      <c r="Z1633">
        <f>IF(OR($A1633="",PESQUISA!$C$4=""),0,IF(OR(ISNUMBER(SEARCH(PESQUISA!$C$4,$G1633)),ISNUMBER(SEARCH(PESQUISA!$C$4,$K1633)),ISNUMBER(SEARCH(PESQUISA!$C$4,$L1633))),1,0))</f>
        <v/>
      </c>
      <c r="AA1633">
        <f>IF($Z1633=1,SUM($Z$3:$Z1633),"")</f>
        <v/>
      </c>
      <c r="AB1633">
        <f>IF(OR($A1633="",PESQUISA!$C$50=""),0,IF(ISNUMBER(SEARCH(PESQUISA!$C$50,$I1633)),1,0))</f>
        <v/>
      </c>
      <c r="AC1633">
        <f>IF($AB1633=1,SUM($AB$3:$AB1633),"")</f>
        <v/>
      </c>
    </row>
    <row r="1634">
      <c r="A1634" s="20" t="n"/>
      <c r="B1634" s="20" t="n"/>
      <c r="C1634" s="20" t="n"/>
      <c r="D1634" s="20" t="n"/>
      <c r="E1634" s="20" t="n"/>
      <c r="F1634" s="20" t="n"/>
      <c r="G1634" s="20" t="n"/>
      <c r="H1634" s="20" t="n"/>
      <c r="I1634" s="20" t="n"/>
      <c r="J1634" s="20">
        <f>IFERROR(INDEX(CONFIGURACOES!$G$37:$G$300,MATCH($I1634,CONFIGURACOES!$B$37:$B$300,0)),"")</f>
        <v/>
      </c>
      <c r="K1634" s="20">
        <f>IFERROR(INDEX(CONFIGURACOES!$H$37:$H$300,MATCH($I1634,CONFIGURACOES!$B$37:$B$300,0)),"")</f>
        <v/>
      </c>
      <c r="L1634" s="20" t="n"/>
      <c r="M1634" s="20">
        <f>IFERROR(INDEX(CONFIGURACOES!$I$37:$I$300,MATCH($I1634,CONFIGURACOES!$B$37:$B$300,0)),"")</f>
        <v/>
      </c>
      <c r="N1634" s="21" t="n"/>
      <c r="O1634" s="21" t="n"/>
      <c r="P1634" s="21" t="n"/>
      <c r="Q1634" s="21" t="n"/>
      <c r="R1634" s="21">
        <f>IF($N1634="","",$N1634*IF($Q1634="",1,$Q1634)*IF($P1634="",1,$P1634)*IF($O1634="",1,$O1634))</f>
        <v/>
      </c>
      <c r="S1634" s="22">
        <f>IFERROR(INDEX(CONFIGURACOES!$J$37:$J$300,MATCH($I1634,CONFIGURACOES!$B$37:$B$300,0)),"")</f>
        <v/>
      </c>
      <c r="T1634" s="22">
        <f>IF(OR($R1634="",$S1634=""),"",$R1634*$S1634)</f>
        <v/>
      </c>
      <c r="U1634" s="20" t="n"/>
      <c r="V1634" s="20" t="n"/>
      <c r="W1634" s="20" t="n"/>
      <c r="X1634">
        <f>IF($A1634="","",$A1634&amp;"|"&amp;$C1634&amp;"|"&amp;$I1634)</f>
        <v/>
      </c>
      <c r="Y1634">
        <f>IF(AND($A1634=RELATORIO_MEDICAO!$C$5,$C1634=RELATORIO_MEDICAO!$F$5,$A1634&lt;&gt;""),COUNTIFS($A$3:$A1634,RELATORIO_MEDICAO!$C$5,$C$3:$C1634,RELATORIO_MEDICAO!$F$5),"")</f>
        <v/>
      </c>
      <c r="Z1634">
        <f>IF(OR($A1634="",PESQUISA!$C$4=""),0,IF(OR(ISNUMBER(SEARCH(PESQUISA!$C$4,$G1634)),ISNUMBER(SEARCH(PESQUISA!$C$4,$K1634)),ISNUMBER(SEARCH(PESQUISA!$C$4,$L1634))),1,0))</f>
        <v/>
      </c>
      <c r="AA1634">
        <f>IF($Z1634=1,SUM($Z$3:$Z1634),"")</f>
        <v/>
      </c>
      <c r="AB1634">
        <f>IF(OR($A1634="",PESQUISA!$C$50=""),0,IF(ISNUMBER(SEARCH(PESQUISA!$C$50,$I1634)),1,0))</f>
        <v/>
      </c>
      <c r="AC1634">
        <f>IF($AB1634=1,SUM($AB$3:$AB1634),"")</f>
        <v/>
      </c>
    </row>
    <row r="1635">
      <c r="A1635" s="20" t="n"/>
      <c r="B1635" s="20" t="n"/>
      <c r="C1635" s="20" t="n"/>
      <c r="D1635" s="20" t="n"/>
      <c r="E1635" s="20" t="n"/>
      <c r="F1635" s="20" t="n"/>
      <c r="G1635" s="20" t="n"/>
      <c r="H1635" s="20" t="n"/>
      <c r="I1635" s="20" t="n"/>
      <c r="J1635" s="20">
        <f>IFERROR(INDEX(CONFIGURACOES!$G$37:$G$300,MATCH($I1635,CONFIGURACOES!$B$37:$B$300,0)),"")</f>
        <v/>
      </c>
      <c r="K1635" s="20">
        <f>IFERROR(INDEX(CONFIGURACOES!$H$37:$H$300,MATCH($I1635,CONFIGURACOES!$B$37:$B$300,0)),"")</f>
        <v/>
      </c>
      <c r="L1635" s="20" t="n"/>
      <c r="M1635" s="20">
        <f>IFERROR(INDEX(CONFIGURACOES!$I$37:$I$300,MATCH($I1635,CONFIGURACOES!$B$37:$B$300,0)),"")</f>
        <v/>
      </c>
      <c r="N1635" s="21" t="n"/>
      <c r="O1635" s="21" t="n"/>
      <c r="P1635" s="21" t="n"/>
      <c r="Q1635" s="21" t="n"/>
      <c r="R1635" s="21">
        <f>IF($N1635="","",$N1635*IF($Q1635="",1,$Q1635)*IF($P1635="",1,$P1635)*IF($O1635="",1,$O1635))</f>
        <v/>
      </c>
      <c r="S1635" s="22">
        <f>IFERROR(INDEX(CONFIGURACOES!$J$37:$J$300,MATCH($I1635,CONFIGURACOES!$B$37:$B$300,0)),"")</f>
        <v/>
      </c>
      <c r="T1635" s="22">
        <f>IF(OR($R1635="",$S1635=""),"",$R1635*$S1635)</f>
        <v/>
      </c>
      <c r="U1635" s="20" t="n"/>
      <c r="V1635" s="20" t="n"/>
      <c r="W1635" s="20" t="n"/>
      <c r="X1635">
        <f>IF($A1635="","",$A1635&amp;"|"&amp;$C1635&amp;"|"&amp;$I1635)</f>
        <v/>
      </c>
      <c r="Y1635">
        <f>IF(AND($A1635=RELATORIO_MEDICAO!$C$5,$C1635=RELATORIO_MEDICAO!$F$5,$A1635&lt;&gt;""),COUNTIFS($A$3:$A1635,RELATORIO_MEDICAO!$C$5,$C$3:$C1635,RELATORIO_MEDICAO!$F$5),"")</f>
        <v/>
      </c>
      <c r="Z1635">
        <f>IF(OR($A1635="",PESQUISA!$C$4=""),0,IF(OR(ISNUMBER(SEARCH(PESQUISA!$C$4,$G1635)),ISNUMBER(SEARCH(PESQUISA!$C$4,$K1635)),ISNUMBER(SEARCH(PESQUISA!$C$4,$L1635))),1,0))</f>
        <v/>
      </c>
      <c r="AA1635">
        <f>IF($Z1635=1,SUM($Z$3:$Z1635),"")</f>
        <v/>
      </c>
      <c r="AB1635">
        <f>IF(OR($A1635="",PESQUISA!$C$50=""),0,IF(ISNUMBER(SEARCH(PESQUISA!$C$50,$I1635)),1,0))</f>
        <v/>
      </c>
      <c r="AC1635">
        <f>IF($AB1635=1,SUM($AB$3:$AB1635),"")</f>
        <v/>
      </c>
    </row>
    <row r="1636">
      <c r="A1636" s="20" t="n"/>
      <c r="B1636" s="20" t="n"/>
      <c r="C1636" s="20" t="n"/>
      <c r="D1636" s="20" t="n"/>
      <c r="E1636" s="20" t="n"/>
      <c r="F1636" s="20" t="n"/>
      <c r="G1636" s="20" t="n"/>
      <c r="H1636" s="20" t="n"/>
      <c r="I1636" s="20" t="n"/>
      <c r="J1636" s="20">
        <f>IFERROR(INDEX(CONFIGURACOES!$G$37:$G$300,MATCH($I1636,CONFIGURACOES!$B$37:$B$300,0)),"")</f>
        <v/>
      </c>
      <c r="K1636" s="20">
        <f>IFERROR(INDEX(CONFIGURACOES!$H$37:$H$300,MATCH($I1636,CONFIGURACOES!$B$37:$B$300,0)),"")</f>
        <v/>
      </c>
      <c r="L1636" s="20" t="n"/>
      <c r="M1636" s="20">
        <f>IFERROR(INDEX(CONFIGURACOES!$I$37:$I$300,MATCH($I1636,CONFIGURACOES!$B$37:$B$300,0)),"")</f>
        <v/>
      </c>
      <c r="N1636" s="21" t="n"/>
      <c r="O1636" s="21" t="n"/>
      <c r="P1636" s="21" t="n"/>
      <c r="Q1636" s="21" t="n"/>
      <c r="R1636" s="21">
        <f>IF($N1636="","",$N1636*IF($Q1636="",1,$Q1636)*IF($P1636="",1,$P1636)*IF($O1636="",1,$O1636))</f>
        <v/>
      </c>
      <c r="S1636" s="22">
        <f>IFERROR(INDEX(CONFIGURACOES!$J$37:$J$300,MATCH($I1636,CONFIGURACOES!$B$37:$B$300,0)),"")</f>
        <v/>
      </c>
      <c r="T1636" s="22">
        <f>IF(OR($R1636="",$S1636=""),"",$R1636*$S1636)</f>
        <v/>
      </c>
      <c r="U1636" s="20" t="n"/>
      <c r="V1636" s="20" t="n"/>
      <c r="W1636" s="20" t="n"/>
      <c r="X1636">
        <f>IF($A1636="","",$A1636&amp;"|"&amp;$C1636&amp;"|"&amp;$I1636)</f>
        <v/>
      </c>
      <c r="Y1636">
        <f>IF(AND($A1636=RELATORIO_MEDICAO!$C$5,$C1636=RELATORIO_MEDICAO!$F$5,$A1636&lt;&gt;""),COUNTIFS($A$3:$A1636,RELATORIO_MEDICAO!$C$5,$C$3:$C1636,RELATORIO_MEDICAO!$F$5),"")</f>
        <v/>
      </c>
      <c r="Z1636">
        <f>IF(OR($A1636="",PESQUISA!$C$4=""),0,IF(OR(ISNUMBER(SEARCH(PESQUISA!$C$4,$G1636)),ISNUMBER(SEARCH(PESQUISA!$C$4,$K1636)),ISNUMBER(SEARCH(PESQUISA!$C$4,$L1636))),1,0))</f>
        <v/>
      </c>
      <c r="AA1636">
        <f>IF($Z1636=1,SUM($Z$3:$Z1636),"")</f>
        <v/>
      </c>
      <c r="AB1636">
        <f>IF(OR($A1636="",PESQUISA!$C$50=""),0,IF(ISNUMBER(SEARCH(PESQUISA!$C$50,$I1636)),1,0))</f>
        <v/>
      </c>
      <c r="AC1636">
        <f>IF($AB1636=1,SUM($AB$3:$AB1636),"")</f>
        <v/>
      </c>
    </row>
    <row r="1637">
      <c r="A1637" s="20" t="n"/>
      <c r="B1637" s="20" t="n"/>
      <c r="C1637" s="20" t="n"/>
      <c r="D1637" s="20" t="n"/>
      <c r="E1637" s="20" t="n"/>
      <c r="F1637" s="20" t="n"/>
      <c r="G1637" s="20" t="n"/>
      <c r="H1637" s="20" t="n"/>
      <c r="I1637" s="20" t="n"/>
      <c r="J1637" s="20">
        <f>IFERROR(INDEX(CONFIGURACOES!$G$37:$G$300,MATCH($I1637,CONFIGURACOES!$B$37:$B$300,0)),"")</f>
        <v/>
      </c>
      <c r="K1637" s="20">
        <f>IFERROR(INDEX(CONFIGURACOES!$H$37:$H$300,MATCH($I1637,CONFIGURACOES!$B$37:$B$300,0)),"")</f>
        <v/>
      </c>
      <c r="L1637" s="20" t="n"/>
      <c r="M1637" s="20">
        <f>IFERROR(INDEX(CONFIGURACOES!$I$37:$I$300,MATCH($I1637,CONFIGURACOES!$B$37:$B$300,0)),"")</f>
        <v/>
      </c>
      <c r="N1637" s="21" t="n"/>
      <c r="O1637" s="21" t="n"/>
      <c r="P1637" s="21" t="n"/>
      <c r="Q1637" s="21" t="n"/>
      <c r="R1637" s="21">
        <f>IF($N1637="","",$N1637*IF($Q1637="",1,$Q1637)*IF($P1637="",1,$P1637)*IF($O1637="",1,$O1637))</f>
        <v/>
      </c>
      <c r="S1637" s="22">
        <f>IFERROR(INDEX(CONFIGURACOES!$J$37:$J$300,MATCH($I1637,CONFIGURACOES!$B$37:$B$300,0)),"")</f>
        <v/>
      </c>
      <c r="T1637" s="22">
        <f>IF(OR($R1637="",$S1637=""),"",$R1637*$S1637)</f>
        <v/>
      </c>
      <c r="U1637" s="20" t="n"/>
      <c r="V1637" s="20" t="n"/>
      <c r="W1637" s="20" t="n"/>
      <c r="X1637">
        <f>IF($A1637="","",$A1637&amp;"|"&amp;$C1637&amp;"|"&amp;$I1637)</f>
        <v/>
      </c>
      <c r="Y1637">
        <f>IF(AND($A1637=RELATORIO_MEDICAO!$C$5,$C1637=RELATORIO_MEDICAO!$F$5,$A1637&lt;&gt;""),COUNTIFS($A$3:$A1637,RELATORIO_MEDICAO!$C$5,$C$3:$C1637,RELATORIO_MEDICAO!$F$5),"")</f>
        <v/>
      </c>
      <c r="Z1637">
        <f>IF(OR($A1637="",PESQUISA!$C$4=""),0,IF(OR(ISNUMBER(SEARCH(PESQUISA!$C$4,$G1637)),ISNUMBER(SEARCH(PESQUISA!$C$4,$K1637)),ISNUMBER(SEARCH(PESQUISA!$C$4,$L1637))),1,0))</f>
        <v/>
      </c>
      <c r="AA1637">
        <f>IF($Z1637=1,SUM($Z$3:$Z1637),"")</f>
        <v/>
      </c>
      <c r="AB1637">
        <f>IF(OR($A1637="",PESQUISA!$C$50=""),0,IF(ISNUMBER(SEARCH(PESQUISA!$C$50,$I1637)),1,0))</f>
        <v/>
      </c>
      <c r="AC1637">
        <f>IF($AB1637=1,SUM($AB$3:$AB1637),"")</f>
        <v/>
      </c>
    </row>
    <row r="1638">
      <c r="A1638" s="20" t="n"/>
      <c r="B1638" s="20" t="n"/>
      <c r="C1638" s="20" t="n"/>
      <c r="D1638" s="20" t="n"/>
      <c r="E1638" s="20" t="n"/>
      <c r="F1638" s="20" t="n"/>
      <c r="G1638" s="20" t="n"/>
      <c r="H1638" s="20" t="n"/>
      <c r="I1638" s="20" t="n"/>
      <c r="J1638" s="20">
        <f>IFERROR(INDEX(CONFIGURACOES!$G$37:$G$300,MATCH($I1638,CONFIGURACOES!$B$37:$B$300,0)),"")</f>
        <v/>
      </c>
      <c r="K1638" s="20">
        <f>IFERROR(INDEX(CONFIGURACOES!$H$37:$H$300,MATCH($I1638,CONFIGURACOES!$B$37:$B$300,0)),"")</f>
        <v/>
      </c>
      <c r="L1638" s="20" t="n"/>
      <c r="M1638" s="20">
        <f>IFERROR(INDEX(CONFIGURACOES!$I$37:$I$300,MATCH($I1638,CONFIGURACOES!$B$37:$B$300,0)),"")</f>
        <v/>
      </c>
      <c r="N1638" s="21" t="n"/>
      <c r="O1638" s="21" t="n"/>
      <c r="P1638" s="21" t="n"/>
      <c r="Q1638" s="21" t="n"/>
      <c r="R1638" s="21">
        <f>IF($N1638="","",$N1638*IF($Q1638="",1,$Q1638)*IF($P1638="",1,$P1638)*IF($O1638="",1,$O1638))</f>
        <v/>
      </c>
      <c r="S1638" s="22">
        <f>IFERROR(INDEX(CONFIGURACOES!$J$37:$J$300,MATCH($I1638,CONFIGURACOES!$B$37:$B$300,0)),"")</f>
        <v/>
      </c>
      <c r="T1638" s="22">
        <f>IF(OR($R1638="",$S1638=""),"",$R1638*$S1638)</f>
        <v/>
      </c>
      <c r="U1638" s="20" t="n"/>
      <c r="V1638" s="20" t="n"/>
      <c r="W1638" s="20" t="n"/>
      <c r="X1638">
        <f>IF($A1638="","",$A1638&amp;"|"&amp;$C1638&amp;"|"&amp;$I1638)</f>
        <v/>
      </c>
      <c r="Y1638">
        <f>IF(AND($A1638=RELATORIO_MEDICAO!$C$5,$C1638=RELATORIO_MEDICAO!$F$5,$A1638&lt;&gt;""),COUNTIFS($A$3:$A1638,RELATORIO_MEDICAO!$C$5,$C$3:$C1638,RELATORIO_MEDICAO!$F$5),"")</f>
        <v/>
      </c>
      <c r="Z1638">
        <f>IF(OR($A1638="",PESQUISA!$C$4=""),0,IF(OR(ISNUMBER(SEARCH(PESQUISA!$C$4,$G1638)),ISNUMBER(SEARCH(PESQUISA!$C$4,$K1638)),ISNUMBER(SEARCH(PESQUISA!$C$4,$L1638))),1,0))</f>
        <v/>
      </c>
      <c r="AA1638">
        <f>IF($Z1638=1,SUM($Z$3:$Z1638),"")</f>
        <v/>
      </c>
      <c r="AB1638">
        <f>IF(OR($A1638="",PESQUISA!$C$50=""),0,IF(ISNUMBER(SEARCH(PESQUISA!$C$50,$I1638)),1,0))</f>
        <v/>
      </c>
      <c r="AC1638">
        <f>IF($AB1638=1,SUM($AB$3:$AB1638),"")</f>
        <v/>
      </c>
    </row>
    <row r="1639">
      <c r="A1639" s="20" t="n"/>
      <c r="B1639" s="20" t="n"/>
      <c r="C1639" s="20" t="n"/>
      <c r="D1639" s="20" t="n"/>
      <c r="E1639" s="20" t="n"/>
      <c r="F1639" s="20" t="n"/>
      <c r="G1639" s="20" t="n"/>
      <c r="H1639" s="20" t="n"/>
      <c r="I1639" s="20" t="n"/>
      <c r="J1639" s="20">
        <f>IFERROR(INDEX(CONFIGURACOES!$G$37:$G$300,MATCH($I1639,CONFIGURACOES!$B$37:$B$300,0)),"")</f>
        <v/>
      </c>
      <c r="K1639" s="20">
        <f>IFERROR(INDEX(CONFIGURACOES!$H$37:$H$300,MATCH($I1639,CONFIGURACOES!$B$37:$B$300,0)),"")</f>
        <v/>
      </c>
      <c r="L1639" s="20" t="n"/>
      <c r="M1639" s="20">
        <f>IFERROR(INDEX(CONFIGURACOES!$I$37:$I$300,MATCH($I1639,CONFIGURACOES!$B$37:$B$300,0)),"")</f>
        <v/>
      </c>
      <c r="N1639" s="21" t="n"/>
      <c r="O1639" s="21" t="n"/>
      <c r="P1639" s="21" t="n"/>
      <c r="Q1639" s="21" t="n"/>
      <c r="R1639" s="21">
        <f>IF($N1639="","",$N1639*IF($Q1639="",1,$Q1639)*IF($P1639="",1,$P1639)*IF($O1639="",1,$O1639))</f>
        <v/>
      </c>
      <c r="S1639" s="22">
        <f>IFERROR(INDEX(CONFIGURACOES!$J$37:$J$300,MATCH($I1639,CONFIGURACOES!$B$37:$B$300,0)),"")</f>
        <v/>
      </c>
      <c r="T1639" s="22">
        <f>IF(OR($R1639="",$S1639=""),"",$R1639*$S1639)</f>
        <v/>
      </c>
      <c r="U1639" s="20" t="n"/>
      <c r="V1639" s="20" t="n"/>
      <c r="W1639" s="20" t="n"/>
      <c r="X1639">
        <f>IF($A1639="","",$A1639&amp;"|"&amp;$C1639&amp;"|"&amp;$I1639)</f>
        <v/>
      </c>
      <c r="Y1639">
        <f>IF(AND($A1639=RELATORIO_MEDICAO!$C$5,$C1639=RELATORIO_MEDICAO!$F$5,$A1639&lt;&gt;""),COUNTIFS($A$3:$A1639,RELATORIO_MEDICAO!$C$5,$C$3:$C1639,RELATORIO_MEDICAO!$F$5),"")</f>
        <v/>
      </c>
      <c r="Z1639">
        <f>IF(OR($A1639="",PESQUISA!$C$4=""),0,IF(OR(ISNUMBER(SEARCH(PESQUISA!$C$4,$G1639)),ISNUMBER(SEARCH(PESQUISA!$C$4,$K1639)),ISNUMBER(SEARCH(PESQUISA!$C$4,$L1639))),1,0))</f>
        <v/>
      </c>
      <c r="AA1639">
        <f>IF($Z1639=1,SUM($Z$3:$Z1639),"")</f>
        <v/>
      </c>
      <c r="AB1639">
        <f>IF(OR($A1639="",PESQUISA!$C$50=""),0,IF(ISNUMBER(SEARCH(PESQUISA!$C$50,$I1639)),1,0))</f>
        <v/>
      </c>
      <c r="AC1639">
        <f>IF($AB1639=1,SUM($AB$3:$AB1639),"")</f>
        <v/>
      </c>
    </row>
    <row r="1640">
      <c r="A1640" s="20" t="n"/>
      <c r="B1640" s="20" t="n"/>
      <c r="C1640" s="20" t="n"/>
      <c r="D1640" s="20" t="n"/>
      <c r="E1640" s="20" t="n"/>
      <c r="F1640" s="20" t="n"/>
      <c r="G1640" s="20" t="n"/>
      <c r="H1640" s="20" t="n"/>
      <c r="I1640" s="20" t="n"/>
      <c r="J1640" s="20">
        <f>IFERROR(INDEX(CONFIGURACOES!$G$37:$G$300,MATCH($I1640,CONFIGURACOES!$B$37:$B$300,0)),"")</f>
        <v/>
      </c>
      <c r="K1640" s="20">
        <f>IFERROR(INDEX(CONFIGURACOES!$H$37:$H$300,MATCH($I1640,CONFIGURACOES!$B$37:$B$300,0)),"")</f>
        <v/>
      </c>
      <c r="L1640" s="20" t="n"/>
      <c r="M1640" s="20">
        <f>IFERROR(INDEX(CONFIGURACOES!$I$37:$I$300,MATCH($I1640,CONFIGURACOES!$B$37:$B$300,0)),"")</f>
        <v/>
      </c>
      <c r="N1640" s="21" t="n"/>
      <c r="O1640" s="21" t="n"/>
      <c r="P1640" s="21" t="n"/>
      <c r="Q1640" s="21" t="n"/>
      <c r="R1640" s="21">
        <f>IF($N1640="","",$N1640*IF($Q1640="",1,$Q1640)*IF($P1640="",1,$P1640)*IF($O1640="",1,$O1640))</f>
        <v/>
      </c>
      <c r="S1640" s="22">
        <f>IFERROR(INDEX(CONFIGURACOES!$J$37:$J$300,MATCH($I1640,CONFIGURACOES!$B$37:$B$300,0)),"")</f>
        <v/>
      </c>
      <c r="T1640" s="22">
        <f>IF(OR($R1640="",$S1640=""),"",$R1640*$S1640)</f>
        <v/>
      </c>
      <c r="U1640" s="20" t="n"/>
      <c r="V1640" s="20" t="n"/>
      <c r="W1640" s="20" t="n"/>
      <c r="X1640">
        <f>IF($A1640="","",$A1640&amp;"|"&amp;$C1640&amp;"|"&amp;$I1640)</f>
        <v/>
      </c>
      <c r="Y1640">
        <f>IF(AND($A1640=RELATORIO_MEDICAO!$C$5,$C1640=RELATORIO_MEDICAO!$F$5,$A1640&lt;&gt;""),COUNTIFS($A$3:$A1640,RELATORIO_MEDICAO!$C$5,$C$3:$C1640,RELATORIO_MEDICAO!$F$5),"")</f>
        <v/>
      </c>
      <c r="Z1640">
        <f>IF(OR($A1640="",PESQUISA!$C$4=""),0,IF(OR(ISNUMBER(SEARCH(PESQUISA!$C$4,$G1640)),ISNUMBER(SEARCH(PESQUISA!$C$4,$K1640)),ISNUMBER(SEARCH(PESQUISA!$C$4,$L1640))),1,0))</f>
        <v/>
      </c>
      <c r="AA1640">
        <f>IF($Z1640=1,SUM($Z$3:$Z1640),"")</f>
        <v/>
      </c>
      <c r="AB1640">
        <f>IF(OR($A1640="",PESQUISA!$C$50=""),0,IF(ISNUMBER(SEARCH(PESQUISA!$C$50,$I1640)),1,0))</f>
        <v/>
      </c>
      <c r="AC1640">
        <f>IF($AB1640=1,SUM($AB$3:$AB1640),"")</f>
        <v/>
      </c>
    </row>
    <row r="1641">
      <c r="A1641" s="20" t="n"/>
      <c r="B1641" s="20" t="n"/>
      <c r="C1641" s="20" t="n"/>
      <c r="D1641" s="20" t="n"/>
      <c r="E1641" s="20" t="n"/>
      <c r="F1641" s="20" t="n"/>
      <c r="G1641" s="20" t="n"/>
      <c r="H1641" s="20" t="n"/>
      <c r="I1641" s="20" t="n"/>
      <c r="J1641" s="20">
        <f>IFERROR(INDEX(CONFIGURACOES!$G$37:$G$300,MATCH($I1641,CONFIGURACOES!$B$37:$B$300,0)),"")</f>
        <v/>
      </c>
      <c r="K1641" s="20">
        <f>IFERROR(INDEX(CONFIGURACOES!$H$37:$H$300,MATCH($I1641,CONFIGURACOES!$B$37:$B$300,0)),"")</f>
        <v/>
      </c>
      <c r="L1641" s="20" t="n"/>
      <c r="M1641" s="20">
        <f>IFERROR(INDEX(CONFIGURACOES!$I$37:$I$300,MATCH($I1641,CONFIGURACOES!$B$37:$B$300,0)),"")</f>
        <v/>
      </c>
      <c r="N1641" s="21" t="n"/>
      <c r="O1641" s="21" t="n"/>
      <c r="P1641" s="21" t="n"/>
      <c r="Q1641" s="21" t="n"/>
      <c r="R1641" s="21">
        <f>IF($N1641="","",$N1641*IF($Q1641="",1,$Q1641)*IF($P1641="",1,$P1641)*IF($O1641="",1,$O1641))</f>
        <v/>
      </c>
      <c r="S1641" s="22">
        <f>IFERROR(INDEX(CONFIGURACOES!$J$37:$J$300,MATCH($I1641,CONFIGURACOES!$B$37:$B$300,0)),"")</f>
        <v/>
      </c>
      <c r="T1641" s="22">
        <f>IF(OR($R1641="",$S1641=""),"",$R1641*$S1641)</f>
        <v/>
      </c>
      <c r="U1641" s="20" t="n"/>
      <c r="V1641" s="20" t="n"/>
      <c r="W1641" s="20" t="n"/>
      <c r="X1641">
        <f>IF($A1641="","",$A1641&amp;"|"&amp;$C1641&amp;"|"&amp;$I1641)</f>
        <v/>
      </c>
      <c r="Y1641">
        <f>IF(AND($A1641=RELATORIO_MEDICAO!$C$5,$C1641=RELATORIO_MEDICAO!$F$5,$A1641&lt;&gt;""),COUNTIFS($A$3:$A1641,RELATORIO_MEDICAO!$C$5,$C$3:$C1641,RELATORIO_MEDICAO!$F$5),"")</f>
        <v/>
      </c>
      <c r="Z1641">
        <f>IF(OR($A1641="",PESQUISA!$C$4=""),0,IF(OR(ISNUMBER(SEARCH(PESQUISA!$C$4,$G1641)),ISNUMBER(SEARCH(PESQUISA!$C$4,$K1641)),ISNUMBER(SEARCH(PESQUISA!$C$4,$L1641))),1,0))</f>
        <v/>
      </c>
      <c r="AA1641">
        <f>IF($Z1641=1,SUM($Z$3:$Z1641),"")</f>
        <v/>
      </c>
      <c r="AB1641">
        <f>IF(OR($A1641="",PESQUISA!$C$50=""),0,IF(ISNUMBER(SEARCH(PESQUISA!$C$50,$I1641)),1,0))</f>
        <v/>
      </c>
      <c r="AC1641">
        <f>IF($AB1641=1,SUM($AB$3:$AB1641),"")</f>
        <v/>
      </c>
    </row>
    <row r="1642">
      <c r="A1642" s="20" t="n"/>
      <c r="B1642" s="20" t="n"/>
      <c r="C1642" s="20" t="n"/>
      <c r="D1642" s="20" t="n"/>
      <c r="E1642" s="20" t="n"/>
      <c r="F1642" s="20" t="n"/>
      <c r="G1642" s="20" t="n"/>
      <c r="H1642" s="20" t="n"/>
      <c r="I1642" s="20" t="n"/>
      <c r="J1642" s="20">
        <f>IFERROR(INDEX(CONFIGURACOES!$G$37:$G$300,MATCH($I1642,CONFIGURACOES!$B$37:$B$300,0)),"")</f>
        <v/>
      </c>
      <c r="K1642" s="20">
        <f>IFERROR(INDEX(CONFIGURACOES!$H$37:$H$300,MATCH($I1642,CONFIGURACOES!$B$37:$B$300,0)),"")</f>
        <v/>
      </c>
      <c r="L1642" s="20" t="n"/>
      <c r="M1642" s="20">
        <f>IFERROR(INDEX(CONFIGURACOES!$I$37:$I$300,MATCH($I1642,CONFIGURACOES!$B$37:$B$300,0)),"")</f>
        <v/>
      </c>
      <c r="N1642" s="21" t="n"/>
      <c r="O1642" s="21" t="n"/>
      <c r="P1642" s="21" t="n"/>
      <c r="Q1642" s="21" t="n"/>
      <c r="R1642" s="21">
        <f>IF($N1642="","",$N1642*IF($Q1642="",1,$Q1642)*IF($P1642="",1,$P1642)*IF($O1642="",1,$O1642))</f>
        <v/>
      </c>
      <c r="S1642" s="22">
        <f>IFERROR(INDEX(CONFIGURACOES!$J$37:$J$300,MATCH($I1642,CONFIGURACOES!$B$37:$B$300,0)),"")</f>
        <v/>
      </c>
      <c r="T1642" s="22">
        <f>IF(OR($R1642="",$S1642=""),"",$R1642*$S1642)</f>
        <v/>
      </c>
      <c r="U1642" s="20" t="n"/>
      <c r="V1642" s="20" t="n"/>
      <c r="W1642" s="20" t="n"/>
      <c r="X1642">
        <f>IF($A1642="","",$A1642&amp;"|"&amp;$C1642&amp;"|"&amp;$I1642)</f>
        <v/>
      </c>
      <c r="Y1642">
        <f>IF(AND($A1642=RELATORIO_MEDICAO!$C$5,$C1642=RELATORIO_MEDICAO!$F$5,$A1642&lt;&gt;""),COUNTIFS($A$3:$A1642,RELATORIO_MEDICAO!$C$5,$C$3:$C1642,RELATORIO_MEDICAO!$F$5),"")</f>
        <v/>
      </c>
      <c r="Z1642">
        <f>IF(OR($A1642="",PESQUISA!$C$4=""),0,IF(OR(ISNUMBER(SEARCH(PESQUISA!$C$4,$G1642)),ISNUMBER(SEARCH(PESQUISA!$C$4,$K1642)),ISNUMBER(SEARCH(PESQUISA!$C$4,$L1642))),1,0))</f>
        <v/>
      </c>
      <c r="AA1642">
        <f>IF($Z1642=1,SUM($Z$3:$Z1642),"")</f>
        <v/>
      </c>
      <c r="AB1642">
        <f>IF(OR($A1642="",PESQUISA!$C$50=""),0,IF(ISNUMBER(SEARCH(PESQUISA!$C$50,$I1642)),1,0))</f>
        <v/>
      </c>
      <c r="AC1642">
        <f>IF($AB1642=1,SUM($AB$3:$AB1642),"")</f>
        <v/>
      </c>
    </row>
    <row r="1643">
      <c r="A1643" s="20" t="n"/>
      <c r="B1643" s="20" t="n"/>
      <c r="C1643" s="20" t="n"/>
      <c r="D1643" s="20" t="n"/>
      <c r="E1643" s="20" t="n"/>
      <c r="F1643" s="20" t="n"/>
      <c r="G1643" s="20" t="n"/>
      <c r="H1643" s="20" t="n"/>
      <c r="I1643" s="20" t="n"/>
      <c r="J1643" s="20">
        <f>IFERROR(INDEX(CONFIGURACOES!$G$37:$G$300,MATCH($I1643,CONFIGURACOES!$B$37:$B$300,0)),"")</f>
        <v/>
      </c>
      <c r="K1643" s="20">
        <f>IFERROR(INDEX(CONFIGURACOES!$H$37:$H$300,MATCH($I1643,CONFIGURACOES!$B$37:$B$300,0)),"")</f>
        <v/>
      </c>
      <c r="L1643" s="20" t="n"/>
      <c r="M1643" s="20">
        <f>IFERROR(INDEX(CONFIGURACOES!$I$37:$I$300,MATCH($I1643,CONFIGURACOES!$B$37:$B$300,0)),"")</f>
        <v/>
      </c>
      <c r="N1643" s="21" t="n"/>
      <c r="O1643" s="21" t="n"/>
      <c r="P1643" s="21" t="n"/>
      <c r="Q1643" s="21" t="n"/>
      <c r="R1643" s="21">
        <f>IF($N1643="","",$N1643*IF($Q1643="",1,$Q1643)*IF($P1643="",1,$P1643)*IF($O1643="",1,$O1643))</f>
        <v/>
      </c>
      <c r="S1643" s="22">
        <f>IFERROR(INDEX(CONFIGURACOES!$J$37:$J$300,MATCH($I1643,CONFIGURACOES!$B$37:$B$300,0)),"")</f>
        <v/>
      </c>
      <c r="T1643" s="22">
        <f>IF(OR($R1643="",$S1643=""),"",$R1643*$S1643)</f>
        <v/>
      </c>
      <c r="U1643" s="20" t="n"/>
      <c r="V1643" s="20" t="n"/>
      <c r="W1643" s="20" t="n"/>
      <c r="X1643">
        <f>IF($A1643="","",$A1643&amp;"|"&amp;$C1643&amp;"|"&amp;$I1643)</f>
        <v/>
      </c>
      <c r="Y1643">
        <f>IF(AND($A1643=RELATORIO_MEDICAO!$C$5,$C1643=RELATORIO_MEDICAO!$F$5,$A1643&lt;&gt;""),COUNTIFS($A$3:$A1643,RELATORIO_MEDICAO!$C$5,$C$3:$C1643,RELATORIO_MEDICAO!$F$5),"")</f>
        <v/>
      </c>
      <c r="Z1643">
        <f>IF(OR($A1643="",PESQUISA!$C$4=""),0,IF(OR(ISNUMBER(SEARCH(PESQUISA!$C$4,$G1643)),ISNUMBER(SEARCH(PESQUISA!$C$4,$K1643)),ISNUMBER(SEARCH(PESQUISA!$C$4,$L1643))),1,0))</f>
        <v/>
      </c>
      <c r="AA1643">
        <f>IF($Z1643=1,SUM($Z$3:$Z1643),"")</f>
        <v/>
      </c>
      <c r="AB1643">
        <f>IF(OR($A1643="",PESQUISA!$C$50=""),0,IF(ISNUMBER(SEARCH(PESQUISA!$C$50,$I1643)),1,0))</f>
        <v/>
      </c>
      <c r="AC1643">
        <f>IF($AB1643=1,SUM($AB$3:$AB1643),"")</f>
        <v/>
      </c>
    </row>
    <row r="1644">
      <c r="A1644" s="20" t="n"/>
      <c r="B1644" s="20" t="n"/>
      <c r="C1644" s="20" t="n"/>
      <c r="D1644" s="20" t="n"/>
      <c r="E1644" s="20" t="n"/>
      <c r="F1644" s="20" t="n"/>
      <c r="G1644" s="20" t="n"/>
      <c r="H1644" s="20" t="n"/>
      <c r="I1644" s="20" t="n"/>
      <c r="J1644" s="20">
        <f>IFERROR(INDEX(CONFIGURACOES!$G$37:$G$300,MATCH($I1644,CONFIGURACOES!$B$37:$B$300,0)),"")</f>
        <v/>
      </c>
      <c r="K1644" s="20">
        <f>IFERROR(INDEX(CONFIGURACOES!$H$37:$H$300,MATCH($I1644,CONFIGURACOES!$B$37:$B$300,0)),"")</f>
        <v/>
      </c>
      <c r="L1644" s="20" t="n"/>
      <c r="M1644" s="20">
        <f>IFERROR(INDEX(CONFIGURACOES!$I$37:$I$300,MATCH($I1644,CONFIGURACOES!$B$37:$B$300,0)),"")</f>
        <v/>
      </c>
      <c r="N1644" s="21" t="n"/>
      <c r="O1644" s="21" t="n"/>
      <c r="P1644" s="21" t="n"/>
      <c r="Q1644" s="21" t="n"/>
      <c r="R1644" s="21">
        <f>IF($N1644="","",$N1644*IF($Q1644="",1,$Q1644)*IF($P1644="",1,$P1644)*IF($O1644="",1,$O1644))</f>
        <v/>
      </c>
      <c r="S1644" s="22">
        <f>IFERROR(INDEX(CONFIGURACOES!$J$37:$J$300,MATCH($I1644,CONFIGURACOES!$B$37:$B$300,0)),"")</f>
        <v/>
      </c>
      <c r="T1644" s="22">
        <f>IF(OR($R1644="",$S1644=""),"",$R1644*$S1644)</f>
        <v/>
      </c>
      <c r="U1644" s="20" t="n"/>
      <c r="V1644" s="20" t="n"/>
      <c r="W1644" s="20" t="n"/>
      <c r="X1644">
        <f>IF($A1644="","",$A1644&amp;"|"&amp;$C1644&amp;"|"&amp;$I1644)</f>
        <v/>
      </c>
      <c r="Y1644">
        <f>IF(AND($A1644=RELATORIO_MEDICAO!$C$5,$C1644=RELATORIO_MEDICAO!$F$5,$A1644&lt;&gt;""),COUNTIFS($A$3:$A1644,RELATORIO_MEDICAO!$C$5,$C$3:$C1644,RELATORIO_MEDICAO!$F$5),"")</f>
        <v/>
      </c>
      <c r="Z1644">
        <f>IF(OR($A1644="",PESQUISA!$C$4=""),0,IF(OR(ISNUMBER(SEARCH(PESQUISA!$C$4,$G1644)),ISNUMBER(SEARCH(PESQUISA!$C$4,$K1644)),ISNUMBER(SEARCH(PESQUISA!$C$4,$L1644))),1,0))</f>
        <v/>
      </c>
      <c r="AA1644">
        <f>IF($Z1644=1,SUM($Z$3:$Z1644),"")</f>
        <v/>
      </c>
      <c r="AB1644">
        <f>IF(OR($A1644="",PESQUISA!$C$50=""),0,IF(ISNUMBER(SEARCH(PESQUISA!$C$50,$I1644)),1,0))</f>
        <v/>
      </c>
      <c r="AC1644">
        <f>IF($AB1644=1,SUM($AB$3:$AB1644),"")</f>
        <v/>
      </c>
    </row>
    <row r="1645">
      <c r="A1645" s="20" t="n"/>
      <c r="B1645" s="20" t="n"/>
      <c r="C1645" s="20" t="n"/>
      <c r="D1645" s="20" t="n"/>
      <c r="E1645" s="20" t="n"/>
      <c r="F1645" s="20" t="n"/>
      <c r="G1645" s="20" t="n"/>
      <c r="H1645" s="20" t="n"/>
      <c r="I1645" s="20" t="n"/>
      <c r="J1645" s="20">
        <f>IFERROR(INDEX(CONFIGURACOES!$G$37:$G$300,MATCH($I1645,CONFIGURACOES!$B$37:$B$300,0)),"")</f>
        <v/>
      </c>
      <c r="K1645" s="20">
        <f>IFERROR(INDEX(CONFIGURACOES!$H$37:$H$300,MATCH($I1645,CONFIGURACOES!$B$37:$B$300,0)),"")</f>
        <v/>
      </c>
      <c r="L1645" s="20" t="n"/>
      <c r="M1645" s="20">
        <f>IFERROR(INDEX(CONFIGURACOES!$I$37:$I$300,MATCH($I1645,CONFIGURACOES!$B$37:$B$300,0)),"")</f>
        <v/>
      </c>
      <c r="N1645" s="21" t="n"/>
      <c r="O1645" s="21" t="n"/>
      <c r="P1645" s="21" t="n"/>
      <c r="Q1645" s="21" t="n"/>
      <c r="R1645" s="21">
        <f>IF($N1645="","",$N1645*IF($Q1645="",1,$Q1645)*IF($P1645="",1,$P1645)*IF($O1645="",1,$O1645))</f>
        <v/>
      </c>
      <c r="S1645" s="22">
        <f>IFERROR(INDEX(CONFIGURACOES!$J$37:$J$300,MATCH($I1645,CONFIGURACOES!$B$37:$B$300,0)),"")</f>
        <v/>
      </c>
      <c r="T1645" s="22">
        <f>IF(OR($R1645="",$S1645=""),"",$R1645*$S1645)</f>
        <v/>
      </c>
      <c r="U1645" s="20" t="n"/>
      <c r="V1645" s="20" t="n"/>
      <c r="W1645" s="20" t="n"/>
      <c r="X1645">
        <f>IF($A1645="","",$A1645&amp;"|"&amp;$C1645&amp;"|"&amp;$I1645)</f>
        <v/>
      </c>
      <c r="Y1645">
        <f>IF(AND($A1645=RELATORIO_MEDICAO!$C$5,$C1645=RELATORIO_MEDICAO!$F$5,$A1645&lt;&gt;""),COUNTIFS($A$3:$A1645,RELATORIO_MEDICAO!$C$5,$C$3:$C1645,RELATORIO_MEDICAO!$F$5),"")</f>
        <v/>
      </c>
      <c r="Z1645">
        <f>IF(OR($A1645="",PESQUISA!$C$4=""),0,IF(OR(ISNUMBER(SEARCH(PESQUISA!$C$4,$G1645)),ISNUMBER(SEARCH(PESQUISA!$C$4,$K1645)),ISNUMBER(SEARCH(PESQUISA!$C$4,$L1645))),1,0))</f>
        <v/>
      </c>
      <c r="AA1645">
        <f>IF($Z1645=1,SUM($Z$3:$Z1645),"")</f>
        <v/>
      </c>
      <c r="AB1645">
        <f>IF(OR($A1645="",PESQUISA!$C$50=""),0,IF(ISNUMBER(SEARCH(PESQUISA!$C$50,$I1645)),1,0))</f>
        <v/>
      </c>
      <c r="AC1645">
        <f>IF($AB1645=1,SUM($AB$3:$AB1645),"")</f>
        <v/>
      </c>
    </row>
    <row r="1646">
      <c r="A1646" s="20" t="n"/>
      <c r="B1646" s="20" t="n"/>
      <c r="C1646" s="20" t="n"/>
      <c r="D1646" s="20" t="n"/>
      <c r="E1646" s="20" t="n"/>
      <c r="F1646" s="20" t="n"/>
      <c r="G1646" s="20" t="n"/>
      <c r="H1646" s="20" t="n"/>
      <c r="I1646" s="20" t="n"/>
      <c r="J1646" s="20">
        <f>IFERROR(INDEX(CONFIGURACOES!$G$37:$G$300,MATCH($I1646,CONFIGURACOES!$B$37:$B$300,0)),"")</f>
        <v/>
      </c>
      <c r="K1646" s="20">
        <f>IFERROR(INDEX(CONFIGURACOES!$H$37:$H$300,MATCH($I1646,CONFIGURACOES!$B$37:$B$300,0)),"")</f>
        <v/>
      </c>
      <c r="L1646" s="20" t="n"/>
      <c r="M1646" s="20">
        <f>IFERROR(INDEX(CONFIGURACOES!$I$37:$I$300,MATCH($I1646,CONFIGURACOES!$B$37:$B$300,0)),"")</f>
        <v/>
      </c>
      <c r="N1646" s="21" t="n"/>
      <c r="O1646" s="21" t="n"/>
      <c r="P1646" s="21" t="n"/>
      <c r="Q1646" s="21" t="n"/>
      <c r="R1646" s="21">
        <f>IF($N1646="","",$N1646*IF($Q1646="",1,$Q1646)*IF($P1646="",1,$P1646)*IF($O1646="",1,$O1646))</f>
        <v/>
      </c>
      <c r="S1646" s="22">
        <f>IFERROR(INDEX(CONFIGURACOES!$J$37:$J$300,MATCH($I1646,CONFIGURACOES!$B$37:$B$300,0)),"")</f>
        <v/>
      </c>
      <c r="T1646" s="22">
        <f>IF(OR($R1646="",$S1646=""),"",$R1646*$S1646)</f>
        <v/>
      </c>
      <c r="U1646" s="20" t="n"/>
      <c r="V1646" s="20" t="n"/>
      <c r="W1646" s="20" t="n"/>
      <c r="X1646">
        <f>IF($A1646="","",$A1646&amp;"|"&amp;$C1646&amp;"|"&amp;$I1646)</f>
        <v/>
      </c>
      <c r="Y1646">
        <f>IF(AND($A1646=RELATORIO_MEDICAO!$C$5,$C1646=RELATORIO_MEDICAO!$F$5,$A1646&lt;&gt;""),COUNTIFS($A$3:$A1646,RELATORIO_MEDICAO!$C$5,$C$3:$C1646,RELATORIO_MEDICAO!$F$5),"")</f>
        <v/>
      </c>
      <c r="Z1646">
        <f>IF(OR($A1646="",PESQUISA!$C$4=""),0,IF(OR(ISNUMBER(SEARCH(PESQUISA!$C$4,$G1646)),ISNUMBER(SEARCH(PESQUISA!$C$4,$K1646)),ISNUMBER(SEARCH(PESQUISA!$C$4,$L1646))),1,0))</f>
        <v/>
      </c>
      <c r="AA1646">
        <f>IF($Z1646=1,SUM($Z$3:$Z1646),"")</f>
        <v/>
      </c>
      <c r="AB1646">
        <f>IF(OR($A1646="",PESQUISA!$C$50=""),0,IF(ISNUMBER(SEARCH(PESQUISA!$C$50,$I1646)),1,0))</f>
        <v/>
      </c>
      <c r="AC1646">
        <f>IF($AB1646=1,SUM($AB$3:$AB1646),"")</f>
        <v/>
      </c>
    </row>
    <row r="1647">
      <c r="A1647" s="20" t="n"/>
      <c r="B1647" s="20" t="n"/>
      <c r="C1647" s="20" t="n"/>
      <c r="D1647" s="20" t="n"/>
      <c r="E1647" s="20" t="n"/>
      <c r="F1647" s="20" t="n"/>
      <c r="G1647" s="20" t="n"/>
      <c r="H1647" s="20" t="n"/>
      <c r="I1647" s="20" t="n"/>
      <c r="J1647" s="20">
        <f>IFERROR(INDEX(CONFIGURACOES!$G$37:$G$300,MATCH($I1647,CONFIGURACOES!$B$37:$B$300,0)),"")</f>
        <v/>
      </c>
      <c r="K1647" s="20">
        <f>IFERROR(INDEX(CONFIGURACOES!$H$37:$H$300,MATCH($I1647,CONFIGURACOES!$B$37:$B$300,0)),"")</f>
        <v/>
      </c>
      <c r="L1647" s="20" t="n"/>
      <c r="M1647" s="20">
        <f>IFERROR(INDEX(CONFIGURACOES!$I$37:$I$300,MATCH($I1647,CONFIGURACOES!$B$37:$B$300,0)),"")</f>
        <v/>
      </c>
      <c r="N1647" s="21" t="n"/>
      <c r="O1647" s="21" t="n"/>
      <c r="P1647" s="21" t="n"/>
      <c r="Q1647" s="21" t="n"/>
      <c r="R1647" s="21">
        <f>IF($N1647="","",$N1647*IF($Q1647="",1,$Q1647)*IF($P1647="",1,$P1647)*IF($O1647="",1,$O1647))</f>
        <v/>
      </c>
      <c r="S1647" s="22">
        <f>IFERROR(INDEX(CONFIGURACOES!$J$37:$J$300,MATCH($I1647,CONFIGURACOES!$B$37:$B$300,0)),"")</f>
        <v/>
      </c>
      <c r="T1647" s="22">
        <f>IF(OR($R1647="",$S1647=""),"",$R1647*$S1647)</f>
        <v/>
      </c>
      <c r="U1647" s="20" t="n"/>
      <c r="V1647" s="20" t="n"/>
      <c r="W1647" s="20" t="n"/>
      <c r="X1647">
        <f>IF($A1647="","",$A1647&amp;"|"&amp;$C1647&amp;"|"&amp;$I1647)</f>
        <v/>
      </c>
      <c r="Y1647">
        <f>IF(AND($A1647=RELATORIO_MEDICAO!$C$5,$C1647=RELATORIO_MEDICAO!$F$5,$A1647&lt;&gt;""),COUNTIFS($A$3:$A1647,RELATORIO_MEDICAO!$C$5,$C$3:$C1647,RELATORIO_MEDICAO!$F$5),"")</f>
        <v/>
      </c>
      <c r="Z1647">
        <f>IF(OR($A1647="",PESQUISA!$C$4=""),0,IF(OR(ISNUMBER(SEARCH(PESQUISA!$C$4,$G1647)),ISNUMBER(SEARCH(PESQUISA!$C$4,$K1647)),ISNUMBER(SEARCH(PESQUISA!$C$4,$L1647))),1,0))</f>
        <v/>
      </c>
      <c r="AA1647">
        <f>IF($Z1647=1,SUM($Z$3:$Z1647),"")</f>
        <v/>
      </c>
      <c r="AB1647">
        <f>IF(OR($A1647="",PESQUISA!$C$50=""),0,IF(ISNUMBER(SEARCH(PESQUISA!$C$50,$I1647)),1,0))</f>
        <v/>
      </c>
      <c r="AC1647">
        <f>IF($AB1647=1,SUM($AB$3:$AB1647),"")</f>
        <v/>
      </c>
    </row>
    <row r="1648">
      <c r="A1648" s="20" t="n"/>
      <c r="B1648" s="20" t="n"/>
      <c r="C1648" s="20" t="n"/>
      <c r="D1648" s="20" t="n"/>
      <c r="E1648" s="20" t="n"/>
      <c r="F1648" s="20" t="n"/>
      <c r="G1648" s="20" t="n"/>
      <c r="H1648" s="20" t="n"/>
      <c r="I1648" s="20" t="n"/>
      <c r="J1648" s="20">
        <f>IFERROR(INDEX(CONFIGURACOES!$G$37:$G$300,MATCH($I1648,CONFIGURACOES!$B$37:$B$300,0)),"")</f>
        <v/>
      </c>
      <c r="K1648" s="20">
        <f>IFERROR(INDEX(CONFIGURACOES!$H$37:$H$300,MATCH($I1648,CONFIGURACOES!$B$37:$B$300,0)),"")</f>
        <v/>
      </c>
      <c r="L1648" s="20" t="n"/>
      <c r="M1648" s="20">
        <f>IFERROR(INDEX(CONFIGURACOES!$I$37:$I$300,MATCH($I1648,CONFIGURACOES!$B$37:$B$300,0)),"")</f>
        <v/>
      </c>
      <c r="N1648" s="21" t="n"/>
      <c r="O1648" s="21" t="n"/>
      <c r="P1648" s="21" t="n"/>
      <c r="Q1648" s="21" t="n"/>
      <c r="R1648" s="21">
        <f>IF($N1648="","",$N1648*IF($Q1648="",1,$Q1648)*IF($P1648="",1,$P1648)*IF($O1648="",1,$O1648))</f>
        <v/>
      </c>
      <c r="S1648" s="22">
        <f>IFERROR(INDEX(CONFIGURACOES!$J$37:$J$300,MATCH($I1648,CONFIGURACOES!$B$37:$B$300,0)),"")</f>
        <v/>
      </c>
      <c r="T1648" s="22">
        <f>IF(OR($R1648="",$S1648=""),"",$R1648*$S1648)</f>
        <v/>
      </c>
      <c r="U1648" s="20" t="n"/>
      <c r="V1648" s="20" t="n"/>
      <c r="W1648" s="20" t="n"/>
      <c r="X1648">
        <f>IF($A1648="","",$A1648&amp;"|"&amp;$C1648&amp;"|"&amp;$I1648)</f>
        <v/>
      </c>
      <c r="Y1648">
        <f>IF(AND($A1648=RELATORIO_MEDICAO!$C$5,$C1648=RELATORIO_MEDICAO!$F$5,$A1648&lt;&gt;""),COUNTIFS($A$3:$A1648,RELATORIO_MEDICAO!$C$5,$C$3:$C1648,RELATORIO_MEDICAO!$F$5),"")</f>
        <v/>
      </c>
      <c r="Z1648">
        <f>IF(OR($A1648="",PESQUISA!$C$4=""),0,IF(OR(ISNUMBER(SEARCH(PESQUISA!$C$4,$G1648)),ISNUMBER(SEARCH(PESQUISA!$C$4,$K1648)),ISNUMBER(SEARCH(PESQUISA!$C$4,$L1648))),1,0))</f>
        <v/>
      </c>
      <c r="AA1648">
        <f>IF($Z1648=1,SUM($Z$3:$Z1648),"")</f>
        <v/>
      </c>
      <c r="AB1648">
        <f>IF(OR($A1648="",PESQUISA!$C$50=""),0,IF(ISNUMBER(SEARCH(PESQUISA!$C$50,$I1648)),1,0))</f>
        <v/>
      </c>
      <c r="AC1648">
        <f>IF($AB1648=1,SUM($AB$3:$AB1648),"")</f>
        <v/>
      </c>
    </row>
    <row r="1649">
      <c r="A1649" s="20" t="n"/>
      <c r="B1649" s="20" t="n"/>
      <c r="C1649" s="20" t="n"/>
      <c r="D1649" s="20" t="n"/>
      <c r="E1649" s="20" t="n"/>
      <c r="F1649" s="20" t="n"/>
      <c r="G1649" s="20" t="n"/>
      <c r="H1649" s="20" t="n"/>
      <c r="I1649" s="20" t="n"/>
      <c r="J1649" s="20">
        <f>IFERROR(INDEX(CONFIGURACOES!$G$37:$G$300,MATCH($I1649,CONFIGURACOES!$B$37:$B$300,0)),"")</f>
        <v/>
      </c>
      <c r="K1649" s="20">
        <f>IFERROR(INDEX(CONFIGURACOES!$H$37:$H$300,MATCH($I1649,CONFIGURACOES!$B$37:$B$300,0)),"")</f>
        <v/>
      </c>
      <c r="L1649" s="20" t="n"/>
      <c r="M1649" s="20">
        <f>IFERROR(INDEX(CONFIGURACOES!$I$37:$I$300,MATCH($I1649,CONFIGURACOES!$B$37:$B$300,0)),"")</f>
        <v/>
      </c>
      <c r="N1649" s="21" t="n"/>
      <c r="O1649" s="21" t="n"/>
      <c r="P1649" s="21" t="n"/>
      <c r="Q1649" s="21" t="n"/>
      <c r="R1649" s="21">
        <f>IF($N1649="","",$N1649*IF($Q1649="",1,$Q1649)*IF($P1649="",1,$P1649)*IF($O1649="",1,$O1649))</f>
        <v/>
      </c>
      <c r="S1649" s="22">
        <f>IFERROR(INDEX(CONFIGURACOES!$J$37:$J$300,MATCH($I1649,CONFIGURACOES!$B$37:$B$300,0)),"")</f>
        <v/>
      </c>
      <c r="T1649" s="22">
        <f>IF(OR($R1649="",$S1649=""),"",$R1649*$S1649)</f>
        <v/>
      </c>
      <c r="U1649" s="20" t="n"/>
      <c r="V1649" s="20" t="n"/>
      <c r="W1649" s="20" t="n"/>
      <c r="X1649">
        <f>IF($A1649="","",$A1649&amp;"|"&amp;$C1649&amp;"|"&amp;$I1649)</f>
        <v/>
      </c>
      <c r="Y1649">
        <f>IF(AND($A1649=RELATORIO_MEDICAO!$C$5,$C1649=RELATORIO_MEDICAO!$F$5,$A1649&lt;&gt;""),COUNTIFS($A$3:$A1649,RELATORIO_MEDICAO!$C$5,$C$3:$C1649,RELATORIO_MEDICAO!$F$5),"")</f>
        <v/>
      </c>
      <c r="Z1649">
        <f>IF(OR($A1649="",PESQUISA!$C$4=""),0,IF(OR(ISNUMBER(SEARCH(PESQUISA!$C$4,$G1649)),ISNUMBER(SEARCH(PESQUISA!$C$4,$K1649)),ISNUMBER(SEARCH(PESQUISA!$C$4,$L1649))),1,0))</f>
        <v/>
      </c>
      <c r="AA1649">
        <f>IF($Z1649=1,SUM($Z$3:$Z1649),"")</f>
        <v/>
      </c>
      <c r="AB1649">
        <f>IF(OR($A1649="",PESQUISA!$C$50=""),0,IF(ISNUMBER(SEARCH(PESQUISA!$C$50,$I1649)),1,0))</f>
        <v/>
      </c>
      <c r="AC1649">
        <f>IF($AB1649=1,SUM($AB$3:$AB1649),"")</f>
        <v/>
      </c>
    </row>
    <row r="1650">
      <c r="A1650" s="20" t="n"/>
      <c r="B1650" s="20" t="n"/>
      <c r="C1650" s="20" t="n"/>
      <c r="D1650" s="20" t="n"/>
      <c r="E1650" s="20" t="n"/>
      <c r="F1650" s="20" t="n"/>
      <c r="G1650" s="20" t="n"/>
      <c r="H1650" s="20" t="n"/>
      <c r="I1650" s="20" t="n"/>
      <c r="J1650" s="20">
        <f>IFERROR(INDEX(CONFIGURACOES!$G$37:$G$300,MATCH($I1650,CONFIGURACOES!$B$37:$B$300,0)),"")</f>
        <v/>
      </c>
      <c r="K1650" s="20">
        <f>IFERROR(INDEX(CONFIGURACOES!$H$37:$H$300,MATCH($I1650,CONFIGURACOES!$B$37:$B$300,0)),"")</f>
        <v/>
      </c>
      <c r="L1650" s="20" t="n"/>
      <c r="M1650" s="20">
        <f>IFERROR(INDEX(CONFIGURACOES!$I$37:$I$300,MATCH($I1650,CONFIGURACOES!$B$37:$B$300,0)),"")</f>
        <v/>
      </c>
      <c r="N1650" s="21" t="n"/>
      <c r="O1650" s="21" t="n"/>
      <c r="P1650" s="21" t="n"/>
      <c r="Q1650" s="21" t="n"/>
      <c r="R1650" s="21">
        <f>IF($N1650="","",$N1650*IF($Q1650="",1,$Q1650)*IF($P1650="",1,$P1650)*IF($O1650="",1,$O1650))</f>
        <v/>
      </c>
      <c r="S1650" s="22">
        <f>IFERROR(INDEX(CONFIGURACOES!$J$37:$J$300,MATCH($I1650,CONFIGURACOES!$B$37:$B$300,0)),"")</f>
        <v/>
      </c>
      <c r="T1650" s="22">
        <f>IF(OR($R1650="",$S1650=""),"",$R1650*$S1650)</f>
        <v/>
      </c>
      <c r="U1650" s="20" t="n"/>
      <c r="V1650" s="20" t="n"/>
      <c r="W1650" s="20" t="n"/>
      <c r="X1650">
        <f>IF($A1650="","",$A1650&amp;"|"&amp;$C1650&amp;"|"&amp;$I1650)</f>
        <v/>
      </c>
      <c r="Y1650">
        <f>IF(AND($A1650=RELATORIO_MEDICAO!$C$5,$C1650=RELATORIO_MEDICAO!$F$5,$A1650&lt;&gt;""),COUNTIFS($A$3:$A1650,RELATORIO_MEDICAO!$C$5,$C$3:$C1650,RELATORIO_MEDICAO!$F$5),"")</f>
        <v/>
      </c>
      <c r="Z1650">
        <f>IF(OR($A1650="",PESQUISA!$C$4=""),0,IF(OR(ISNUMBER(SEARCH(PESQUISA!$C$4,$G1650)),ISNUMBER(SEARCH(PESQUISA!$C$4,$K1650)),ISNUMBER(SEARCH(PESQUISA!$C$4,$L1650))),1,0))</f>
        <v/>
      </c>
      <c r="AA1650">
        <f>IF($Z1650=1,SUM($Z$3:$Z1650),"")</f>
        <v/>
      </c>
      <c r="AB1650">
        <f>IF(OR($A1650="",PESQUISA!$C$50=""),0,IF(ISNUMBER(SEARCH(PESQUISA!$C$50,$I1650)),1,0))</f>
        <v/>
      </c>
      <c r="AC1650">
        <f>IF($AB1650=1,SUM($AB$3:$AB1650),"")</f>
        <v/>
      </c>
    </row>
    <row r="1651">
      <c r="A1651" s="20" t="n"/>
      <c r="B1651" s="20" t="n"/>
      <c r="C1651" s="20" t="n"/>
      <c r="D1651" s="20" t="n"/>
      <c r="E1651" s="20" t="n"/>
      <c r="F1651" s="20" t="n"/>
      <c r="G1651" s="20" t="n"/>
      <c r="H1651" s="20" t="n"/>
      <c r="I1651" s="20" t="n"/>
      <c r="J1651" s="20">
        <f>IFERROR(INDEX(CONFIGURACOES!$G$37:$G$300,MATCH($I1651,CONFIGURACOES!$B$37:$B$300,0)),"")</f>
        <v/>
      </c>
      <c r="K1651" s="20">
        <f>IFERROR(INDEX(CONFIGURACOES!$H$37:$H$300,MATCH($I1651,CONFIGURACOES!$B$37:$B$300,0)),"")</f>
        <v/>
      </c>
      <c r="L1651" s="20" t="n"/>
      <c r="M1651" s="20">
        <f>IFERROR(INDEX(CONFIGURACOES!$I$37:$I$300,MATCH($I1651,CONFIGURACOES!$B$37:$B$300,0)),"")</f>
        <v/>
      </c>
      <c r="N1651" s="21" t="n"/>
      <c r="O1651" s="21" t="n"/>
      <c r="P1651" s="21" t="n"/>
      <c r="Q1651" s="21" t="n"/>
      <c r="R1651" s="21">
        <f>IF($N1651="","",$N1651*IF($Q1651="",1,$Q1651)*IF($P1651="",1,$P1651)*IF($O1651="",1,$O1651))</f>
        <v/>
      </c>
      <c r="S1651" s="22">
        <f>IFERROR(INDEX(CONFIGURACOES!$J$37:$J$300,MATCH($I1651,CONFIGURACOES!$B$37:$B$300,0)),"")</f>
        <v/>
      </c>
      <c r="T1651" s="22">
        <f>IF(OR($R1651="",$S1651=""),"",$R1651*$S1651)</f>
        <v/>
      </c>
      <c r="U1651" s="20" t="n"/>
      <c r="V1651" s="20" t="n"/>
      <c r="W1651" s="20" t="n"/>
      <c r="X1651">
        <f>IF($A1651="","",$A1651&amp;"|"&amp;$C1651&amp;"|"&amp;$I1651)</f>
        <v/>
      </c>
      <c r="Y1651">
        <f>IF(AND($A1651=RELATORIO_MEDICAO!$C$5,$C1651=RELATORIO_MEDICAO!$F$5,$A1651&lt;&gt;""),COUNTIFS($A$3:$A1651,RELATORIO_MEDICAO!$C$5,$C$3:$C1651,RELATORIO_MEDICAO!$F$5),"")</f>
        <v/>
      </c>
      <c r="Z1651">
        <f>IF(OR($A1651="",PESQUISA!$C$4=""),0,IF(OR(ISNUMBER(SEARCH(PESQUISA!$C$4,$G1651)),ISNUMBER(SEARCH(PESQUISA!$C$4,$K1651)),ISNUMBER(SEARCH(PESQUISA!$C$4,$L1651))),1,0))</f>
        <v/>
      </c>
      <c r="AA1651">
        <f>IF($Z1651=1,SUM($Z$3:$Z1651),"")</f>
        <v/>
      </c>
      <c r="AB1651">
        <f>IF(OR($A1651="",PESQUISA!$C$50=""),0,IF(ISNUMBER(SEARCH(PESQUISA!$C$50,$I1651)),1,0))</f>
        <v/>
      </c>
      <c r="AC1651">
        <f>IF($AB1651=1,SUM($AB$3:$AB1651),"")</f>
        <v/>
      </c>
    </row>
    <row r="1652">
      <c r="A1652" s="20" t="n"/>
      <c r="B1652" s="20" t="n"/>
      <c r="C1652" s="20" t="n"/>
      <c r="D1652" s="20" t="n"/>
      <c r="E1652" s="20" t="n"/>
      <c r="F1652" s="20" t="n"/>
      <c r="G1652" s="20" t="n"/>
      <c r="H1652" s="20" t="n"/>
      <c r="I1652" s="20" t="n"/>
      <c r="J1652" s="20">
        <f>IFERROR(INDEX(CONFIGURACOES!$G$37:$G$300,MATCH($I1652,CONFIGURACOES!$B$37:$B$300,0)),"")</f>
        <v/>
      </c>
      <c r="K1652" s="20">
        <f>IFERROR(INDEX(CONFIGURACOES!$H$37:$H$300,MATCH($I1652,CONFIGURACOES!$B$37:$B$300,0)),"")</f>
        <v/>
      </c>
      <c r="L1652" s="20" t="n"/>
      <c r="M1652" s="20">
        <f>IFERROR(INDEX(CONFIGURACOES!$I$37:$I$300,MATCH($I1652,CONFIGURACOES!$B$37:$B$300,0)),"")</f>
        <v/>
      </c>
      <c r="N1652" s="21" t="n"/>
      <c r="O1652" s="21" t="n"/>
      <c r="P1652" s="21" t="n"/>
      <c r="Q1652" s="21" t="n"/>
      <c r="R1652" s="21">
        <f>IF($N1652="","",$N1652*IF($Q1652="",1,$Q1652)*IF($P1652="",1,$P1652)*IF($O1652="",1,$O1652))</f>
        <v/>
      </c>
      <c r="S1652" s="22">
        <f>IFERROR(INDEX(CONFIGURACOES!$J$37:$J$300,MATCH($I1652,CONFIGURACOES!$B$37:$B$300,0)),"")</f>
        <v/>
      </c>
      <c r="T1652" s="22">
        <f>IF(OR($R1652="",$S1652=""),"",$R1652*$S1652)</f>
        <v/>
      </c>
      <c r="U1652" s="20" t="n"/>
      <c r="V1652" s="20" t="n"/>
      <c r="W1652" s="20" t="n"/>
      <c r="X1652">
        <f>IF($A1652="","",$A1652&amp;"|"&amp;$C1652&amp;"|"&amp;$I1652)</f>
        <v/>
      </c>
      <c r="Y1652">
        <f>IF(AND($A1652=RELATORIO_MEDICAO!$C$5,$C1652=RELATORIO_MEDICAO!$F$5,$A1652&lt;&gt;""),COUNTIFS($A$3:$A1652,RELATORIO_MEDICAO!$C$5,$C$3:$C1652,RELATORIO_MEDICAO!$F$5),"")</f>
        <v/>
      </c>
      <c r="Z1652">
        <f>IF(OR($A1652="",PESQUISA!$C$4=""),0,IF(OR(ISNUMBER(SEARCH(PESQUISA!$C$4,$G1652)),ISNUMBER(SEARCH(PESQUISA!$C$4,$K1652)),ISNUMBER(SEARCH(PESQUISA!$C$4,$L1652))),1,0))</f>
        <v/>
      </c>
      <c r="AA1652">
        <f>IF($Z1652=1,SUM($Z$3:$Z1652),"")</f>
        <v/>
      </c>
      <c r="AB1652">
        <f>IF(OR($A1652="",PESQUISA!$C$50=""),0,IF(ISNUMBER(SEARCH(PESQUISA!$C$50,$I1652)),1,0))</f>
        <v/>
      </c>
      <c r="AC1652">
        <f>IF($AB1652=1,SUM($AB$3:$AB1652),"")</f>
        <v/>
      </c>
    </row>
    <row r="1653">
      <c r="A1653" s="20" t="n"/>
      <c r="B1653" s="20" t="n"/>
      <c r="C1653" s="20" t="n"/>
      <c r="D1653" s="20" t="n"/>
      <c r="E1653" s="20" t="n"/>
      <c r="F1653" s="20" t="n"/>
      <c r="G1653" s="20" t="n"/>
      <c r="H1653" s="20" t="n"/>
      <c r="I1653" s="20" t="n"/>
      <c r="J1653" s="20">
        <f>IFERROR(INDEX(CONFIGURACOES!$G$37:$G$300,MATCH($I1653,CONFIGURACOES!$B$37:$B$300,0)),"")</f>
        <v/>
      </c>
      <c r="K1653" s="20">
        <f>IFERROR(INDEX(CONFIGURACOES!$H$37:$H$300,MATCH($I1653,CONFIGURACOES!$B$37:$B$300,0)),"")</f>
        <v/>
      </c>
      <c r="L1653" s="20" t="n"/>
      <c r="M1653" s="20">
        <f>IFERROR(INDEX(CONFIGURACOES!$I$37:$I$300,MATCH($I1653,CONFIGURACOES!$B$37:$B$300,0)),"")</f>
        <v/>
      </c>
      <c r="N1653" s="21" t="n"/>
      <c r="O1653" s="21" t="n"/>
      <c r="P1653" s="21" t="n"/>
      <c r="Q1653" s="21" t="n"/>
      <c r="R1653" s="21">
        <f>IF($N1653="","",$N1653*IF($Q1653="",1,$Q1653)*IF($P1653="",1,$P1653)*IF($O1653="",1,$O1653))</f>
        <v/>
      </c>
      <c r="S1653" s="22">
        <f>IFERROR(INDEX(CONFIGURACOES!$J$37:$J$300,MATCH($I1653,CONFIGURACOES!$B$37:$B$300,0)),"")</f>
        <v/>
      </c>
      <c r="T1653" s="22">
        <f>IF(OR($R1653="",$S1653=""),"",$R1653*$S1653)</f>
        <v/>
      </c>
      <c r="U1653" s="20" t="n"/>
      <c r="V1653" s="20" t="n"/>
      <c r="W1653" s="20" t="n"/>
      <c r="X1653">
        <f>IF($A1653="","",$A1653&amp;"|"&amp;$C1653&amp;"|"&amp;$I1653)</f>
        <v/>
      </c>
      <c r="Y1653">
        <f>IF(AND($A1653=RELATORIO_MEDICAO!$C$5,$C1653=RELATORIO_MEDICAO!$F$5,$A1653&lt;&gt;""),COUNTIFS($A$3:$A1653,RELATORIO_MEDICAO!$C$5,$C$3:$C1653,RELATORIO_MEDICAO!$F$5),"")</f>
        <v/>
      </c>
      <c r="Z1653">
        <f>IF(OR($A1653="",PESQUISA!$C$4=""),0,IF(OR(ISNUMBER(SEARCH(PESQUISA!$C$4,$G1653)),ISNUMBER(SEARCH(PESQUISA!$C$4,$K1653)),ISNUMBER(SEARCH(PESQUISA!$C$4,$L1653))),1,0))</f>
        <v/>
      </c>
      <c r="AA1653">
        <f>IF($Z1653=1,SUM($Z$3:$Z1653),"")</f>
        <v/>
      </c>
      <c r="AB1653">
        <f>IF(OR($A1653="",PESQUISA!$C$50=""),0,IF(ISNUMBER(SEARCH(PESQUISA!$C$50,$I1653)),1,0))</f>
        <v/>
      </c>
      <c r="AC1653">
        <f>IF($AB1653=1,SUM($AB$3:$AB1653),"")</f>
        <v/>
      </c>
    </row>
    <row r="1654">
      <c r="A1654" s="20" t="n"/>
      <c r="B1654" s="20" t="n"/>
      <c r="C1654" s="20" t="n"/>
      <c r="D1654" s="20" t="n"/>
      <c r="E1654" s="20" t="n"/>
      <c r="F1654" s="20" t="n"/>
      <c r="G1654" s="20" t="n"/>
      <c r="H1654" s="20" t="n"/>
      <c r="I1654" s="20" t="n"/>
      <c r="J1654" s="20">
        <f>IFERROR(INDEX(CONFIGURACOES!$G$37:$G$300,MATCH($I1654,CONFIGURACOES!$B$37:$B$300,0)),"")</f>
        <v/>
      </c>
      <c r="K1654" s="20">
        <f>IFERROR(INDEX(CONFIGURACOES!$H$37:$H$300,MATCH($I1654,CONFIGURACOES!$B$37:$B$300,0)),"")</f>
        <v/>
      </c>
      <c r="L1654" s="20" t="n"/>
      <c r="M1654" s="20">
        <f>IFERROR(INDEX(CONFIGURACOES!$I$37:$I$300,MATCH($I1654,CONFIGURACOES!$B$37:$B$300,0)),"")</f>
        <v/>
      </c>
      <c r="N1654" s="21" t="n"/>
      <c r="O1654" s="21" t="n"/>
      <c r="P1654" s="21" t="n"/>
      <c r="Q1654" s="21" t="n"/>
      <c r="R1654" s="21">
        <f>IF($N1654="","",$N1654*IF($Q1654="",1,$Q1654)*IF($P1654="",1,$P1654)*IF($O1654="",1,$O1654))</f>
        <v/>
      </c>
      <c r="S1654" s="22">
        <f>IFERROR(INDEX(CONFIGURACOES!$J$37:$J$300,MATCH($I1654,CONFIGURACOES!$B$37:$B$300,0)),"")</f>
        <v/>
      </c>
      <c r="T1654" s="22">
        <f>IF(OR($R1654="",$S1654=""),"",$R1654*$S1654)</f>
        <v/>
      </c>
      <c r="U1654" s="20" t="n"/>
      <c r="V1654" s="20" t="n"/>
      <c r="W1654" s="20" t="n"/>
      <c r="X1654">
        <f>IF($A1654="","",$A1654&amp;"|"&amp;$C1654&amp;"|"&amp;$I1654)</f>
        <v/>
      </c>
      <c r="Y1654">
        <f>IF(AND($A1654=RELATORIO_MEDICAO!$C$5,$C1654=RELATORIO_MEDICAO!$F$5,$A1654&lt;&gt;""),COUNTIFS($A$3:$A1654,RELATORIO_MEDICAO!$C$5,$C$3:$C1654,RELATORIO_MEDICAO!$F$5),"")</f>
        <v/>
      </c>
      <c r="Z1654">
        <f>IF(OR($A1654="",PESQUISA!$C$4=""),0,IF(OR(ISNUMBER(SEARCH(PESQUISA!$C$4,$G1654)),ISNUMBER(SEARCH(PESQUISA!$C$4,$K1654)),ISNUMBER(SEARCH(PESQUISA!$C$4,$L1654))),1,0))</f>
        <v/>
      </c>
      <c r="AA1654">
        <f>IF($Z1654=1,SUM($Z$3:$Z1654),"")</f>
        <v/>
      </c>
      <c r="AB1654">
        <f>IF(OR($A1654="",PESQUISA!$C$50=""),0,IF(ISNUMBER(SEARCH(PESQUISA!$C$50,$I1654)),1,0))</f>
        <v/>
      </c>
      <c r="AC1654">
        <f>IF($AB1654=1,SUM($AB$3:$AB1654),"")</f>
        <v/>
      </c>
    </row>
    <row r="1655">
      <c r="A1655" s="20" t="n"/>
      <c r="B1655" s="20" t="n"/>
      <c r="C1655" s="20" t="n"/>
      <c r="D1655" s="20" t="n"/>
      <c r="E1655" s="20" t="n"/>
      <c r="F1655" s="20" t="n"/>
      <c r="G1655" s="20" t="n"/>
      <c r="H1655" s="20" t="n"/>
      <c r="I1655" s="20" t="n"/>
      <c r="J1655" s="20">
        <f>IFERROR(INDEX(CONFIGURACOES!$G$37:$G$300,MATCH($I1655,CONFIGURACOES!$B$37:$B$300,0)),"")</f>
        <v/>
      </c>
      <c r="K1655" s="20">
        <f>IFERROR(INDEX(CONFIGURACOES!$H$37:$H$300,MATCH($I1655,CONFIGURACOES!$B$37:$B$300,0)),"")</f>
        <v/>
      </c>
      <c r="L1655" s="20" t="n"/>
      <c r="M1655" s="20">
        <f>IFERROR(INDEX(CONFIGURACOES!$I$37:$I$300,MATCH($I1655,CONFIGURACOES!$B$37:$B$300,0)),"")</f>
        <v/>
      </c>
      <c r="N1655" s="21" t="n"/>
      <c r="O1655" s="21" t="n"/>
      <c r="P1655" s="21" t="n"/>
      <c r="Q1655" s="21" t="n"/>
      <c r="R1655" s="21">
        <f>IF($N1655="","",$N1655*IF($Q1655="",1,$Q1655)*IF($P1655="",1,$P1655)*IF($O1655="",1,$O1655))</f>
        <v/>
      </c>
      <c r="S1655" s="22">
        <f>IFERROR(INDEX(CONFIGURACOES!$J$37:$J$300,MATCH($I1655,CONFIGURACOES!$B$37:$B$300,0)),"")</f>
        <v/>
      </c>
      <c r="T1655" s="22">
        <f>IF(OR($R1655="",$S1655=""),"",$R1655*$S1655)</f>
        <v/>
      </c>
      <c r="U1655" s="20" t="n"/>
      <c r="V1655" s="20" t="n"/>
      <c r="W1655" s="20" t="n"/>
      <c r="X1655">
        <f>IF($A1655="","",$A1655&amp;"|"&amp;$C1655&amp;"|"&amp;$I1655)</f>
        <v/>
      </c>
      <c r="Y1655">
        <f>IF(AND($A1655=RELATORIO_MEDICAO!$C$5,$C1655=RELATORIO_MEDICAO!$F$5,$A1655&lt;&gt;""),COUNTIFS($A$3:$A1655,RELATORIO_MEDICAO!$C$5,$C$3:$C1655,RELATORIO_MEDICAO!$F$5),"")</f>
        <v/>
      </c>
      <c r="Z1655">
        <f>IF(OR($A1655="",PESQUISA!$C$4=""),0,IF(OR(ISNUMBER(SEARCH(PESQUISA!$C$4,$G1655)),ISNUMBER(SEARCH(PESQUISA!$C$4,$K1655)),ISNUMBER(SEARCH(PESQUISA!$C$4,$L1655))),1,0))</f>
        <v/>
      </c>
      <c r="AA1655">
        <f>IF($Z1655=1,SUM($Z$3:$Z1655),"")</f>
        <v/>
      </c>
      <c r="AB1655">
        <f>IF(OR($A1655="",PESQUISA!$C$50=""),0,IF(ISNUMBER(SEARCH(PESQUISA!$C$50,$I1655)),1,0))</f>
        <v/>
      </c>
      <c r="AC1655">
        <f>IF($AB1655=1,SUM($AB$3:$AB1655),"")</f>
        <v/>
      </c>
    </row>
    <row r="1656">
      <c r="A1656" s="20" t="n"/>
      <c r="B1656" s="20" t="n"/>
      <c r="C1656" s="20" t="n"/>
      <c r="D1656" s="20" t="n"/>
      <c r="E1656" s="20" t="n"/>
      <c r="F1656" s="20" t="n"/>
      <c r="G1656" s="20" t="n"/>
      <c r="H1656" s="20" t="n"/>
      <c r="I1656" s="20" t="n"/>
      <c r="J1656" s="20">
        <f>IFERROR(INDEX(CONFIGURACOES!$G$37:$G$300,MATCH($I1656,CONFIGURACOES!$B$37:$B$300,0)),"")</f>
        <v/>
      </c>
      <c r="K1656" s="20">
        <f>IFERROR(INDEX(CONFIGURACOES!$H$37:$H$300,MATCH($I1656,CONFIGURACOES!$B$37:$B$300,0)),"")</f>
        <v/>
      </c>
      <c r="L1656" s="20" t="n"/>
      <c r="M1656" s="20">
        <f>IFERROR(INDEX(CONFIGURACOES!$I$37:$I$300,MATCH($I1656,CONFIGURACOES!$B$37:$B$300,0)),"")</f>
        <v/>
      </c>
      <c r="N1656" s="21" t="n"/>
      <c r="O1656" s="21" t="n"/>
      <c r="P1656" s="21" t="n"/>
      <c r="Q1656" s="21" t="n"/>
      <c r="R1656" s="21">
        <f>IF($N1656="","",$N1656*IF($Q1656="",1,$Q1656)*IF($P1656="",1,$P1656)*IF($O1656="",1,$O1656))</f>
        <v/>
      </c>
      <c r="S1656" s="22">
        <f>IFERROR(INDEX(CONFIGURACOES!$J$37:$J$300,MATCH($I1656,CONFIGURACOES!$B$37:$B$300,0)),"")</f>
        <v/>
      </c>
      <c r="T1656" s="22">
        <f>IF(OR($R1656="",$S1656=""),"",$R1656*$S1656)</f>
        <v/>
      </c>
      <c r="U1656" s="20" t="n"/>
      <c r="V1656" s="20" t="n"/>
      <c r="W1656" s="20" t="n"/>
      <c r="X1656">
        <f>IF($A1656="","",$A1656&amp;"|"&amp;$C1656&amp;"|"&amp;$I1656)</f>
        <v/>
      </c>
      <c r="Y1656">
        <f>IF(AND($A1656=RELATORIO_MEDICAO!$C$5,$C1656=RELATORIO_MEDICAO!$F$5,$A1656&lt;&gt;""),COUNTIFS($A$3:$A1656,RELATORIO_MEDICAO!$C$5,$C$3:$C1656,RELATORIO_MEDICAO!$F$5),"")</f>
        <v/>
      </c>
      <c r="Z1656">
        <f>IF(OR($A1656="",PESQUISA!$C$4=""),0,IF(OR(ISNUMBER(SEARCH(PESQUISA!$C$4,$G1656)),ISNUMBER(SEARCH(PESQUISA!$C$4,$K1656)),ISNUMBER(SEARCH(PESQUISA!$C$4,$L1656))),1,0))</f>
        <v/>
      </c>
      <c r="AA1656">
        <f>IF($Z1656=1,SUM($Z$3:$Z1656),"")</f>
        <v/>
      </c>
      <c r="AB1656">
        <f>IF(OR($A1656="",PESQUISA!$C$50=""),0,IF(ISNUMBER(SEARCH(PESQUISA!$C$50,$I1656)),1,0))</f>
        <v/>
      </c>
      <c r="AC1656">
        <f>IF($AB1656=1,SUM($AB$3:$AB1656),"")</f>
        <v/>
      </c>
    </row>
    <row r="1657">
      <c r="A1657" s="20" t="n"/>
      <c r="B1657" s="20" t="n"/>
      <c r="C1657" s="20" t="n"/>
      <c r="D1657" s="20" t="n"/>
      <c r="E1657" s="20" t="n"/>
      <c r="F1657" s="20" t="n"/>
      <c r="G1657" s="20" t="n"/>
      <c r="H1657" s="20" t="n"/>
      <c r="I1657" s="20" t="n"/>
      <c r="J1657" s="20">
        <f>IFERROR(INDEX(CONFIGURACOES!$G$37:$G$300,MATCH($I1657,CONFIGURACOES!$B$37:$B$300,0)),"")</f>
        <v/>
      </c>
      <c r="K1657" s="20">
        <f>IFERROR(INDEX(CONFIGURACOES!$H$37:$H$300,MATCH($I1657,CONFIGURACOES!$B$37:$B$300,0)),"")</f>
        <v/>
      </c>
      <c r="L1657" s="20" t="n"/>
      <c r="M1657" s="20">
        <f>IFERROR(INDEX(CONFIGURACOES!$I$37:$I$300,MATCH($I1657,CONFIGURACOES!$B$37:$B$300,0)),"")</f>
        <v/>
      </c>
      <c r="N1657" s="21" t="n"/>
      <c r="O1657" s="21" t="n"/>
      <c r="P1657" s="21" t="n"/>
      <c r="Q1657" s="21" t="n"/>
      <c r="R1657" s="21">
        <f>IF($N1657="","",$N1657*IF($Q1657="",1,$Q1657)*IF($P1657="",1,$P1657)*IF($O1657="",1,$O1657))</f>
        <v/>
      </c>
      <c r="S1657" s="22">
        <f>IFERROR(INDEX(CONFIGURACOES!$J$37:$J$300,MATCH($I1657,CONFIGURACOES!$B$37:$B$300,0)),"")</f>
        <v/>
      </c>
      <c r="T1657" s="22">
        <f>IF(OR($R1657="",$S1657=""),"",$R1657*$S1657)</f>
        <v/>
      </c>
      <c r="U1657" s="20" t="n"/>
      <c r="V1657" s="20" t="n"/>
      <c r="W1657" s="20" t="n"/>
      <c r="X1657">
        <f>IF($A1657="","",$A1657&amp;"|"&amp;$C1657&amp;"|"&amp;$I1657)</f>
        <v/>
      </c>
      <c r="Y1657">
        <f>IF(AND($A1657=RELATORIO_MEDICAO!$C$5,$C1657=RELATORIO_MEDICAO!$F$5,$A1657&lt;&gt;""),COUNTIFS($A$3:$A1657,RELATORIO_MEDICAO!$C$5,$C$3:$C1657,RELATORIO_MEDICAO!$F$5),"")</f>
        <v/>
      </c>
      <c r="Z1657">
        <f>IF(OR($A1657="",PESQUISA!$C$4=""),0,IF(OR(ISNUMBER(SEARCH(PESQUISA!$C$4,$G1657)),ISNUMBER(SEARCH(PESQUISA!$C$4,$K1657)),ISNUMBER(SEARCH(PESQUISA!$C$4,$L1657))),1,0))</f>
        <v/>
      </c>
      <c r="AA1657">
        <f>IF($Z1657=1,SUM($Z$3:$Z1657),"")</f>
        <v/>
      </c>
      <c r="AB1657">
        <f>IF(OR($A1657="",PESQUISA!$C$50=""),0,IF(ISNUMBER(SEARCH(PESQUISA!$C$50,$I1657)),1,0))</f>
        <v/>
      </c>
      <c r="AC1657">
        <f>IF($AB1657=1,SUM($AB$3:$AB1657),"")</f>
        <v/>
      </c>
    </row>
    <row r="1658">
      <c r="A1658" s="20" t="n"/>
      <c r="B1658" s="20" t="n"/>
      <c r="C1658" s="20" t="n"/>
      <c r="D1658" s="20" t="n"/>
      <c r="E1658" s="20" t="n"/>
      <c r="F1658" s="20" t="n"/>
      <c r="G1658" s="20" t="n"/>
      <c r="H1658" s="20" t="n"/>
      <c r="I1658" s="20" t="n"/>
      <c r="J1658" s="20">
        <f>IFERROR(INDEX(CONFIGURACOES!$G$37:$G$300,MATCH($I1658,CONFIGURACOES!$B$37:$B$300,0)),"")</f>
        <v/>
      </c>
      <c r="K1658" s="20">
        <f>IFERROR(INDEX(CONFIGURACOES!$H$37:$H$300,MATCH($I1658,CONFIGURACOES!$B$37:$B$300,0)),"")</f>
        <v/>
      </c>
      <c r="L1658" s="20" t="n"/>
      <c r="M1658" s="20">
        <f>IFERROR(INDEX(CONFIGURACOES!$I$37:$I$300,MATCH($I1658,CONFIGURACOES!$B$37:$B$300,0)),"")</f>
        <v/>
      </c>
      <c r="N1658" s="21" t="n"/>
      <c r="O1658" s="21" t="n"/>
      <c r="P1658" s="21" t="n"/>
      <c r="Q1658" s="21" t="n"/>
      <c r="R1658" s="21">
        <f>IF($N1658="","",$N1658*IF($Q1658="",1,$Q1658)*IF($P1658="",1,$P1658)*IF($O1658="",1,$O1658))</f>
        <v/>
      </c>
      <c r="S1658" s="22">
        <f>IFERROR(INDEX(CONFIGURACOES!$J$37:$J$300,MATCH($I1658,CONFIGURACOES!$B$37:$B$300,0)),"")</f>
        <v/>
      </c>
      <c r="T1658" s="22">
        <f>IF(OR($R1658="",$S1658=""),"",$R1658*$S1658)</f>
        <v/>
      </c>
      <c r="U1658" s="20" t="n"/>
      <c r="V1658" s="20" t="n"/>
      <c r="W1658" s="20" t="n"/>
      <c r="X1658">
        <f>IF($A1658="","",$A1658&amp;"|"&amp;$C1658&amp;"|"&amp;$I1658)</f>
        <v/>
      </c>
      <c r="Y1658">
        <f>IF(AND($A1658=RELATORIO_MEDICAO!$C$5,$C1658=RELATORIO_MEDICAO!$F$5,$A1658&lt;&gt;""),COUNTIFS($A$3:$A1658,RELATORIO_MEDICAO!$C$5,$C$3:$C1658,RELATORIO_MEDICAO!$F$5),"")</f>
        <v/>
      </c>
      <c r="Z1658">
        <f>IF(OR($A1658="",PESQUISA!$C$4=""),0,IF(OR(ISNUMBER(SEARCH(PESQUISA!$C$4,$G1658)),ISNUMBER(SEARCH(PESQUISA!$C$4,$K1658)),ISNUMBER(SEARCH(PESQUISA!$C$4,$L1658))),1,0))</f>
        <v/>
      </c>
      <c r="AA1658">
        <f>IF($Z1658=1,SUM($Z$3:$Z1658),"")</f>
        <v/>
      </c>
      <c r="AB1658">
        <f>IF(OR($A1658="",PESQUISA!$C$50=""),0,IF(ISNUMBER(SEARCH(PESQUISA!$C$50,$I1658)),1,0))</f>
        <v/>
      </c>
      <c r="AC1658">
        <f>IF($AB1658=1,SUM($AB$3:$AB1658),"")</f>
        <v/>
      </c>
    </row>
    <row r="1659">
      <c r="A1659" s="20" t="n"/>
      <c r="B1659" s="20" t="n"/>
      <c r="C1659" s="20" t="n"/>
      <c r="D1659" s="20" t="n"/>
      <c r="E1659" s="20" t="n"/>
      <c r="F1659" s="20" t="n"/>
      <c r="G1659" s="20" t="n"/>
      <c r="H1659" s="20" t="n"/>
      <c r="I1659" s="20" t="n"/>
      <c r="J1659" s="20">
        <f>IFERROR(INDEX(CONFIGURACOES!$G$37:$G$300,MATCH($I1659,CONFIGURACOES!$B$37:$B$300,0)),"")</f>
        <v/>
      </c>
      <c r="K1659" s="20">
        <f>IFERROR(INDEX(CONFIGURACOES!$H$37:$H$300,MATCH($I1659,CONFIGURACOES!$B$37:$B$300,0)),"")</f>
        <v/>
      </c>
      <c r="L1659" s="20" t="n"/>
      <c r="M1659" s="20">
        <f>IFERROR(INDEX(CONFIGURACOES!$I$37:$I$300,MATCH($I1659,CONFIGURACOES!$B$37:$B$300,0)),"")</f>
        <v/>
      </c>
      <c r="N1659" s="21" t="n"/>
      <c r="O1659" s="21" t="n"/>
      <c r="P1659" s="21" t="n"/>
      <c r="Q1659" s="21" t="n"/>
      <c r="R1659" s="21">
        <f>IF($N1659="","",$N1659*IF($Q1659="",1,$Q1659)*IF($P1659="",1,$P1659)*IF($O1659="",1,$O1659))</f>
        <v/>
      </c>
      <c r="S1659" s="22">
        <f>IFERROR(INDEX(CONFIGURACOES!$J$37:$J$300,MATCH($I1659,CONFIGURACOES!$B$37:$B$300,0)),"")</f>
        <v/>
      </c>
      <c r="T1659" s="22">
        <f>IF(OR($R1659="",$S1659=""),"",$R1659*$S1659)</f>
        <v/>
      </c>
      <c r="U1659" s="20" t="n"/>
      <c r="V1659" s="20" t="n"/>
      <c r="W1659" s="20" t="n"/>
      <c r="X1659">
        <f>IF($A1659="","",$A1659&amp;"|"&amp;$C1659&amp;"|"&amp;$I1659)</f>
        <v/>
      </c>
      <c r="Y1659">
        <f>IF(AND($A1659=RELATORIO_MEDICAO!$C$5,$C1659=RELATORIO_MEDICAO!$F$5,$A1659&lt;&gt;""),COUNTIFS($A$3:$A1659,RELATORIO_MEDICAO!$C$5,$C$3:$C1659,RELATORIO_MEDICAO!$F$5),"")</f>
        <v/>
      </c>
      <c r="Z1659">
        <f>IF(OR($A1659="",PESQUISA!$C$4=""),0,IF(OR(ISNUMBER(SEARCH(PESQUISA!$C$4,$G1659)),ISNUMBER(SEARCH(PESQUISA!$C$4,$K1659)),ISNUMBER(SEARCH(PESQUISA!$C$4,$L1659))),1,0))</f>
        <v/>
      </c>
      <c r="AA1659">
        <f>IF($Z1659=1,SUM($Z$3:$Z1659),"")</f>
        <v/>
      </c>
      <c r="AB1659">
        <f>IF(OR($A1659="",PESQUISA!$C$50=""),0,IF(ISNUMBER(SEARCH(PESQUISA!$C$50,$I1659)),1,0))</f>
        <v/>
      </c>
      <c r="AC1659">
        <f>IF($AB1659=1,SUM($AB$3:$AB1659),"")</f>
        <v/>
      </c>
    </row>
    <row r="1660">
      <c r="A1660" s="20" t="n"/>
      <c r="B1660" s="20" t="n"/>
      <c r="C1660" s="20" t="n"/>
      <c r="D1660" s="20" t="n"/>
      <c r="E1660" s="20" t="n"/>
      <c r="F1660" s="20" t="n"/>
      <c r="G1660" s="20" t="n"/>
      <c r="H1660" s="20" t="n"/>
      <c r="I1660" s="20" t="n"/>
      <c r="J1660" s="20">
        <f>IFERROR(INDEX(CONFIGURACOES!$G$37:$G$300,MATCH($I1660,CONFIGURACOES!$B$37:$B$300,0)),"")</f>
        <v/>
      </c>
      <c r="K1660" s="20">
        <f>IFERROR(INDEX(CONFIGURACOES!$H$37:$H$300,MATCH($I1660,CONFIGURACOES!$B$37:$B$300,0)),"")</f>
        <v/>
      </c>
      <c r="L1660" s="20" t="n"/>
      <c r="M1660" s="20">
        <f>IFERROR(INDEX(CONFIGURACOES!$I$37:$I$300,MATCH($I1660,CONFIGURACOES!$B$37:$B$300,0)),"")</f>
        <v/>
      </c>
      <c r="N1660" s="21" t="n"/>
      <c r="O1660" s="21" t="n"/>
      <c r="P1660" s="21" t="n"/>
      <c r="Q1660" s="21" t="n"/>
      <c r="R1660" s="21">
        <f>IF($N1660="","",$N1660*IF($Q1660="",1,$Q1660)*IF($P1660="",1,$P1660)*IF($O1660="",1,$O1660))</f>
        <v/>
      </c>
      <c r="S1660" s="22">
        <f>IFERROR(INDEX(CONFIGURACOES!$J$37:$J$300,MATCH($I1660,CONFIGURACOES!$B$37:$B$300,0)),"")</f>
        <v/>
      </c>
      <c r="T1660" s="22">
        <f>IF(OR($R1660="",$S1660=""),"",$R1660*$S1660)</f>
        <v/>
      </c>
      <c r="U1660" s="20" t="n"/>
      <c r="V1660" s="20" t="n"/>
      <c r="W1660" s="20" t="n"/>
      <c r="X1660">
        <f>IF($A1660="","",$A1660&amp;"|"&amp;$C1660&amp;"|"&amp;$I1660)</f>
        <v/>
      </c>
      <c r="Y1660">
        <f>IF(AND($A1660=RELATORIO_MEDICAO!$C$5,$C1660=RELATORIO_MEDICAO!$F$5,$A1660&lt;&gt;""),COUNTIFS($A$3:$A1660,RELATORIO_MEDICAO!$C$5,$C$3:$C1660,RELATORIO_MEDICAO!$F$5),"")</f>
        <v/>
      </c>
      <c r="Z1660">
        <f>IF(OR($A1660="",PESQUISA!$C$4=""),0,IF(OR(ISNUMBER(SEARCH(PESQUISA!$C$4,$G1660)),ISNUMBER(SEARCH(PESQUISA!$C$4,$K1660)),ISNUMBER(SEARCH(PESQUISA!$C$4,$L1660))),1,0))</f>
        <v/>
      </c>
      <c r="AA1660">
        <f>IF($Z1660=1,SUM($Z$3:$Z1660),"")</f>
        <v/>
      </c>
      <c r="AB1660">
        <f>IF(OR($A1660="",PESQUISA!$C$50=""),0,IF(ISNUMBER(SEARCH(PESQUISA!$C$50,$I1660)),1,0))</f>
        <v/>
      </c>
      <c r="AC1660">
        <f>IF($AB1660=1,SUM($AB$3:$AB1660),"")</f>
        <v/>
      </c>
    </row>
    <row r="1661">
      <c r="A1661" s="20" t="n"/>
      <c r="B1661" s="20" t="n"/>
      <c r="C1661" s="20" t="n"/>
      <c r="D1661" s="20" t="n"/>
      <c r="E1661" s="20" t="n"/>
      <c r="F1661" s="20" t="n"/>
      <c r="G1661" s="20" t="n"/>
      <c r="H1661" s="20" t="n"/>
      <c r="I1661" s="20" t="n"/>
      <c r="J1661" s="20">
        <f>IFERROR(INDEX(CONFIGURACOES!$G$37:$G$300,MATCH($I1661,CONFIGURACOES!$B$37:$B$300,0)),"")</f>
        <v/>
      </c>
      <c r="K1661" s="20">
        <f>IFERROR(INDEX(CONFIGURACOES!$H$37:$H$300,MATCH($I1661,CONFIGURACOES!$B$37:$B$300,0)),"")</f>
        <v/>
      </c>
      <c r="L1661" s="20" t="n"/>
      <c r="M1661" s="20">
        <f>IFERROR(INDEX(CONFIGURACOES!$I$37:$I$300,MATCH($I1661,CONFIGURACOES!$B$37:$B$300,0)),"")</f>
        <v/>
      </c>
      <c r="N1661" s="21" t="n"/>
      <c r="O1661" s="21" t="n"/>
      <c r="P1661" s="21" t="n"/>
      <c r="Q1661" s="21" t="n"/>
      <c r="R1661" s="21">
        <f>IF($N1661="","",$N1661*IF($Q1661="",1,$Q1661)*IF($P1661="",1,$P1661)*IF($O1661="",1,$O1661))</f>
        <v/>
      </c>
      <c r="S1661" s="22">
        <f>IFERROR(INDEX(CONFIGURACOES!$J$37:$J$300,MATCH($I1661,CONFIGURACOES!$B$37:$B$300,0)),"")</f>
        <v/>
      </c>
      <c r="T1661" s="22">
        <f>IF(OR($R1661="",$S1661=""),"",$R1661*$S1661)</f>
        <v/>
      </c>
      <c r="U1661" s="20" t="n"/>
      <c r="V1661" s="20" t="n"/>
      <c r="W1661" s="20" t="n"/>
      <c r="X1661">
        <f>IF($A1661="","",$A1661&amp;"|"&amp;$C1661&amp;"|"&amp;$I1661)</f>
        <v/>
      </c>
      <c r="Y1661">
        <f>IF(AND($A1661=RELATORIO_MEDICAO!$C$5,$C1661=RELATORIO_MEDICAO!$F$5,$A1661&lt;&gt;""),COUNTIFS($A$3:$A1661,RELATORIO_MEDICAO!$C$5,$C$3:$C1661,RELATORIO_MEDICAO!$F$5),"")</f>
        <v/>
      </c>
      <c r="Z1661">
        <f>IF(OR($A1661="",PESQUISA!$C$4=""),0,IF(OR(ISNUMBER(SEARCH(PESQUISA!$C$4,$G1661)),ISNUMBER(SEARCH(PESQUISA!$C$4,$K1661)),ISNUMBER(SEARCH(PESQUISA!$C$4,$L1661))),1,0))</f>
        <v/>
      </c>
      <c r="AA1661">
        <f>IF($Z1661=1,SUM($Z$3:$Z1661),"")</f>
        <v/>
      </c>
      <c r="AB1661">
        <f>IF(OR($A1661="",PESQUISA!$C$50=""),0,IF(ISNUMBER(SEARCH(PESQUISA!$C$50,$I1661)),1,0))</f>
        <v/>
      </c>
      <c r="AC1661">
        <f>IF($AB1661=1,SUM($AB$3:$AB1661),"")</f>
        <v/>
      </c>
    </row>
    <row r="1662">
      <c r="A1662" s="20" t="n"/>
      <c r="B1662" s="20" t="n"/>
      <c r="C1662" s="20" t="n"/>
      <c r="D1662" s="20" t="n"/>
      <c r="E1662" s="20" t="n"/>
      <c r="F1662" s="20" t="n"/>
      <c r="G1662" s="20" t="n"/>
      <c r="H1662" s="20" t="n"/>
      <c r="I1662" s="20" t="n"/>
      <c r="J1662" s="20">
        <f>IFERROR(INDEX(CONFIGURACOES!$G$37:$G$300,MATCH($I1662,CONFIGURACOES!$B$37:$B$300,0)),"")</f>
        <v/>
      </c>
      <c r="K1662" s="20">
        <f>IFERROR(INDEX(CONFIGURACOES!$H$37:$H$300,MATCH($I1662,CONFIGURACOES!$B$37:$B$300,0)),"")</f>
        <v/>
      </c>
      <c r="L1662" s="20" t="n"/>
      <c r="M1662" s="20">
        <f>IFERROR(INDEX(CONFIGURACOES!$I$37:$I$300,MATCH($I1662,CONFIGURACOES!$B$37:$B$300,0)),"")</f>
        <v/>
      </c>
      <c r="N1662" s="21" t="n"/>
      <c r="O1662" s="21" t="n"/>
      <c r="P1662" s="21" t="n"/>
      <c r="Q1662" s="21" t="n"/>
      <c r="R1662" s="21">
        <f>IF($N1662="","",$N1662*IF($Q1662="",1,$Q1662)*IF($P1662="",1,$P1662)*IF($O1662="",1,$O1662))</f>
        <v/>
      </c>
      <c r="S1662" s="22">
        <f>IFERROR(INDEX(CONFIGURACOES!$J$37:$J$300,MATCH($I1662,CONFIGURACOES!$B$37:$B$300,0)),"")</f>
        <v/>
      </c>
      <c r="T1662" s="22">
        <f>IF(OR($R1662="",$S1662=""),"",$R1662*$S1662)</f>
        <v/>
      </c>
      <c r="U1662" s="20" t="n"/>
      <c r="V1662" s="20" t="n"/>
      <c r="W1662" s="20" t="n"/>
      <c r="X1662">
        <f>IF($A1662="","",$A1662&amp;"|"&amp;$C1662&amp;"|"&amp;$I1662)</f>
        <v/>
      </c>
      <c r="Y1662">
        <f>IF(AND($A1662=RELATORIO_MEDICAO!$C$5,$C1662=RELATORIO_MEDICAO!$F$5,$A1662&lt;&gt;""),COUNTIFS($A$3:$A1662,RELATORIO_MEDICAO!$C$5,$C$3:$C1662,RELATORIO_MEDICAO!$F$5),"")</f>
        <v/>
      </c>
      <c r="Z1662">
        <f>IF(OR($A1662="",PESQUISA!$C$4=""),0,IF(OR(ISNUMBER(SEARCH(PESQUISA!$C$4,$G1662)),ISNUMBER(SEARCH(PESQUISA!$C$4,$K1662)),ISNUMBER(SEARCH(PESQUISA!$C$4,$L1662))),1,0))</f>
        <v/>
      </c>
      <c r="AA1662">
        <f>IF($Z1662=1,SUM($Z$3:$Z1662),"")</f>
        <v/>
      </c>
      <c r="AB1662">
        <f>IF(OR($A1662="",PESQUISA!$C$50=""),0,IF(ISNUMBER(SEARCH(PESQUISA!$C$50,$I1662)),1,0))</f>
        <v/>
      </c>
      <c r="AC1662">
        <f>IF($AB1662=1,SUM($AB$3:$AB1662),"")</f>
        <v/>
      </c>
    </row>
    <row r="1663">
      <c r="A1663" s="20" t="n"/>
      <c r="B1663" s="20" t="n"/>
      <c r="C1663" s="20" t="n"/>
      <c r="D1663" s="20" t="n"/>
      <c r="E1663" s="20" t="n"/>
      <c r="F1663" s="20" t="n"/>
      <c r="G1663" s="20" t="n"/>
      <c r="H1663" s="20" t="n"/>
      <c r="I1663" s="20" t="n"/>
      <c r="J1663" s="20">
        <f>IFERROR(INDEX(CONFIGURACOES!$G$37:$G$300,MATCH($I1663,CONFIGURACOES!$B$37:$B$300,0)),"")</f>
        <v/>
      </c>
      <c r="K1663" s="20">
        <f>IFERROR(INDEX(CONFIGURACOES!$H$37:$H$300,MATCH($I1663,CONFIGURACOES!$B$37:$B$300,0)),"")</f>
        <v/>
      </c>
      <c r="L1663" s="20" t="n"/>
      <c r="M1663" s="20">
        <f>IFERROR(INDEX(CONFIGURACOES!$I$37:$I$300,MATCH($I1663,CONFIGURACOES!$B$37:$B$300,0)),"")</f>
        <v/>
      </c>
      <c r="N1663" s="21" t="n"/>
      <c r="O1663" s="21" t="n"/>
      <c r="P1663" s="21" t="n"/>
      <c r="Q1663" s="21" t="n"/>
      <c r="R1663" s="21">
        <f>IF($N1663="","",$N1663*IF($Q1663="",1,$Q1663)*IF($P1663="",1,$P1663)*IF($O1663="",1,$O1663))</f>
        <v/>
      </c>
      <c r="S1663" s="22">
        <f>IFERROR(INDEX(CONFIGURACOES!$J$37:$J$300,MATCH($I1663,CONFIGURACOES!$B$37:$B$300,0)),"")</f>
        <v/>
      </c>
      <c r="T1663" s="22">
        <f>IF(OR($R1663="",$S1663=""),"",$R1663*$S1663)</f>
        <v/>
      </c>
      <c r="U1663" s="20" t="n"/>
      <c r="V1663" s="20" t="n"/>
      <c r="W1663" s="20" t="n"/>
      <c r="X1663">
        <f>IF($A1663="","",$A1663&amp;"|"&amp;$C1663&amp;"|"&amp;$I1663)</f>
        <v/>
      </c>
      <c r="Y1663">
        <f>IF(AND($A1663=RELATORIO_MEDICAO!$C$5,$C1663=RELATORIO_MEDICAO!$F$5,$A1663&lt;&gt;""),COUNTIFS($A$3:$A1663,RELATORIO_MEDICAO!$C$5,$C$3:$C1663,RELATORIO_MEDICAO!$F$5),"")</f>
        <v/>
      </c>
      <c r="Z1663">
        <f>IF(OR($A1663="",PESQUISA!$C$4=""),0,IF(OR(ISNUMBER(SEARCH(PESQUISA!$C$4,$G1663)),ISNUMBER(SEARCH(PESQUISA!$C$4,$K1663)),ISNUMBER(SEARCH(PESQUISA!$C$4,$L1663))),1,0))</f>
        <v/>
      </c>
      <c r="AA1663">
        <f>IF($Z1663=1,SUM($Z$3:$Z1663),"")</f>
        <v/>
      </c>
      <c r="AB1663">
        <f>IF(OR($A1663="",PESQUISA!$C$50=""),0,IF(ISNUMBER(SEARCH(PESQUISA!$C$50,$I1663)),1,0))</f>
        <v/>
      </c>
      <c r="AC1663">
        <f>IF($AB1663=1,SUM($AB$3:$AB1663),"")</f>
        <v/>
      </c>
    </row>
    <row r="1664">
      <c r="A1664" s="20" t="n"/>
      <c r="B1664" s="20" t="n"/>
      <c r="C1664" s="20" t="n"/>
      <c r="D1664" s="20" t="n"/>
      <c r="E1664" s="20" t="n"/>
      <c r="F1664" s="20" t="n"/>
      <c r="G1664" s="20" t="n"/>
      <c r="H1664" s="20" t="n"/>
      <c r="I1664" s="20" t="n"/>
      <c r="J1664" s="20">
        <f>IFERROR(INDEX(CONFIGURACOES!$G$37:$G$300,MATCH($I1664,CONFIGURACOES!$B$37:$B$300,0)),"")</f>
        <v/>
      </c>
      <c r="K1664" s="20">
        <f>IFERROR(INDEX(CONFIGURACOES!$H$37:$H$300,MATCH($I1664,CONFIGURACOES!$B$37:$B$300,0)),"")</f>
        <v/>
      </c>
      <c r="L1664" s="20" t="n"/>
      <c r="M1664" s="20">
        <f>IFERROR(INDEX(CONFIGURACOES!$I$37:$I$300,MATCH($I1664,CONFIGURACOES!$B$37:$B$300,0)),"")</f>
        <v/>
      </c>
      <c r="N1664" s="21" t="n"/>
      <c r="O1664" s="21" t="n"/>
      <c r="P1664" s="21" t="n"/>
      <c r="Q1664" s="21" t="n"/>
      <c r="R1664" s="21">
        <f>IF($N1664="","",$N1664*IF($Q1664="",1,$Q1664)*IF($P1664="",1,$P1664)*IF($O1664="",1,$O1664))</f>
        <v/>
      </c>
      <c r="S1664" s="22">
        <f>IFERROR(INDEX(CONFIGURACOES!$J$37:$J$300,MATCH($I1664,CONFIGURACOES!$B$37:$B$300,0)),"")</f>
        <v/>
      </c>
      <c r="T1664" s="22">
        <f>IF(OR($R1664="",$S1664=""),"",$R1664*$S1664)</f>
        <v/>
      </c>
      <c r="U1664" s="20" t="n"/>
      <c r="V1664" s="20" t="n"/>
      <c r="W1664" s="20" t="n"/>
      <c r="X1664">
        <f>IF($A1664="","",$A1664&amp;"|"&amp;$C1664&amp;"|"&amp;$I1664)</f>
        <v/>
      </c>
      <c r="Y1664">
        <f>IF(AND($A1664=RELATORIO_MEDICAO!$C$5,$C1664=RELATORIO_MEDICAO!$F$5,$A1664&lt;&gt;""),COUNTIFS($A$3:$A1664,RELATORIO_MEDICAO!$C$5,$C$3:$C1664,RELATORIO_MEDICAO!$F$5),"")</f>
        <v/>
      </c>
      <c r="Z1664">
        <f>IF(OR($A1664="",PESQUISA!$C$4=""),0,IF(OR(ISNUMBER(SEARCH(PESQUISA!$C$4,$G1664)),ISNUMBER(SEARCH(PESQUISA!$C$4,$K1664)),ISNUMBER(SEARCH(PESQUISA!$C$4,$L1664))),1,0))</f>
        <v/>
      </c>
      <c r="AA1664">
        <f>IF($Z1664=1,SUM($Z$3:$Z1664),"")</f>
        <v/>
      </c>
      <c r="AB1664">
        <f>IF(OR($A1664="",PESQUISA!$C$50=""),0,IF(ISNUMBER(SEARCH(PESQUISA!$C$50,$I1664)),1,0))</f>
        <v/>
      </c>
      <c r="AC1664">
        <f>IF($AB1664=1,SUM($AB$3:$AB1664),"")</f>
        <v/>
      </c>
    </row>
    <row r="1665">
      <c r="A1665" s="20" t="n"/>
      <c r="B1665" s="20" t="n"/>
      <c r="C1665" s="20" t="n"/>
      <c r="D1665" s="20" t="n"/>
      <c r="E1665" s="20" t="n"/>
      <c r="F1665" s="20" t="n"/>
      <c r="G1665" s="20" t="n"/>
      <c r="H1665" s="20" t="n"/>
      <c r="I1665" s="20" t="n"/>
      <c r="J1665" s="20">
        <f>IFERROR(INDEX(CONFIGURACOES!$G$37:$G$300,MATCH($I1665,CONFIGURACOES!$B$37:$B$300,0)),"")</f>
        <v/>
      </c>
      <c r="K1665" s="20">
        <f>IFERROR(INDEX(CONFIGURACOES!$H$37:$H$300,MATCH($I1665,CONFIGURACOES!$B$37:$B$300,0)),"")</f>
        <v/>
      </c>
      <c r="L1665" s="20" t="n"/>
      <c r="M1665" s="20">
        <f>IFERROR(INDEX(CONFIGURACOES!$I$37:$I$300,MATCH($I1665,CONFIGURACOES!$B$37:$B$300,0)),"")</f>
        <v/>
      </c>
      <c r="N1665" s="21" t="n"/>
      <c r="O1665" s="21" t="n"/>
      <c r="P1665" s="21" t="n"/>
      <c r="Q1665" s="21" t="n"/>
      <c r="R1665" s="21">
        <f>IF($N1665="","",$N1665*IF($Q1665="",1,$Q1665)*IF($P1665="",1,$P1665)*IF($O1665="",1,$O1665))</f>
        <v/>
      </c>
      <c r="S1665" s="22">
        <f>IFERROR(INDEX(CONFIGURACOES!$J$37:$J$300,MATCH($I1665,CONFIGURACOES!$B$37:$B$300,0)),"")</f>
        <v/>
      </c>
      <c r="T1665" s="22">
        <f>IF(OR($R1665="",$S1665=""),"",$R1665*$S1665)</f>
        <v/>
      </c>
      <c r="U1665" s="20" t="n"/>
      <c r="V1665" s="20" t="n"/>
      <c r="W1665" s="20" t="n"/>
      <c r="X1665">
        <f>IF($A1665="","",$A1665&amp;"|"&amp;$C1665&amp;"|"&amp;$I1665)</f>
        <v/>
      </c>
      <c r="Y1665">
        <f>IF(AND($A1665=RELATORIO_MEDICAO!$C$5,$C1665=RELATORIO_MEDICAO!$F$5,$A1665&lt;&gt;""),COUNTIFS($A$3:$A1665,RELATORIO_MEDICAO!$C$5,$C$3:$C1665,RELATORIO_MEDICAO!$F$5),"")</f>
        <v/>
      </c>
      <c r="Z1665">
        <f>IF(OR($A1665="",PESQUISA!$C$4=""),0,IF(OR(ISNUMBER(SEARCH(PESQUISA!$C$4,$G1665)),ISNUMBER(SEARCH(PESQUISA!$C$4,$K1665)),ISNUMBER(SEARCH(PESQUISA!$C$4,$L1665))),1,0))</f>
        <v/>
      </c>
      <c r="AA1665">
        <f>IF($Z1665=1,SUM($Z$3:$Z1665),"")</f>
        <v/>
      </c>
      <c r="AB1665">
        <f>IF(OR($A1665="",PESQUISA!$C$50=""),0,IF(ISNUMBER(SEARCH(PESQUISA!$C$50,$I1665)),1,0))</f>
        <v/>
      </c>
      <c r="AC1665">
        <f>IF($AB1665=1,SUM($AB$3:$AB1665),"")</f>
        <v/>
      </c>
    </row>
    <row r="1666">
      <c r="A1666" s="20" t="n"/>
      <c r="B1666" s="20" t="n"/>
      <c r="C1666" s="20" t="n"/>
      <c r="D1666" s="20" t="n"/>
      <c r="E1666" s="20" t="n"/>
      <c r="F1666" s="20" t="n"/>
      <c r="G1666" s="20" t="n"/>
      <c r="H1666" s="20" t="n"/>
      <c r="I1666" s="20" t="n"/>
      <c r="J1666" s="20">
        <f>IFERROR(INDEX(CONFIGURACOES!$G$37:$G$300,MATCH($I1666,CONFIGURACOES!$B$37:$B$300,0)),"")</f>
        <v/>
      </c>
      <c r="K1666" s="20">
        <f>IFERROR(INDEX(CONFIGURACOES!$H$37:$H$300,MATCH($I1666,CONFIGURACOES!$B$37:$B$300,0)),"")</f>
        <v/>
      </c>
      <c r="L1666" s="20" t="n"/>
      <c r="M1666" s="20">
        <f>IFERROR(INDEX(CONFIGURACOES!$I$37:$I$300,MATCH($I1666,CONFIGURACOES!$B$37:$B$300,0)),"")</f>
        <v/>
      </c>
      <c r="N1666" s="21" t="n"/>
      <c r="O1666" s="21" t="n"/>
      <c r="P1666" s="21" t="n"/>
      <c r="Q1666" s="21" t="n"/>
      <c r="R1666" s="21">
        <f>IF($N1666="","",$N1666*IF($Q1666="",1,$Q1666)*IF($P1666="",1,$P1666)*IF($O1666="",1,$O1666))</f>
        <v/>
      </c>
      <c r="S1666" s="22">
        <f>IFERROR(INDEX(CONFIGURACOES!$J$37:$J$300,MATCH($I1666,CONFIGURACOES!$B$37:$B$300,0)),"")</f>
        <v/>
      </c>
      <c r="T1666" s="22">
        <f>IF(OR($R1666="",$S1666=""),"",$R1666*$S1666)</f>
        <v/>
      </c>
      <c r="U1666" s="20" t="n"/>
      <c r="V1666" s="20" t="n"/>
      <c r="W1666" s="20" t="n"/>
      <c r="X1666">
        <f>IF($A1666="","",$A1666&amp;"|"&amp;$C1666&amp;"|"&amp;$I1666)</f>
        <v/>
      </c>
      <c r="Y1666">
        <f>IF(AND($A1666=RELATORIO_MEDICAO!$C$5,$C1666=RELATORIO_MEDICAO!$F$5,$A1666&lt;&gt;""),COUNTIFS($A$3:$A1666,RELATORIO_MEDICAO!$C$5,$C$3:$C1666,RELATORIO_MEDICAO!$F$5),"")</f>
        <v/>
      </c>
      <c r="Z1666">
        <f>IF(OR($A1666="",PESQUISA!$C$4=""),0,IF(OR(ISNUMBER(SEARCH(PESQUISA!$C$4,$G1666)),ISNUMBER(SEARCH(PESQUISA!$C$4,$K1666)),ISNUMBER(SEARCH(PESQUISA!$C$4,$L1666))),1,0))</f>
        <v/>
      </c>
      <c r="AA1666">
        <f>IF($Z1666=1,SUM($Z$3:$Z1666),"")</f>
        <v/>
      </c>
      <c r="AB1666">
        <f>IF(OR($A1666="",PESQUISA!$C$50=""),0,IF(ISNUMBER(SEARCH(PESQUISA!$C$50,$I1666)),1,0))</f>
        <v/>
      </c>
      <c r="AC1666">
        <f>IF($AB1666=1,SUM($AB$3:$AB1666),"")</f>
        <v/>
      </c>
    </row>
    <row r="1667">
      <c r="A1667" s="20" t="n"/>
      <c r="B1667" s="20" t="n"/>
      <c r="C1667" s="20" t="n"/>
      <c r="D1667" s="20" t="n"/>
      <c r="E1667" s="20" t="n"/>
      <c r="F1667" s="20" t="n"/>
      <c r="G1667" s="20" t="n"/>
      <c r="H1667" s="20" t="n"/>
      <c r="I1667" s="20" t="n"/>
      <c r="J1667" s="20">
        <f>IFERROR(INDEX(CONFIGURACOES!$G$37:$G$300,MATCH($I1667,CONFIGURACOES!$B$37:$B$300,0)),"")</f>
        <v/>
      </c>
      <c r="K1667" s="20">
        <f>IFERROR(INDEX(CONFIGURACOES!$H$37:$H$300,MATCH($I1667,CONFIGURACOES!$B$37:$B$300,0)),"")</f>
        <v/>
      </c>
      <c r="L1667" s="20" t="n"/>
      <c r="M1667" s="20">
        <f>IFERROR(INDEX(CONFIGURACOES!$I$37:$I$300,MATCH($I1667,CONFIGURACOES!$B$37:$B$300,0)),"")</f>
        <v/>
      </c>
      <c r="N1667" s="21" t="n"/>
      <c r="O1667" s="21" t="n"/>
      <c r="P1667" s="21" t="n"/>
      <c r="Q1667" s="21" t="n"/>
      <c r="R1667" s="21">
        <f>IF($N1667="","",$N1667*IF($Q1667="",1,$Q1667)*IF($P1667="",1,$P1667)*IF($O1667="",1,$O1667))</f>
        <v/>
      </c>
      <c r="S1667" s="22">
        <f>IFERROR(INDEX(CONFIGURACOES!$J$37:$J$300,MATCH($I1667,CONFIGURACOES!$B$37:$B$300,0)),"")</f>
        <v/>
      </c>
      <c r="T1667" s="22">
        <f>IF(OR($R1667="",$S1667=""),"",$R1667*$S1667)</f>
        <v/>
      </c>
      <c r="U1667" s="20" t="n"/>
      <c r="V1667" s="20" t="n"/>
      <c r="W1667" s="20" t="n"/>
      <c r="X1667">
        <f>IF($A1667="","",$A1667&amp;"|"&amp;$C1667&amp;"|"&amp;$I1667)</f>
        <v/>
      </c>
      <c r="Y1667">
        <f>IF(AND($A1667=RELATORIO_MEDICAO!$C$5,$C1667=RELATORIO_MEDICAO!$F$5,$A1667&lt;&gt;""),COUNTIFS($A$3:$A1667,RELATORIO_MEDICAO!$C$5,$C$3:$C1667,RELATORIO_MEDICAO!$F$5),"")</f>
        <v/>
      </c>
      <c r="Z1667">
        <f>IF(OR($A1667="",PESQUISA!$C$4=""),0,IF(OR(ISNUMBER(SEARCH(PESQUISA!$C$4,$G1667)),ISNUMBER(SEARCH(PESQUISA!$C$4,$K1667)),ISNUMBER(SEARCH(PESQUISA!$C$4,$L1667))),1,0))</f>
        <v/>
      </c>
      <c r="AA1667">
        <f>IF($Z1667=1,SUM($Z$3:$Z1667),"")</f>
        <v/>
      </c>
      <c r="AB1667">
        <f>IF(OR($A1667="",PESQUISA!$C$50=""),0,IF(ISNUMBER(SEARCH(PESQUISA!$C$50,$I1667)),1,0))</f>
        <v/>
      </c>
      <c r="AC1667">
        <f>IF($AB1667=1,SUM($AB$3:$AB1667),"")</f>
        <v/>
      </c>
    </row>
    <row r="1668">
      <c r="A1668" s="20" t="n"/>
      <c r="B1668" s="20" t="n"/>
      <c r="C1668" s="20" t="n"/>
      <c r="D1668" s="20" t="n"/>
      <c r="E1668" s="20" t="n"/>
      <c r="F1668" s="20" t="n"/>
      <c r="G1668" s="20" t="n"/>
      <c r="H1668" s="20" t="n"/>
      <c r="I1668" s="20" t="n"/>
      <c r="J1668" s="20">
        <f>IFERROR(INDEX(CONFIGURACOES!$G$37:$G$300,MATCH($I1668,CONFIGURACOES!$B$37:$B$300,0)),"")</f>
        <v/>
      </c>
      <c r="K1668" s="20">
        <f>IFERROR(INDEX(CONFIGURACOES!$H$37:$H$300,MATCH($I1668,CONFIGURACOES!$B$37:$B$300,0)),"")</f>
        <v/>
      </c>
      <c r="L1668" s="20" t="n"/>
      <c r="M1668" s="20">
        <f>IFERROR(INDEX(CONFIGURACOES!$I$37:$I$300,MATCH($I1668,CONFIGURACOES!$B$37:$B$300,0)),"")</f>
        <v/>
      </c>
      <c r="N1668" s="21" t="n"/>
      <c r="O1668" s="21" t="n"/>
      <c r="P1668" s="21" t="n"/>
      <c r="Q1668" s="21" t="n"/>
      <c r="R1668" s="21">
        <f>IF($N1668="","",$N1668*IF($Q1668="",1,$Q1668)*IF($P1668="",1,$P1668)*IF($O1668="",1,$O1668))</f>
        <v/>
      </c>
      <c r="S1668" s="22">
        <f>IFERROR(INDEX(CONFIGURACOES!$J$37:$J$300,MATCH($I1668,CONFIGURACOES!$B$37:$B$300,0)),"")</f>
        <v/>
      </c>
      <c r="T1668" s="22">
        <f>IF(OR($R1668="",$S1668=""),"",$R1668*$S1668)</f>
        <v/>
      </c>
      <c r="U1668" s="20" t="n"/>
      <c r="V1668" s="20" t="n"/>
      <c r="W1668" s="20" t="n"/>
      <c r="X1668">
        <f>IF($A1668="","",$A1668&amp;"|"&amp;$C1668&amp;"|"&amp;$I1668)</f>
        <v/>
      </c>
      <c r="Y1668">
        <f>IF(AND($A1668=RELATORIO_MEDICAO!$C$5,$C1668=RELATORIO_MEDICAO!$F$5,$A1668&lt;&gt;""),COUNTIFS($A$3:$A1668,RELATORIO_MEDICAO!$C$5,$C$3:$C1668,RELATORIO_MEDICAO!$F$5),"")</f>
        <v/>
      </c>
      <c r="Z1668">
        <f>IF(OR($A1668="",PESQUISA!$C$4=""),0,IF(OR(ISNUMBER(SEARCH(PESQUISA!$C$4,$G1668)),ISNUMBER(SEARCH(PESQUISA!$C$4,$K1668)),ISNUMBER(SEARCH(PESQUISA!$C$4,$L1668))),1,0))</f>
        <v/>
      </c>
      <c r="AA1668">
        <f>IF($Z1668=1,SUM($Z$3:$Z1668),"")</f>
        <v/>
      </c>
      <c r="AB1668">
        <f>IF(OR($A1668="",PESQUISA!$C$50=""),0,IF(ISNUMBER(SEARCH(PESQUISA!$C$50,$I1668)),1,0))</f>
        <v/>
      </c>
      <c r="AC1668">
        <f>IF($AB1668=1,SUM($AB$3:$AB1668),"")</f>
        <v/>
      </c>
    </row>
    <row r="1669">
      <c r="A1669" s="20" t="n"/>
      <c r="B1669" s="20" t="n"/>
      <c r="C1669" s="20" t="n"/>
      <c r="D1669" s="20" t="n"/>
      <c r="E1669" s="20" t="n"/>
      <c r="F1669" s="20" t="n"/>
      <c r="G1669" s="20" t="n"/>
      <c r="H1669" s="20" t="n"/>
      <c r="I1669" s="20" t="n"/>
      <c r="J1669" s="20">
        <f>IFERROR(INDEX(CONFIGURACOES!$G$37:$G$300,MATCH($I1669,CONFIGURACOES!$B$37:$B$300,0)),"")</f>
        <v/>
      </c>
      <c r="K1669" s="20">
        <f>IFERROR(INDEX(CONFIGURACOES!$H$37:$H$300,MATCH($I1669,CONFIGURACOES!$B$37:$B$300,0)),"")</f>
        <v/>
      </c>
      <c r="L1669" s="20" t="n"/>
      <c r="M1669" s="20">
        <f>IFERROR(INDEX(CONFIGURACOES!$I$37:$I$300,MATCH($I1669,CONFIGURACOES!$B$37:$B$300,0)),"")</f>
        <v/>
      </c>
      <c r="N1669" s="21" t="n"/>
      <c r="O1669" s="21" t="n"/>
      <c r="P1669" s="21" t="n"/>
      <c r="Q1669" s="21" t="n"/>
      <c r="R1669" s="21">
        <f>IF($N1669="","",$N1669*IF($Q1669="",1,$Q1669)*IF($P1669="",1,$P1669)*IF($O1669="",1,$O1669))</f>
        <v/>
      </c>
      <c r="S1669" s="22">
        <f>IFERROR(INDEX(CONFIGURACOES!$J$37:$J$300,MATCH($I1669,CONFIGURACOES!$B$37:$B$300,0)),"")</f>
        <v/>
      </c>
      <c r="T1669" s="22">
        <f>IF(OR($R1669="",$S1669=""),"",$R1669*$S1669)</f>
        <v/>
      </c>
      <c r="U1669" s="20" t="n"/>
      <c r="V1669" s="20" t="n"/>
      <c r="W1669" s="20" t="n"/>
      <c r="X1669">
        <f>IF($A1669="","",$A1669&amp;"|"&amp;$C1669&amp;"|"&amp;$I1669)</f>
        <v/>
      </c>
      <c r="Y1669">
        <f>IF(AND($A1669=RELATORIO_MEDICAO!$C$5,$C1669=RELATORIO_MEDICAO!$F$5,$A1669&lt;&gt;""),COUNTIFS($A$3:$A1669,RELATORIO_MEDICAO!$C$5,$C$3:$C1669,RELATORIO_MEDICAO!$F$5),"")</f>
        <v/>
      </c>
      <c r="Z1669">
        <f>IF(OR($A1669="",PESQUISA!$C$4=""),0,IF(OR(ISNUMBER(SEARCH(PESQUISA!$C$4,$G1669)),ISNUMBER(SEARCH(PESQUISA!$C$4,$K1669)),ISNUMBER(SEARCH(PESQUISA!$C$4,$L1669))),1,0))</f>
        <v/>
      </c>
      <c r="AA1669">
        <f>IF($Z1669=1,SUM($Z$3:$Z1669),"")</f>
        <v/>
      </c>
      <c r="AB1669">
        <f>IF(OR($A1669="",PESQUISA!$C$50=""),0,IF(ISNUMBER(SEARCH(PESQUISA!$C$50,$I1669)),1,0))</f>
        <v/>
      </c>
      <c r="AC1669">
        <f>IF($AB1669=1,SUM($AB$3:$AB1669),"")</f>
        <v/>
      </c>
    </row>
    <row r="1670">
      <c r="A1670" s="20" t="n"/>
      <c r="B1670" s="20" t="n"/>
      <c r="C1670" s="20" t="n"/>
      <c r="D1670" s="20" t="n"/>
      <c r="E1670" s="20" t="n"/>
      <c r="F1670" s="20" t="n"/>
      <c r="G1670" s="20" t="n"/>
      <c r="H1670" s="20" t="n"/>
      <c r="I1670" s="20" t="n"/>
      <c r="J1670" s="20">
        <f>IFERROR(INDEX(CONFIGURACOES!$G$37:$G$300,MATCH($I1670,CONFIGURACOES!$B$37:$B$300,0)),"")</f>
        <v/>
      </c>
      <c r="K1670" s="20">
        <f>IFERROR(INDEX(CONFIGURACOES!$H$37:$H$300,MATCH($I1670,CONFIGURACOES!$B$37:$B$300,0)),"")</f>
        <v/>
      </c>
      <c r="L1670" s="20" t="n"/>
      <c r="M1670" s="20">
        <f>IFERROR(INDEX(CONFIGURACOES!$I$37:$I$300,MATCH($I1670,CONFIGURACOES!$B$37:$B$300,0)),"")</f>
        <v/>
      </c>
      <c r="N1670" s="21" t="n"/>
      <c r="O1670" s="21" t="n"/>
      <c r="P1670" s="21" t="n"/>
      <c r="Q1670" s="21" t="n"/>
      <c r="R1670" s="21">
        <f>IF($N1670="","",$N1670*IF($Q1670="",1,$Q1670)*IF($P1670="",1,$P1670)*IF($O1670="",1,$O1670))</f>
        <v/>
      </c>
      <c r="S1670" s="22">
        <f>IFERROR(INDEX(CONFIGURACOES!$J$37:$J$300,MATCH($I1670,CONFIGURACOES!$B$37:$B$300,0)),"")</f>
        <v/>
      </c>
      <c r="T1670" s="22">
        <f>IF(OR($R1670="",$S1670=""),"",$R1670*$S1670)</f>
        <v/>
      </c>
      <c r="U1670" s="20" t="n"/>
      <c r="V1670" s="20" t="n"/>
      <c r="W1670" s="20" t="n"/>
      <c r="X1670">
        <f>IF($A1670="","",$A1670&amp;"|"&amp;$C1670&amp;"|"&amp;$I1670)</f>
        <v/>
      </c>
      <c r="Y1670">
        <f>IF(AND($A1670=RELATORIO_MEDICAO!$C$5,$C1670=RELATORIO_MEDICAO!$F$5,$A1670&lt;&gt;""),COUNTIFS($A$3:$A1670,RELATORIO_MEDICAO!$C$5,$C$3:$C1670,RELATORIO_MEDICAO!$F$5),"")</f>
        <v/>
      </c>
      <c r="Z1670">
        <f>IF(OR($A1670="",PESQUISA!$C$4=""),0,IF(OR(ISNUMBER(SEARCH(PESQUISA!$C$4,$G1670)),ISNUMBER(SEARCH(PESQUISA!$C$4,$K1670)),ISNUMBER(SEARCH(PESQUISA!$C$4,$L1670))),1,0))</f>
        <v/>
      </c>
      <c r="AA1670">
        <f>IF($Z1670=1,SUM($Z$3:$Z1670),"")</f>
        <v/>
      </c>
      <c r="AB1670">
        <f>IF(OR($A1670="",PESQUISA!$C$50=""),0,IF(ISNUMBER(SEARCH(PESQUISA!$C$50,$I1670)),1,0))</f>
        <v/>
      </c>
      <c r="AC1670">
        <f>IF($AB1670=1,SUM($AB$3:$AB1670),"")</f>
        <v/>
      </c>
    </row>
    <row r="1671">
      <c r="A1671" s="20" t="n"/>
      <c r="B1671" s="20" t="n"/>
      <c r="C1671" s="20" t="n"/>
      <c r="D1671" s="20" t="n"/>
      <c r="E1671" s="20" t="n"/>
      <c r="F1671" s="20" t="n"/>
      <c r="G1671" s="20" t="n"/>
      <c r="H1671" s="20" t="n"/>
      <c r="I1671" s="20" t="n"/>
      <c r="J1671" s="20">
        <f>IFERROR(INDEX(CONFIGURACOES!$G$37:$G$300,MATCH($I1671,CONFIGURACOES!$B$37:$B$300,0)),"")</f>
        <v/>
      </c>
      <c r="K1671" s="20">
        <f>IFERROR(INDEX(CONFIGURACOES!$H$37:$H$300,MATCH($I1671,CONFIGURACOES!$B$37:$B$300,0)),"")</f>
        <v/>
      </c>
      <c r="L1671" s="20" t="n"/>
      <c r="M1671" s="20">
        <f>IFERROR(INDEX(CONFIGURACOES!$I$37:$I$300,MATCH($I1671,CONFIGURACOES!$B$37:$B$300,0)),"")</f>
        <v/>
      </c>
      <c r="N1671" s="21" t="n"/>
      <c r="O1671" s="21" t="n"/>
      <c r="P1671" s="21" t="n"/>
      <c r="Q1671" s="21" t="n"/>
      <c r="R1671" s="21">
        <f>IF($N1671="","",$N1671*IF($Q1671="",1,$Q1671)*IF($P1671="",1,$P1671)*IF($O1671="",1,$O1671))</f>
        <v/>
      </c>
      <c r="S1671" s="22">
        <f>IFERROR(INDEX(CONFIGURACOES!$J$37:$J$300,MATCH($I1671,CONFIGURACOES!$B$37:$B$300,0)),"")</f>
        <v/>
      </c>
      <c r="T1671" s="22">
        <f>IF(OR($R1671="",$S1671=""),"",$R1671*$S1671)</f>
        <v/>
      </c>
      <c r="U1671" s="20" t="n"/>
      <c r="V1671" s="20" t="n"/>
      <c r="W1671" s="20" t="n"/>
      <c r="X1671">
        <f>IF($A1671="","",$A1671&amp;"|"&amp;$C1671&amp;"|"&amp;$I1671)</f>
        <v/>
      </c>
      <c r="Y1671">
        <f>IF(AND($A1671=RELATORIO_MEDICAO!$C$5,$C1671=RELATORIO_MEDICAO!$F$5,$A1671&lt;&gt;""),COUNTIFS($A$3:$A1671,RELATORIO_MEDICAO!$C$5,$C$3:$C1671,RELATORIO_MEDICAO!$F$5),"")</f>
        <v/>
      </c>
      <c r="Z1671">
        <f>IF(OR($A1671="",PESQUISA!$C$4=""),0,IF(OR(ISNUMBER(SEARCH(PESQUISA!$C$4,$G1671)),ISNUMBER(SEARCH(PESQUISA!$C$4,$K1671)),ISNUMBER(SEARCH(PESQUISA!$C$4,$L1671))),1,0))</f>
        <v/>
      </c>
      <c r="AA1671">
        <f>IF($Z1671=1,SUM($Z$3:$Z1671),"")</f>
        <v/>
      </c>
      <c r="AB1671">
        <f>IF(OR($A1671="",PESQUISA!$C$50=""),0,IF(ISNUMBER(SEARCH(PESQUISA!$C$50,$I1671)),1,0))</f>
        <v/>
      </c>
      <c r="AC1671">
        <f>IF($AB1671=1,SUM($AB$3:$AB1671),"")</f>
        <v/>
      </c>
    </row>
    <row r="1672">
      <c r="A1672" s="20" t="n"/>
      <c r="B1672" s="20" t="n"/>
      <c r="C1672" s="20" t="n"/>
      <c r="D1672" s="20" t="n"/>
      <c r="E1672" s="20" t="n"/>
      <c r="F1672" s="20" t="n"/>
      <c r="G1672" s="20" t="n"/>
      <c r="H1672" s="20" t="n"/>
      <c r="I1672" s="20" t="n"/>
      <c r="J1672" s="20">
        <f>IFERROR(INDEX(CONFIGURACOES!$G$37:$G$300,MATCH($I1672,CONFIGURACOES!$B$37:$B$300,0)),"")</f>
        <v/>
      </c>
      <c r="K1672" s="20">
        <f>IFERROR(INDEX(CONFIGURACOES!$H$37:$H$300,MATCH($I1672,CONFIGURACOES!$B$37:$B$300,0)),"")</f>
        <v/>
      </c>
      <c r="L1672" s="20" t="n"/>
      <c r="M1672" s="20">
        <f>IFERROR(INDEX(CONFIGURACOES!$I$37:$I$300,MATCH($I1672,CONFIGURACOES!$B$37:$B$300,0)),"")</f>
        <v/>
      </c>
      <c r="N1672" s="21" t="n"/>
      <c r="O1672" s="21" t="n"/>
      <c r="P1672" s="21" t="n"/>
      <c r="Q1672" s="21" t="n"/>
      <c r="R1672" s="21">
        <f>IF($N1672="","",$N1672*IF($Q1672="",1,$Q1672)*IF($P1672="",1,$P1672)*IF($O1672="",1,$O1672))</f>
        <v/>
      </c>
      <c r="S1672" s="22">
        <f>IFERROR(INDEX(CONFIGURACOES!$J$37:$J$300,MATCH($I1672,CONFIGURACOES!$B$37:$B$300,0)),"")</f>
        <v/>
      </c>
      <c r="T1672" s="22">
        <f>IF(OR($R1672="",$S1672=""),"",$R1672*$S1672)</f>
        <v/>
      </c>
      <c r="U1672" s="20" t="n"/>
      <c r="V1672" s="20" t="n"/>
      <c r="W1672" s="20" t="n"/>
      <c r="X1672">
        <f>IF($A1672="","",$A1672&amp;"|"&amp;$C1672&amp;"|"&amp;$I1672)</f>
        <v/>
      </c>
      <c r="Y1672">
        <f>IF(AND($A1672=RELATORIO_MEDICAO!$C$5,$C1672=RELATORIO_MEDICAO!$F$5,$A1672&lt;&gt;""),COUNTIFS($A$3:$A1672,RELATORIO_MEDICAO!$C$5,$C$3:$C1672,RELATORIO_MEDICAO!$F$5),"")</f>
        <v/>
      </c>
      <c r="Z1672">
        <f>IF(OR($A1672="",PESQUISA!$C$4=""),0,IF(OR(ISNUMBER(SEARCH(PESQUISA!$C$4,$G1672)),ISNUMBER(SEARCH(PESQUISA!$C$4,$K1672)),ISNUMBER(SEARCH(PESQUISA!$C$4,$L1672))),1,0))</f>
        <v/>
      </c>
      <c r="AA1672">
        <f>IF($Z1672=1,SUM($Z$3:$Z1672),"")</f>
        <v/>
      </c>
      <c r="AB1672">
        <f>IF(OR($A1672="",PESQUISA!$C$50=""),0,IF(ISNUMBER(SEARCH(PESQUISA!$C$50,$I1672)),1,0))</f>
        <v/>
      </c>
      <c r="AC1672">
        <f>IF($AB1672=1,SUM($AB$3:$AB1672),"")</f>
        <v/>
      </c>
    </row>
    <row r="1673">
      <c r="A1673" s="20" t="n"/>
      <c r="B1673" s="20" t="n"/>
      <c r="C1673" s="20" t="n"/>
      <c r="D1673" s="20" t="n"/>
      <c r="E1673" s="20" t="n"/>
      <c r="F1673" s="20" t="n"/>
      <c r="G1673" s="20" t="n"/>
      <c r="H1673" s="20" t="n"/>
      <c r="I1673" s="20" t="n"/>
      <c r="J1673" s="20">
        <f>IFERROR(INDEX(CONFIGURACOES!$G$37:$G$300,MATCH($I1673,CONFIGURACOES!$B$37:$B$300,0)),"")</f>
        <v/>
      </c>
      <c r="K1673" s="20">
        <f>IFERROR(INDEX(CONFIGURACOES!$H$37:$H$300,MATCH($I1673,CONFIGURACOES!$B$37:$B$300,0)),"")</f>
        <v/>
      </c>
      <c r="L1673" s="20" t="n"/>
      <c r="M1673" s="20">
        <f>IFERROR(INDEX(CONFIGURACOES!$I$37:$I$300,MATCH($I1673,CONFIGURACOES!$B$37:$B$300,0)),"")</f>
        <v/>
      </c>
      <c r="N1673" s="21" t="n"/>
      <c r="O1673" s="21" t="n"/>
      <c r="P1673" s="21" t="n"/>
      <c r="Q1673" s="21" t="n"/>
      <c r="R1673" s="21">
        <f>IF($N1673="","",$N1673*IF($Q1673="",1,$Q1673)*IF($P1673="",1,$P1673)*IF($O1673="",1,$O1673))</f>
        <v/>
      </c>
      <c r="S1673" s="22">
        <f>IFERROR(INDEX(CONFIGURACOES!$J$37:$J$300,MATCH($I1673,CONFIGURACOES!$B$37:$B$300,0)),"")</f>
        <v/>
      </c>
      <c r="T1673" s="22">
        <f>IF(OR($R1673="",$S1673=""),"",$R1673*$S1673)</f>
        <v/>
      </c>
      <c r="U1673" s="20" t="n"/>
      <c r="V1673" s="20" t="n"/>
      <c r="W1673" s="20" t="n"/>
      <c r="X1673">
        <f>IF($A1673="","",$A1673&amp;"|"&amp;$C1673&amp;"|"&amp;$I1673)</f>
        <v/>
      </c>
      <c r="Y1673">
        <f>IF(AND($A1673=RELATORIO_MEDICAO!$C$5,$C1673=RELATORIO_MEDICAO!$F$5,$A1673&lt;&gt;""),COUNTIFS($A$3:$A1673,RELATORIO_MEDICAO!$C$5,$C$3:$C1673,RELATORIO_MEDICAO!$F$5),"")</f>
        <v/>
      </c>
      <c r="Z1673">
        <f>IF(OR($A1673="",PESQUISA!$C$4=""),0,IF(OR(ISNUMBER(SEARCH(PESQUISA!$C$4,$G1673)),ISNUMBER(SEARCH(PESQUISA!$C$4,$K1673)),ISNUMBER(SEARCH(PESQUISA!$C$4,$L1673))),1,0))</f>
        <v/>
      </c>
      <c r="AA1673">
        <f>IF($Z1673=1,SUM($Z$3:$Z1673),"")</f>
        <v/>
      </c>
      <c r="AB1673">
        <f>IF(OR($A1673="",PESQUISA!$C$50=""),0,IF(ISNUMBER(SEARCH(PESQUISA!$C$50,$I1673)),1,0))</f>
        <v/>
      </c>
      <c r="AC1673">
        <f>IF($AB1673=1,SUM($AB$3:$AB1673),"")</f>
        <v/>
      </c>
    </row>
    <row r="1674">
      <c r="A1674" s="20" t="n"/>
      <c r="B1674" s="20" t="n"/>
      <c r="C1674" s="20" t="n"/>
      <c r="D1674" s="20" t="n"/>
      <c r="E1674" s="20" t="n"/>
      <c r="F1674" s="20" t="n"/>
      <c r="G1674" s="20" t="n"/>
      <c r="H1674" s="20" t="n"/>
      <c r="I1674" s="20" t="n"/>
      <c r="J1674" s="20">
        <f>IFERROR(INDEX(CONFIGURACOES!$G$37:$G$300,MATCH($I1674,CONFIGURACOES!$B$37:$B$300,0)),"")</f>
        <v/>
      </c>
      <c r="K1674" s="20">
        <f>IFERROR(INDEX(CONFIGURACOES!$H$37:$H$300,MATCH($I1674,CONFIGURACOES!$B$37:$B$300,0)),"")</f>
        <v/>
      </c>
      <c r="L1674" s="20" t="n"/>
      <c r="M1674" s="20">
        <f>IFERROR(INDEX(CONFIGURACOES!$I$37:$I$300,MATCH($I1674,CONFIGURACOES!$B$37:$B$300,0)),"")</f>
        <v/>
      </c>
      <c r="N1674" s="21" t="n"/>
      <c r="O1674" s="21" t="n"/>
      <c r="P1674" s="21" t="n"/>
      <c r="Q1674" s="21" t="n"/>
      <c r="R1674" s="21">
        <f>IF($N1674="","",$N1674*IF($Q1674="",1,$Q1674)*IF($P1674="",1,$P1674)*IF($O1674="",1,$O1674))</f>
        <v/>
      </c>
      <c r="S1674" s="22">
        <f>IFERROR(INDEX(CONFIGURACOES!$J$37:$J$300,MATCH($I1674,CONFIGURACOES!$B$37:$B$300,0)),"")</f>
        <v/>
      </c>
      <c r="T1674" s="22">
        <f>IF(OR($R1674="",$S1674=""),"",$R1674*$S1674)</f>
        <v/>
      </c>
      <c r="U1674" s="20" t="n"/>
      <c r="V1674" s="20" t="n"/>
      <c r="W1674" s="20" t="n"/>
      <c r="X1674">
        <f>IF($A1674="","",$A1674&amp;"|"&amp;$C1674&amp;"|"&amp;$I1674)</f>
        <v/>
      </c>
      <c r="Y1674">
        <f>IF(AND($A1674=RELATORIO_MEDICAO!$C$5,$C1674=RELATORIO_MEDICAO!$F$5,$A1674&lt;&gt;""),COUNTIFS($A$3:$A1674,RELATORIO_MEDICAO!$C$5,$C$3:$C1674,RELATORIO_MEDICAO!$F$5),"")</f>
        <v/>
      </c>
      <c r="Z1674">
        <f>IF(OR($A1674="",PESQUISA!$C$4=""),0,IF(OR(ISNUMBER(SEARCH(PESQUISA!$C$4,$G1674)),ISNUMBER(SEARCH(PESQUISA!$C$4,$K1674)),ISNUMBER(SEARCH(PESQUISA!$C$4,$L1674))),1,0))</f>
        <v/>
      </c>
      <c r="AA1674">
        <f>IF($Z1674=1,SUM($Z$3:$Z1674),"")</f>
        <v/>
      </c>
      <c r="AB1674">
        <f>IF(OR($A1674="",PESQUISA!$C$50=""),0,IF(ISNUMBER(SEARCH(PESQUISA!$C$50,$I1674)),1,0))</f>
        <v/>
      </c>
      <c r="AC1674">
        <f>IF($AB1674=1,SUM($AB$3:$AB1674),"")</f>
        <v/>
      </c>
    </row>
    <row r="1675">
      <c r="A1675" s="20" t="n"/>
      <c r="B1675" s="20" t="n"/>
      <c r="C1675" s="20" t="n"/>
      <c r="D1675" s="20" t="n"/>
      <c r="E1675" s="20" t="n"/>
      <c r="F1675" s="20" t="n"/>
      <c r="G1675" s="20" t="n"/>
      <c r="H1675" s="20" t="n"/>
      <c r="I1675" s="20" t="n"/>
      <c r="J1675" s="20">
        <f>IFERROR(INDEX(CONFIGURACOES!$G$37:$G$300,MATCH($I1675,CONFIGURACOES!$B$37:$B$300,0)),"")</f>
        <v/>
      </c>
      <c r="K1675" s="20">
        <f>IFERROR(INDEX(CONFIGURACOES!$H$37:$H$300,MATCH($I1675,CONFIGURACOES!$B$37:$B$300,0)),"")</f>
        <v/>
      </c>
      <c r="L1675" s="20" t="n"/>
      <c r="M1675" s="20">
        <f>IFERROR(INDEX(CONFIGURACOES!$I$37:$I$300,MATCH($I1675,CONFIGURACOES!$B$37:$B$300,0)),"")</f>
        <v/>
      </c>
      <c r="N1675" s="21" t="n"/>
      <c r="O1675" s="21" t="n"/>
      <c r="P1675" s="21" t="n"/>
      <c r="Q1675" s="21" t="n"/>
      <c r="R1675" s="21">
        <f>IF($N1675="","",$N1675*IF($Q1675="",1,$Q1675)*IF($P1675="",1,$P1675)*IF($O1675="",1,$O1675))</f>
        <v/>
      </c>
      <c r="S1675" s="22">
        <f>IFERROR(INDEX(CONFIGURACOES!$J$37:$J$300,MATCH($I1675,CONFIGURACOES!$B$37:$B$300,0)),"")</f>
        <v/>
      </c>
      <c r="T1675" s="22">
        <f>IF(OR($R1675="",$S1675=""),"",$R1675*$S1675)</f>
        <v/>
      </c>
      <c r="U1675" s="20" t="n"/>
      <c r="V1675" s="20" t="n"/>
      <c r="W1675" s="20" t="n"/>
      <c r="X1675">
        <f>IF($A1675="","",$A1675&amp;"|"&amp;$C1675&amp;"|"&amp;$I1675)</f>
        <v/>
      </c>
      <c r="Y1675">
        <f>IF(AND($A1675=RELATORIO_MEDICAO!$C$5,$C1675=RELATORIO_MEDICAO!$F$5,$A1675&lt;&gt;""),COUNTIFS($A$3:$A1675,RELATORIO_MEDICAO!$C$5,$C$3:$C1675,RELATORIO_MEDICAO!$F$5),"")</f>
        <v/>
      </c>
      <c r="Z1675">
        <f>IF(OR($A1675="",PESQUISA!$C$4=""),0,IF(OR(ISNUMBER(SEARCH(PESQUISA!$C$4,$G1675)),ISNUMBER(SEARCH(PESQUISA!$C$4,$K1675)),ISNUMBER(SEARCH(PESQUISA!$C$4,$L1675))),1,0))</f>
        <v/>
      </c>
      <c r="AA1675">
        <f>IF($Z1675=1,SUM($Z$3:$Z1675),"")</f>
        <v/>
      </c>
      <c r="AB1675">
        <f>IF(OR($A1675="",PESQUISA!$C$50=""),0,IF(ISNUMBER(SEARCH(PESQUISA!$C$50,$I1675)),1,0))</f>
        <v/>
      </c>
      <c r="AC1675">
        <f>IF($AB1675=1,SUM($AB$3:$AB1675),"")</f>
        <v/>
      </c>
    </row>
    <row r="1676">
      <c r="A1676" s="20" t="n"/>
      <c r="B1676" s="20" t="n"/>
      <c r="C1676" s="20" t="n"/>
      <c r="D1676" s="20" t="n"/>
      <c r="E1676" s="20" t="n"/>
      <c r="F1676" s="20" t="n"/>
      <c r="G1676" s="20" t="n"/>
      <c r="H1676" s="20" t="n"/>
      <c r="I1676" s="20" t="n"/>
      <c r="J1676" s="20">
        <f>IFERROR(INDEX(CONFIGURACOES!$G$37:$G$300,MATCH($I1676,CONFIGURACOES!$B$37:$B$300,0)),"")</f>
        <v/>
      </c>
      <c r="K1676" s="20">
        <f>IFERROR(INDEX(CONFIGURACOES!$H$37:$H$300,MATCH($I1676,CONFIGURACOES!$B$37:$B$300,0)),"")</f>
        <v/>
      </c>
      <c r="L1676" s="20" t="n"/>
      <c r="M1676" s="20">
        <f>IFERROR(INDEX(CONFIGURACOES!$I$37:$I$300,MATCH($I1676,CONFIGURACOES!$B$37:$B$300,0)),"")</f>
        <v/>
      </c>
      <c r="N1676" s="21" t="n"/>
      <c r="O1676" s="21" t="n"/>
      <c r="P1676" s="21" t="n"/>
      <c r="Q1676" s="21" t="n"/>
      <c r="R1676" s="21">
        <f>IF($N1676="","",$N1676*IF($Q1676="",1,$Q1676)*IF($P1676="",1,$P1676)*IF($O1676="",1,$O1676))</f>
        <v/>
      </c>
      <c r="S1676" s="22">
        <f>IFERROR(INDEX(CONFIGURACOES!$J$37:$J$300,MATCH($I1676,CONFIGURACOES!$B$37:$B$300,0)),"")</f>
        <v/>
      </c>
      <c r="T1676" s="22">
        <f>IF(OR($R1676="",$S1676=""),"",$R1676*$S1676)</f>
        <v/>
      </c>
      <c r="U1676" s="20" t="n"/>
      <c r="V1676" s="20" t="n"/>
      <c r="W1676" s="20" t="n"/>
      <c r="X1676">
        <f>IF($A1676="","",$A1676&amp;"|"&amp;$C1676&amp;"|"&amp;$I1676)</f>
        <v/>
      </c>
      <c r="Y1676">
        <f>IF(AND($A1676=RELATORIO_MEDICAO!$C$5,$C1676=RELATORIO_MEDICAO!$F$5,$A1676&lt;&gt;""),COUNTIFS($A$3:$A1676,RELATORIO_MEDICAO!$C$5,$C$3:$C1676,RELATORIO_MEDICAO!$F$5),"")</f>
        <v/>
      </c>
      <c r="Z1676">
        <f>IF(OR($A1676="",PESQUISA!$C$4=""),0,IF(OR(ISNUMBER(SEARCH(PESQUISA!$C$4,$G1676)),ISNUMBER(SEARCH(PESQUISA!$C$4,$K1676)),ISNUMBER(SEARCH(PESQUISA!$C$4,$L1676))),1,0))</f>
        <v/>
      </c>
      <c r="AA1676">
        <f>IF($Z1676=1,SUM($Z$3:$Z1676),"")</f>
        <v/>
      </c>
      <c r="AB1676">
        <f>IF(OR($A1676="",PESQUISA!$C$50=""),0,IF(ISNUMBER(SEARCH(PESQUISA!$C$50,$I1676)),1,0))</f>
        <v/>
      </c>
      <c r="AC1676">
        <f>IF($AB1676=1,SUM($AB$3:$AB1676),"")</f>
        <v/>
      </c>
    </row>
    <row r="1677">
      <c r="A1677" s="20" t="n"/>
      <c r="B1677" s="20" t="n"/>
      <c r="C1677" s="20" t="n"/>
      <c r="D1677" s="20" t="n"/>
      <c r="E1677" s="20" t="n"/>
      <c r="F1677" s="20" t="n"/>
      <c r="G1677" s="20" t="n"/>
      <c r="H1677" s="20" t="n"/>
      <c r="I1677" s="20" t="n"/>
      <c r="J1677" s="20">
        <f>IFERROR(INDEX(CONFIGURACOES!$G$37:$G$300,MATCH($I1677,CONFIGURACOES!$B$37:$B$300,0)),"")</f>
        <v/>
      </c>
      <c r="K1677" s="20">
        <f>IFERROR(INDEX(CONFIGURACOES!$H$37:$H$300,MATCH($I1677,CONFIGURACOES!$B$37:$B$300,0)),"")</f>
        <v/>
      </c>
      <c r="L1677" s="20" t="n"/>
      <c r="M1677" s="20">
        <f>IFERROR(INDEX(CONFIGURACOES!$I$37:$I$300,MATCH($I1677,CONFIGURACOES!$B$37:$B$300,0)),"")</f>
        <v/>
      </c>
      <c r="N1677" s="21" t="n"/>
      <c r="O1677" s="21" t="n"/>
      <c r="P1677" s="21" t="n"/>
      <c r="Q1677" s="21" t="n"/>
      <c r="R1677" s="21">
        <f>IF($N1677="","",$N1677*IF($Q1677="",1,$Q1677)*IF($P1677="",1,$P1677)*IF($O1677="",1,$O1677))</f>
        <v/>
      </c>
      <c r="S1677" s="22">
        <f>IFERROR(INDEX(CONFIGURACOES!$J$37:$J$300,MATCH($I1677,CONFIGURACOES!$B$37:$B$300,0)),"")</f>
        <v/>
      </c>
      <c r="T1677" s="22">
        <f>IF(OR($R1677="",$S1677=""),"",$R1677*$S1677)</f>
        <v/>
      </c>
      <c r="U1677" s="20" t="n"/>
      <c r="V1677" s="20" t="n"/>
      <c r="W1677" s="20" t="n"/>
      <c r="X1677">
        <f>IF($A1677="","",$A1677&amp;"|"&amp;$C1677&amp;"|"&amp;$I1677)</f>
        <v/>
      </c>
      <c r="Y1677">
        <f>IF(AND($A1677=RELATORIO_MEDICAO!$C$5,$C1677=RELATORIO_MEDICAO!$F$5,$A1677&lt;&gt;""),COUNTIFS($A$3:$A1677,RELATORIO_MEDICAO!$C$5,$C$3:$C1677,RELATORIO_MEDICAO!$F$5),"")</f>
        <v/>
      </c>
      <c r="Z1677">
        <f>IF(OR($A1677="",PESQUISA!$C$4=""),0,IF(OR(ISNUMBER(SEARCH(PESQUISA!$C$4,$G1677)),ISNUMBER(SEARCH(PESQUISA!$C$4,$K1677)),ISNUMBER(SEARCH(PESQUISA!$C$4,$L1677))),1,0))</f>
        <v/>
      </c>
      <c r="AA1677">
        <f>IF($Z1677=1,SUM($Z$3:$Z1677),"")</f>
        <v/>
      </c>
      <c r="AB1677">
        <f>IF(OR($A1677="",PESQUISA!$C$50=""),0,IF(ISNUMBER(SEARCH(PESQUISA!$C$50,$I1677)),1,0))</f>
        <v/>
      </c>
      <c r="AC1677">
        <f>IF($AB1677=1,SUM($AB$3:$AB1677),"")</f>
        <v/>
      </c>
    </row>
    <row r="1678">
      <c r="A1678" s="20" t="n"/>
      <c r="B1678" s="20" t="n"/>
      <c r="C1678" s="20" t="n"/>
      <c r="D1678" s="20" t="n"/>
      <c r="E1678" s="20" t="n"/>
      <c r="F1678" s="20" t="n"/>
      <c r="G1678" s="20" t="n"/>
      <c r="H1678" s="20" t="n"/>
      <c r="I1678" s="20" t="n"/>
      <c r="J1678" s="20">
        <f>IFERROR(INDEX(CONFIGURACOES!$G$37:$G$300,MATCH($I1678,CONFIGURACOES!$B$37:$B$300,0)),"")</f>
        <v/>
      </c>
      <c r="K1678" s="20">
        <f>IFERROR(INDEX(CONFIGURACOES!$H$37:$H$300,MATCH($I1678,CONFIGURACOES!$B$37:$B$300,0)),"")</f>
        <v/>
      </c>
      <c r="L1678" s="20" t="n"/>
      <c r="M1678" s="20">
        <f>IFERROR(INDEX(CONFIGURACOES!$I$37:$I$300,MATCH($I1678,CONFIGURACOES!$B$37:$B$300,0)),"")</f>
        <v/>
      </c>
      <c r="N1678" s="21" t="n"/>
      <c r="O1678" s="21" t="n"/>
      <c r="P1678" s="21" t="n"/>
      <c r="Q1678" s="21" t="n"/>
      <c r="R1678" s="21">
        <f>IF($N1678="","",$N1678*IF($Q1678="",1,$Q1678)*IF($P1678="",1,$P1678)*IF($O1678="",1,$O1678))</f>
        <v/>
      </c>
      <c r="S1678" s="22">
        <f>IFERROR(INDEX(CONFIGURACOES!$J$37:$J$300,MATCH($I1678,CONFIGURACOES!$B$37:$B$300,0)),"")</f>
        <v/>
      </c>
      <c r="T1678" s="22">
        <f>IF(OR($R1678="",$S1678=""),"",$R1678*$S1678)</f>
        <v/>
      </c>
      <c r="U1678" s="20" t="n"/>
      <c r="V1678" s="20" t="n"/>
      <c r="W1678" s="20" t="n"/>
      <c r="X1678">
        <f>IF($A1678="","",$A1678&amp;"|"&amp;$C1678&amp;"|"&amp;$I1678)</f>
        <v/>
      </c>
      <c r="Y1678">
        <f>IF(AND($A1678=RELATORIO_MEDICAO!$C$5,$C1678=RELATORIO_MEDICAO!$F$5,$A1678&lt;&gt;""),COUNTIFS($A$3:$A1678,RELATORIO_MEDICAO!$C$5,$C$3:$C1678,RELATORIO_MEDICAO!$F$5),"")</f>
        <v/>
      </c>
      <c r="Z1678">
        <f>IF(OR($A1678="",PESQUISA!$C$4=""),0,IF(OR(ISNUMBER(SEARCH(PESQUISA!$C$4,$G1678)),ISNUMBER(SEARCH(PESQUISA!$C$4,$K1678)),ISNUMBER(SEARCH(PESQUISA!$C$4,$L1678))),1,0))</f>
        <v/>
      </c>
      <c r="AA1678">
        <f>IF($Z1678=1,SUM($Z$3:$Z1678),"")</f>
        <v/>
      </c>
      <c r="AB1678">
        <f>IF(OR($A1678="",PESQUISA!$C$50=""),0,IF(ISNUMBER(SEARCH(PESQUISA!$C$50,$I1678)),1,0))</f>
        <v/>
      </c>
      <c r="AC1678">
        <f>IF($AB1678=1,SUM($AB$3:$AB1678),"")</f>
        <v/>
      </c>
    </row>
    <row r="1679">
      <c r="A1679" s="20" t="n"/>
      <c r="B1679" s="20" t="n"/>
      <c r="C1679" s="20" t="n"/>
      <c r="D1679" s="20" t="n"/>
      <c r="E1679" s="20" t="n"/>
      <c r="F1679" s="20" t="n"/>
      <c r="G1679" s="20" t="n"/>
      <c r="H1679" s="20" t="n"/>
      <c r="I1679" s="20" t="n"/>
      <c r="J1679" s="20">
        <f>IFERROR(INDEX(CONFIGURACOES!$G$37:$G$300,MATCH($I1679,CONFIGURACOES!$B$37:$B$300,0)),"")</f>
        <v/>
      </c>
      <c r="K1679" s="20">
        <f>IFERROR(INDEX(CONFIGURACOES!$H$37:$H$300,MATCH($I1679,CONFIGURACOES!$B$37:$B$300,0)),"")</f>
        <v/>
      </c>
      <c r="L1679" s="20" t="n"/>
      <c r="M1679" s="20">
        <f>IFERROR(INDEX(CONFIGURACOES!$I$37:$I$300,MATCH($I1679,CONFIGURACOES!$B$37:$B$300,0)),"")</f>
        <v/>
      </c>
      <c r="N1679" s="21" t="n"/>
      <c r="O1679" s="21" t="n"/>
      <c r="P1679" s="21" t="n"/>
      <c r="Q1679" s="21" t="n"/>
      <c r="R1679" s="21">
        <f>IF($N1679="","",$N1679*IF($Q1679="",1,$Q1679)*IF($P1679="",1,$P1679)*IF($O1679="",1,$O1679))</f>
        <v/>
      </c>
      <c r="S1679" s="22">
        <f>IFERROR(INDEX(CONFIGURACOES!$J$37:$J$300,MATCH($I1679,CONFIGURACOES!$B$37:$B$300,0)),"")</f>
        <v/>
      </c>
      <c r="T1679" s="22">
        <f>IF(OR($R1679="",$S1679=""),"",$R1679*$S1679)</f>
        <v/>
      </c>
      <c r="U1679" s="20" t="n"/>
      <c r="V1679" s="20" t="n"/>
      <c r="W1679" s="20" t="n"/>
      <c r="X1679">
        <f>IF($A1679="","",$A1679&amp;"|"&amp;$C1679&amp;"|"&amp;$I1679)</f>
        <v/>
      </c>
      <c r="Y1679">
        <f>IF(AND($A1679=RELATORIO_MEDICAO!$C$5,$C1679=RELATORIO_MEDICAO!$F$5,$A1679&lt;&gt;""),COUNTIFS($A$3:$A1679,RELATORIO_MEDICAO!$C$5,$C$3:$C1679,RELATORIO_MEDICAO!$F$5),"")</f>
        <v/>
      </c>
      <c r="Z1679">
        <f>IF(OR($A1679="",PESQUISA!$C$4=""),0,IF(OR(ISNUMBER(SEARCH(PESQUISA!$C$4,$G1679)),ISNUMBER(SEARCH(PESQUISA!$C$4,$K1679)),ISNUMBER(SEARCH(PESQUISA!$C$4,$L1679))),1,0))</f>
        <v/>
      </c>
      <c r="AA1679">
        <f>IF($Z1679=1,SUM($Z$3:$Z1679),"")</f>
        <v/>
      </c>
      <c r="AB1679">
        <f>IF(OR($A1679="",PESQUISA!$C$50=""),0,IF(ISNUMBER(SEARCH(PESQUISA!$C$50,$I1679)),1,0))</f>
        <v/>
      </c>
      <c r="AC1679">
        <f>IF($AB1679=1,SUM($AB$3:$AB1679),"")</f>
        <v/>
      </c>
    </row>
    <row r="1680">
      <c r="A1680" s="20" t="n"/>
      <c r="B1680" s="20" t="n"/>
      <c r="C1680" s="20" t="n"/>
      <c r="D1680" s="20" t="n"/>
      <c r="E1680" s="20" t="n"/>
      <c r="F1680" s="20" t="n"/>
      <c r="G1680" s="20" t="n"/>
      <c r="H1680" s="20" t="n"/>
      <c r="I1680" s="20" t="n"/>
      <c r="J1680" s="20">
        <f>IFERROR(INDEX(CONFIGURACOES!$G$37:$G$300,MATCH($I1680,CONFIGURACOES!$B$37:$B$300,0)),"")</f>
        <v/>
      </c>
      <c r="K1680" s="20">
        <f>IFERROR(INDEX(CONFIGURACOES!$H$37:$H$300,MATCH($I1680,CONFIGURACOES!$B$37:$B$300,0)),"")</f>
        <v/>
      </c>
      <c r="L1680" s="20" t="n"/>
      <c r="M1680" s="20">
        <f>IFERROR(INDEX(CONFIGURACOES!$I$37:$I$300,MATCH($I1680,CONFIGURACOES!$B$37:$B$300,0)),"")</f>
        <v/>
      </c>
      <c r="N1680" s="21" t="n"/>
      <c r="O1680" s="21" t="n"/>
      <c r="P1680" s="21" t="n"/>
      <c r="Q1680" s="21" t="n"/>
      <c r="R1680" s="21">
        <f>IF($N1680="","",$N1680*IF($Q1680="",1,$Q1680)*IF($P1680="",1,$P1680)*IF($O1680="",1,$O1680))</f>
        <v/>
      </c>
      <c r="S1680" s="22">
        <f>IFERROR(INDEX(CONFIGURACOES!$J$37:$J$300,MATCH($I1680,CONFIGURACOES!$B$37:$B$300,0)),"")</f>
        <v/>
      </c>
      <c r="T1680" s="22">
        <f>IF(OR($R1680="",$S1680=""),"",$R1680*$S1680)</f>
        <v/>
      </c>
      <c r="U1680" s="20" t="n"/>
      <c r="V1680" s="20" t="n"/>
      <c r="W1680" s="20" t="n"/>
      <c r="X1680">
        <f>IF($A1680="","",$A1680&amp;"|"&amp;$C1680&amp;"|"&amp;$I1680)</f>
        <v/>
      </c>
      <c r="Y1680">
        <f>IF(AND($A1680=RELATORIO_MEDICAO!$C$5,$C1680=RELATORIO_MEDICAO!$F$5,$A1680&lt;&gt;""),COUNTIFS($A$3:$A1680,RELATORIO_MEDICAO!$C$5,$C$3:$C1680,RELATORIO_MEDICAO!$F$5),"")</f>
        <v/>
      </c>
      <c r="Z1680">
        <f>IF(OR($A1680="",PESQUISA!$C$4=""),0,IF(OR(ISNUMBER(SEARCH(PESQUISA!$C$4,$G1680)),ISNUMBER(SEARCH(PESQUISA!$C$4,$K1680)),ISNUMBER(SEARCH(PESQUISA!$C$4,$L1680))),1,0))</f>
        <v/>
      </c>
      <c r="AA1680">
        <f>IF($Z1680=1,SUM($Z$3:$Z1680),"")</f>
        <v/>
      </c>
      <c r="AB1680">
        <f>IF(OR($A1680="",PESQUISA!$C$50=""),0,IF(ISNUMBER(SEARCH(PESQUISA!$C$50,$I1680)),1,0))</f>
        <v/>
      </c>
      <c r="AC1680">
        <f>IF($AB1680=1,SUM($AB$3:$AB1680),"")</f>
        <v/>
      </c>
    </row>
    <row r="1681">
      <c r="A1681" s="20" t="n"/>
      <c r="B1681" s="20" t="n"/>
      <c r="C1681" s="20" t="n"/>
      <c r="D1681" s="20" t="n"/>
      <c r="E1681" s="20" t="n"/>
      <c r="F1681" s="20" t="n"/>
      <c r="G1681" s="20" t="n"/>
      <c r="H1681" s="20" t="n"/>
      <c r="I1681" s="20" t="n"/>
      <c r="J1681" s="20">
        <f>IFERROR(INDEX(CONFIGURACOES!$G$37:$G$300,MATCH($I1681,CONFIGURACOES!$B$37:$B$300,0)),"")</f>
        <v/>
      </c>
      <c r="K1681" s="20">
        <f>IFERROR(INDEX(CONFIGURACOES!$H$37:$H$300,MATCH($I1681,CONFIGURACOES!$B$37:$B$300,0)),"")</f>
        <v/>
      </c>
      <c r="L1681" s="20" t="n"/>
      <c r="M1681" s="20">
        <f>IFERROR(INDEX(CONFIGURACOES!$I$37:$I$300,MATCH($I1681,CONFIGURACOES!$B$37:$B$300,0)),"")</f>
        <v/>
      </c>
      <c r="N1681" s="21" t="n"/>
      <c r="O1681" s="21" t="n"/>
      <c r="P1681" s="21" t="n"/>
      <c r="Q1681" s="21" t="n"/>
      <c r="R1681" s="21">
        <f>IF($N1681="","",$N1681*IF($Q1681="",1,$Q1681)*IF($P1681="",1,$P1681)*IF($O1681="",1,$O1681))</f>
        <v/>
      </c>
      <c r="S1681" s="22">
        <f>IFERROR(INDEX(CONFIGURACOES!$J$37:$J$300,MATCH($I1681,CONFIGURACOES!$B$37:$B$300,0)),"")</f>
        <v/>
      </c>
      <c r="T1681" s="22">
        <f>IF(OR($R1681="",$S1681=""),"",$R1681*$S1681)</f>
        <v/>
      </c>
      <c r="U1681" s="20" t="n"/>
      <c r="V1681" s="20" t="n"/>
      <c r="W1681" s="20" t="n"/>
      <c r="X1681">
        <f>IF($A1681="","",$A1681&amp;"|"&amp;$C1681&amp;"|"&amp;$I1681)</f>
        <v/>
      </c>
      <c r="Y1681">
        <f>IF(AND($A1681=RELATORIO_MEDICAO!$C$5,$C1681=RELATORIO_MEDICAO!$F$5,$A1681&lt;&gt;""),COUNTIFS($A$3:$A1681,RELATORIO_MEDICAO!$C$5,$C$3:$C1681,RELATORIO_MEDICAO!$F$5),"")</f>
        <v/>
      </c>
      <c r="Z1681">
        <f>IF(OR($A1681="",PESQUISA!$C$4=""),0,IF(OR(ISNUMBER(SEARCH(PESQUISA!$C$4,$G1681)),ISNUMBER(SEARCH(PESQUISA!$C$4,$K1681)),ISNUMBER(SEARCH(PESQUISA!$C$4,$L1681))),1,0))</f>
        <v/>
      </c>
      <c r="AA1681">
        <f>IF($Z1681=1,SUM($Z$3:$Z1681),"")</f>
        <v/>
      </c>
      <c r="AB1681">
        <f>IF(OR($A1681="",PESQUISA!$C$50=""),0,IF(ISNUMBER(SEARCH(PESQUISA!$C$50,$I1681)),1,0))</f>
        <v/>
      </c>
      <c r="AC1681">
        <f>IF($AB1681=1,SUM($AB$3:$AB1681),"")</f>
        <v/>
      </c>
    </row>
    <row r="1682">
      <c r="A1682" s="20" t="n"/>
      <c r="B1682" s="20" t="n"/>
      <c r="C1682" s="20" t="n"/>
      <c r="D1682" s="20" t="n"/>
      <c r="E1682" s="20" t="n"/>
      <c r="F1682" s="20" t="n"/>
      <c r="G1682" s="20" t="n"/>
      <c r="H1682" s="20" t="n"/>
      <c r="I1682" s="20" t="n"/>
      <c r="J1682" s="20">
        <f>IFERROR(INDEX(CONFIGURACOES!$G$37:$G$300,MATCH($I1682,CONFIGURACOES!$B$37:$B$300,0)),"")</f>
        <v/>
      </c>
      <c r="K1682" s="20">
        <f>IFERROR(INDEX(CONFIGURACOES!$H$37:$H$300,MATCH($I1682,CONFIGURACOES!$B$37:$B$300,0)),"")</f>
        <v/>
      </c>
      <c r="L1682" s="20" t="n"/>
      <c r="M1682" s="20">
        <f>IFERROR(INDEX(CONFIGURACOES!$I$37:$I$300,MATCH($I1682,CONFIGURACOES!$B$37:$B$300,0)),"")</f>
        <v/>
      </c>
      <c r="N1682" s="21" t="n"/>
      <c r="O1682" s="21" t="n"/>
      <c r="P1682" s="21" t="n"/>
      <c r="Q1682" s="21" t="n"/>
      <c r="R1682" s="21">
        <f>IF($N1682="","",$N1682*IF($Q1682="",1,$Q1682)*IF($P1682="",1,$P1682)*IF($O1682="",1,$O1682))</f>
        <v/>
      </c>
      <c r="S1682" s="22">
        <f>IFERROR(INDEX(CONFIGURACOES!$J$37:$J$300,MATCH($I1682,CONFIGURACOES!$B$37:$B$300,0)),"")</f>
        <v/>
      </c>
      <c r="T1682" s="22">
        <f>IF(OR($R1682="",$S1682=""),"",$R1682*$S1682)</f>
        <v/>
      </c>
      <c r="U1682" s="20" t="n"/>
      <c r="V1682" s="20" t="n"/>
      <c r="W1682" s="20" t="n"/>
      <c r="X1682">
        <f>IF($A1682="","",$A1682&amp;"|"&amp;$C1682&amp;"|"&amp;$I1682)</f>
        <v/>
      </c>
      <c r="Y1682">
        <f>IF(AND($A1682=RELATORIO_MEDICAO!$C$5,$C1682=RELATORIO_MEDICAO!$F$5,$A1682&lt;&gt;""),COUNTIFS($A$3:$A1682,RELATORIO_MEDICAO!$C$5,$C$3:$C1682,RELATORIO_MEDICAO!$F$5),"")</f>
        <v/>
      </c>
      <c r="Z1682">
        <f>IF(OR($A1682="",PESQUISA!$C$4=""),0,IF(OR(ISNUMBER(SEARCH(PESQUISA!$C$4,$G1682)),ISNUMBER(SEARCH(PESQUISA!$C$4,$K1682)),ISNUMBER(SEARCH(PESQUISA!$C$4,$L1682))),1,0))</f>
        <v/>
      </c>
      <c r="AA1682">
        <f>IF($Z1682=1,SUM($Z$3:$Z1682),"")</f>
        <v/>
      </c>
      <c r="AB1682">
        <f>IF(OR($A1682="",PESQUISA!$C$50=""),0,IF(ISNUMBER(SEARCH(PESQUISA!$C$50,$I1682)),1,0))</f>
        <v/>
      </c>
      <c r="AC1682">
        <f>IF($AB1682=1,SUM($AB$3:$AB1682),"")</f>
        <v/>
      </c>
    </row>
    <row r="1683">
      <c r="A1683" s="20" t="n"/>
      <c r="B1683" s="20" t="n"/>
      <c r="C1683" s="20" t="n"/>
      <c r="D1683" s="20" t="n"/>
      <c r="E1683" s="20" t="n"/>
      <c r="F1683" s="20" t="n"/>
      <c r="G1683" s="20" t="n"/>
      <c r="H1683" s="20" t="n"/>
      <c r="I1683" s="20" t="n"/>
      <c r="J1683" s="20">
        <f>IFERROR(INDEX(CONFIGURACOES!$G$37:$G$300,MATCH($I1683,CONFIGURACOES!$B$37:$B$300,0)),"")</f>
        <v/>
      </c>
      <c r="K1683" s="20">
        <f>IFERROR(INDEX(CONFIGURACOES!$H$37:$H$300,MATCH($I1683,CONFIGURACOES!$B$37:$B$300,0)),"")</f>
        <v/>
      </c>
      <c r="L1683" s="20" t="n"/>
      <c r="M1683" s="20">
        <f>IFERROR(INDEX(CONFIGURACOES!$I$37:$I$300,MATCH($I1683,CONFIGURACOES!$B$37:$B$300,0)),"")</f>
        <v/>
      </c>
      <c r="N1683" s="21" t="n"/>
      <c r="O1683" s="21" t="n"/>
      <c r="P1683" s="21" t="n"/>
      <c r="Q1683" s="21" t="n"/>
      <c r="R1683" s="21">
        <f>IF($N1683="","",$N1683*IF($Q1683="",1,$Q1683)*IF($P1683="",1,$P1683)*IF($O1683="",1,$O1683))</f>
        <v/>
      </c>
      <c r="S1683" s="22">
        <f>IFERROR(INDEX(CONFIGURACOES!$J$37:$J$300,MATCH($I1683,CONFIGURACOES!$B$37:$B$300,0)),"")</f>
        <v/>
      </c>
      <c r="T1683" s="22">
        <f>IF(OR($R1683="",$S1683=""),"",$R1683*$S1683)</f>
        <v/>
      </c>
      <c r="U1683" s="20" t="n"/>
      <c r="V1683" s="20" t="n"/>
      <c r="W1683" s="20" t="n"/>
      <c r="X1683">
        <f>IF($A1683="","",$A1683&amp;"|"&amp;$C1683&amp;"|"&amp;$I1683)</f>
        <v/>
      </c>
      <c r="Y1683">
        <f>IF(AND($A1683=RELATORIO_MEDICAO!$C$5,$C1683=RELATORIO_MEDICAO!$F$5,$A1683&lt;&gt;""),COUNTIFS($A$3:$A1683,RELATORIO_MEDICAO!$C$5,$C$3:$C1683,RELATORIO_MEDICAO!$F$5),"")</f>
        <v/>
      </c>
      <c r="Z1683">
        <f>IF(OR($A1683="",PESQUISA!$C$4=""),0,IF(OR(ISNUMBER(SEARCH(PESQUISA!$C$4,$G1683)),ISNUMBER(SEARCH(PESQUISA!$C$4,$K1683)),ISNUMBER(SEARCH(PESQUISA!$C$4,$L1683))),1,0))</f>
        <v/>
      </c>
      <c r="AA1683">
        <f>IF($Z1683=1,SUM($Z$3:$Z1683),"")</f>
        <v/>
      </c>
      <c r="AB1683">
        <f>IF(OR($A1683="",PESQUISA!$C$50=""),0,IF(ISNUMBER(SEARCH(PESQUISA!$C$50,$I1683)),1,0))</f>
        <v/>
      </c>
      <c r="AC1683">
        <f>IF($AB1683=1,SUM($AB$3:$AB1683),"")</f>
        <v/>
      </c>
    </row>
    <row r="1684">
      <c r="A1684" s="20" t="n"/>
      <c r="B1684" s="20" t="n"/>
      <c r="C1684" s="20" t="n"/>
      <c r="D1684" s="20" t="n"/>
      <c r="E1684" s="20" t="n"/>
      <c r="F1684" s="20" t="n"/>
      <c r="G1684" s="20" t="n"/>
      <c r="H1684" s="20" t="n"/>
      <c r="I1684" s="20" t="n"/>
      <c r="J1684" s="20">
        <f>IFERROR(INDEX(CONFIGURACOES!$G$37:$G$300,MATCH($I1684,CONFIGURACOES!$B$37:$B$300,0)),"")</f>
        <v/>
      </c>
      <c r="K1684" s="20">
        <f>IFERROR(INDEX(CONFIGURACOES!$H$37:$H$300,MATCH($I1684,CONFIGURACOES!$B$37:$B$300,0)),"")</f>
        <v/>
      </c>
      <c r="L1684" s="20" t="n"/>
      <c r="M1684" s="20">
        <f>IFERROR(INDEX(CONFIGURACOES!$I$37:$I$300,MATCH($I1684,CONFIGURACOES!$B$37:$B$300,0)),"")</f>
        <v/>
      </c>
      <c r="N1684" s="21" t="n"/>
      <c r="O1684" s="21" t="n"/>
      <c r="P1684" s="21" t="n"/>
      <c r="Q1684" s="21" t="n"/>
      <c r="R1684" s="21">
        <f>IF($N1684="","",$N1684*IF($Q1684="",1,$Q1684)*IF($P1684="",1,$P1684)*IF($O1684="",1,$O1684))</f>
        <v/>
      </c>
      <c r="S1684" s="22">
        <f>IFERROR(INDEX(CONFIGURACOES!$J$37:$J$300,MATCH($I1684,CONFIGURACOES!$B$37:$B$300,0)),"")</f>
        <v/>
      </c>
      <c r="T1684" s="22">
        <f>IF(OR($R1684="",$S1684=""),"",$R1684*$S1684)</f>
        <v/>
      </c>
      <c r="U1684" s="20" t="n"/>
      <c r="V1684" s="20" t="n"/>
      <c r="W1684" s="20" t="n"/>
      <c r="X1684">
        <f>IF($A1684="","",$A1684&amp;"|"&amp;$C1684&amp;"|"&amp;$I1684)</f>
        <v/>
      </c>
      <c r="Y1684">
        <f>IF(AND($A1684=RELATORIO_MEDICAO!$C$5,$C1684=RELATORIO_MEDICAO!$F$5,$A1684&lt;&gt;""),COUNTIFS($A$3:$A1684,RELATORIO_MEDICAO!$C$5,$C$3:$C1684,RELATORIO_MEDICAO!$F$5),"")</f>
        <v/>
      </c>
      <c r="Z1684">
        <f>IF(OR($A1684="",PESQUISA!$C$4=""),0,IF(OR(ISNUMBER(SEARCH(PESQUISA!$C$4,$G1684)),ISNUMBER(SEARCH(PESQUISA!$C$4,$K1684)),ISNUMBER(SEARCH(PESQUISA!$C$4,$L1684))),1,0))</f>
        <v/>
      </c>
      <c r="AA1684">
        <f>IF($Z1684=1,SUM($Z$3:$Z1684),"")</f>
        <v/>
      </c>
      <c r="AB1684">
        <f>IF(OR($A1684="",PESQUISA!$C$50=""),0,IF(ISNUMBER(SEARCH(PESQUISA!$C$50,$I1684)),1,0))</f>
        <v/>
      </c>
      <c r="AC1684">
        <f>IF($AB1684=1,SUM($AB$3:$AB1684),"")</f>
        <v/>
      </c>
    </row>
    <row r="1685">
      <c r="A1685" s="20" t="n"/>
      <c r="B1685" s="20" t="n"/>
      <c r="C1685" s="20" t="n"/>
      <c r="D1685" s="20" t="n"/>
      <c r="E1685" s="20" t="n"/>
      <c r="F1685" s="20" t="n"/>
      <c r="G1685" s="20" t="n"/>
      <c r="H1685" s="20" t="n"/>
      <c r="I1685" s="20" t="n"/>
      <c r="J1685" s="20">
        <f>IFERROR(INDEX(CONFIGURACOES!$G$37:$G$300,MATCH($I1685,CONFIGURACOES!$B$37:$B$300,0)),"")</f>
        <v/>
      </c>
      <c r="K1685" s="20">
        <f>IFERROR(INDEX(CONFIGURACOES!$H$37:$H$300,MATCH($I1685,CONFIGURACOES!$B$37:$B$300,0)),"")</f>
        <v/>
      </c>
      <c r="L1685" s="20" t="n"/>
      <c r="M1685" s="20">
        <f>IFERROR(INDEX(CONFIGURACOES!$I$37:$I$300,MATCH($I1685,CONFIGURACOES!$B$37:$B$300,0)),"")</f>
        <v/>
      </c>
      <c r="N1685" s="21" t="n"/>
      <c r="O1685" s="21" t="n"/>
      <c r="P1685" s="21" t="n"/>
      <c r="Q1685" s="21" t="n"/>
      <c r="R1685" s="21">
        <f>IF($N1685="","",$N1685*IF($Q1685="",1,$Q1685)*IF($P1685="",1,$P1685)*IF($O1685="",1,$O1685))</f>
        <v/>
      </c>
      <c r="S1685" s="22">
        <f>IFERROR(INDEX(CONFIGURACOES!$J$37:$J$300,MATCH($I1685,CONFIGURACOES!$B$37:$B$300,0)),"")</f>
        <v/>
      </c>
      <c r="T1685" s="22">
        <f>IF(OR($R1685="",$S1685=""),"",$R1685*$S1685)</f>
        <v/>
      </c>
      <c r="U1685" s="20" t="n"/>
      <c r="V1685" s="20" t="n"/>
      <c r="W1685" s="20" t="n"/>
      <c r="X1685">
        <f>IF($A1685="","",$A1685&amp;"|"&amp;$C1685&amp;"|"&amp;$I1685)</f>
        <v/>
      </c>
      <c r="Y1685">
        <f>IF(AND($A1685=RELATORIO_MEDICAO!$C$5,$C1685=RELATORIO_MEDICAO!$F$5,$A1685&lt;&gt;""),COUNTIFS($A$3:$A1685,RELATORIO_MEDICAO!$C$5,$C$3:$C1685,RELATORIO_MEDICAO!$F$5),"")</f>
        <v/>
      </c>
      <c r="Z1685">
        <f>IF(OR($A1685="",PESQUISA!$C$4=""),0,IF(OR(ISNUMBER(SEARCH(PESQUISA!$C$4,$G1685)),ISNUMBER(SEARCH(PESQUISA!$C$4,$K1685)),ISNUMBER(SEARCH(PESQUISA!$C$4,$L1685))),1,0))</f>
        <v/>
      </c>
      <c r="AA1685">
        <f>IF($Z1685=1,SUM($Z$3:$Z1685),"")</f>
        <v/>
      </c>
      <c r="AB1685">
        <f>IF(OR($A1685="",PESQUISA!$C$50=""),0,IF(ISNUMBER(SEARCH(PESQUISA!$C$50,$I1685)),1,0))</f>
        <v/>
      </c>
      <c r="AC1685">
        <f>IF($AB1685=1,SUM($AB$3:$AB1685),"")</f>
        <v/>
      </c>
    </row>
    <row r="1686">
      <c r="A1686" s="20" t="n"/>
      <c r="B1686" s="20" t="n"/>
      <c r="C1686" s="20" t="n"/>
      <c r="D1686" s="20" t="n"/>
      <c r="E1686" s="20" t="n"/>
      <c r="F1686" s="20" t="n"/>
      <c r="G1686" s="20" t="n"/>
      <c r="H1686" s="20" t="n"/>
      <c r="I1686" s="20" t="n"/>
      <c r="J1686" s="20">
        <f>IFERROR(INDEX(CONFIGURACOES!$G$37:$G$300,MATCH($I1686,CONFIGURACOES!$B$37:$B$300,0)),"")</f>
        <v/>
      </c>
      <c r="K1686" s="20">
        <f>IFERROR(INDEX(CONFIGURACOES!$H$37:$H$300,MATCH($I1686,CONFIGURACOES!$B$37:$B$300,0)),"")</f>
        <v/>
      </c>
      <c r="L1686" s="20" t="n"/>
      <c r="M1686" s="20">
        <f>IFERROR(INDEX(CONFIGURACOES!$I$37:$I$300,MATCH($I1686,CONFIGURACOES!$B$37:$B$300,0)),"")</f>
        <v/>
      </c>
      <c r="N1686" s="21" t="n"/>
      <c r="O1686" s="21" t="n"/>
      <c r="P1686" s="21" t="n"/>
      <c r="Q1686" s="21" t="n"/>
      <c r="R1686" s="21">
        <f>IF($N1686="","",$N1686*IF($Q1686="",1,$Q1686)*IF($P1686="",1,$P1686)*IF($O1686="",1,$O1686))</f>
        <v/>
      </c>
      <c r="S1686" s="22">
        <f>IFERROR(INDEX(CONFIGURACOES!$J$37:$J$300,MATCH($I1686,CONFIGURACOES!$B$37:$B$300,0)),"")</f>
        <v/>
      </c>
      <c r="T1686" s="22">
        <f>IF(OR($R1686="",$S1686=""),"",$R1686*$S1686)</f>
        <v/>
      </c>
      <c r="U1686" s="20" t="n"/>
      <c r="V1686" s="20" t="n"/>
      <c r="W1686" s="20" t="n"/>
      <c r="X1686">
        <f>IF($A1686="","",$A1686&amp;"|"&amp;$C1686&amp;"|"&amp;$I1686)</f>
        <v/>
      </c>
      <c r="Y1686">
        <f>IF(AND($A1686=RELATORIO_MEDICAO!$C$5,$C1686=RELATORIO_MEDICAO!$F$5,$A1686&lt;&gt;""),COUNTIFS($A$3:$A1686,RELATORIO_MEDICAO!$C$5,$C$3:$C1686,RELATORIO_MEDICAO!$F$5),"")</f>
        <v/>
      </c>
      <c r="Z1686">
        <f>IF(OR($A1686="",PESQUISA!$C$4=""),0,IF(OR(ISNUMBER(SEARCH(PESQUISA!$C$4,$G1686)),ISNUMBER(SEARCH(PESQUISA!$C$4,$K1686)),ISNUMBER(SEARCH(PESQUISA!$C$4,$L1686))),1,0))</f>
        <v/>
      </c>
      <c r="AA1686">
        <f>IF($Z1686=1,SUM($Z$3:$Z1686),"")</f>
        <v/>
      </c>
      <c r="AB1686">
        <f>IF(OR($A1686="",PESQUISA!$C$50=""),0,IF(ISNUMBER(SEARCH(PESQUISA!$C$50,$I1686)),1,0))</f>
        <v/>
      </c>
      <c r="AC1686">
        <f>IF($AB1686=1,SUM($AB$3:$AB1686),"")</f>
        <v/>
      </c>
    </row>
    <row r="1687">
      <c r="A1687" s="20" t="n"/>
      <c r="B1687" s="20" t="n"/>
      <c r="C1687" s="20" t="n"/>
      <c r="D1687" s="20" t="n"/>
      <c r="E1687" s="20" t="n"/>
      <c r="F1687" s="20" t="n"/>
      <c r="G1687" s="20" t="n"/>
      <c r="H1687" s="20" t="n"/>
      <c r="I1687" s="20" t="n"/>
      <c r="J1687" s="20">
        <f>IFERROR(INDEX(CONFIGURACOES!$G$37:$G$300,MATCH($I1687,CONFIGURACOES!$B$37:$B$300,0)),"")</f>
        <v/>
      </c>
      <c r="K1687" s="20">
        <f>IFERROR(INDEX(CONFIGURACOES!$H$37:$H$300,MATCH($I1687,CONFIGURACOES!$B$37:$B$300,0)),"")</f>
        <v/>
      </c>
      <c r="L1687" s="20" t="n"/>
      <c r="M1687" s="20">
        <f>IFERROR(INDEX(CONFIGURACOES!$I$37:$I$300,MATCH($I1687,CONFIGURACOES!$B$37:$B$300,0)),"")</f>
        <v/>
      </c>
      <c r="N1687" s="21" t="n"/>
      <c r="O1687" s="21" t="n"/>
      <c r="P1687" s="21" t="n"/>
      <c r="Q1687" s="21" t="n"/>
      <c r="R1687" s="21">
        <f>IF($N1687="","",$N1687*IF($Q1687="",1,$Q1687)*IF($P1687="",1,$P1687)*IF($O1687="",1,$O1687))</f>
        <v/>
      </c>
      <c r="S1687" s="22">
        <f>IFERROR(INDEX(CONFIGURACOES!$J$37:$J$300,MATCH($I1687,CONFIGURACOES!$B$37:$B$300,0)),"")</f>
        <v/>
      </c>
      <c r="T1687" s="22">
        <f>IF(OR($R1687="",$S1687=""),"",$R1687*$S1687)</f>
        <v/>
      </c>
      <c r="U1687" s="20" t="n"/>
      <c r="V1687" s="20" t="n"/>
      <c r="W1687" s="20" t="n"/>
      <c r="X1687">
        <f>IF($A1687="","",$A1687&amp;"|"&amp;$C1687&amp;"|"&amp;$I1687)</f>
        <v/>
      </c>
      <c r="Y1687">
        <f>IF(AND($A1687=RELATORIO_MEDICAO!$C$5,$C1687=RELATORIO_MEDICAO!$F$5,$A1687&lt;&gt;""),COUNTIFS($A$3:$A1687,RELATORIO_MEDICAO!$C$5,$C$3:$C1687,RELATORIO_MEDICAO!$F$5),"")</f>
        <v/>
      </c>
      <c r="Z1687">
        <f>IF(OR($A1687="",PESQUISA!$C$4=""),0,IF(OR(ISNUMBER(SEARCH(PESQUISA!$C$4,$G1687)),ISNUMBER(SEARCH(PESQUISA!$C$4,$K1687)),ISNUMBER(SEARCH(PESQUISA!$C$4,$L1687))),1,0))</f>
        <v/>
      </c>
      <c r="AA1687">
        <f>IF($Z1687=1,SUM($Z$3:$Z1687),"")</f>
        <v/>
      </c>
      <c r="AB1687">
        <f>IF(OR($A1687="",PESQUISA!$C$50=""),0,IF(ISNUMBER(SEARCH(PESQUISA!$C$50,$I1687)),1,0))</f>
        <v/>
      </c>
      <c r="AC1687">
        <f>IF($AB1687=1,SUM($AB$3:$AB1687),"")</f>
        <v/>
      </c>
    </row>
    <row r="1688">
      <c r="A1688" s="20" t="n"/>
      <c r="B1688" s="20" t="n"/>
      <c r="C1688" s="20" t="n"/>
      <c r="D1688" s="20" t="n"/>
      <c r="E1688" s="20" t="n"/>
      <c r="F1688" s="20" t="n"/>
      <c r="G1688" s="20" t="n"/>
      <c r="H1688" s="20" t="n"/>
      <c r="I1688" s="20" t="n"/>
      <c r="J1688" s="20">
        <f>IFERROR(INDEX(CONFIGURACOES!$G$37:$G$300,MATCH($I1688,CONFIGURACOES!$B$37:$B$300,0)),"")</f>
        <v/>
      </c>
      <c r="K1688" s="20">
        <f>IFERROR(INDEX(CONFIGURACOES!$H$37:$H$300,MATCH($I1688,CONFIGURACOES!$B$37:$B$300,0)),"")</f>
        <v/>
      </c>
      <c r="L1688" s="20" t="n"/>
      <c r="M1688" s="20">
        <f>IFERROR(INDEX(CONFIGURACOES!$I$37:$I$300,MATCH($I1688,CONFIGURACOES!$B$37:$B$300,0)),"")</f>
        <v/>
      </c>
      <c r="N1688" s="21" t="n"/>
      <c r="O1688" s="21" t="n"/>
      <c r="P1688" s="21" t="n"/>
      <c r="Q1688" s="21" t="n"/>
      <c r="R1688" s="21">
        <f>IF($N1688="","",$N1688*IF($Q1688="",1,$Q1688)*IF($P1688="",1,$P1688)*IF($O1688="",1,$O1688))</f>
        <v/>
      </c>
      <c r="S1688" s="22">
        <f>IFERROR(INDEX(CONFIGURACOES!$J$37:$J$300,MATCH($I1688,CONFIGURACOES!$B$37:$B$300,0)),"")</f>
        <v/>
      </c>
      <c r="T1688" s="22">
        <f>IF(OR($R1688="",$S1688=""),"",$R1688*$S1688)</f>
        <v/>
      </c>
      <c r="U1688" s="20" t="n"/>
      <c r="V1688" s="20" t="n"/>
      <c r="W1688" s="20" t="n"/>
      <c r="X1688">
        <f>IF($A1688="","",$A1688&amp;"|"&amp;$C1688&amp;"|"&amp;$I1688)</f>
        <v/>
      </c>
      <c r="Y1688">
        <f>IF(AND($A1688=RELATORIO_MEDICAO!$C$5,$C1688=RELATORIO_MEDICAO!$F$5,$A1688&lt;&gt;""),COUNTIFS($A$3:$A1688,RELATORIO_MEDICAO!$C$5,$C$3:$C1688,RELATORIO_MEDICAO!$F$5),"")</f>
        <v/>
      </c>
      <c r="Z1688">
        <f>IF(OR($A1688="",PESQUISA!$C$4=""),0,IF(OR(ISNUMBER(SEARCH(PESQUISA!$C$4,$G1688)),ISNUMBER(SEARCH(PESQUISA!$C$4,$K1688)),ISNUMBER(SEARCH(PESQUISA!$C$4,$L1688))),1,0))</f>
        <v/>
      </c>
      <c r="AA1688">
        <f>IF($Z1688=1,SUM($Z$3:$Z1688),"")</f>
        <v/>
      </c>
      <c r="AB1688">
        <f>IF(OR($A1688="",PESQUISA!$C$50=""),0,IF(ISNUMBER(SEARCH(PESQUISA!$C$50,$I1688)),1,0))</f>
        <v/>
      </c>
      <c r="AC1688">
        <f>IF($AB1688=1,SUM($AB$3:$AB1688),"")</f>
        <v/>
      </c>
    </row>
    <row r="1689">
      <c r="A1689" s="20" t="n"/>
      <c r="B1689" s="20" t="n"/>
      <c r="C1689" s="20" t="n"/>
      <c r="D1689" s="20" t="n"/>
      <c r="E1689" s="20" t="n"/>
      <c r="F1689" s="20" t="n"/>
      <c r="G1689" s="20" t="n"/>
      <c r="H1689" s="20" t="n"/>
      <c r="I1689" s="20" t="n"/>
      <c r="J1689" s="20">
        <f>IFERROR(INDEX(CONFIGURACOES!$G$37:$G$300,MATCH($I1689,CONFIGURACOES!$B$37:$B$300,0)),"")</f>
        <v/>
      </c>
      <c r="K1689" s="20">
        <f>IFERROR(INDEX(CONFIGURACOES!$H$37:$H$300,MATCH($I1689,CONFIGURACOES!$B$37:$B$300,0)),"")</f>
        <v/>
      </c>
      <c r="L1689" s="20" t="n"/>
      <c r="M1689" s="20">
        <f>IFERROR(INDEX(CONFIGURACOES!$I$37:$I$300,MATCH($I1689,CONFIGURACOES!$B$37:$B$300,0)),"")</f>
        <v/>
      </c>
      <c r="N1689" s="21" t="n"/>
      <c r="O1689" s="21" t="n"/>
      <c r="P1689" s="21" t="n"/>
      <c r="Q1689" s="21" t="n"/>
      <c r="R1689" s="21">
        <f>IF($N1689="","",$N1689*IF($Q1689="",1,$Q1689)*IF($P1689="",1,$P1689)*IF($O1689="",1,$O1689))</f>
        <v/>
      </c>
      <c r="S1689" s="22">
        <f>IFERROR(INDEX(CONFIGURACOES!$J$37:$J$300,MATCH($I1689,CONFIGURACOES!$B$37:$B$300,0)),"")</f>
        <v/>
      </c>
      <c r="T1689" s="22">
        <f>IF(OR($R1689="",$S1689=""),"",$R1689*$S1689)</f>
        <v/>
      </c>
      <c r="U1689" s="20" t="n"/>
      <c r="V1689" s="20" t="n"/>
      <c r="W1689" s="20" t="n"/>
      <c r="X1689">
        <f>IF($A1689="","",$A1689&amp;"|"&amp;$C1689&amp;"|"&amp;$I1689)</f>
        <v/>
      </c>
      <c r="Y1689">
        <f>IF(AND($A1689=RELATORIO_MEDICAO!$C$5,$C1689=RELATORIO_MEDICAO!$F$5,$A1689&lt;&gt;""),COUNTIFS($A$3:$A1689,RELATORIO_MEDICAO!$C$5,$C$3:$C1689,RELATORIO_MEDICAO!$F$5),"")</f>
        <v/>
      </c>
      <c r="Z1689">
        <f>IF(OR($A1689="",PESQUISA!$C$4=""),0,IF(OR(ISNUMBER(SEARCH(PESQUISA!$C$4,$G1689)),ISNUMBER(SEARCH(PESQUISA!$C$4,$K1689)),ISNUMBER(SEARCH(PESQUISA!$C$4,$L1689))),1,0))</f>
        <v/>
      </c>
      <c r="AA1689">
        <f>IF($Z1689=1,SUM($Z$3:$Z1689),"")</f>
        <v/>
      </c>
      <c r="AB1689">
        <f>IF(OR($A1689="",PESQUISA!$C$50=""),0,IF(ISNUMBER(SEARCH(PESQUISA!$C$50,$I1689)),1,0))</f>
        <v/>
      </c>
      <c r="AC1689">
        <f>IF($AB1689=1,SUM($AB$3:$AB1689),"")</f>
        <v/>
      </c>
    </row>
    <row r="1690">
      <c r="A1690" s="20" t="n"/>
      <c r="B1690" s="20" t="n"/>
      <c r="C1690" s="20" t="n"/>
      <c r="D1690" s="20" t="n"/>
      <c r="E1690" s="20" t="n"/>
      <c r="F1690" s="20" t="n"/>
      <c r="G1690" s="20" t="n"/>
      <c r="H1690" s="20" t="n"/>
      <c r="I1690" s="20" t="n"/>
      <c r="J1690" s="20">
        <f>IFERROR(INDEX(CONFIGURACOES!$G$37:$G$300,MATCH($I1690,CONFIGURACOES!$B$37:$B$300,0)),"")</f>
        <v/>
      </c>
      <c r="K1690" s="20">
        <f>IFERROR(INDEX(CONFIGURACOES!$H$37:$H$300,MATCH($I1690,CONFIGURACOES!$B$37:$B$300,0)),"")</f>
        <v/>
      </c>
      <c r="L1690" s="20" t="n"/>
      <c r="M1690" s="20">
        <f>IFERROR(INDEX(CONFIGURACOES!$I$37:$I$300,MATCH($I1690,CONFIGURACOES!$B$37:$B$300,0)),"")</f>
        <v/>
      </c>
      <c r="N1690" s="21" t="n"/>
      <c r="O1690" s="21" t="n"/>
      <c r="P1690" s="21" t="n"/>
      <c r="Q1690" s="21" t="n"/>
      <c r="R1690" s="21">
        <f>IF($N1690="","",$N1690*IF($Q1690="",1,$Q1690)*IF($P1690="",1,$P1690)*IF($O1690="",1,$O1690))</f>
        <v/>
      </c>
      <c r="S1690" s="22">
        <f>IFERROR(INDEX(CONFIGURACOES!$J$37:$J$300,MATCH($I1690,CONFIGURACOES!$B$37:$B$300,0)),"")</f>
        <v/>
      </c>
      <c r="T1690" s="22">
        <f>IF(OR($R1690="",$S1690=""),"",$R1690*$S1690)</f>
        <v/>
      </c>
      <c r="U1690" s="20" t="n"/>
      <c r="V1690" s="20" t="n"/>
      <c r="W1690" s="20" t="n"/>
      <c r="X1690">
        <f>IF($A1690="","",$A1690&amp;"|"&amp;$C1690&amp;"|"&amp;$I1690)</f>
        <v/>
      </c>
      <c r="Y1690">
        <f>IF(AND($A1690=RELATORIO_MEDICAO!$C$5,$C1690=RELATORIO_MEDICAO!$F$5,$A1690&lt;&gt;""),COUNTIFS($A$3:$A1690,RELATORIO_MEDICAO!$C$5,$C$3:$C1690,RELATORIO_MEDICAO!$F$5),"")</f>
        <v/>
      </c>
      <c r="Z1690">
        <f>IF(OR($A1690="",PESQUISA!$C$4=""),0,IF(OR(ISNUMBER(SEARCH(PESQUISA!$C$4,$G1690)),ISNUMBER(SEARCH(PESQUISA!$C$4,$K1690)),ISNUMBER(SEARCH(PESQUISA!$C$4,$L1690))),1,0))</f>
        <v/>
      </c>
      <c r="AA1690">
        <f>IF($Z1690=1,SUM($Z$3:$Z1690),"")</f>
        <v/>
      </c>
      <c r="AB1690">
        <f>IF(OR($A1690="",PESQUISA!$C$50=""),0,IF(ISNUMBER(SEARCH(PESQUISA!$C$50,$I1690)),1,0))</f>
        <v/>
      </c>
      <c r="AC1690">
        <f>IF($AB1690=1,SUM($AB$3:$AB1690),"")</f>
        <v/>
      </c>
    </row>
    <row r="1691">
      <c r="A1691" s="20" t="n"/>
      <c r="B1691" s="20" t="n"/>
      <c r="C1691" s="20" t="n"/>
      <c r="D1691" s="20" t="n"/>
      <c r="E1691" s="20" t="n"/>
      <c r="F1691" s="20" t="n"/>
      <c r="G1691" s="20" t="n"/>
      <c r="H1691" s="20" t="n"/>
      <c r="I1691" s="20" t="n"/>
      <c r="J1691" s="20">
        <f>IFERROR(INDEX(CONFIGURACOES!$G$37:$G$300,MATCH($I1691,CONFIGURACOES!$B$37:$B$300,0)),"")</f>
        <v/>
      </c>
      <c r="K1691" s="20">
        <f>IFERROR(INDEX(CONFIGURACOES!$H$37:$H$300,MATCH($I1691,CONFIGURACOES!$B$37:$B$300,0)),"")</f>
        <v/>
      </c>
      <c r="L1691" s="20" t="n"/>
      <c r="M1691" s="20">
        <f>IFERROR(INDEX(CONFIGURACOES!$I$37:$I$300,MATCH($I1691,CONFIGURACOES!$B$37:$B$300,0)),"")</f>
        <v/>
      </c>
      <c r="N1691" s="21" t="n"/>
      <c r="O1691" s="21" t="n"/>
      <c r="P1691" s="21" t="n"/>
      <c r="Q1691" s="21" t="n"/>
      <c r="R1691" s="21">
        <f>IF($N1691="","",$N1691*IF($Q1691="",1,$Q1691)*IF($P1691="",1,$P1691)*IF($O1691="",1,$O1691))</f>
        <v/>
      </c>
      <c r="S1691" s="22">
        <f>IFERROR(INDEX(CONFIGURACOES!$J$37:$J$300,MATCH($I1691,CONFIGURACOES!$B$37:$B$300,0)),"")</f>
        <v/>
      </c>
      <c r="T1691" s="22">
        <f>IF(OR($R1691="",$S1691=""),"",$R1691*$S1691)</f>
        <v/>
      </c>
      <c r="U1691" s="20" t="n"/>
      <c r="V1691" s="20" t="n"/>
      <c r="W1691" s="20" t="n"/>
      <c r="X1691">
        <f>IF($A1691="","",$A1691&amp;"|"&amp;$C1691&amp;"|"&amp;$I1691)</f>
        <v/>
      </c>
      <c r="Y1691">
        <f>IF(AND($A1691=RELATORIO_MEDICAO!$C$5,$C1691=RELATORIO_MEDICAO!$F$5,$A1691&lt;&gt;""),COUNTIFS($A$3:$A1691,RELATORIO_MEDICAO!$C$5,$C$3:$C1691,RELATORIO_MEDICAO!$F$5),"")</f>
        <v/>
      </c>
      <c r="Z1691">
        <f>IF(OR($A1691="",PESQUISA!$C$4=""),0,IF(OR(ISNUMBER(SEARCH(PESQUISA!$C$4,$G1691)),ISNUMBER(SEARCH(PESQUISA!$C$4,$K1691)),ISNUMBER(SEARCH(PESQUISA!$C$4,$L1691))),1,0))</f>
        <v/>
      </c>
      <c r="AA1691">
        <f>IF($Z1691=1,SUM($Z$3:$Z1691),"")</f>
        <v/>
      </c>
      <c r="AB1691">
        <f>IF(OR($A1691="",PESQUISA!$C$50=""),0,IF(ISNUMBER(SEARCH(PESQUISA!$C$50,$I1691)),1,0))</f>
        <v/>
      </c>
      <c r="AC1691">
        <f>IF($AB1691=1,SUM($AB$3:$AB1691),"")</f>
        <v/>
      </c>
    </row>
    <row r="1692">
      <c r="A1692" s="20" t="n"/>
      <c r="B1692" s="20" t="n"/>
      <c r="C1692" s="20" t="n"/>
      <c r="D1692" s="20" t="n"/>
      <c r="E1692" s="20" t="n"/>
      <c r="F1692" s="20" t="n"/>
      <c r="G1692" s="20" t="n"/>
      <c r="H1692" s="20" t="n"/>
      <c r="I1692" s="20" t="n"/>
      <c r="J1692" s="20">
        <f>IFERROR(INDEX(CONFIGURACOES!$G$37:$G$300,MATCH($I1692,CONFIGURACOES!$B$37:$B$300,0)),"")</f>
        <v/>
      </c>
      <c r="K1692" s="20">
        <f>IFERROR(INDEX(CONFIGURACOES!$H$37:$H$300,MATCH($I1692,CONFIGURACOES!$B$37:$B$300,0)),"")</f>
        <v/>
      </c>
      <c r="L1692" s="20" t="n"/>
      <c r="M1692" s="20">
        <f>IFERROR(INDEX(CONFIGURACOES!$I$37:$I$300,MATCH($I1692,CONFIGURACOES!$B$37:$B$300,0)),"")</f>
        <v/>
      </c>
      <c r="N1692" s="21" t="n"/>
      <c r="O1692" s="21" t="n"/>
      <c r="P1692" s="21" t="n"/>
      <c r="Q1692" s="21" t="n"/>
      <c r="R1692" s="21">
        <f>IF($N1692="","",$N1692*IF($Q1692="",1,$Q1692)*IF($P1692="",1,$P1692)*IF($O1692="",1,$O1692))</f>
        <v/>
      </c>
      <c r="S1692" s="22">
        <f>IFERROR(INDEX(CONFIGURACOES!$J$37:$J$300,MATCH($I1692,CONFIGURACOES!$B$37:$B$300,0)),"")</f>
        <v/>
      </c>
      <c r="T1692" s="22">
        <f>IF(OR($R1692="",$S1692=""),"",$R1692*$S1692)</f>
        <v/>
      </c>
      <c r="U1692" s="20" t="n"/>
      <c r="V1692" s="20" t="n"/>
      <c r="W1692" s="20" t="n"/>
      <c r="X1692">
        <f>IF($A1692="","",$A1692&amp;"|"&amp;$C1692&amp;"|"&amp;$I1692)</f>
        <v/>
      </c>
      <c r="Y1692">
        <f>IF(AND($A1692=RELATORIO_MEDICAO!$C$5,$C1692=RELATORIO_MEDICAO!$F$5,$A1692&lt;&gt;""),COUNTIFS($A$3:$A1692,RELATORIO_MEDICAO!$C$5,$C$3:$C1692,RELATORIO_MEDICAO!$F$5),"")</f>
        <v/>
      </c>
      <c r="Z1692">
        <f>IF(OR($A1692="",PESQUISA!$C$4=""),0,IF(OR(ISNUMBER(SEARCH(PESQUISA!$C$4,$G1692)),ISNUMBER(SEARCH(PESQUISA!$C$4,$K1692)),ISNUMBER(SEARCH(PESQUISA!$C$4,$L1692))),1,0))</f>
        <v/>
      </c>
      <c r="AA1692">
        <f>IF($Z1692=1,SUM($Z$3:$Z1692),"")</f>
        <v/>
      </c>
      <c r="AB1692">
        <f>IF(OR($A1692="",PESQUISA!$C$50=""),0,IF(ISNUMBER(SEARCH(PESQUISA!$C$50,$I1692)),1,0))</f>
        <v/>
      </c>
      <c r="AC1692">
        <f>IF($AB1692=1,SUM($AB$3:$AB1692),"")</f>
        <v/>
      </c>
    </row>
    <row r="1693">
      <c r="A1693" s="20" t="n"/>
      <c r="B1693" s="20" t="n"/>
      <c r="C1693" s="20" t="n"/>
      <c r="D1693" s="20" t="n"/>
      <c r="E1693" s="20" t="n"/>
      <c r="F1693" s="20" t="n"/>
      <c r="G1693" s="20" t="n"/>
      <c r="H1693" s="20" t="n"/>
      <c r="I1693" s="20" t="n"/>
      <c r="J1693" s="20">
        <f>IFERROR(INDEX(CONFIGURACOES!$G$37:$G$300,MATCH($I1693,CONFIGURACOES!$B$37:$B$300,0)),"")</f>
        <v/>
      </c>
      <c r="K1693" s="20">
        <f>IFERROR(INDEX(CONFIGURACOES!$H$37:$H$300,MATCH($I1693,CONFIGURACOES!$B$37:$B$300,0)),"")</f>
        <v/>
      </c>
      <c r="L1693" s="20" t="n"/>
      <c r="M1693" s="20">
        <f>IFERROR(INDEX(CONFIGURACOES!$I$37:$I$300,MATCH($I1693,CONFIGURACOES!$B$37:$B$300,0)),"")</f>
        <v/>
      </c>
      <c r="N1693" s="21" t="n"/>
      <c r="O1693" s="21" t="n"/>
      <c r="P1693" s="21" t="n"/>
      <c r="Q1693" s="21" t="n"/>
      <c r="R1693" s="21">
        <f>IF($N1693="","",$N1693*IF($Q1693="",1,$Q1693)*IF($P1693="",1,$P1693)*IF($O1693="",1,$O1693))</f>
        <v/>
      </c>
      <c r="S1693" s="22">
        <f>IFERROR(INDEX(CONFIGURACOES!$J$37:$J$300,MATCH($I1693,CONFIGURACOES!$B$37:$B$300,0)),"")</f>
        <v/>
      </c>
      <c r="T1693" s="22">
        <f>IF(OR($R1693="",$S1693=""),"",$R1693*$S1693)</f>
        <v/>
      </c>
      <c r="U1693" s="20" t="n"/>
      <c r="V1693" s="20" t="n"/>
      <c r="W1693" s="20" t="n"/>
      <c r="X1693">
        <f>IF($A1693="","",$A1693&amp;"|"&amp;$C1693&amp;"|"&amp;$I1693)</f>
        <v/>
      </c>
      <c r="Y1693">
        <f>IF(AND($A1693=RELATORIO_MEDICAO!$C$5,$C1693=RELATORIO_MEDICAO!$F$5,$A1693&lt;&gt;""),COUNTIFS($A$3:$A1693,RELATORIO_MEDICAO!$C$5,$C$3:$C1693,RELATORIO_MEDICAO!$F$5),"")</f>
        <v/>
      </c>
      <c r="Z1693">
        <f>IF(OR($A1693="",PESQUISA!$C$4=""),0,IF(OR(ISNUMBER(SEARCH(PESQUISA!$C$4,$G1693)),ISNUMBER(SEARCH(PESQUISA!$C$4,$K1693)),ISNUMBER(SEARCH(PESQUISA!$C$4,$L1693))),1,0))</f>
        <v/>
      </c>
      <c r="AA1693">
        <f>IF($Z1693=1,SUM($Z$3:$Z1693),"")</f>
        <v/>
      </c>
      <c r="AB1693">
        <f>IF(OR($A1693="",PESQUISA!$C$50=""),0,IF(ISNUMBER(SEARCH(PESQUISA!$C$50,$I1693)),1,0))</f>
        <v/>
      </c>
      <c r="AC1693">
        <f>IF($AB1693=1,SUM($AB$3:$AB1693),"")</f>
        <v/>
      </c>
    </row>
    <row r="1694">
      <c r="A1694" s="20" t="n"/>
      <c r="B1694" s="20" t="n"/>
      <c r="C1694" s="20" t="n"/>
      <c r="D1694" s="20" t="n"/>
      <c r="E1694" s="20" t="n"/>
      <c r="F1694" s="20" t="n"/>
      <c r="G1694" s="20" t="n"/>
      <c r="H1694" s="20" t="n"/>
      <c r="I1694" s="20" t="n"/>
      <c r="J1694" s="20">
        <f>IFERROR(INDEX(CONFIGURACOES!$G$37:$G$300,MATCH($I1694,CONFIGURACOES!$B$37:$B$300,0)),"")</f>
        <v/>
      </c>
      <c r="K1694" s="20">
        <f>IFERROR(INDEX(CONFIGURACOES!$H$37:$H$300,MATCH($I1694,CONFIGURACOES!$B$37:$B$300,0)),"")</f>
        <v/>
      </c>
      <c r="L1694" s="20" t="n"/>
      <c r="M1694" s="20">
        <f>IFERROR(INDEX(CONFIGURACOES!$I$37:$I$300,MATCH($I1694,CONFIGURACOES!$B$37:$B$300,0)),"")</f>
        <v/>
      </c>
      <c r="N1694" s="21" t="n"/>
      <c r="O1694" s="21" t="n"/>
      <c r="P1694" s="21" t="n"/>
      <c r="Q1694" s="21" t="n"/>
      <c r="R1694" s="21">
        <f>IF($N1694="","",$N1694*IF($Q1694="",1,$Q1694)*IF($P1694="",1,$P1694)*IF($O1694="",1,$O1694))</f>
        <v/>
      </c>
      <c r="S1694" s="22">
        <f>IFERROR(INDEX(CONFIGURACOES!$J$37:$J$300,MATCH($I1694,CONFIGURACOES!$B$37:$B$300,0)),"")</f>
        <v/>
      </c>
      <c r="T1694" s="22">
        <f>IF(OR($R1694="",$S1694=""),"",$R1694*$S1694)</f>
        <v/>
      </c>
      <c r="U1694" s="20" t="n"/>
      <c r="V1694" s="20" t="n"/>
      <c r="W1694" s="20" t="n"/>
      <c r="X1694">
        <f>IF($A1694="","",$A1694&amp;"|"&amp;$C1694&amp;"|"&amp;$I1694)</f>
        <v/>
      </c>
      <c r="Y1694">
        <f>IF(AND($A1694=RELATORIO_MEDICAO!$C$5,$C1694=RELATORIO_MEDICAO!$F$5,$A1694&lt;&gt;""),COUNTIFS($A$3:$A1694,RELATORIO_MEDICAO!$C$5,$C$3:$C1694,RELATORIO_MEDICAO!$F$5),"")</f>
        <v/>
      </c>
      <c r="Z1694">
        <f>IF(OR($A1694="",PESQUISA!$C$4=""),0,IF(OR(ISNUMBER(SEARCH(PESQUISA!$C$4,$G1694)),ISNUMBER(SEARCH(PESQUISA!$C$4,$K1694)),ISNUMBER(SEARCH(PESQUISA!$C$4,$L1694))),1,0))</f>
        <v/>
      </c>
      <c r="AA1694">
        <f>IF($Z1694=1,SUM($Z$3:$Z1694),"")</f>
        <v/>
      </c>
      <c r="AB1694">
        <f>IF(OR($A1694="",PESQUISA!$C$50=""),0,IF(ISNUMBER(SEARCH(PESQUISA!$C$50,$I1694)),1,0))</f>
        <v/>
      </c>
      <c r="AC1694">
        <f>IF($AB1694=1,SUM($AB$3:$AB1694),"")</f>
        <v/>
      </c>
    </row>
    <row r="1695">
      <c r="A1695" s="20" t="n"/>
      <c r="B1695" s="20" t="n"/>
      <c r="C1695" s="20" t="n"/>
      <c r="D1695" s="20" t="n"/>
      <c r="E1695" s="20" t="n"/>
      <c r="F1695" s="20" t="n"/>
      <c r="G1695" s="20" t="n"/>
      <c r="H1695" s="20" t="n"/>
      <c r="I1695" s="20" t="n"/>
      <c r="J1695" s="20">
        <f>IFERROR(INDEX(CONFIGURACOES!$G$37:$G$300,MATCH($I1695,CONFIGURACOES!$B$37:$B$300,0)),"")</f>
        <v/>
      </c>
      <c r="K1695" s="20">
        <f>IFERROR(INDEX(CONFIGURACOES!$H$37:$H$300,MATCH($I1695,CONFIGURACOES!$B$37:$B$300,0)),"")</f>
        <v/>
      </c>
      <c r="L1695" s="20" t="n"/>
      <c r="M1695" s="20">
        <f>IFERROR(INDEX(CONFIGURACOES!$I$37:$I$300,MATCH($I1695,CONFIGURACOES!$B$37:$B$300,0)),"")</f>
        <v/>
      </c>
      <c r="N1695" s="21" t="n"/>
      <c r="O1695" s="21" t="n"/>
      <c r="P1695" s="21" t="n"/>
      <c r="Q1695" s="21" t="n"/>
      <c r="R1695" s="21">
        <f>IF($N1695="","",$N1695*IF($Q1695="",1,$Q1695)*IF($P1695="",1,$P1695)*IF($O1695="",1,$O1695))</f>
        <v/>
      </c>
      <c r="S1695" s="22">
        <f>IFERROR(INDEX(CONFIGURACOES!$J$37:$J$300,MATCH($I1695,CONFIGURACOES!$B$37:$B$300,0)),"")</f>
        <v/>
      </c>
      <c r="T1695" s="22">
        <f>IF(OR($R1695="",$S1695=""),"",$R1695*$S1695)</f>
        <v/>
      </c>
      <c r="U1695" s="20" t="n"/>
      <c r="V1695" s="20" t="n"/>
      <c r="W1695" s="20" t="n"/>
      <c r="X1695">
        <f>IF($A1695="","",$A1695&amp;"|"&amp;$C1695&amp;"|"&amp;$I1695)</f>
        <v/>
      </c>
      <c r="Y1695">
        <f>IF(AND($A1695=RELATORIO_MEDICAO!$C$5,$C1695=RELATORIO_MEDICAO!$F$5,$A1695&lt;&gt;""),COUNTIFS($A$3:$A1695,RELATORIO_MEDICAO!$C$5,$C$3:$C1695,RELATORIO_MEDICAO!$F$5),"")</f>
        <v/>
      </c>
      <c r="Z1695">
        <f>IF(OR($A1695="",PESQUISA!$C$4=""),0,IF(OR(ISNUMBER(SEARCH(PESQUISA!$C$4,$G1695)),ISNUMBER(SEARCH(PESQUISA!$C$4,$K1695)),ISNUMBER(SEARCH(PESQUISA!$C$4,$L1695))),1,0))</f>
        <v/>
      </c>
      <c r="AA1695">
        <f>IF($Z1695=1,SUM($Z$3:$Z1695),"")</f>
        <v/>
      </c>
      <c r="AB1695">
        <f>IF(OR($A1695="",PESQUISA!$C$50=""),0,IF(ISNUMBER(SEARCH(PESQUISA!$C$50,$I1695)),1,0))</f>
        <v/>
      </c>
      <c r="AC1695">
        <f>IF($AB1695=1,SUM($AB$3:$AB1695),"")</f>
        <v/>
      </c>
    </row>
    <row r="1696">
      <c r="A1696" s="20" t="n"/>
      <c r="B1696" s="20" t="n"/>
      <c r="C1696" s="20" t="n"/>
      <c r="D1696" s="20" t="n"/>
      <c r="E1696" s="20" t="n"/>
      <c r="F1696" s="20" t="n"/>
      <c r="G1696" s="20" t="n"/>
      <c r="H1696" s="20" t="n"/>
      <c r="I1696" s="20" t="n"/>
      <c r="J1696" s="20">
        <f>IFERROR(INDEX(CONFIGURACOES!$G$37:$G$300,MATCH($I1696,CONFIGURACOES!$B$37:$B$300,0)),"")</f>
        <v/>
      </c>
      <c r="K1696" s="20">
        <f>IFERROR(INDEX(CONFIGURACOES!$H$37:$H$300,MATCH($I1696,CONFIGURACOES!$B$37:$B$300,0)),"")</f>
        <v/>
      </c>
      <c r="L1696" s="20" t="n"/>
      <c r="M1696" s="20">
        <f>IFERROR(INDEX(CONFIGURACOES!$I$37:$I$300,MATCH($I1696,CONFIGURACOES!$B$37:$B$300,0)),"")</f>
        <v/>
      </c>
      <c r="N1696" s="21" t="n"/>
      <c r="O1696" s="21" t="n"/>
      <c r="P1696" s="21" t="n"/>
      <c r="Q1696" s="21" t="n"/>
      <c r="R1696" s="21">
        <f>IF($N1696="","",$N1696*IF($Q1696="",1,$Q1696)*IF($P1696="",1,$P1696)*IF($O1696="",1,$O1696))</f>
        <v/>
      </c>
      <c r="S1696" s="22">
        <f>IFERROR(INDEX(CONFIGURACOES!$J$37:$J$300,MATCH($I1696,CONFIGURACOES!$B$37:$B$300,0)),"")</f>
        <v/>
      </c>
      <c r="T1696" s="22">
        <f>IF(OR($R1696="",$S1696=""),"",$R1696*$S1696)</f>
        <v/>
      </c>
      <c r="U1696" s="20" t="n"/>
      <c r="V1696" s="20" t="n"/>
      <c r="W1696" s="20" t="n"/>
      <c r="X1696">
        <f>IF($A1696="","",$A1696&amp;"|"&amp;$C1696&amp;"|"&amp;$I1696)</f>
        <v/>
      </c>
      <c r="Y1696">
        <f>IF(AND($A1696=RELATORIO_MEDICAO!$C$5,$C1696=RELATORIO_MEDICAO!$F$5,$A1696&lt;&gt;""),COUNTIFS($A$3:$A1696,RELATORIO_MEDICAO!$C$5,$C$3:$C1696,RELATORIO_MEDICAO!$F$5),"")</f>
        <v/>
      </c>
      <c r="Z1696">
        <f>IF(OR($A1696="",PESQUISA!$C$4=""),0,IF(OR(ISNUMBER(SEARCH(PESQUISA!$C$4,$G1696)),ISNUMBER(SEARCH(PESQUISA!$C$4,$K1696)),ISNUMBER(SEARCH(PESQUISA!$C$4,$L1696))),1,0))</f>
        <v/>
      </c>
      <c r="AA1696">
        <f>IF($Z1696=1,SUM($Z$3:$Z1696),"")</f>
        <v/>
      </c>
      <c r="AB1696">
        <f>IF(OR($A1696="",PESQUISA!$C$50=""),0,IF(ISNUMBER(SEARCH(PESQUISA!$C$50,$I1696)),1,0))</f>
        <v/>
      </c>
      <c r="AC1696">
        <f>IF($AB1696=1,SUM($AB$3:$AB1696),"")</f>
        <v/>
      </c>
    </row>
    <row r="1697">
      <c r="A1697" s="20" t="n"/>
      <c r="B1697" s="20" t="n"/>
      <c r="C1697" s="20" t="n"/>
      <c r="D1697" s="20" t="n"/>
      <c r="E1697" s="20" t="n"/>
      <c r="F1697" s="20" t="n"/>
      <c r="G1697" s="20" t="n"/>
      <c r="H1697" s="20" t="n"/>
      <c r="I1697" s="20" t="n"/>
      <c r="J1697" s="20">
        <f>IFERROR(INDEX(CONFIGURACOES!$G$37:$G$300,MATCH($I1697,CONFIGURACOES!$B$37:$B$300,0)),"")</f>
        <v/>
      </c>
      <c r="K1697" s="20">
        <f>IFERROR(INDEX(CONFIGURACOES!$H$37:$H$300,MATCH($I1697,CONFIGURACOES!$B$37:$B$300,0)),"")</f>
        <v/>
      </c>
      <c r="L1697" s="20" t="n"/>
      <c r="M1697" s="20">
        <f>IFERROR(INDEX(CONFIGURACOES!$I$37:$I$300,MATCH($I1697,CONFIGURACOES!$B$37:$B$300,0)),"")</f>
        <v/>
      </c>
      <c r="N1697" s="21" t="n"/>
      <c r="O1697" s="21" t="n"/>
      <c r="P1697" s="21" t="n"/>
      <c r="Q1697" s="21" t="n"/>
      <c r="R1697" s="21">
        <f>IF($N1697="","",$N1697*IF($Q1697="",1,$Q1697)*IF($P1697="",1,$P1697)*IF($O1697="",1,$O1697))</f>
        <v/>
      </c>
      <c r="S1697" s="22">
        <f>IFERROR(INDEX(CONFIGURACOES!$J$37:$J$300,MATCH($I1697,CONFIGURACOES!$B$37:$B$300,0)),"")</f>
        <v/>
      </c>
      <c r="T1697" s="22">
        <f>IF(OR($R1697="",$S1697=""),"",$R1697*$S1697)</f>
        <v/>
      </c>
      <c r="U1697" s="20" t="n"/>
      <c r="V1697" s="20" t="n"/>
      <c r="W1697" s="20" t="n"/>
      <c r="X1697">
        <f>IF($A1697="","",$A1697&amp;"|"&amp;$C1697&amp;"|"&amp;$I1697)</f>
        <v/>
      </c>
      <c r="Y1697">
        <f>IF(AND($A1697=RELATORIO_MEDICAO!$C$5,$C1697=RELATORIO_MEDICAO!$F$5,$A1697&lt;&gt;""),COUNTIFS($A$3:$A1697,RELATORIO_MEDICAO!$C$5,$C$3:$C1697,RELATORIO_MEDICAO!$F$5),"")</f>
        <v/>
      </c>
      <c r="Z1697">
        <f>IF(OR($A1697="",PESQUISA!$C$4=""),0,IF(OR(ISNUMBER(SEARCH(PESQUISA!$C$4,$G1697)),ISNUMBER(SEARCH(PESQUISA!$C$4,$K1697)),ISNUMBER(SEARCH(PESQUISA!$C$4,$L1697))),1,0))</f>
        <v/>
      </c>
      <c r="AA1697">
        <f>IF($Z1697=1,SUM($Z$3:$Z1697),"")</f>
        <v/>
      </c>
      <c r="AB1697">
        <f>IF(OR($A1697="",PESQUISA!$C$50=""),0,IF(ISNUMBER(SEARCH(PESQUISA!$C$50,$I1697)),1,0))</f>
        <v/>
      </c>
      <c r="AC1697">
        <f>IF($AB1697=1,SUM($AB$3:$AB1697),"")</f>
        <v/>
      </c>
    </row>
    <row r="1698">
      <c r="A1698" s="20" t="n"/>
      <c r="B1698" s="20" t="n"/>
      <c r="C1698" s="20" t="n"/>
      <c r="D1698" s="20" t="n"/>
      <c r="E1698" s="20" t="n"/>
      <c r="F1698" s="20" t="n"/>
      <c r="G1698" s="20" t="n"/>
      <c r="H1698" s="20" t="n"/>
      <c r="I1698" s="20" t="n"/>
      <c r="J1698" s="20">
        <f>IFERROR(INDEX(CONFIGURACOES!$G$37:$G$300,MATCH($I1698,CONFIGURACOES!$B$37:$B$300,0)),"")</f>
        <v/>
      </c>
      <c r="K1698" s="20">
        <f>IFERROR(INDEX(CONFIGURACOES!$H$37:$H$300,MATCH($I1698,CONFIGURACOES!$B$37:$B$300,0)),"")</f>
        <v/>
      </c>
      <c r="L1698" s="20" t="n"/>
      <c r="M1698" s="20">
        <f>IFERROR(INDEX(CONFIGURACOES!$I$37:$I$300,MATCH($I1698,CONFIGURACOES!$B$37:$B$300,0)),"")</f>
        <v/>
      </c>
      <c r="N1698" s="21" t="n"/>
      <c r="O1698" s="21" t="n"/>
      <c r="P1698" s="21" t="n"/>
      <c r="Q1698" s="21" t="n"/>
      <c r="R1698" s="21">
        <f>IF($N1698="","",$N1698*IF($Q1698="",1,$Q1698)*IF($P1698="",1,$P1698)*IF($O1698="",1,$O1698))</f>
        <v/>
      </c>
      <c r="S1698" s="22">
        <f>IFERROR(INDEX(CONFIGURACOES!$J$37:$J$300,MATCH($I1698,CONFIGURACOES!$B$37:$B$300,0)),"")</f>
        <v/>
      </c>
      <c r="T1698" s="22">
        <f>IF(OR($R1698="",$S1698=""),"",$R1698*$S1698)</f>
        <v/>
      </c>
      <c r="U1698" s="20" t="n"/>
      <c r="V1698" s="20" t="n"/>
      <c r="W1698" s="20" t="n"/>
      <c r="X1698">
        <f>IF($A1698="","",$A1698&amp;"|"&amp;$C1698&amp;"|"&amp;$I1698)</f>
        <v/>
      </c>
      <c r="Y1698">
        <f>IF(AND($A1698=RELATORIO_MEDICAO!$C$5,$C1698=RELATORIO_MEDICAO!$F$5,$A1698&lt;&gt;""),COUNTIFS($A$3:$A1698,RELATORIO_MEDICAO!$C$5,$C$3:$C1698,RELATORIO_MEDICAO!$F$5),"")</f>
        <v/>
      </c>
      <c r="Z1698">
        <f>IF(OR($A1698="",PESQUISA!$C$4=""),0,IF(OR(ISNUMBER(SEARCH(PESQUISA!$C$4,$G1698)),ISNUMBER(SEARCH(PESQUISA!$C$4,$K1698)),ISNUMBER(SEARCH(PESQUISA!$C$4,$L1698))),1,0))</f>
        <v/>
      </c>
      <c r="AA1698">
        <f>IF($Z1698=1,SUM($Z$3:$Z1698),"")</f>
        <v/>
      </c>
      <c r="AB1698">
        <f>IF(OR($A1698="",PESQUISA!$C$50=""),0,IF(ISNUMBER(SEARCH(PESQUISA!$C$50,$I1698)),1,0))</f>
        <v/>
      </c>
      <c r="AC1698">
        <f>IF($AB1698=1,SUM($AB$3:$AB1698),"")</f>
        <v/>
      </c>
    </row>
    <row r="1699">
      <c r="A1699" s="20" t="n"/>
      <c r="B1699" s="20" t="n"/>
      <c r="C1699" s="20" t="n"/>
      <c r="D1699" s="20" t="n"/>
      <c r="E1699" s="20" t="n"/>
      <c r="F1699" s="20" t="n"/>
      <c r="G1699" s="20" t="n"/>
      <c r="H1699" s="20" t="n"/>
      <c r="I1699" s="20" t="n"/>
      <c r="J1699" s="20">
        <f>IFERROR(INDEX(CONFIGURACOES!$G$37:$G$300,MATCH($I1699,CONFIGURACOES!$B$37:$B$300,0)),"")</f>
        <v/>
      </c>
      <c r="K1699" s="20">
        <f>IFERROR(INDEX(CONFIGURACOES!$H$37:$H$300,MATCH($I1699,CONFIGURACOES!$B$37:$B$300,0)),"")</f>
        <v/>
      </c>
      <c r="L1699" s="20" t="n"/>
      <c r="M1699" s="20">
        <f>IFERROR(INDEX(CONFIGURACOES!$I$37:$I$300,MATCH($I1699,CONFIGURACOES!$B$37:$B$300,0)),"")</f>
        <v/>
      </c>
      <c r="N1699" s="21" t="n"/>
      <c r="O1699" s="21" t="n"/>
      <c r="P1699" s="21" t="n"/>
      <c r="Q1699" s="21" t="n"/>
      <c r="R1699" s="21">
        <f>IF($N1699="","",$N1699*IF($Q1699="",1,$Q1699)*IF($P1699="",1,$P1699)*IF($O1699="",1,$O1699))</f>
        <v/>
      </c>
      <c r="S1699" s="22">
        <f>IFERROR(INDEX(CONFIGURACOES!$J$37:$J$300,MATCH($I1699,CONFIGURACOES!$B$37:$B$300,0)),"")</f>
        <v/>
      </c>
      <c r="T1699" s="22">
        <f>IF(OR($R1699="",$S1699=""),"",$R1699*$S1699)</f>
        <v/>
      </c>
      <c r="U1699" s="20" t="n"/>
      <c r="V1699" s="20" t="n"/>
      <c r="W1699" s="20" t="n"/>
      <c r="X1699">
        <f>IF($A1699="","",$A1699&amp;"|"&amp;$C1699&amp;"|"&amp;$I1699)</f>
        <v/>
      </c>
      <c r="Y1699">
        <f>IF(AND($A1699=RELATORIO_MEDICAO!$C$5,$C1699=RELATORIO_MEDICAO!$F$5,$A1699&lt;&gt;""),COUNTIFS($A$3:$A1699,RELATORIO_MEDICAO!$C$5,$C$3:$C1699,RELATORIO_MEDICAO!$F$5),"")</f>
        <v/>
      </c>
      <c r="Z1699">
        <f>IF(OR($A1699="",PESQUISA!$C$4=""),0,IF(OR(ISNUMBER(SEARCH(PESQUISA!$C$4,$G1699)),ISNUMBER(SEARCH(PESQUISA!$C$4,$K1699)),ISNUMBER(SEARCH(PESQUISA!$C$4,$L1699))),1,0))</f>
        <v/>
      </c>
      <c r="AA1699">
        <f>IF($Z1699=1,SUM($Z$3:$Z1699),"")</f>
        <v/>
      </c>
      <c r="AB1699">
        <f>IF(OR($A1699="",PESQUISA!$C$50=""),0,IF(ISNUMBER(SEARCH(PESQUISA!$C$50,$I1699)),1,0))</f>
        <v/>
      </c>
      <c r="AC1699">
        <f>IF($AB1699=1,SUM($AB$3:$AB1699),"")</f>
        <v/>
      </c>
    </row>
    <row r="1700">
      <c r="A1700" s="20" t="n"/>
      <c r="B1700" s="20" t="n"/>
      <c r="C1700" s="20" t="n"/>
      <c r="D1700" s="20" t="n"/>
      <c r="E1700" s="20" t="n"/>
      <c r="F1700" s="20" t="n"/>
      <c r="G1700" s="20" t="n"/>
      <c r="H1700" s="20" t="n"/>
      <c r="I1700" s="20" t="n"/>
      <c r="J1700" s="20">
        <f>IFERROR(INDEX(CONFIGURACOES!$G$37:$G$300,MATCH($I1700,CONFIGURACOES!$B$37:$B$300,0)),"")</f>
        <v/>
      </c>
      <c r="K1700" s="20">
        <f>IFERROR(INDEX(CONFIGURACOES!$H$37:$H$300,MATCH($I1700,CONFIGURACOES!$B$37:$B$300,0)),"")</f>
        <v/>
      </c>
      <c r="L1700" s="20" t="n"/>
      <c r="M1700" s="20">
        <f>IFERROR(INDEX(CONFIGURACOES!$I$37:$I$300,MATCH($I1700,CONFIGURACOES!$B$37:$B$300,0)),"")</f>
        <v/>
      </c>
      <c r="N1700" s="21" t="n"/>
      <c r="O1700" s="21" t="n"/>
      <c r="P1700" s="21" t="n"/>
      <c r="Q1700" s="21" t="n"/>
      <c r="R1700" s="21">
        <f>IF($N1700="","",$N1700*IF($Q1700="",1,$Q1700)*IF($P1700="",1,$P1700)*IF($O1700="",1,$O1700))</f>
        <v/>
      </c>
      <c r="S1700" s="22">
        <f>IFERROR(INDEX(CONFIGURACOES!$J$37:$J$300,MATCH($I1700,CONFIGURACOES!$B$37:$B$300,0)),"")</f>
        <v/>
      </c>
      <c r="T1700" s="22">
        <f>IF(OR($R1700="",$S1700=""),"",$R1700*$S1700)</f>
        <v/>
      </c>
      <c r="U1700" s="20" t="n"/>
      <c r="V1700" s="20" t="n"/>
      <c r="W1700" s="20" t="n"/>
      <c r="X1700">
        <f>IF($A1700="","",$A1700&amp;"|"&amp;$C1700&amp;"|"&amp;$I1700)</f>
        <v/>
      </c>
      <c r="Y1700">
        <f>IF(AND($A1700=RELATORIO_MEDICAO!$C$5,$C1700=RELATORIO_MEDICAO!$F$5,$A1700&lt;&gt;""),COUNTIFS($A$3:$A1700,RELATORIO_MEDICAO!$C$5,$C$3:$C1700,RELATORIO_MEDICAO!$F$5),"")</f>
        <v/>
      </c>
      <c r="Z1700">
        <f>IF(OR($A1700="",PESQUISA!$C$4=""),0,IF(OR(ISNUMBER(SEARCH(PESQUISA!$C$4,$G1700)),ISNUMBER(SEARCH(PESQUISA!$C$4,$K1700)),ISNUMBER(SEARCH(PESQUISA!$C$4,$L1700))),1,0))</f>
        <v/>
      </c>
      <c r="AA1700">
        <f>IF($Z1700=1,SUM($Z$3:$Z1700),"")</f>
        <v/>
      </c>
      <c r="AB1700">
        <f>IF(OR($A1700="",PESQUISA!$C$50=""),0,IF(ISNUMBER(SEARCH(PESQUISA!$C$50,$I1700)),1,0))</f>
        <v/>
      </c>
      <c r="AC1700">
        <f>IF($AB1700=1,SUM($AB$3:$AB1700),"")</f>
        <v/>
      </c>
    </row>
    <row r="1701">
      <c r="A1701" s="20" t="n"/>
      <c r="B1701" s="20" t="n"/>
      <c r="C1701" s="20" t="n"/>
      <c r="D1701" s="20" t="n"/>
      <c r="E1701" s="20" t="n"/>
      <c r="F1701" s="20" t="n"/>
      <c r="G1701" s="20" t="n"/>
      <c r="H1701" s="20" t="n"/>
      <c r="I1701" s="20" t="n"/>
      <c r="J1701" s="20">
        <f>IFERROR(INDEX(CONFIGURACOES!$G$37:$G$300,MATCH($I1701,CONFIGURACOES!$B$37:$B$300,0)),"")</f>
        <v/>
      </c>
      <c r="K1701" s="20">
        <f>IFERROR(INDEX(CONFIGURACOES!$H$37:$H$300,MATCH($I1701,CONFIGURACOES!$B$37:$B$300,0)),"")</f>
        <v/>
      </c>
      <c r="L1701" s="20" t="n"/>
      <c r="M1701" s="20">
        <f>IFERROR(INDEX(CONFIGURACOES!$I$37:$I$300,MATCH($I1701,CONFIGURACOES!$B$37:$B$300,0)),"")</f>
        <v/>
      </c>
      <c r="N1701" s="21" t="n"/>
      <c r="O1701" s="21" t="n"/>
      <c r="P1701" s="21" t="n"/>
      <c r="Q1701" s="21" t="n"/>
      <c r="R1701" s="21">
        <f>IF($N1701="","",$N1701*IF($Q1701="",1,$Q1701)*IF($P1701="",1,$P1701)*IF($O1701="",1,$O1701))</f>
        <v/>
      </c>
      <c r="S1701" s="22">
        <f>IFERROR(INDEX(CONFIGURACOES!$J$37:$J$300,MATCH($I1701,CONFIGURACOES!$B$37:$B$300,0)),"")</f>
        <v/>
      </c>
      <c r="T1701" s="22">
        <f>IF(OR($R1701="",$S1701=""),"",$R1701*$S1701)</f>
        <v/>
      </c>
      <c r="U1701" s="20" t="n"/>
      <c r="V1701" s="20" t="n"/>
      <c r="W1701" s="20" t="n"/>
      <c r="X1701">
        <f>IF($A1701="","",$A1701&amp;"|"&amp;$C1701&amp;"|"&amp;$I1701)</f>
        <v/>
      </c>
      <c r="Y1701">
        <f>IF(AND($A1701=RELATORIO_MEDICAO!$C$5,$C1701=RELATORIO_MEDICAO!$F$5,$A1701&lt;&gt;""),COUNTIFS($A$3:$A1701,RELATORIO_MEDICAO!$C$5,$C$3:$C1701,RELATORIO_MEDICAO!$F$5),"")</f>
        <v/>
      </c>
      <c r="Z1701">
        <f>IF(OR($A1701="",PESQUISA!$C$4=""),0,IF(OR(ISNUMBER(SEARCH(PESQUISA!$C$4,$G1701)),ISNUMBER(SEARCH(PESQUISA!$C$4,$K1701)),ISNUMBER(SEARCH(PESQUISA!$C$4,$L1701))),1,0))</f>
        <v/>
      </c>
      <c r="AA1701">
        <f>IF($Z1701=1,SUM($Z$3:$Z1701),"")</f>
        <v/>
      </c>
      <c r="AB1701">
        <f>IF(OR($A1701="",PESQUISA!$C$50=""),0,IF(ISNUMBER(SEARCH(PESQUISA!$C$50,$I1701)),1,0))</f>
        <v/>
      </c>
      <c r="AC1701">
        <f>IF($AB1701=1,SUM($AB$3:$AB1701),"")</f>
        <v/>
      </c>
    </row>
    <row r="1702">
      <c r="A1702" s="20" t="n"/>
      <c r="B1702" s="20" t="n"/>
      <c r="C1702" s="20" t="n"/>
      <c r="D1702" s="20" t="n"/>
      <c r="E1702" s="20" t="n"/>
      <c r="F1702" s="20" t="n"/>
      <c r="G1702" s="20" t="n"/>
      <c r="H1702" s="20" t="n"/>
      <c r="I1702" s="20" t="n"/>
      <c r="J1702" s="20">
        <f>IFERROR(INDEX(CONFIGURACOES!$G$37:$G$300,MATCH($I1702,CONFIGURACOES!$B$37:$B$300,0)),"")</f>
        <v/>
      </c>
      <c r="K1702" s="20">
        <f>IFERROR(INDEX(CONFIGURACOES!$H$37:$H$300,MATCH($I1702,CONFIGURACOES!$B$37:$B$300,0)),"")</f>
        <v/>
      </c>
      <c r="L1702" s="20" t="n"/>
      <c r="M1702" s="20">
        <f>IFERROR(INDEX(CONFIGURACOES!$I$37:$I$300,MATCH($I1702,CONFIGURACOES!$B$37:$B$300,0)),"")</f>
        <v/>
      </c>
      <c r="N1702" s="21" t="n"/>
      <c r="O1702" s="21" t="n"/>
      <c r="P1702" s="21" t="n"/>
      <c r="Q1702" s="21" t="n"/>
      <c r="R1702" s="21">
        <f>IF($N1702="","",$N1702*IF($Q1702="",1,$Q1702)*IF($P1702="",1,$P1702)*IF($O1702="",1,$O1702))</f>
        <v/>
      </c>
      <c r="S1702" s="22">
        <f>IFERROR(INDEX(CONFIGURACOES!$J$37:$J$300,MATCH($I1702,CONFIGURACOES!$B$37:$B$300,0)),"")</f>
        <v/>
      </c>
      <c r="T1702" s="22">
        <f>IF(OR($R1702="",$S1702=""),"",$R1702*$S1702)</f>
        <v/>
      </c>
      <c r="U1702" s="20" t="n"/>
      <c r="V1702" s="20" t="n"/>
      <c r="W1702" s="20" t="n"/>
      <c r="X1702">
        <f>IF($A1702="","",$A1702&amp;"|"&amp;$C1702&amp;"|"&amp;$I1702)</f>
        <v/>
      </c>
      <c r="Y1702">
        <f>IF(AND($A1702=RELATORIO_MEDICAO!$C$5,$C1702=RELATORIO_MEDICAO!$F$5,$A1702&lt;&gt;""),COUNTIFS($A$3:$A1702,RELATORIO_MEDICAO!$C$5,$C$3:$C1702,RELATORIO_MEDICAO!$F$5),"")</f>
        <v/>
      </c>
      <c r="Z1702">
        <f>IF(OR($A1702="",PESQUISA!$C$4=""),0,IF(OR(ISNUMBER(SEARCH(PESQUISA!$C$4,$G1702)),ISNUMBER(SEARCH(PESQUISA!$C$4,$K1702)),ISNUMBER(SEARCH(PESQUISA!$C$4,$L1702))),1,0))</f>
        <v/>
      </c>
      <c r="AA1702">
        <f>IF($Z1702=1,SUM($Z$3:$Z1702),"")</f>
        <v/>
      </c>
      <c r="AB1702">
        <f>IF(OR($A1702="",PESQUISA!$C$50=""),0,IF(ISNUMBER(SEARCH(PESQUISA!$C$50,$I1702)),1,0))</f>
        <v/>
      </c>
      <c r="AC1702">
        <f>IF($AB1702=1,SUM($AB$3:$AB1702),"")</f>
        <v/>
      </c>
    </row>
    <row r="1703">
      <c r="A1703" s="20" t="n"/>
      <c r="B1703" s="20" t="n"/>
      <c r="C1703" s="20" t="n"/>
      <c r="D1703" s="20" t="n"/>
      <c r="E1703" s="20" t="n"/>
      <c r="F1703" s="20" t="n"/>
      <c r="G1703" s="20" t="n"/>
      <c r="H1703" s="20" t="n"/>
      <c r="I1703" s="20" t="n"/>
      <c r="J1703" s="20">
        <f>IFERROR(INDEX(CONFIGURACOES!$G$37:$G$300,MATCH($I1703,CONFIGURACOES!$B$37:$B$300,0)),"")</f>
        <v/>
      </c>
      <c r="K1703" s="20">
        <f>IFERROR(INDEX(CONFIGURACOES!$H$37:$H$300,MATCH($I1703,CONFIGURACOES!$B$37:$B$300,0)),"")</f>
        <v/>
      </c>
      <c r="L1703" s="20" t="n"/>
      <c r="M1703" s="20">
        <f>IFERROR(INDEX(CONFIGURACOES!$I$37:$I$300,MATCH($I1703,CONFIGURACOES!$B$37:$B$300,0)),"")</f>
        <v/>
      </c>
      <c r="N1703" s="21" t="n"/>
      <c r="O1703" s="21" t="n"/>
      <c r="P1703" s="21" t="n"/>
      <c r="Q1703" s="21" t="n"/>
      <c r="R1703" s="21">
        <f>IF($N1703="","",$N1703*IF($Q1703="",1,$Q1703)*IF($P1703="",1,$P1703)*IF($O1703="",1,$O1703))</f>
        <v/>
      </c>
      <c r="S1703" s="22">
        <f>IFERROR(INDEX(CONFIGURACOES!$J$37:$J$300,MATCH($I1703,CONFIGURACOES!$B$37:$B$300,0)),"")</f>
        <v/>
      </c>
      <c r="T1703" s="22">
        <f>IF(OR($R1703="",$S1703=""),"",$R1703*$S1703)</f>
        <v/>
      </c>
      <c r="U1703" s="20" t="n"/>
      <c r="V1703" s="20" t="n"/>
      <c r="W1703" s="20" t="n"/>
      <c r="X1703">
        <f>IF($A1703="","",$A1703&amp;"|"&amp;$C1703&amp;"|"&amp;$I1703)</f>
        <v/>
      </c>
      <c r="Y1703">
        <f>IF(AND($A1703=RELATORIO_MEDICAO!$C$5,$C1703=RELATORIO_MEDICAO!$F$5,$A1703&lt;&gt;""),COUNTIFS($A$3:$A1703,RELATORIO_MEDICAO!$C$5,$C$3:$C1703,RELATORIO_MEDICAO!$F$5),"")</f>
        <v/>
      </c>
      <c r="Z1703">
        <f>IF(OR($A1703="",PESQUISA!$C$4=""),0,IF(OR(ISNUMBER(SEARCH(PESQUISA!$C$4,$G1703)),ISNUMBER(SEARCH(PESQUISA!$C$4,$K1703)),ISNUMBER(SEARCH(PESQUISA!$C$4,$L1703))),1,0))</f>
        <v/>
      </c>
      <c r="AA1703">
        <f>IF($Z1703=1,SUM($Z$3:$Z1703),"")</f>
        <v/>
      </c>
      <c r="AB1703">
        <f>IF(OR($A1703="",PESQUISA!$C$50=""),0,IF(ISNUMBER(SEARCH(PESQUISA!$C$50,$I1703)),1,0))</f>
        <v/>
      </c>
      <c r="AC1703">
        <f>IF($AB1703=1,SUM($AB$3:$AB1703),"")</f>
        <v/>
      </c>
    </row>
    <row r="1704">
      <c r="A1704" s="20" t="n"/>
      <c r="B1704" s="20" t="n"/>
      <c r="C1704" s="20" t="n"/>
      <c r="D1704" s="20" t="n"/>
      <c r="E1704" s="20" t="n"/>
      <c r="F1704" s="20" t="n"/>
      <c r="G1704" s="20" t="n"/>
      <c r="H1704" s="20" t="n"/>
      <c r="I1704" s="20" t="n"/>
      <c r="J1704" s="20">
        <f>IFERROR(INDEX(CONFIGURACOES!$G$37:$G$300,MATCH($I1704,CONFIGURACOES!$B$37:$B$300,0)),"")</f>
        <v/>
      </c>
      <c r="K1704" s="20">
        <f>IFERROR(INDEX(CONFIGURACOES!$H$37:$H$300,MATCH($I1704,CONFIGURACOES!$B$37:$B$300,0)),"")</f>
        <v/>
      </c>
      <c r="L1704" s="20" t="n"/>
      <c r="M1704" s="20">
        <f>IFERROR(INDEX(CONFIGURACOES!$I$37:$I$300,MATCH($I1704,CONFIGURACOES!$B$37:$B$300,0)),"")</f>
        <v/>
      </c>
      <c r="N1704" s="21" t="n"/>
      <c r="O1704" s="21" t="n"/>
      <c r="P1704" s="21" t="n"/>
      <c r="Q1704" s="21" t="n"/>
      <c r="R1704" s="21">
        <f>IF($N1704="","",$N1704*IF($Q1704="",1,$Q1704)*IF($P1704="",1,$P1704)*IF($O1704="",1,$O1704))</f>
        <v/>
      </c>
      <c r="S1704" s="22">
        <f>IFERROR(INDEX(CONFIGURACOES!$J$37:$J$300,MATCH($I1704,CONFIGURACOES!$B$37:$B$300,0)),"")</f>
        <v/>
      </c>
      <c r="T1704" s="22">
        <f>IF(OR($R1704="",$S1704=""),"",$R1704*$S1704)</f>
        <v/>
      </c>
      <c r="U1704" s="20" t="n"/>
      <c r="V1704" s="20" t="n"/>
      <c r="W1704" s="20" t="n"/>
      <c r="X1704">
        <f>IF($A1704="","",$A1704&amp;"|"&amp;$C1704&amp;"|"&amp;$I1704)</f>
        <v/>
      </c>
      <c r="Y1704">
        <f>IF(AND($A1704=RELATORIO_MEDICAO!$C$5,$C1704=RELATORIO_MEDICAO!$F$5,$A1704&lt;&gt;""),COUNTIFS($A$3:$A1704,RELATORIO_MEDICAO!$C$5,$C$3:$C1704,RELATORIO_MEDICAO!$F$5),"")</f>
        <v/>
      </c>
      <c r="Z1704">
        <f>IF(OR($A1704="",PESQUISA!$C$4=""),0,IF(OR(ISNUMBER(SEARCH(PESQUISA!$C$4,$G1704)),ISNUMBER(SEARCH(PESQUISA!$C$4,$K1704)),ISNUMBER(SEARCH(PESQUISA!$C$4,$L1704))),1,0))</f>
        <v/>
      </c>
      <c r="AA1704">
        <f>IF($Z1704=1,SUM($Z$3:$Z1704),"")</f>
        <v/>
      </c>
      <c r="AB1704">
        <f>IF(OR($A1704="",PESQUISA!$C$50=""),0,IF(ISNUMBER(SEARCH(PESQUISA!$C$50,$I1704)),1,0))</f>
        <v/>
      </c>
      <c r="AC1704">
        <f>IF($AB1704=1,SUM($AB$3:$AB1704),"")</f>
        <v/>
      </c>
    </row>
    <row r="1705">
      <c r="A1705" s="20" t="n"/>
      <c r="B1705" s="20" t="n"/>
      <c r="C1705" s="20" t="n"/>
      <c r="D1705" s="20" t="n"/>
      <c r="E1705" s="20" t="n"/>
      <c r="F1705" s="20" t="n"/>
      <c r="G1705" s="20" t="n"/>
      <c r="H1705" s="20" t="n"/>
      <c r="I1705" s="20" t="n"/>
      <c r="J1705" s="20">
        <f>IFERROR(INDEX(CONFIGURACOES!$G$37:$G$300,MATCH($I1705,CONFIGURACOES!$B$37:$B$300,0)),"")</f>
        <v/>
      </c>
      <c r="K1705" s="20">
        <f>IFERROR(INDEX(CONFIGURACOES!$H$37:$H$300,MATCH($I1705,CONFIGURACOES!$B$37:$B$300,0)),"")</f>
        <v/>
      </c>
      <c r="L1705" s="20" t="n"/>
      <c r="M1705" s="20">
        <f>IFERROR(INDEX(CONFIGURACOES!$I$37:$I$300,MATCH($I1705,CONFIGURACOES!$B$37:$B$300,0)),"")</f>
        <v/>
      </c>
      <c r="N1705" s="21" t="n"/>
      <c r="O1705" s="21" t="n"/>
      <c r="P1705" s="21" t="n"/>
      <c r="Q1705" s="21" t="n"/>
      <c r="R1705" s="21">
        <f>IF($N1705="","",$N1705*IF($Q1705="",1,$Q1705)*IF($P1705="",1,$P1705)*IF($O1705="",1,$O1705))</f>
        <v/>
      </c>
      <c r="S1705" s="22">
        <f>IFERROR(INDEX(CONFIGURACOES!$J$37:$J$300,MATCH($I1705,CONFIGURACOES!$B$37:$B$300,0)),"")</f>
        <v/>
      </c>
      <c r="T1705" s="22">
        <f>IF(OR($R1705="",$S1705=""),"",$R1705*$S1705)</f>
        <v/>
      </c>
      <c r="U1705" s="20" t="n"/>
      <c r="V1705" s="20" t="n"/>
      <c r="W1705" s="20" t="n"/>
      <c r="X1705">
        <f>IF($A1705="","",$A1705&amp;"|"&amp;$C1705&amp;"|"&amp;$I1705)</f>
        <v/>
      </c>
      <c r="Y1705">
        <f>IF(AND($A1705=RELATORIO_MEDICAO!$C$5,$C1705=RELATORIO_MEDICAO!$F$5,$A1705&lt;&gt;""),COUNTIFS($A$3:$A1705,RELATORIO_MEDICAO!$C$5,$C$3:$C1705,RELATORIO_MEDICAO!$F$5),"")</f>
        <v/>
      </c>
      <c r="Z1705">
        <f>IF(OR($A1705="",PESQUISA!$C$4=""),0,IF(OR(ISNUMBER(SEARCH(PESQUISA!$C$4,$G1705)),ISNUMBER(SEARCH(PESQUISA!$C$4,$K1705)),ISNUMBER(SEARCH(PESQUISA!$C$4,$L1705))),1,0))</f>
        <v/>
      </c>
      <c r="AA1705">
        <f>IF($Z1705=1,SUM($Z$3:$Z1705),"")</f>
        <v/>
      </c>
      <c r="AB1705">
        <f>IF(OR($A1705="",PESQUISA!$C$50=""),0,IF(ISNUMBER(SEARCH(PESQUISA!$C$50,$I1705)),1,0))</f>
        <v/>
      </c>
      <c r="AC1705">
        <f>IF($AB1705=1,SUM($AB$3:$AB1705),"")</f>
        <v/>
      </c>
    </row>
    <row r="1706">
      <c r="A1706" s="20" t="n"/>
      <c r="B1706" s="20" t="n"/>
      <c r="C1706" s="20" t="n"/>
      <c r="D1706" s="20" t="n"/>
      <c r="E1706" s="20" t="n"/>
      <c r="F1706" s="20" t="n"/>
      <c r="G1706" s="20" t="n"/>
      <c r="H1706" s="20" t="n"/>
      <c r="I1706" s="20" t="n"/>
      <c r="J1706" s="20">
        <f>IFERROR(INDEX(CONFIGURACOES!$G$37:$G$300,MATCH($I1706,CONFIGURACOES!$B$37:$B$300,0)),"")</f>
        <v/>
      </c>
      <c r="K1706" s="20">
        <f>IFERROR(INDEX(CONFIGURACOES!$H$37:$H$300,MATCH($I1706,CONFIGURACOES!$B$37:$B$300,0)),"")</f>
        <v/>
      </c>
      <c r="L1706" s="20" t="n"/>
      <c r="M1706" s="20">
        <f>IFERROR(INDEX(CONFIGURACOES!$I$37:$I$300,MATCH($I1706,CONFIGURACOES!$B$37:$B$300,0)),"")</f>
        <v/>
      </c>
      <c r="N1706" s="21" t="n"/>
      <c r="O1706" s="21" t="n"/>
      <c r="P1706" s="21" t="n"/>
      <c r="Q1706" s="21" t="n"/>
      <c r="R1706" s="21">
        <f>IF($N1706="","",$N1706*IF($Q1706="",1,$Q1706)*IF($P1706="",1,$P1706)*IF($O1706="",1,$O1706))</f>
        <v/>
      </c>
      <c r="S1706" s="22">
        <f>IFERROR(INDEX(CONFIGURACOES!$J$37:$J$300,MATCH($I1706,CONFIGURACOES!$B$37:$B$300,0)),"")</f>
        <v/>
      </c>
      <c r="T1706" s="22">
        <f>IF(OR($R1706="",$S1706=""),"",$R1706*$S1706)</f>
        <v/>
      </c>
      <c r="U1706" s="20" t="n"/>
      <c r="V1706" s="20" t="n"/>
      <c r="W1706" s="20" t="n"/>
      <c r="X1706">
        <f>IF($A1706="","",$A1706&amp;"|"&amp;$C1706&amp;"|"&amp;$I1706)</f>
        <v/>
      </c>
      <c r="Y1706">
        <f>IF(AND($A1706=RELATORIO_MEDICAO!$C$5,$C1706=RELATORIO_MEDICAO!$F$5,$A1706&lt;&gt;""),COUNTIFS($A$3:$A1706,RELATORIO_MEDICAO!$C$5,$C$3:$C1706,RELATORIO_MEDICAO!$F$5),"")</f>
        <v/>
      </c>
      <c r="Z1706">
        <f>IF(OR($A1706="",PESQUISA!$C$4=""),0,IF(OR(ISNUMBER(SEARCH(PESQUISA!$C$4,$G1706)),ISNUMBER(SEARCH(PESQUISA!$C$4,$K1706)),ISNUMBER(SEARCH(PESQUISA!$C$4,$L1706))),1,0))</f>
        <v/>
      </c>
      <c r="AA1706">
        <f>IF($Z1706=1,SUM($Z$3:$Z1706),"")</f>
        <v/>
      </c>
      <c r="AB1706">
        <f>IF(OR($A1706="",PESQUISA!$C$50=""),0,IF(ISNUMBER(SEARCH(PESQUISA!$C$50,$I1706)),1,0))</f>
        <v/>
      </c>
      <c r="AC1706">
        <f>IF($AB1706=1,SUM($AB$3:$AB1706),"")</f>
        <v/>
      </c>
    </row>
    <row r="1707">
      <c r="A1707" s="20" t="n"/>
      <c r="B1707" s="20" t="n"/>
      <c r="C1707" s="20" t="n"/>
      <c r="D1707" s="20" t="n"/>
      <c r="E1707" s="20" t="n"/>
      <c r="F1707" s="20" t="n"/>
      <c r="G1707" s="20" t="n"/>
      <c r="H1707" s="20" t="n"/>
      <c r="I1707" s="20" t="n"/>
      <c r="J1707" s="20">
        <f>IFERROR(INDEX(CONFIGURACOES!$G$37:$G$300,MATCH($I1707,CONFIGURACOES!$B$37:$B$300,0)),"")</f>
        <v/>
      </c>
      <c r="K1707" s="20">
        <f>IFERROR(INDEX(CONFIGURACOES!$H$37:$H$300,MATCH($I1707,CONFIGURACOES!$B$37:$B$300,0)),"")</f>
        <v/>
      </c>
      <c r="L1707" s="20" t="n"/>
      <c r="M1707" s="20">
        <f>IFERROR(INDEX(CONFIGURACOES!$I$37:$I$300,MATCH($I1707,CONFIGURACOES!$B$37:$B$300,0)),"")</f>
        <v/>
      </c>
      <c r="N1707" s="21" t="n"/>
      <c r="O1707" s="21" t="n"/>
      <c r="P1707" s="21" t="n"/>
      <c r="Q1707" s="21" t="n"/>
      <c r="R1707" s="21">
        <f>IF($N1707="","",$N1707*IF($Q1707="",1,$Q1707)*IF($P1707="",1,$P1707)*IF($O1707="",1,$O1707))</f>
        <v/>
      </c>
      <c r="S1707" s="22">
        <f>IFERROR(INDEX(CONFIGURACOES!$J$37:$J$300,MATCH($I1707,CONFIGURACOES!$B$37:$B$300,0)),"")</f>
        <v/>
      </c>
      <c r="T1707" s="22">
        <f>IF(OR($R1707="",$S1707=""),"",$R1707*$S1707)</f>
        <v/>
      </c>
      <c r="U1707" s="20" t="n"/>
      <c r="V1707" s="20" t="n"/>
      <c r="W1707" s="20" t="n"/>
      <c r="X1707">
        <f>IF($A1707="","",$A1707&amp;"|"&amp;$C1707&amp;"|"&amp;$I1707)</f>
        <v/>
      </c>
      <c r="Y1707">
        <f>IF(AND($A1707=RELATORIO_MEDICAO!$C$5,$C1707=RELATORIO_MEDICAO!$F$5,$A1707&lt;&gt;""),COUNTIFS($A$3:$A1707,RELATORIO_MEDICAO!$C$5,$C$3:$C1707,RELATORIO_MEDICAO!$F$5),"")</f>
        <v/>
      </c>
      <c r="Z1707">
        <f>IF(OR($A1707="",PESQUISA!$C$4=""),0,IF(OR(ISNUMBER(SEARCH(PESQUISA!$C$4,$G1707)),ISNUMBER(SEARCH(PESQUISA!$C$4,$K1707)),ISNUMBER(SEARCH(PESQUISA!$C$4,$L1707))),1,0))</f>
        <v/>
      </c>
      <c r="AA1707">
        <f>IF($Z1707=1,SUM($Z$3:$Z1707),"")</f>
        <v/>
      </c>
      <c r="AB1707">
        <f>IF(OR($A1707="",PESQUISA!$C$50=""),0,IF(ISNUMBER(SEARCH(PESQUISA!$C$50,$I1707)),1,0))</f>
        <v/>
      </c>
      <c r="AC1707">
        <f>IF($AB1707=1,SUM($AB$3:$AB1707),"")</f>
        <v/>
      </c>
    </row>
    <row r="1708">
      <c r="A1708" s="20" t="n"/>
      <c r="B1708" s="20" t="n"/>
      <c r="C1708" s="20" t="n"/>
      <c r="D1708" s="20" t="n"/>
      <c r="E1708" s="20" t="n"/>
      <c r="F1708" s="20" t="n"/>
      <c r="G1708" s="20" t="n"/>
      <c r="H1708" s="20" t="n"/>
      <c r="I1708" s="20" t="n"/>
      <c r="J1708" s="20">
        <f>IFERROR(INDEX(CONFIGURACOES!$G$37:$G$300,MATCH($I1708,CONFIGURACOES!$B$37:$B$300,0)),"")</f>
        <v/>
      </c>
      <c r="K1708" s="20">
        <f>IFERROR(INDEX(CONFIGURACOES!$H$37:$H$300,MATCH($I1708,CONFIGURACOES!$B$37:$B$300,0)),"")</f>
        <v/>
      </c>
      <c r="L1708" s="20" t="n"/>
      <c r="M1708" s="20">
        <f>IFERROR(INDEX(CONFIGURACOES!$I$37:$I$300,MATCH($I1708,CONFIGURACOES!$B$37:$B$300,0)),"")</f>
        <v/>
      </c>
      <c r="N1708" s="21" t="n"/>
      <c r="O1708" s="21" t="n"/>
      <c r="P1708" s="21" t="n"/>
      <c r="Q1708" s="21" t="n"/>
      <c r="R1708" s="21">
        <f>IF($N1708="","",$N1708*IF($Q1708="",1,$Q1708)*IF($P1708="",1,$P1708)*IF($O1708="",1,$O1708))</f>
        <v/>
      </c>
      <c r="S1708" s="22">
        <f>IFERROR(INDEX(CONFIGURACOES!$J$37:$J$300,MATCH($I1708,CONFIGURACOES!$B$37:$B$300,0)),"")</f>
        <v/>
      </c>
      <c r="T1708" s="22">
        <f>IF(OR($R1708="",$S1708=""),"",$R1708*$S1708)</f>
        <v/>
      </c>
      <c r="U1708" s="20" t="n"/>
      <c r="V1708" s="20" t="n"/>
      <c r="W1708" s="20" t="n"/>
      <c r="X1708">
        <f>IF($A1708="","",$A1708&amp;"|"&amp;$C1708&amp;"|"&amp;$I1708)</f>
        <v/>
      </c>
      <c r="Y1708">
        <f>IF(AND($A1708=RELATORIO_MEDICAO!$C$5,$C1708=RELATORIO_MEDICAO!$F$5,$A1708&lt;&gt;""),COUNTIFS($A$3:$A1708,RELATORIO_MEDICAO!$C$5,$C$3:$C1708,RELATORIO_MEDICAO!$F$5),"")</f>
        <v/>
      </c>
      <c r="Z1708">
        <f>IF(OR($A1708="",PESQUISA!$C$4=""),0,IF(OR(ISNUMBER(SEARCH(PESQUISA!$C$4,$G1708)),ISNUMBER(SEARCH(PESQUISA!$C$4,$K1708)),ISNUMBER(SEARCH(PESQUISA!$C$4,$L1708))),1,0))</f>
        <v/>
      </c>
      <c r="AA1708">
        <f>IF($Z1708=1,SUM($Z$3:$Z1708),"")</f>
        <v/>
      </c>
      <c r="AB1708">
        <f>IF(OR($A1708="",PESQUISA!$C$50=""),0,IF(ISNUMBER(SEARCH(PESQUISA!$C$50,$I1708)),1,0))</f>
        <v/>
      </c>
      <c r="AC1708">
        <f>IF($AB1708=1,SUM($AB$3:$AB1708),"")</f>
        <v/>
      </c>
    </row>
    <row r="1709">
      <c r="A1709" s="20" t="n"/>
      <c r="B1709" s="20" t="n"/>
      <c r="C1709" s="20" t="n"/>
      <c r="D1709" s="20" t="n"/>
      <c r="E1709" s="20" t="n"/>
      <c r="F1709" s="20" t="n"/>
      <c r="G1709" s="20" t="n"/>
      <c r="H1709" s="20" t="n"/>
      <c r="I1709" s="20" t="n"/>
      <c r="J1709" s="20">
        <f>IFERROR(INDEX(CONFIGURACOES!$G$37:$G$300,MATCH($I1709,CONFIGURACOES!$B$37:$B$300,0)),"")</f>
        <v/>
      </c>
      <c r="K1709" s="20">
        <f>IFERROR(INDEX(CONFIGURACOES!$H$37:$H$300,MATCH($I1709,CONFIGURACOES!$B$37:$B$300,0)),"")</f>
        <v/>
      </c>
      <c r="L1709" s="20" t="n"/>
      <c r="M1709" s="20">
        <f>IFERROR(INDEX(CONFIGURACOES!$I$37:$I$300,MATCH($I1709,CONFIGURACOES!$B$37:$B$300,0)),"")</f>
        <v/>
      </c>
      <c r="N1709" s="21" t="n"/>
      <c r="O1709" s="21" t="n"/>
      <c r="P1709" s="21" t="n"/>
      <c r="Q1709" s="21" t="n"/>
      <c r="R1709" s="21">
        <f>IF($N1709="","",$N1709*IF($Q1709="",1,$Q1709)*IF($P1709="",1,$P1709)*IF($O1709="",1,$O1709))</f>
        <v/>
      </c>
      <c r="S1709" s="22">
        <f>IFERROR(INDEX(CONFIGURACOES!$J$37:$J$300,MATCH($I1709,CONFIGURACOES!$B$37:$B$300,0)),"")</f>
        <v/>
      </c>
      <c r="T1709" s="22">
        <f>IF(OR($R1709="",$S1709=""),"",$R1709*$S1709)</f>
        <v/>
      </c>
      <c r="U1709" s="20" t="n"/>
      <c r="V1709" s="20" t="n"/>
      <c r="W1709" s="20" t="n"/>
      <c r="X1709">
        <f>IF($A1709="","",$A1709&amp;"|"&amp;$C1709&amp;"|"&amp;$I1709)</f>
        <v/>
      </c>
      <c r="Y1709">
        <f>IF(AND($A1709=RELATORIO_MEDICAO!$C$5,$C1709=RELATORIO_MEDICAO!$F$5,$A1709&lt;&gt;""),COUNTIFS($A$3:$A1709,RELATORIO_MEDICAO!$C$5,$C$3:$C1709,RELATORIO_MEDICAO!$F$5),"")</f>
        <v/>
      </c>
      <c r="Z1709">
        <f>IF(OR($A1709="",PESQUISA!$C$4=""),0,IF(OR(ISNUMBER(SEARCH(PESQUISA!$C$4,$G1709)),ISNUMBER(SEARCH(PESQUISA!$C$4,$K1709)),ISNUMBER(SEARCH(PESQUISA!$C$4,$L1709))),1,0))</f>
        <v/>
      </c>
      <c r="AA1709">
        <f>IF($Z1709=1,SUM($Z$3:$Z1709),"")</f>
        <v/>
      </c>
      <c r="AB1709">
        <f>IF(OR($A1709="",PESQUISA!$C$50=""),0,IF(ISNUMBER(SEARCH(PESQUISA!$C$50,$I1709)),1,0))</f>
        <v/>
      </c>
      <c r="AC1709">
        <f>IF($AB1709=1,SUM($AB$3:$AB1709),"")</f>
        <v/>
      </c>
    </row>
    <row r="1710">
      <c r="A1710" s="20" t="n"/>
      <c r="B1710" s="20" t="n"/>
      <c r="C1710" s="20" t="n"/>
      <c r="D1710" s="20" t="n"/>
      <c r="E1710" s="20" t="n"/>
      <c r="F1710" s="20" t="n"/>
      <c r="G1710" s="20" t="n"/>
      <c r="H1710" s="20" t="n"/>
      <c r="I1710" s="20" t="n"/>
      <c r="J1710" s="20">
        <f>IFERROR(INDEX(CONFIGURACOES!$G$37:$G$300,MATCH($I1710,CONFIGURACOES!$B$37:$B$300,0)),"")</f>
        <v/>
      </c>
      <c r="K1710" s="20">
        <f>IFERROR(INDEX(CONFIGURACOES!$H$37:$H$300,MATCH($I1710,CONFIGURACOES!$B$37:$B$300,0)),"")</f>
        <v/>
      </c>
      <c r="L1710" s="20" t="n"/>
      <c r="M1710" s="20">
        <f>IFERROR(INDEX(CONFIGURACOES!$I$37:$I$300,MATCH($I1710,CONFIGURACOES!$B$37:$B$300,0)),"")</f>
        <v/>
      </c>
      <c r="N1710" s="21" t="n"/>
      <c r="O1710" s="21" t="n"/>
      <c r="P1710" s="21" t="n"/>
      <c r="Q1710" s="21" t="n"/>
      <c r="R1710" s="21">
        <f>IF($N1710="","",$N1710*IF($Q1710="",1,$Q1710)*IF($P1710="",1,$P1710)*IF($O1710="",1,$O1710))</f>
        <v/>
      </c>
      <c r="S1710" s="22">
        <f>IFERROR(INDEX(CONFIGURACOES!$J$37:$J$300,MATCH($I1710,CONFIGURACOES!$B$37:$B$300,0)),"")</f>
        <v/>
      </c>
      <c r="T1710" s="22">
        <f>IF(OR($R1710="",$S1710=""),"",$R1710*$S1710)</f>
        <v/>
      </c>
      <c r="U1710" s="20" t="n"/>
      <c r="V1710" s="20" t="n"/>
      <c r="W1710" s="20" t="n"/>
      <c r="X1710">
        <f>IF($A1710="","",$A1710&amp;"|"&amp;$C1710&amp;"|"&amp;$I1710)</f>
        <v/>
      </c>
      <c r="Y1710">
        <f>IF(AND($A1710=RELATORIO_MEDICAO!$C$5,$C1710=RELATORIO_MEDICAO!$F$5,$A1710&lt;&gt;""),COUNTIFS($A$3:$A1710,RELATORIO_MEDICAO!$C$5,$C$3:$C1710,RELATORIO_MEDICAO!$F$5),"")</f>
        <v/>
      </c>
      <c r="Z1710">
        <f>IF(OR($A1710="",PESQUISA!$C$4=""),0,IF(OR(ISNUMBER(SEARCH(PESQUISA!$C$4,$G1710)),ISNUMBER(SEARCH(PESQUISA!$C$4,$K1710)),ISNUMBER(SEARCH(PESQUISA!$C$4,$L1710))),1,0))</f>
        <v/>
      </c>
      <c r="AA1710">
        <f>IF($Z1710=1,SUM($Z$3:$Z1710),"")</f>
        <v/>
      </c>
      <c r="AB1710">
        <f>IF(OR($A1710="",PESQUISA!$C$50=""),0,IF(ISNUMBER(SEARCH(PESQUISA!$C$50,$I1710)),1,0))</f>
        <v/>
      </c>
      <c r="AC1710">
        <f>IF($AB1710=1,SUM($AB$3:$AB1710),"")</f>
        <v/>
      </c>
    </row>
    <row r="1711">
      <c r="A1711" s="20" t="n"/>
      <c r="B1711" s="20" t="n"/>
      <c r="C1711" s="20" t="n"/>
      <c r="D1711" s="20" t="n"/>
      <c r="E1711" s="20" t="n"/>
      <c r="F1711" s="20" t="n"/>
      <c r="G1711" s="20" t="n"/>
      <c r="H1711" s="20" t="n"/>
      <c r="I1711" s="20" t="n"/>
      <c r="J1711" s="20">
        <f>IFERROR(INDEX(CONFIGURACOES!$G$37:$G$300,MATCH($I1711,CONFIGURACOES!$B$37:$B$300,0)),"")</f>
        <v/>
      </c>
      <c r="K1711" s="20">
        <f>IFERROR(INDEX(CONFIGURACOES!$H$37:$H$300,MATCH($I1711,CONFIGURACOES!$B$37:$B$300,0)),"")</f>
        <v/>
      </c>
      <c r="L1711" s="20" t="n"/>
      <c r="M1711" s="20">
        <f>IFERROR(INDEX(CONFIGURACOES!$I$37:$I$300,MATCH($I1711,CONFIGURACOES!$B$37:$B$300,0)),"")</f>
        <v/>
      </c>
      <c r="N1711" s="21" t="n"/>
      <c r="O1711" s="21" t="n"/>
      <c r="P1711" s="21" t="n"/>
      <c r="Q1711" s="21" t="n"/>
      <c r="R1711" s="21">
        <f>IF($N1711="","",$N1711*IF($Q1711="",1,$Q1711)*IF($P1711="",1,$P1711)*IF($O1711="",1,$O1711))</f>
        <v/>
      </c>
      <c r="S1711" s="22">
        <f>IFERROR(INDEX(CONFIGURACOES!$J$37:$J$300,MATCH($I1711,CONFIGURACOES!$B$37:$B$300,0)),"")</f>
        <v/>
      </c>
      <c r="T1711" s="22">
        <f>IF(OR($R1711="",$S1711=""),"",$R1711*$S1711)</f>
        <v/>
      </c>
      <c r="U1711" s="20" t="n"/>
      <c r="V1711" s="20" t="n"/>
      <c r="W1711" s="20" t="n"/>
      <c r="X1711">
        <f>IF($A1711="","",$A1711&amp;"|"&amp;$C1711&amp;"|"&amp;$I1711)</f>
        <v/>
      </c>
      <c r="Y1711">
        <f>IF(AND($A1711=RELATORIO_MEDICAO!$C$5,$C1711=RELATORIO_MEDICAO!$F$5,$A1711&lt;&gt;""),COUNTIFS($A$3:$A1711,RELATORIO_MEDICAO!$C$5,$C$3:$C1711,RELATORIO_MEDICAO!$F$5),"")</f>
        <v/>
      </c>
      <c r="Z1711">
        <f>IF(OR($A1711="",PESQUISA!$C$4=""),0,IF(OR(ISNUMBER(SEARCH(PESQUISA!$C$4,$G1711)),ISNUMBER(SEARCH(PESQUISA!$C$4,$K1711)),ISNUMBER(SEARCH(PESQUISA!$C$4,$L1711))),1,0))</f>
        <v/>
      </c>
      <c r="AA1711">
        <f>IF($Z1711=1,SUM($Z$3:$Z1711),"")</f>
        <v/>
      </c>
      <c r="AB1711">
        <f>IF(OR($A1711="",PESQUISA!$C$50=""),0,IF(ISNUMBER(SEARCH(PESQUISA!$C$50,$I1711)),1,0))</f>
        <v/>
      </c>
      <c r="AC1711">
        <f>IF($AB1711=1,SUM($AB$3:$AB1711),"")</f>
        <v/>
      </c>
    </row>
    <row r="1712">
      <c r="A1712" s="20" t="n"/>
      <c r="B1712" s="20" t="n"/>
      <c r="C1712" s="20" t="n"/>
      <c r="D1712" s="20" t="n"/>
      <c r="E1712" s="20" t="n"/>
      <c r="F1712" s="20" t="n"/>
      <c r="G1712" s="20" t="n"/>
      <c r="H1712" s="20" t="n"/>
      <c r="I1712" s="20" t="n"/>
      <c r="J1712" s="20">
        <f>IFERROR(INDEX(CONFIGURACOES!$G$37:$G$300,MATCH($I1712,CONFIGURACOES!$B$37:$B$300,0)),"")</f>
        <v/>
      </c>
      <c r="K1712" s="20">
        <f>IFERROR(INDEX(CONFIGURACOES!$H$37:$H$300,MATCH($I1712,CONFIGURACOES!$B$37:$B$300,0)),"")</f>
        <v/>
      </c>
      <c r="L1712" s="20" t="n"/>
      <c r="M1712" s="20">
        <f>IFERROR(INDEX(CONFIGURACOES!$I$37:$I$300,MATCH($I1712,CONFIGURACOES!$B$37:$B$300,0)),"")</f>
        <v/>
      </c>
      <c r="N1712" s="21" t="n"/>
      <c r="O1712" s="21" t="n"/>
      <c r="P1712" s="21" t="n"/>
      <c r="Q1712" s="21" t="n"/>
      <c r="R1712" s="21">
        <f>IF($N1712="","",$N1712*IF($Q1712="",1,$Q1712)*IF($P1712="",1,$P1712)*IF($O1712="",1,$O1712))</f>
        <v/>
      </c>
      <c r="S1712" s="22">
        <f>IFERROR(INDEX(CONFIGURACOES!$J$37:$J$300,MATCH($I1712,CONFIGURACOES!$B$37:$B$300,0)),"")</f>
        <v/>
      </c>
      <c r="T1712" s="22">
        <f>IF(OR($R1712="",$S1712=""),"",$R1712*$S1712)</f>
        <v/>
      </c>
      <c r="U1712" s="20" t="n"/>
      <c r="V1712" s="20" t="n"/>
      <c r="W1712" s="20" t="n"/>
      <c r="X1712">
        <f>IF($A1712="","",$A1712&amp;"|"&amp;$C1712&amp;"|"&amp;$I1712)</f>
        <v/>
      </c>
      <c r="Y1712">
        <f>IF(AND($A1712=RELATORIO_MEDICAO!$C$5,$C1712=RELATORIO_MEDICAO!$F$5,$A1712&lt;&gt;""),COUNTIFS($A$3:$A1712,RELATORIO_MEDICAO!$C$5,$C$3:$C1712,RELATORIO_MEDICAO!$F$5),"")</f>
        <v/>
      </c>
      <c r="Z1712">
        <f>IF(OR($A1712="",PESQUISA!$C$4=""),0,IF(OR(ISNUMBER(SEARCH(PESQUISA!$C$4,$G1712)),ISNUMBER(SEARCH(PESQUISA!$C$4,$K1712)),ISNUMBER(SEARCH(PESQUISA!$C$4,$L1712))),1,0))</f>
        <v/>
      </c>
      <c r="AA1712">
        <f>IF($Z1712=1,SUM($Z$3:$Z1712),"")</f>
        <v/>
      </c>
      <c r="AB1712">
        <f>IF(OR($A1712="",PESQUISA!$C$50=""),0,IF(ISNUMBER(SEARCH(PESQUISA!$C$50,$I1712)),1,0))</f>
        <v/>
      </c>
      <c r="AC1712">
        <f>IF($AB1712=1,SUM($AB$3:$AB1712),"")</f>
        <v/>
      </c>
    </row>
    <row r="1713">
      <c r="A1713" s="20" t="n"/>
      <c r="B1713" s="20" t="n"/>
      <c r="C1713" s="20" t="n"/>
      <c r="D1713" s="20" t="n"/>
      <c r="E1713" s="20" t="n"/>
      <c r="F1713" s="20" t="n"/>
      <c r="G1713" s="20" t="n"/>
      <c r="H1713" s="20" t="n"/>
      <c r="I1713" s="20" t="n"/>
      <c r="J1713" s="20">
        <f>IFERROR(INDEX(CONFIGURACOES!$G$37:$G$300,MATCH($I1713,CONFIGURACOES!$B$37:$B$300,0)),"")</f>
        <v/>
      </c>
      <c r="K1713" s="20">
        <f>IFERROR(INDEX(CONFIGURACOES!$H$37:$H$300,MATCH($I1713,CONFIGURACOES!$B$37:$B$300,0)),"")</f>
        <v/>
      </c>
      <c r="L1713" s="20" t="n"/>
      <c r="M1713" s="20">
        <f>IFERROR(INDEX(CONFIGURACOES!$I$37:$I$300,MATCH($I1713,CONFIGURACOES!$B$37:$B$300,0)),"")</f>
        <v/>
      </c>
      <c r="N1713" s="21" t="n"/>
      <c r="O1713" s="21" t="n"/>
      <c r="P1713" s="21" t="n"/>
      <c r="Q1713" s="21" t="n"/>
      <c r="R1713" s="21">
        <f>IF($N1713="","",$N1713*IF($Q1713="",1,$Q1713)*IF($P1713="",1,$P1713)*IF($O1713="",1,$O1713))</f>
        <v/>
      </c>
      <c r="S1713" s="22">
        <f>IFERROR(INDEX(CONFIGURACOES!$J$37:$J$300,MATCH($I1713,CONFIGURACOES!$B$37:$B$300,0)),"")</f>
        <v/>
      </c>
      <c r="T1713" s="22">
        <f>IF(OR($R1713="",$S1713=""),"",$R1713*$S1713)</f>
        <v/>
      </c>
      <c r="U1713" s="20" t="n"/>
      <c r="V1713" s="20" t="n"/>
      <c r="W1713" s="20" t="n"/>
      <c r="X1713">
        <f>IF($A1713="","",$A1713&amp;"|"&amp;$C1713&amp;"|"&amp;$I1713)</f>
        <v/>
      </c>
      <c r="Y1713">
        <f>IF(AND($A1713=RELATORIO_MEDICAO!$C$5,$C1713=RELATORIO_MEDICAO!$F$5,$A1713&lt;&gt;""),COUNTIFS($A$3:$A1713,RELATORIO_MEDICAO!$C$5,$C$3:$C1713,RELATORIO_MEDICAO!$F$5),"")</f>
        <v/>
      </c>
      <c r="Z1713">
        <f>IF(OR($A1713="",PESQUISA!$C$4=""),0,IF(OR(ISNUMBER(SEARCH(PESQUISA!$C$4,$G1713)),ISNUMBER(SEARCH(PESQUISA!$C$4,$K1713)),ISNUMBER(SEARCH(PESQUISA!$C$4,$L1713))),1,0))</f>
        <v/>
      </c>
      <c r="AA1713">
        <f>IF($Z1713=1,SUM($Z$3:$Z1713),"")</f>
        <v/>
      </c>
      <c r="AB1713">
        <f>IF(OR($A1713="",PESQUISA!$C$50=""),0,IF(ISNUMBER(SEARCH(PESQUISA!$C$50,$I1713)),1,0))</f>
        <v/>
      </c>
      <c r="AC1713">
        <f>IF($AB1713=1,SUM($AB$3:$AB1713),"")</f>
        <v/>
      </c>
    </row>
    <row r="1714">
      <c r="A1714" s="20" t="n"/>
      <c r="B1714" s="20" t="n"/>
      <c r="C1714" s="20" t="n"/>
      <c r="D1714" s="20" t="n"/>
      <c r="E1714" s="20" t="n"/>
      <c r="F1714" s="20" t="n"/>
      <c r="G1714" s="20" t="n"/>
      <c r="H1714" s="20" t="n"/>
      <c r="I1714" s="20" t="n"/>
      <c r="J1714" s="20">
        <f>IFERROR(INDEX(CONFIGURACOES!$G$37:$G$300,MATCH($I1714,CONFIGURACOES!$B$37:$B$300,0)),"")</f>
        <v/>
      </c>
      <c r="K1714" s="20">
        <f>IFERROR(INDEX(CONFIGURACOES!$H$37:$H$300,MATCH($I1714,CONFIGURACOES!$B$37:$B$300,0)),"")</f>
        <v/>
      </c>
      <c r="L1714" s="20" t="n"/>
      <c r="M1714" s="20">
        <f>IFERROR(INDEX(CONFIGURACOES!$I$37:$I$300,MATCH($I1714,CONFIGURACOES!$B$37:$B$300,0)),"")</f>
        <v/>
      </c>
      <c r="N1714" s="21" t="n"/>
      <c r="O1714" s="21" t="n"/>
      <c r="P1714" s="21" t="n"/>
      <c r="Q1714" s="21" t="n"/>
      <c r="R1714" s="21">
        <f>IF($N1714="","",$N1714*IF($Q1714="",1,$Q1714)*IF($P1714="",1,$P1714)*IF($O1714="",1,$O1714))</f>
        <v/>
      </c>
      <c r="S1714" s="22">
        <f>IFERROR(INDEX(CONFIGURACOES!$J$37:$J$300,MATCH($I1714,CONFIGURACOES!$B$37:$B$300,0)),"")</f>
        <v/>
      </c>
      <c r="T1714" s="22">
        <f>IF(OR($R1714="",$S1714=""),"",$R1714*$S1714)</f>
        <v/>
      </c>
      <c r="U1714" s="20" t="n"/>
      <c r="V1714" s="20" t="n"/>
      <c r="W1714" s="20" t="n"/>
      <c r="X1714">
        <f>IF($A1714="","",$A1714&amp;"|"&amp;$C1714&amp;"|"&amp;$I1714)</f>
        <v/>
      </c>
      <c r="Y1714">
        <f>IF(AND($A1714=RELATORIO_MEDICAO!$C$5,$C1714=RELATORIO_MEDICAO!$F$5,$A1714&lt;&gt;""),COUNTIFS($A$3:$A1714,RELATORIO_MEDICAO!$C$5,$C$3:$C1714,RELATORIO_MEDICAO!$F$5),"")</f>
        <v/>
      </c>
      <c r="Z1714">
        <f>IF(OR($A1714="",PESQUISA!$C$4=""),0,IF(OR(ISNUMBER(SEARCH(PESQUISA!$C$4,$G1714)),ISNUMBER(SEARCH(PESQUISA!$C$4,$K1714)),ISNUMBER(SEARCH(PESQUISA!$C$4,$L1714))),1,0))</f>
        <v/>
      </c>
      <c r="AA1714">
        <f>IF($Z1714=1,SUM($Z$3:$Z1714),"")</f>
        <v/>
      </c>
      <c r="AB1714">
        <f>IF(OR($A1714="",PESQUISA!$C$50=""),0,IF(ISNUMBER(SEARCH(PESQUISA!$C$50,$I1714)),1,0))</f>
        <v/>
      </c>
      <c r="AC1714">
        <f>IF($AB1714=1,SUM($AB$3:$AB1714),"")</f>
        <v/>
      </c>
    </row>
    <row r="1715">
      <c r="A1715" s="20" t="n"/>
      <c r="B1715" s="20" t="n"/>
      <c r="C1715" s="20" t="n"/>
      <c r="D1715" s="20" t="n"/>
      <c r="E1715" s="20" t="n"/>
      <c r="F1715" s="20" t="n"/>
      <c r="G1715" s="20" t="n"/>
      <c r="H1715" s="20" t="n"/>
      <c r="I1715" s="20" t="n"/>
      <c r="J1715" s="20">
        <f>IFERROR(INDEX(CONFIGURACOES!$G$37:$G$300,MATCH($I1715,CONFIGURACOES!$B$37:$B$300,0)),"")</f>
        <v/>
      </c>
      <c r="K1715" s="20">
        <f>IFERROR(INDEX(CONFIGURACOES!$H$37:$H$300,MATCH($I1715,CONFIGURACOES!$B$37:$B$300,0)),"")</f>
        <v/>
      </c>
      <c r="L1715" s="20" t="n"/>
      <c r="M1715" s="20">
        <f>IFERROR(INDEX(CONFIGURACOES!$I$37:$I$300,MATCH($I1715,CONFIGURACOES!$B$37:$B$300,0)),"")</f>
        <v/>
      </c>
      <c r="N1715" s="21" t="n"/>
      <c r="O1715" s="21" t="n"/>
      <c r="P1715" s="21" t="n"/>
      <c r="Q1715" s="21" t="n"/>
      <c r="R1715" s="21">
        <f>IF($N1715="","",$N1715*IF($Q1715="",1,$Q1715)*IF($P1715="",1,$P1715)*IF($O1715="",1,$O1715))</f>
        <v/>
      </c>
      <c r="S1715" s="22">
        <f>IFERROR(INDEX(CONFIGURACOES!$J$37:$J$300,MATCH($I1715,CONFIGURACOES!$B$37:$B$300,0)),"")</f>
        <v/>
      </c>
      <c r="T1715" s="22">
        <f>IF(OR($R1715="",$S1715=""),"",$R1715*$S1715)</f>
        <v/>
      </c>
      <c r="U1715" s="20" t="n"/>
      <c r="V1715" s="20" t="n"/>
      <c r="W1715" s="20" t="n"/>
      <c r="X1715">
        <f>IF($A1715="","",$A1715&amp;"|"&amp;$C1715&amp;"|"&amp;$I1715)</f>
        <v/>
      </c>
      <c r="Y1715">
        <f>IF(AND($A1715=RELATORIO_MEDICAO!$C$5,$C1715=RELATORIO_MEDICAO!$F$5,$A1715&lt;&gt;""),COUNTIFS($A$3:$A1715,RELATORIO_MEDICAO!$C$5,$C$3:$C1715,RELATORIO_MEDICAO!$F$5),"")</f>
        <v/>
      </c>
      <c r="Z1715">
        <f>IF(OR($A1715="",PESQUISA!$C$4=""),0,IF(OR(ISNUMBER(SEARCH(PESQUISA!$C$4,$G1715)),ISNUMBER(SEARCH(PESQUISA!$C$4,$K1715)),ISNUMBER(SEARCH(PESQUISA!$C$4,$L1715))),1,0))</f>
        <v/>
      </c>
      <c r="AA1715">
        <f>IF($Z1715=1,SUM($Z$3:$Z1715),"")</f>
        <v/>
      </c>
      <c r="AB1715">
        <f>IF(OR($A1715="",PESQUISA!$C$50=""),0,IF(ISNUMBER(SEARCH(PESQUISA!$C$50,$I1715)),1,0))</f>
        <v/>
      </c>
      <c r="AC1715">
        <f>IF($AB1715=1,SUM($AB$3:$AB1715),"")</f>
        <v/>
      </c>
    </row>
    <row r="1716">
      <c r="A1716" s="20" t="n"/>
      <c r="B1716" s="20" t="n"/>
      <c r="C1716" s="20" t="n"/>
      <c r="D1716" s="20" t="n"/>
      <c r="E1716" s="20" t="n"/>
      <c r="F1716" s="20" t="n"/>
      <c r="G1716" s="20" t="n"/>
      <c r="H1716" s="20" t="n"/>
      <c r="I1716" s="20" t="n"/>
      <c r="J1716" s="20">
        <f>IFERROR(INDEX(CONFIGURACOES!$G$37:$G$300,MATCH($I1716,CONFIGURACOES!$B$37:$B$300,0)),"")</f>
        <v/>
      </c>
      <c r="K1716" s="20">
        <f>IFERROR(INDEX(CONFIGURACOES!$H$37:$H$300,MATCH($I1716,CONFIGURACOES!$B$37:$B$300,0)),"")</f>
        <v/>
      </c>
      <c r="L1716" s="20" t="n"/>
      <c r="M1716" s="20">
        <f>IFERROR(INDEX(CONFIGURACOES!$I$37:$I$300,MATCH($I1716,CONFIGURACOES!$B$37:$B$300,0)),"")</f>
        <v/>
      </c>
      <c r="N1716" s="21" t="n"/>
      <c r="O1716" s="21" t="n"/>
      <c r="P1716" s="21" t="n"/>
      <c r="Q1716" s="21" t="n"/>
      <c r="R1716" s="21">
        <f>IF($N1716="","",$N1716*IF($Q1716="",1,$Q1716)*IF($P1716="",1,$P1716)*IF($O1716="",1,$O1716))</f>
        <v/>
      </c>
      <c r="S1716" s="22">
        <f>IFERROR(INDEX(CONFIGURACOES!$J$37:$J$300,MATCH($I1716,CONFIGURACOES!$B$37:$B$300,0)),"")</f>
        <v/>
      </c>
      <c r="T1716" s="22">
        <f>IF(OR($R1716="",$S1716=""),"",$R1716*$S1716)</f>
        <v/>
      </c>
      <c r="U1716" s="20" t="n"/>
      <c r="V1716" s="20" t="n"/>
      <c r="W1716" s="20" t="n"/>
      <c r="X1716">
        <f>IF($A1716="","",$A1716&amp;"|"&amp;$C1716&amp;"|"&amp;$I1716)</f>
        <v/>
      </c>
      <c r="Y1716">
        <f>IF(AND($A1716=RELATORIO_MEDICAO!$C$5,$C1716=RELATORIO_MEDICAO!$F$5,$A1716&lt;&gt;""),COUNTIFS($A$3:$A1716,RELATORIO_MEDICAO!$C$5,$C$3:$C1716,RELATORIO_MEDICAO!$F$5),"")</f>
        <v/>
      </c>
      <c r="Z1716">
        <f>IF(OR($A1716="",PESQUISA!$C$4=""),0,IF(OR(ISNUMBER(SEARCH(PESQUISA!$C$4,$G1716)),ISNUMBER(SEARCH(PESQUISA!$C$4,$K1716)),ISNUMBER(SEARCH(PESQUISA!$C$4,$L1716))),1,0))</f>
        <v/>
      </c>
      <c r="AA1716">
        <f>IF($Z1716=1,SUM($Z$3:$Z1716),"")</f>
        <v/>
      </c>
      <c r="AB1716">
        <f>IF(OR($A1716="",PESQUISA!$C$50=""),0,IF(ISNUMBER(SEARCH(PESQUISA!$C$50,$I1716)),1,0))</f>
        <v/>
      </c>
      <c r="AC1716">
        <f>IF($AB1716=1,SUM($AB$3:$AB1716),"")</f>
        <v/>
      </c>
    </row>
    <row r="1717">
      <c r="A1717" s="20" t="n"/>
      <c r="B1717" s="20" t="n"/>
      <c r="C1717" s="20" t="n"/>
      <c r="D1717" s="20" t="n"/>
      <c r="E1717" s="20" t="n"/>
      <c r="F1717" s="20" t="n"/>
      <c r="G1717" s="20" t="n"/>
      <c r="H1717" s="20" t="n"/>
      <c r="I1717" s="20" t="n"/>
      <c r="J1717" s="20">
        <f>IFERROR(INDEX(CONFIGURACOES!$G$37:$G$300,MATCH($I1717,CONFIGURACOES!$B$37:$B$300,0)),"")</f>
        <v/>
      </c>
      <c r="K1717" s="20">
        <f>IFERROR(INDEX(CONFIGURACOES!$H$37:$H$300,MATCH($I1717,CONFIGURACOES!$B$37:$B$300,0)),"")</f>
        <v/>
      </c>
      <c r="L1717" s="20" t="n"/>
      <c r="M1717" s="20">
        <f>IFERROR(INDEX(CONFIGURACOES!$I$37:$I$300,MATCH($I1717,CONFIGURACOES!$B$37:$B$300,0)),"")</f>
        <v/>
      </c>
      <c r="N1717" s="21" t="n"/>
      <c r="O1717" s="21" t="n"/>
      <c r="P1717" s="21" t="n"/>
      <c r="Q1717" s="21" t="n"/>
      <c r="R1717" s="21">
        <f>IF($N1717="","",$N1717*IF($Q1717="",1,$Q1717)*IF($P1717="",1,$P1717)*IF($O1717="",1,$O1717))</f>
        <v/>
      </c>
      <c r="S1717" s="22">
        <f>IFERROR(INDEX(CONFIGURACOES!$J$37:$J$300,MATCH($I1717,CONFIGURACOES!$B$37:$B$300,0)),"")</f>
        <v/>
      </c>
      <c r="T1717" s="22">
        <f>IF(OR($R1717="",$S1717=""),"",$R1717*$S1717)</f>
        <v/>
      </c>
      <c r="U1717" s="20" t="n"/>
      <c r="V1717" s="20" t="n"/>
      <c r="W1717" s="20" t="n"/>
      <c r="X1717">
        <f>IF($A1717="","",$A1717&amp;"|"&amp;$C1717&amp;"|"&amp;$I1717)</f>
        <v/>
      </c>
      <c r="Y1717">
        <f>IF(AND($A1717=RELATORIO_MEDICAO!$C$5,$C1717=RELATORIO_MEDICAO!$F$5,$A1717&lt;&gt;""),COUNTIFS($A$3:$A1717,RELATORIO_MEDICAO!$C$5,$C$3:$C1717,RELATORIO_MEDICAO!$F$5),"")</f>
        <v/>
      </c>
      <c r="Z1717">
        <f>IF(OR($A1717="",PESQUISA!$C$4=""),0,IF(OR(ISNUMBER(SEARCH(PESQUISA!$C$4,$G1717)),ISNUMBER(SEARCH(PESQUISA!$C$4,$K1717)),ISNUMBER(SEARCH(PESQUISA!$C$4,$L1717))),1,0))</f>
        <v/>
      </c>
      <c r="AA1717">
        <f>IF($Z1717=1,SUM($Z$3:$Z1717),"")</f>
        <v/>
      </c>
      <c r="AB1717">
        <f>IF(OR($A1717="",PESQUISA!$C$50=""),0,IF(ISNUMBER(SEARCH(PESQUISA!$C$50,$I1717)),1,0))</f>
        <v/>
      </c>
      <c r="AC1717">
        <f>IF($AB1717=1,SUM($AB$3:$AB1717),"")</f>
        <v/>
      </c>
    </row>
    <row r="1718">
      <c r="A1718" s="20" t="n"/>
      <c r="B1718" s="20" t="n"/>
      <c r="C1718" s="20" t="n"/>
      <c r="D1718" s="20" t="n"/>
      <c r="E1718" s="20" t="n"/>
      <c r="F1718" s="20" t="n"/>
      <c r="G1718" s="20" t="n"/>
      <c r="H1718" s="20" t="n"/>
      <c r="I1718" s="20" t="n"/>
      <c r="J1718" s="20">
        <f>IFERROR(INDEX(CONFIGURACOES!$G$37:$G$300,MATCH($I1718,CONFIGURACOES!$B$37:$B$300,0)),"")</f>
        <v/>
      </c>
      <c r="K1718" s="20">
        <f>IFERROR(INDEX(CONFIGURACOES!$H$37:$H$300,MATCH($I1718,CONFIGURACOES!$B$37:$B$300,0)),"")</f>
        <v/>
      </c>
      <c r="L1718" s="20" t="n"/>
      <c r="M1718" s="20">
        <f>IFERROR(INDEX(CONFIGURACOES!$I$37:$I$300,MATCH($I1718,CONFIGURACOES!$B$37:$B$300,0)),"")</f>
        <v/>
      </c>
      <c r="N1718" s="21" t="n"/>
      <c r="O1718" s="21" t="n"/>
      <c r="P1718" s="21" t="n"/>
      <c r="Q1718" s="21" t="n"/>
      <c r="R1718" s="21">
        <f>IF($N1718="","",$N1718*IF($Q1718="",1,$Q1718)*IF($P1718="",1,$P1718)*IF($O1718="",1,$O1718))</f>
        <v/>
      </c>
      <c r="S1718" s="22">
        <f>IFERROR(INDEX(CONFIGURACOES!$J$37:$J$300,MATCH($I1718,CONFIGURACOES!$B$37:$B$300,0)),"")</f>
        <v/>
      </c>
      <c r="T1718" s="22">
        <f>IF(OR($R1718="",$S1718=""),"",$R1718*$S1718)</f>
        <v/>
      </c>
      <c r="U1718" s="20" t="n"/>
      <c r="V1718" s="20" t="n"/>
      <c r="W1718" s="20" t="n"/>
      <c r="X1718">
        <f>IF($A1718="","",$A1718&amp;"|"&amp;$C1718&amp;"|"&amp;$I1718)</f>
        <v/>
      </c>
      <c r="Y1718">
        <f>IF(AND($A1718=RELATORIO_MEDICAO!$C$5,$C1718=RELATORIO_MEDICAO!$F$5,$A1718&lt;&gt;""),COUNTIFS($A$3:$A1718,RELATORIO_MEDICAO!$C$5,$C$3:$C1718,RELATORIO_MEDICAO!$F$5),"")</f>
        <v/>
      </c>
      <c r="Z1718">
        <f>IF(OR($A1718="",PESQUISA!$C$4=""),0,IF(OR(ISNUMBER(SEARCH(PESQUISA!$C$4,$G1718)),ISNUMBER(SEARCH(PESQUISA!$C$4,$K1718)),ISNUMBER(SEARCH(PESQUISA!$C$4,$L1718))),1,0))</f>
        <v/>
      </c>
      <c r="AA1718">
        <f>IF($Z1718=1,SUM($Z$3:$Z1718),"")</f>
        <v/>
      </c>
      <c r="AB1718">
        <f>IF(OR($A1718="",PESQUISA!$C$50=""),0,IF(ISNUMBER(SEARCH(PESQUISA!$C$50,$I1718)),1,0))</f>
        <v/>
      </c>
      <c r="AC1718">
        <f>IF($AB1718=1,SUM($AB$3:$AB1718),"")</f>
        <v/>
      </c>
    </row>
    <row r="1719">
      <c r="A1719" s="20" t="n"/>
      <c r="B1719" s="20" t="n"/>
      <c r="C1719" s="20" t="n"/>
      <c r="D1719" s="20" t="n"/>
      <c r="E1719" s="20" t="n"/>
      <c r="F1719" s="20" t="n"/>
      <c r="G1719" s="20" t="n"/>
      <c r="H1719" s="20" t="n"/>
      <c r="I1719" s="20" t="n"/>
      <c r="J1719" s="20">
        <f>IFERROR(INDEX(CONFIGURACOES!$G$37:$G$300,MATCH($I1719,CONFIGURACOES!$B$37:$B$300,0)),"")</f>
        <v/>
      </c>
      <c r="K1719" s="20">
        <f>IFERROR(INDEX(CONFIGURACOES!$H$37:$H$300,MATCH($I1719,CONFIGURACOES!$B$37:$B$300,0)),"")</f>
        <v/>
      </c>
      <c r="L1719" s="20" t="n"/>
      <c r="M1719" s="20">
        <f>IFERROR(INDEX(CONFIGURACOES!$I$37:$I$300,MATCH($I1719,CONFIGURACOES!$B$37:$B$300,0)),"")</f>
        <v/>
      </c>
      <c r="N1719" s="21" t="n"/>
      <c r="O1719" s="21" t="n"/>
      <c r="P1719" s="21" t="n"/>
      <c r="Q1719" s="21" t="n"/>
      <c r="R1719" s="21">
        <f>IF($N1719="","",$N1719*IF($Q1719="",1,$Q1719)*IF($P1719="",1,$P1719)*IF($O1719="",1,$O1719))</f>
        <v/>
      </c>
      <c r="S1719" s="22">
        <f>IFERROR(INDEX(CONFIGURACOES!$J$37:$J$300,MATCH($I1719,CONFIGURACOES!$B$37:$B$300,0)),"")</f>
        <v/>
      </c>
      <c r="T1719" s="22">
        <f>IF(OR($R1719="",$S1719=""),"",$R1719*$S1719)</f>
        <v/>
      </c>
      <c r="U1719" s="20" t="n"/>
      <c r="V1719" s="20" t="n"/>
      <c r="W1719" s="20" t="n"/>
      <c r="X1719">
        <f>IF($A1719="","",$A1719&amp;"|"&amp;$C1719&amp;"|"&amp;$I1719)</f>
        <v/>
      </c>
      <c r="Y1719">
        <f>IF(AND($A1719=RELATORIO_MEDICAO!$C$5,$C1719=RELATORIO_MEDICAO!$F$5,$A1719&lt;&gt;""),COUNTIFS($A$3:$A1719,RELATORIO_MEDICAO!$C$5,$C$3:$C1719,RELATORIO_MEDICAO!$F$5),"")</f>
        <v/>
      </c>
      <c r="Z1719">
        <f>IF(OR($A1719="",PESQUISA!$C$4=""),0,IF(OR(ISNUMBER(SEARCH(PESQUISA!$C$4,$G1719)),ISNUMBER(SEARCH(PESQUISA!$C$4,$K1719)),ISNUMBER(SEARCH(PESQUISA!$C$4,$L1719))),1,0))</f>
        <v/>
      </c>
      <c r="AA1719">
        <f>IF($Z1719=1,SUM($Z$3:$Z1719),"")</f>
        <v/>
      </c>
      <c r="AB1719">
        <f>IF(OR($A1719="",PESQUISA!$C$50=""),0,IF(ISNUMBER(SEARCH(PESQUISA!$C$50,$I1719)),1,0))</f>
        <v/>
      </c>
      <c r="AC1719">
        <f>IF($AB1719=1,SUM($AB$3:$AB1719),"")</f>
        <v/>
      </c>
    </row>
    <row r="1720">
      <c r="A1720" s="20" t="n"/>
      <c r="B1720" s="20" t="n"/>
      <c r="C1720" s="20" t="n"/>
      <c r="D1720" s="20" t="n"/>
      <c r="E1720" s="20" t="n"/>
      <c r="F1720" s="20" t="n"/>
      <c r="G1720" s="20" t="n"/>
      <c r="H1720" s="20" t="n"/>
      <c r="I1720" s="20" t="n"/>
      <c r="J1720" s="20">
        <f>IFERROR(INDEX(CONFIGURACOES!$G$37:$G$300,MATCH($I1720,CONFIGURACOES!$B$37:$B$300,0)),"")</f>
        <v/>
      </c>
      <c r="K1720" s="20">
        <f>IFERROR(INDEX(CONFIGURACOES!$H$37:$H$300,MATCH($I1720,CONFIGURACOES!$B$37:$B$300,0)),"")</f>
        <v/>
      </c>
      <c r="L1720" s="20" t="n"/>
      <c r="M1720" s="20">
        <f>IFERROR(INDEX(CONFIGURACOES!$I$37:$I$300,MATCH($I1720,CONFIGURACOES!$B$37:$B$300,0)),"")</f>
        <v/>
      </c>
      <c r="N1720" s="21" t="n"/>
      <c r="O1720" s="21" t="n"/>
      <c r="P1720" s="21" t="n"/>
      <c r="Q1720" s="21" t="n"/>
      <c r="R1720" s="21">
        <f>IF($N1720="","",$N1720*IF($Q1720="",1,$Q1720)*IF($P1720="",1,$P1720)*IF($O1720="",1,$O1720))</f>
        <v/>
      </c>
      <c r="S1720" s="22">
        <f>IFERROR(INDEX(CONFIGURACOES!$J$37:$J$300,MATCH($I1720,CONFIGURACOES!$B$37:$B$300,0)),"")</f>
        <v/>
      </c>
      <c r="T1720" s="22">
        <f>IF(OR($R1720="",$S1720=""),"",$R1720*$S1720)</f>
        <v/>
      </c>
      <c r="U1720" s="20" t="n"/>
      <c r="V1720" s="20" t="n"/>
      <c r="W1720" s="20" t="n"/>
      <c r="X1720">
        <f>IF($A1720="","",$A1720&amp;"|"&amp;$C1720&amp;"|"&amp;$I1720)</f>
        <v/>
      </c>
      <c r="Y1720">
        <f>IF(AND($A1720=RELATORIO_MEDICAO!$C$5,$C1720=RELATORIO_MEDICAO!$F$5,$A1720&lt;&gt;""),COUNTIFS($A$3:$A1720,RELATORIO_MEDICAO!$C$5,$C$3:$C1720,RELATORIO_MEDICAO!$F$5),"")</f>
        <v/>
      </c>
      <c r="Z1720">
        <f>IF(OR($A1720="",PESQUISA!$C$4=""),0,IF(OR(ISNUMBER(SEARCH(PESQUISA!$C$4,$G1720)),ISNUMBER(SEARCH(PESQUISA!$C$4,$K1720)),ISNUMBER(SEARCH(PESQUISA!$C$4,$L1720))),1,0))</f>
        <v/>
      </c>
      <c r="AA1720">
        <f>IF($Z1720=1,SUM($Z$3:$Z1720),"")</f>
        <v/>
      </c>
      <c r="AB1720">
        <f>IF(OR($A1720="",PESQUISA!$C$50=""),0,IF(ISNUMBER(SEARCH(PESQUISA!$C$50,$I1720)),1,0))</f>
        <v/>
      </c>
      <c r="AC1720">
        <f>IF($AB1720=1,SUM($AB$3:$AB1720),"")</f>
        <v/>
      </c>
    </row>
    <row r="1721">
      <c r="A1721" s="20" t="n"/>
      <c r="B1721" s="20" t="n"/>
      <c r="C1721" s="20" t="n"/>
      <c r="D1721" s="20" t="n"/>
      <c r="E1721" s="20" t="n"/>
      <c r="F1721" s="20" t="n"/>
      <c r="G1721" s="20" t="n"/>
      <c r="H1721" s="20" t="n"/>
      <c r="I1721" s="20" t="n"/>
      <c r="J1721" s="20">
        <f>IFERROR(INDEX(CONFIGURACOES!$G$37:$G$300,MATCH($I1721,CONFIGURACOES!$B$37:$B$300,0)),"")</f>
        <v/>
      </c>
      <c r="K1721" s="20">
        <f>IFERROR(INDEX(CONFIGURACOES!$H$37:$H$300,MATCH($I1721,CONFIGURACOES!$B$37:$B$300,0)),"")</f>
        <v/>
      </c>
      <c r="L1721" s="20" t="n"/>
      <c r="M1721" s="20">
        <f>IFERROR(INDEX(CONFIGURACOES!$I$37:$I$300,MATCH($I1721,CONFIGURACOES!$B$37:$B$300,0)),"")</f>
        <v/>
      </c>
      <c r="N1721" s="21" t="n"/>
      <c r="O1721" s="21" t="n"/>
      <c r="P1721" s="21" t="n"/>
      <c r="Q1721" s="21" t="n"/>
      <c r="R1721" s="21">
        <f>IF($N1721="","",$N1721*IF($Q1721="",1,$Q1721)*IF($P1721="",1,$P1721)*IF($O1721="",1,$O1721))</f>
        <v/>
      </c>
      <c r="S1721" s="22">
        <f>IFERROR(INDEX(CONFIGURACOES!$J$37:$J$300,MATCH($I1721,CONFIGURACOES!$B$37:$B$300,0)),"")</f>
        <v/>
      </c>
      <c r="T1721" s="22">
        <f>IF(OR($R1721="",$S1721=""),"",$R1721*$S1721)</f>
        <v/>
      </c>
      <c r="U1721" s="20" t="n"/>
      <c r="V1721" s="20" t="n"/>
      <c r="W1721" s="20" t="n"/>
      <c r="X1721">
        <f>IF($A1721="","",$A1721&amp;"|"&amp;$C1721&amp;"|"&amp;$I1721)</f>
        <v/>
      </c>
      <c r="Y1721">
        <f>IF(AND($A1721=RELATORIO_MEDICAO!$C$5,$C1721=RELATORIO_MEDICAO!$F$5,$A1721&lt;&gt;""),COUNTIFS($A$3:$A1721,RELATORIO_MEDICAO!$C$5,$C$3:$C1721,RELATORIO_MEDICAO!$F$5),"")</f>
        <v/>
      </c>
      <c r="Z1721">
        <f>IF(OR($A1721="",PESQUISA!$C$4=""),0,IF(OR(ISNUMBER(SEARCH(PESQUISA!$C$4,$G1721)),ISNUMBER(SEARCH(PESQUISA!$C$4,$K1721)),ISNUMBER(SEARCH(PESQUISA!$C$4,$L1721))),1,0))</f>
        <v/>
      </c>
      <c r="AA1721">
        <f>IF($Z1721=1,SUM($Z$3:$Z1721),"")</f>
        <v/>
      </c>
      <c r="AB1721">
        <f>IF(OR($A1721="",PESQUISA!$C$50=""),0,IF(ISNUMBER(SEARCH(PESQUISA!$C$50,$I1721)),1,0))</f>
        <v/>
      </c>
      <c r="AC1721">
        <f>IF($AB1721=1,SUM($AB$3:$AB1721),"")</f>
        <v/>
      </c>
    </row>
    <row r="1722">
      <c r="A1722" s="20" t="n"/>
      <c r="B1722" s="20" t="n"/>
      <c r="C1722" s="20" t="n"/>
      <c r="D1722" s="20" t="n"/>
      <c r="E1722" s="20" t="n"/>
      <c r="F1722" s="20" t="n"/>
      <c r="G1722" s="20" t="n"/>
      <c r="H1722" s="20" t="n"/>
      <c r="I1722" s="20" t="n"/>
      <c r="J1722" s="20">
        <f>IFERROR(INDEX(CONFIGURACOES!$G$37:$G$300,MATCH($I1722,CONFIGURACOES!$B$37:$B$300,0)),"")</f>
        <v/>
      </c>
      <c r="K1722" s="20">
        <f>IFERROR(INDEX(CONFIGURACOES!$H$37:$H$300,MATCH($I1722,CONFIGURACOES!$B$37:$B$300,0)),"")</f>
        <v/>
      </c>
      <c r="L1722" s="20" t="n"/>
      <c r="M1722" s="20">
        <f>IFERROR(INDEX(CONFIGURACOES!$I$37:$I$300,MATCH($I1722,CONFIGURACOES!$B$37:$B$300,0)),"")</f>
        <v/>
      </c>
      <c r="N1722" s="21" t="n"/>
      <c r="O1722" s="21" t="n"/>
      <c r="P1722" s="21" t="n"/>
      <c r="Q1722" s="21" t="n"/>
      <c r="R1722" s="21">
        <f>IF($N1722="","",$N1722*IF($Q1722="",1,$Q1722)*IF($P1722="",1,$P1722)*IF($O1722="",1,$O1722))</f>
        <v/>
      </c>
      <c r="S1722" s="22">
        <f>IFERROR(INDEX(CONFIGURACOES!$J$37:$J$300,MATCH($I1722,CONFIGURACOES!$B$37:$B$300,0)),"")</f>
        <v/>
      </c>
      <c r="T1722" s="22">
        <f>IF(OR($R1722="",$S1722=""),"",$R1722*$S1722)</f>
        <v/>
      </c>
      <c r="U1722" s="20" t="n"/>
      <c r="V1722" s="20" t="n"/>
      <c r="W1722" s="20" t="n"/>
      <c r="X1722">
        <f>IF($A1722="","",$A1722&amp;"|"&amp;$C1722&amp;"|"&amp;$I1722)</f>
        <v/>
      </c>
      <c r="Y1722">
        <f>IF(AND($A1722=RELATORIO_MEDICAO!$C$5,$C1722=RELATORIO_MEDICAO!$F$5,$A1722&lt;&gt;""),COUNTIFS($A$3:$A1722,RELATORIO_MEDICAO!$C$5,$C$3:$C1722,RELATORIO_MEDICAO!$F$5),"")</f>
        <v/>
      </c>
      <c r="Z1722">
        <f>IF(OR($A1722="",PESQUISA!$C$4=""),0,IF(OR(ISNUMBER(SEARCH(PESQUISA!$C$4,$G1722)),ISNUMBER(SEARCH(PESQUISA!$C$4,$K1722)),ISNUMBER(SEARCH(PESQUISA!$C$4,$L1722))),1,0))</f>
        <v/>
      </c>
      <c r="AA1722">
        <f>IF($Z1722=1,SUM($Z$3:$Z1722),"")</f>
        <v/>
      </c>
      <c r="AB1722">
        <f>IF(OR($A1722="",PESQUISA!$C$50=""),0,IF(ISNUMBER(SEARCH(PESQUISA!$C$50,$I1722)),1,0))</f>
        <v/>
      </c>
      <c r="AC1722">
        <f>IF($AB1722=1,SUM($AB$3:$AB1722),"")</f>
        <v/>
      </c>
    </row>
    <row r="1723">
      <c r="A1723" s="20" t="n"/>
      <c r="B1723" s="20" t="n"/>
      <c r="C1723" s="20" t="n"/>
      <c r="D1723" s="20" t="n"/>
      <c r="E1723" s="20" t="n"/>
      <c r="F1723" s="20" t="n"/>
      <c r="G1723" s="20" t="n"/>
      <c r="H1723" s="20" t="n"/>
      <c r="I1723" s="20" t="n"/>
      <c r="J1723" s="20">
        <f>IFERROR(INDEX(CONFIGURACOES!$G$37:$G$300,MATCH($I1723,CONFIGURACOES!$B$37:$B$300,0)),"")</f>
        <v/>
      </c>
      <c r="K1723" s="20">
        <f>IFERROR(INDEX(CONFIGURACOES!$H$37:$H$300,MATCH($I1723,CONFIGURACOES!$B$37:$B$300,0)),"")</f>
        <v/>
      </c>
      <c r="L1723" s="20" t="n"/>
      <c r="M1723" s="20">
        <f>IFERROR(INDEX(CONFIGURACOES!$I$37:$I$300,MATCH($I1723,CONFIGURACOES!$B$37:$B$300,0)),"")</f>
        <v/>
      </c>
      <c r="N1723" s="21" t="n"/>
      <c r="O1723" s="21" t="n"/>
      <c r="P1723" s="21" t="n"/>
      <c r="Q1723" s="21" t="n"/>
      <c r="R1723" s="21">
        <f>IF($N1723="","",$N1723*IF($Q1723="",1,$Q1723)*IF($P1723="",1,$P1723)*IF($O1723="",1,$O1723))</f>
        <v/>
      </c>
      <c r="S1723" s="22">
        <f>IFERROR(INDEX(CONFIGURACOES!$J$37:$J$300,MATCH($I1723,CONFIGURACOES!$B$37:$B$300,0)),"")</f>
        <v/>
      </c>
      <c r="T1723" s="22">
        <f>IF(OR($R1723="",$S1723=""),"",$R1723*$S1723)</f>
        <v/>
      </c>
      <c r="U1723" s="20" t="n"/>
      <c r="V1723" s="20" t="n"/>
      <c r="W1723" s="20" t="n"/>
      <c r="X1723">
        <f>IF($A1723="","",$A1723&amp;"|"&amp;$C1723&amp;"|"&amp;$I1723)</f>
        <v/>
      </c>
      <c r="Y1723">
        <f>IF(AND($A1723=RELATORIO_MEDICAO!$C$5,$C1723=RELATORIO_MEDICAO!$F$5,$A1723&lt;&gt;""),COUNTIFS($A$3:$A1723,RELATORIO_MEDICAO!$C$5,$C$3:$C1723,RELATORIO_MEDICAO!$F$5),"")</f>
        <v/>
      </c>
      <c r="Z1723">
        <f>IF(OR($A1723="",PESQUISA!$C$4=""),0,IF(OR(ISNUMBER(SEARCH(PESQUISA!$C$4,$G1723)),ISNUMBER(SEARCH(PESQUISA!$C$4,$K1723)),ISNUMBER(SEARCH(PESQUISA!$C$4,$L1723))),1,0))</f>
        <v/>
      </c>
      <c r="AA1723">
        <f>IF($Z1723=1,SUM($Z$3:$Z1723),"")</f>
        <v/>
      </c>
      <c r="AB1723">
        <f>IF(OR($A1723="",PESQUISA!$C$50=""),0,IF(ISNUMBER(SEARCH(PESQUISA!$C$50,$I1723)),1,0))</f>
        <v/>
      </c>
      <c r="AC1723">
        <f>IF($AB1723=1,SUM($AB$3:$AB1723),"")</f>
        <v/>
      </c>
    </row>
    <row r="1724">
      <c r="A1724" s="20" t="n"/>
      <c r="B1724" s="20" t="n"/>
      <c r="C1724" s="20" t="n"/>
      <c r="D1724" s="20" t="n"/>
      <c r="E1724" s="20" t="n"/>
      <c r="F1724" s="20" t="n"/>
      <c r="G1724" s="20" t="n"/>
      <c r="H1724" s="20" t="n"/>
      <c r="I1724" s="20" t="n"/>
      <c r="J1724" s="20">
        <f>IFERROR(INDEX(CONFIGURACOES!$G$37:$G$300,MATCH($I1724,CONFIGURACOES!$B$37:$B$300,0)),"")</f>
        <v/>
      </c>
      <c r="K1724" s="20">
        <f>IFERROR(INDEX(CONFIGURACOES!$H$37:$H$300,MATCH($I1724,CONFIGURACOES!$B$37:$B$300,0)),"")</f>
        <v/>
      </c>
      <c r="L1724" s="20" t="n"/>
      <c r="M1724" s="20">
        <f>IFERROR(INDEX(CONFIGURACOES!$I$37:$I$300,MATCH($I1724,CONFIGURACOES!$B$37:$B$300,0)),"")</f>
        <v/>
      </c>
      <c r="N1724" s="21" t="n"/>
      <c r="O1724" s="21" t="n"/>
      <c r="P1724" s="21" t="n"/>
      <c r="Q1724" s="21" t="n"/>
      <c r="R1724" s="21">
        <f>IF($N1724="","",$N1724*IF($Q1724="",1,$Q1724)*IF($P1724="",1,$P1724)*IF($O1724="",1,$O1724))</f>
        <v/>
      </c>
      <c r="S1724" s="22">
        <f>IFERROR(INDEX(CONFIGURACOES!$J$37:$J$300,MATCH($I1724,CONFIGURACOES!$B$37:$B$300,0)),"")</f>
        <v/>
      </c>
      <c r="T1724" s="22">
        <f>IF(OR($R1724="",$S1724=""),"",$R1724*$S1724)</f>
        <v/>
      </c>
      <c r="U1724" s="20" t="n"/>
      <c r="V1724" s="20" t="n"/>
      <c r="W1724" s="20" t="n"/>
      <c r="X1724">
        <f>IF($A1724="","",$A1724&amp;"|"&amp;$C1724&amp;"|"&amp;$I1724)</f>
        <v/>
      </c>
      <c r="Y1724">
        <f>IF(AND($A1724=RELATORIO_MEDICAO!$C$5,$C1724=RELATORIO_MEDICAO!$F$5,$A1724&lt;&gt;""),COUNTIFS($A$3:$A1724,RELATORIO_MEDICAO!$C$5,$C$3:$C1724,RELATORIO_MEDICAO!$F$5),"")</f>
        <v/>
      </c>
      <c r="Z1724">
        <f>IF(OR($A1724="",PESQUISA!$C$4=""),0,IF(OR(ISNUMBER(SEARCH(PESQUISA!$C$4,$G1724)),ISNUMBER(SEARCH(PESQUISA!$C$4,$K1724)),ISNUMBER(SEARCH(PESQUISA!$C$4,$L1724))),1,0))</f>
        <v/>
      </c>
      <c r="AA1724">
        <f>IF($Z1724=1,SUM($Z$3:$Z1724),"")</f>
        <v/>
      </c>
      <c r="AB1724">
        <f>IF(OR($A1724="",PESQUISA!$C$50=""),0,IF(ISNUMBER(SEARCH(PESQUISA!$C$50,$I1724)),1,0))</f>
        <v/>
      </c>
      <c r="AC1724">
        <f>IF($AB1724=1,SUM($AB$3:$AB1724),"")</f>
        <v/>
      </c>
    </row>
    <row r="1725">
      <c r="A1725" s="20" t="n"/>
      <c r="B1725" s="20" t="n"/>
      <c r="C1725" s="20" t="n"/>
      <c r="D1725" s="20" t="n"/>
      <c r="E1725" s="20" t="n"/>
      <c r="F1725" s="20" t="n"/>
      <c r="G1725" s="20" t="n"/>
      <c r="H1725" s="20" t="n"/>
      <c r="I1725" s="20" t="n"/>
      <c r="J1725" s="20">
        <f>IFERROR(INDEX(CONFIGURACOES!$G$37:$G$300,MATCH($I1725,CONFIGURACOES!$B$37:$B$300,0)),"")</f>
        <v/>
      </c>
      <c r="K1725" s="20">
        <f>IFERROR(INDEX(CONFIGURACOES!$H$37:$H$300,MATCH($I1725,CONFIGURACOES!$B$37:$B$300,0)),"")</f>
        <v/>
      </c>
      <c r="L1725" s="20" t="n"/>
      <c r="M1725" s="20">
        <f>IFERROR(INDEX(CONFIGURACOES!$I$37:$I$300,MATCH($I1725,CONFIGURACOES!$B$37:$B$300,0)),"")</f>
        <v/>
      </c>
      <c r="N1725" s="21" t="n"/>
      <c r="O1725" s="21" t="n"/>
      <c r="P1725" s="21" t="n"/>
      <c r="Q1725" s="21" t="n"/>
      <c r="R1725" s="21">
        <f>IF($N1725="","",$N1725*IF($Q1725="",1,$Q1725)*IF($P1725="",1,$P1725)*IF($O1725="",1,$O1725))</f>
        <v/>
      </c>
      <c r="S1725" s="22">
        <f>IFERROR(INDEX(CONFIGURACOES!$J$37:$J$300,MATCH($I1725,CONFIGURACOES!$B$37:$B$300,0)),"")</f>
        <v/>
      </c>
      <c r="T1725" s="22">
        <f>IF(OR($R1725="",$S1725=""),"",$R1725*$S1725)</f>
        <v/>
      </c>
      <c r="U1725" s="20" t="n"/>
      <c r="V1725" s="20" t="n"/>
      <c r="W1725" s="20" t="n"/>
      <c r="X1725">
        <f>IF($A1725="","",$A1725&amp;"|"&amp;$C1725&amp;"|"&amp;$I1725)</f>
        <v/>
      </c>
      <c r="Y1725">
        <f>IF(AND($A1725=RELATORIO_MEDICAO!$C$5,$C1725=RELATORIO_MEDICAO!$F$5,$A1725&lt;&gt;""),COUNTIFS($A$3:$A1725,RELATORIO_MEDICAO!$C$5,$C$3:$C1725,RELATORIO_MEDICAO!$F$5),"")</f>
        <v/>
      </c>
      <c r="Z1725">
        <f>IF(OR($A1725="",PESQUISA!$C$4=""),0,IF(OR(ISNUMBER(SEARCH(PESQUISA!$C$4,$G1725)),ISNUMBER(SEARCH(PESQUISA!$C$4,$K1725)),ISNUMBER(SEARCH(PESQUISA!$C$4,$L1725))),1,0))</f>
        <v/>
      </c>
      <c r="AA1725">
        <f>IF($Z1725=1,SUM($Z$3:$Z1725),"")</f>
        <v/>
      </c>
      <c r="AB1725">
        <f>IF(OR($A1725="",PESQUISA!$C$50=""),0,IF(ISNUMBER(SEARCH(PESQUISA!$C$50,$I1725)),1,0))</f>
        <v/>
      </c>
      <c r="AC1725">
        <f>IF($AB1725=1,SUM($AB$3:$AB1725),"")</f>
        <v/>
      </c>
    </row>
    <row r="1726">
      <c r="A1726" s="20" t="n"/>
      <c r="B1726" s="20" t="n"/>
      <c r="C1726" s="20" t="n"/>
      <c r="D1726" s="20" t="n"/>
      <c r="E1726" s="20" t="n"/>
      <c r="F1726" s="20" t="n"/>
      <c r="G1726" s="20" t="n"/>
      <c r="H1726" s="20" t="n"/>
      <c r="I1726" s="20" t="n"/>
      <c r="J1726" s="20">
        <f>IFERROR(INDEX(CONFIGURACOES!$G$37:$G$300,MATCH($I1726,CONFIGURACOES!$B$37:$B$300,0)),"")</f>
        <v/>
      </c>
      <c r="K1726" s="20">
        <f>IFERROR(INDEX(CONFIGURACOES!$H$37:$H$300,MATCH($I1726,CONFIGURACOES!$B$37:$B$300,0)),"")</f>
        <v/>
      </c>
      <c r="L1726" s="20" t="n"/>
      <c r="M1726" s="20">
        <f>IFERROR(INDEX(CONFIGURACOES!$I$37:$I$300,MATCH($I1726,CONFIGURACOES!$B$37:$B$300,0)),"")</f>
        <v/>
      </c>
      <c r="N1726" s="21" t="n"/>
      <c r="O1726" s="21" t="n"/>
      <c r="P1726" s="21" t="n"/>
      <c r="Q1726" s="21" t="n"/>
      <c r="R1726" s="21">
        <f>IF($N1726="","",$N1726*IF($Q1726="",1,$Q1726)*IF($P1726="",1,$P1726)*IF($O1726="",1,$O1726))</f>
        <v/>
      </c>
      <c r="S1726" s="22">
        <f>IFERROR(INDEX(CONFIGURACOES!$J$37:$J$300,MATCH($I1726,CONFIGURACOES!$B$37:$B$300,0)),"")</f>
        <v/>
      </c>
      <c r="T1726" s="22">
        <f>IF(OR($R1726="",$S1726=""),"",$R1726*$S1726)</f>
        <v/>
      </c>
      <c r="U1726" s="20" t="n"/>
      <c r="V1726" s="20" t="n"/>
      <c r="W1726" s="20" t="n"/>
      <c r="X1726">
        <f>IF($A1726="","",$A1726&amp;"|"&amp;$C1726&amp;"|"&amp;$I1726)</f>
        <v/>
      </c>
      <c r="Y1726">
        <f>IF(AND($A1726=RELATORIO_MEDICAO!$C$5,$C1726=RELATORIO_MEDICAO!$F$5,$A1726&lt;&gt;""),COUNTIFS($A$3:$A1726,RELATORIO_MEDICAO!$C$5,$C$3:$C1726,RELATORIO_MEDICAO!$F$5),"")</f>
        <v/>
      </c>
      <c r="Z1726">
        <f>IF(OR($A1726="",PESQUISA!$C$4=""),0,IF(OR(ISNUMBER(SEARCH(PESQUISA!$C$4,$G1726)),ISNUMBER(SEARCH(PESQUISA!$C$4,$K1726)),ISNUMBER(SEARCH(PESQUISA!$C$4,$L1726))),1,0))</f>
        <v/>
      </c>
      <c r="AA1726">
        <f>IF($Z1726=1,SUM($Z$3:$Z1726),"")</f>
        <v/>
      </c>
      <c r="AB1726">
        <f>IF(OR($A1726="",PESQUISA!$C$50=""),0,IF(ISNUMBER(SEARCH(PESQUISA!$C$50,$I1726)),1,0))</f>
        <v/>
      </c>
      <c r="AC1726">
        <f>IF($AB1726=1,SUM($AB$3:$AB1726),"")</f>
        <v/>
      </c>
    </row>
    <row r="1727">
      <c r="A1727" s="20" t="n"/>
      <c r="B1727" s="20" t="n"/>
      <c r="C1727" s="20" t="n"/>
      <c r="D1727" s="20" t="n"/>
      <c r="E1727" s="20" t="n"/>
      <c r="F1727" s="20" t="n"/>
      <c r="G1727" s="20" t="n"/>
      <c r="H1727" s="20" t="n"/>
      <c r="I1727" s="20" t="n"/>
      <c r="J1727" s="20">
        <f>IFERROR(INDEX(CONFIGURACOES!$G$37:$G$300,MATCH($I1727,CONFIGURACOES!$B$37:$B$300,0)),"")</f>
        <v/>
      </c>
      <c r="K1727" s="20">
        <f>IFERROR(INDEX(CONFIGURACOES!$H$37:$H$300,MATCH($I1727,CONFIGURACOES!$B$37:$B$300,0)),"")</f>
        <v/>
      </c>
      <c r="L1727" s="20" t="n"/>
      <c r="M1727" s="20">
        <f>IFERROR(INDEX(CONFIGURACOES!$I$37:$I$300,MATCH($I1727,CONFIGURACOES!$B$37:$B$300,0)),"")</f>
        <v/>
      </c>
      <c r="N1727" s="21" t="n"/>
      <c r="O1727" s="21" t="n"/>
      <c r="P1727" s="21" t="n"/>
      <c r="Q1727" s="21" t="n"/>
      <c r="R1727" s="21">
        <f>IF($N1727="","",$N1727*IF($Q1727="",1,$Q1727)*IF($P1727="",1,$P1727)*IF($O1727="",1,$O1727))</f>
        <v/>
      </c>
      <c r="S1727" s="22">
        <f>IFERROR(INDEX(CONFIGURACOES!$J$37:$J$300,MATCH($I1727,CONFIGURACOES!$B$37:$B$300,0)),"")</f>
        <v/>
      </c>
      <c r="T1727" s="22">
        <f>IF(OR($R1727="",$S1727=""),"",$R1727*$S1727)</f>
        <v/>
      </c>
      <c r="U1727" s="20" t="n"/>
      <c r="V1727" s="20" t="n"/>
      <c r="W1727" s="20" t="n"/>
      <c r="X1727">
        <f>IF($A1727="","",$A1727&amp;"|"&amp;$C1727&amp;"|"&amp;$I1727)</f>
        <v/>
      </c>
      <c r="Y1727">
        <f>IF(AND($A1727=RELATORIO_MEDICAO!$C$5,$C1727=RELATORIO_MEDICAO!$F$5,$A1727&lt;&gt;""),COUNTIFS($A$3:$A1727,RELATORIO_MEDICAO!$C$5,$C$3:$C1727,RELATORIO_MEDICAO!$F$5),"")</f>
        <v/>
      </c>
      <c r="Z1727">
        <f>IF(OR($A1727="",PESQUISA!$C$4=""),0,IF(OR(ISNUMBER(SEARCH(PESQUISA!$C$4,$G1727)),ISNUMBER(SEARCH(PESQUISA!$C$4,$K1727)),ISNUMBER(SEARCH(PESQUISA!$C$4,$L1727))),1,0))</f>
        <v/>
      </c>
      <c r="AA1727">
        <f>IF($Z1727=1,SUM($Z$3:$Z1727),"")</f>
        <v/>
      </c>
      <c r="AB1727">
        <f>IF(OR($A1727="",PESQUISA!$C$50=""),0,IF(ISNUMBER(SEARCH(PESQUISA!$C$50,$I1727)),1,0))</f>
        <v/>
      </c>
      <c r="AC1727">
        <f>IF($AB1727=1,SUM($AB$3:$AB1727),"")</f>
        <v/>
      </c>
    </row>
    <row r="1728">
      <c r="A1728" s="20" t="n"/>
      <c r="B1728" s="20" t="n"/>
      <c r="C1728" s="20" t="n"/>
      <c r="D1728" s="20" t="n"/>
      <c r="E1728" s="20" t="n"/>
      <c r="F1728" s="20" t="n"/>
      <c r="G1728" s="20" t="n"/>
      <c r="H1728" s="20" t="n"/>
      <c r="I1728" s="20" t="n"/>
      <c r="J1728" s="20">
        <f>IFERROR(INDEX(CONFIGURACOES!$G$37:$G$300,MATCH($I1728,CONFIGURACOES!$B$37:$B$300,0)),"")</f>
        <v/>
      </c>
      <c r="K1728" s="20">
        <f>IFERROR(INDEX(CONFIGURACOES!$H$37:$H$300,MATCH($I1728,CONFIGURACOES!$B$37:$B$300,0)),"")</f>
        <v/>
      </c>
      <c r="L1728" s="20" t="n"/>
      <c r="M1728" s="20">
        <f>IFERROR(INDEX(CONFIGURACOES!$I$37:$I$300,MATCH($I1728,CONFIGURACOES!$B$37:$B$300,0)),"")</f>
        <v/>
      </c>
      <c r="N1728" s="21" t="n"/>
      <c r="O1728" s="21" t="n"/>
      <c r="P1728" s="21" t="n"/>
      <c r="Q1728" s="21" t="n"/>
      <c r="R1728" s="21">
        <f>IF($N1728="","",$N1728*IF($Q1728="",1,$Q1728)*IF($P1728="",1,$P1728)*IF($O1728="",1,$O1728))</f>
        <v/>
      </c>
      <c r="S1728" s="22">
        <f>IFERROR(INDEX(CONFIGURACOES!$J$37:$J$300,MATCH($I1728,CONFIGURACOES!$B$37:$B$300,0)),"")</f>
        <v/>
      </c>
      <c r="T1728" s="22">
        <f>IF(OR($R1728="",$S1728=""),"",$R1728*$S1728)</f>
        <v/>
      </c>
      <c r="U1728" s="20" t="n"/>
      <c r="V1728" s="20" t="n"/>
      <c r="W1728" s="20" t="n"/>
      <c r="X1728">
        <f>IF($A1728="","",$A1728&amp;"|"&amp;$C1728&amp;"|"&amp;$I1728)</f>
        <v/>
      </c>
      <c r="Y1728">
        <f>IF(AND($A1728=RELATORIO_MEDICAO!$C$5,$C1728=RELATORIO_MEDICAO!$F$5,$A1728&lt;&gt;""),COUNTIFS($A$3:$A1728,RELATORIO_MEDICAO!$C$5,$C$3:$C1728,RELATORIO_MEDICAO!$F$5),"")</f>
        <v/>
      </c>
      <c r="Z1728">
        <f>IF(OR($A1728="",PESQUISA!$C$4=""),0,IF(OR(ISNUMBER(SEARCH(PESQUISA!$C$4,$G1728)),ISNUMBER(SEARCH(PESQUISA!$C$4,$K1728)),ISNUMBER(SEARCH(PESQUISA!$C$4,$L1728))),1,0))</f>
        <v/>
      </c>
      <c r="AA1728">
        <f>IF($Z1728=1,SUM($Z$3:$Z1728),"")</f>
        <v/>
      </c>
      <c r="AB1728">
        <f>IF(OR($A1728="",PESQUISA!$C$50=""),0,IF(ISNUMBER(SEARCH(PESQUISA!$C$50,$I1728)),1,0))</f>
        <v/>
      </c>
      <c r="AC1728">
        <f>IF($AB1728=1,SUM($AB$3:$AB1728),"")</f>
        <v/>
      </c>
    </row>
    <row r="1729">
      <c r="A1729" s="20" t="n"/>
      <c r="B1729" s="20" t="n"/>
      <c r="C1729" s="20" t="n"/>
      <c r="D1729" s="20" t="n"/>
      <c r="E1729" s="20" t="n"/>
      <c r="F1729" s="20" t="n"/>
      <c r="G1729" s="20" t="n"/>
      <c r="H1729" s="20" t="n"/>
      <c r="I1729" s="20" t="n"/>
      <c r="J1729" s="20">
        <f>IFERROR(INDEX(CONFIGURACOES!$G$37:$G$300,MATCH($I1729,CONFIGURACOES!$B$37:$B$300,0)),"")</f>
        <v/>
      </c>
      <c r="K1729" s="20">
        <f>IFERROR(INDEX(CONFIGURACOES!$H$37:$H$300,MATCH($I1729,CONFIGURACOES!$B$37:$B$300,0)),"")</f>
        <v/>
      </c>
      <c r="L1729" s="20" t="n"/>
      <c r="M1729" s="20">
        <f>IFERROR(INDEX(CONFIGURACOES!$I$37:$I$300,MATCH($I1729,CONFIGURACOES!$B$37:$B$300,0)),"")</f>
        <v/>
      </c>
      <c r="N1729" s="21" t="n"/>
      <c r="O1729" s="21" t="n"/>
      <c r="P1729" s="21" t="n"/>
      <c r="Q1729" s="21" t="n"/>
      <c r="R1729" s="21">
        <f>IF($N1729="","",$N1729*IF($Q1729="",1,$Q1729)*IF($P1729="",1,$P1729)*IF($O1729="",1,$O1729))</f>
        <v/>
      </c>
      <c r="S1729" s="22">
        <f>IFERROR(INDEX(CONFIGURACOES!$J$37:$J$300,MATCH($I1729,CONFIGURACOES!$B$37:$B$300,0)),"")</f>
        <v/>
      </c>
      <c r="T1729" s="22">
        <f>IF(OR($R1729="",$S1729=""),"",$R1729*$S1729)</f>
        <v/>
      </c>
      <c r="U1729" s="20" t="n"/>
      <c r="V1729" s="20" t="n"/>
      <c r="W1729" s="20" t="n"/>
      <c r="X1729">
        <f>IF($A1729="","",$A1729&amp;"|"&amp;$C1729&amp;"|"&amp;$I1729)</f>
        <v/>
      </c>
      <c r="Y1729">
        <f>IF(AND($A1729=RELATORIO_MEDICAO!$C$5,$C1729=RELATORIO_MEDICAO!$F$5,$A1729&lt;&gt;""),COUNTIFS($A$3:$A1729,RELATORIO_MEDICAO!$C$5,$C$3:$C1729,RELATORIO_MEDICAO!$F$5),"")</f>
        <v/>
      </c>
      <c r="Z1729">
        <f>IF(OR($A1729="",PESQUISA!$C$4=""),0,IF(OR(ISNUMBER(SEARCH(PESQUISA!$C$4,$G1729)),ISNUMBER(SEARCH(PESQUISA!$C$4,$K1729)),ISNUMBER(SEARCH(PESQUISA!$C$4,$L1729))),1,0))</f>
        <v/>
      </c>
      <c r="AA1729">
        <f>IF($Z1729=1,SUM($Z$3:$Z1729),"")</f>
        <v/>
      </c>
      <c r="AB1729">
        <f>IF(OR($A1729="",PESQUISA!$C$50=""),0,IF(ISNUMBER(SEARCH(PESQUISA!$C$50,$I1729)),1,0))</f>
        <v/>
      </c>
      <c r="AC1729">
        <f>IF($AB1729=1,SUM($AB$3:$AB1729),"")</f>
        <v/>
      </c>
    </row>
    <row r="1730">
      <c r="A1730" s="20" t="n"/>
      <c r="B1730" s="20" t="n"/>
      <c r="C1730" s="20" t="n"/>
      <c r="D1730" s="20" t="n"/>
      <c r="E1730" s="20" t="n"/>
      <c r="F1730" s="20" t="n"/>
      <c r="G1730" s="20" t="n"/>
      <c r="H1730" s="20" t="n"/>
      <c r="I1730" s="20" t="n"/>
      <c r="J1730" s="20">
        <f>IFERROR(INDEX(CONFIGURACOES!$G$37:$G$300,MATCH($I1730,CONFIGURACOES!$B$37:$B$300,0)),"")</f>
        <v/>
      </c>
      <c r="K1730" s="20">
        <f>IFERROR(INDEX(CONFIGURACOES!$H$37:$H$300,MATCH($I1730,CONFIGURACOES!$B$37:$B$300,0)),"")</f>
        <v/>
      </c>
      <c r="L1730" s="20" t="n"/>
      <c r="M1730" s="20">
        <f>IFERROR(INDEX(CONFIGURACOES!$I$37:$I$300,MATCH($I1730,CONFIGURACOES!$B$37:$B$300,0)),"")</f>
        <v/>
      </c>
      <c r="N1730" s="21" t="n"/>
      <c r="O1730" s="21" t="n"/>
      <c r="P1730" s="21" t="n"/>
      <c r="Q1730" s="21" t="n"/>
      <c r="R1730" s="21">
        <f>IF($N1730="","",$N1730*IF($Q1730="",1,$Q1730)*IF($P1730="",1,$P1730)*IF($O1730="",1,$O1730))</f>
        <v/>
      </c>
      <c r="S1730" s="22">
        <f>IFERROR(INDEX(CONFIGURACOES!$J$37:$J$300,MATCH($I1730,CONFIGURACOES!$B$37:$B$300,0)),"")</f>
        <v/>
      </c>
      <c r="T1730" s="22">
        <f>IF(OR($R1730="",$S1730=""),"",$R1730*$S1730)</f>
        <v/>
      </c>
      <c r="U1730" s="20" t="n"/>
      <c r="V1730" s="20" t="n"/>
      <c r="W1730" s="20" t="n"/>
      <c r="X1730">
        <f>IF($A1730="","",$A1730&amp;"|"&amp;$C1730&amp;"|"&amp;$I1730)</f>
        <v/>
      </c>
      <c r="Y1730">
        <f>IF(AND($A1730=RELATORIO_MEDICAO!$C$5,$C1730=RELATORIO_MEDICAO!$F$5,$A1730&lt;&gt;""),COUNTIFS($A$3:$A1730,RELATORIO_MEDICAO!$C$5,$C$3:$C1730,RELATORIO_MEDICAO!$F$5),"")</f>
        <v/>
      </c>
      <c r="Z1730">
        <f>IF(OR($A1730="",PESQUISA!$C$4=""),0,IF(OR(ISNUMBER(SEARCH(PESQUISA!$C$4,$G1730)),ISNUMBER(SEARCH(PESQUISA!$C$4,$K1730)),ISNUMBER(SEARCH(PESQUISA!$C$4,$L1730))),1,0))</f>
        <v/>
      </c>
      <c r="AA1730">
        <f>IF($Z1730=1,SUM($Z$3:$Z1730),"")</f>
        <v/>
      </c>
      <c r="AB1730">
        <f>IF(OR($A1730="",PESQUISA!$C$50=""),0,IF(ISNUMBER(SEARCH(PESQUISA!$C$50,$I1730)),1,0))</f>
        <v/>
      </c>
      <c r="AC1730">
        <f>IF($AB1730=1,SUM($AB$3:$AB1730),"")</f>
        <v/>
      </c>
    </row>
    <row r="1731">
      <c r="A1731" s="20" t="n"/>
      <c r="B1731" s="20" t="n"/>
      <c r="C1731" s="20" t="n"/>
      <c r="D1731" s="20" t="n"/>
      <c r="E1731" s="20" t="n"/>
      <c r="F1731" s="20" t="n"/>
      <c r="G1731" s="20" t="n"/>
      <c r="H1731" s="20" t="n"/>
      <c r="I1731" s="20" t="n"/>
      <c r="J1731" s="20">
        <f>IFERROR(INDEX(CONFIGURACOES!$G$37:$G$300,MATCH($I1731,CONFIGURACOES!$B$37:$B$300,0)),"")</f>
        <v/>
      </c>
      <c r="K1731" s="20">
        <f>IFERROR(INDEX(CONFIGURACOES!$H$37:$H$300,MATCH($I1731,CONFIGURACOES!$B$37:$B$300,0)),"")</f>
        <v/>
      </c>
      <c r="L1731" s="20" t="n"/>
      <c r="M1731" s="20">
        <f>IFERROR(INDEX(CONFIGURACOES!$I$37:$I$300,MATCH($I1731,CONFIGURACOES!$B$37:$B$300,0)),"")</f>
        <v/>
      </c>
      <c r="N1731" s="21" t="n"/>
      <c r="O1731" s="21" t="n"/>
      <c r="P1731" s="21" t="n"/>
      <c r="Q1731" s="21" t="n"/>
      <c r="R1731" s="21">
        <f>IF($N1731="","",$N1731*IF($Q1731="",1,$Q1731)*IF($P1731="",1,$P1731)*IF($O1731="",1,$O1731))</f>
        <v/>
      </c>
      <c r="S1731" s="22">
        <f>IFERROR(INDEX(CONFIGURACOES!$J$37:$J$300,MATCH($I1731,CONFIGURACOES!$B$37:$B$300,0)),"")</f>
        <v/>
      </c>
      <c r="T1731" s="22">
        <f>IF(OR($R1731="",$S1731=""),"",$R1731*$S1731)</f>
        <v/>
      </c>
      <c r="U1731" s="20" t="n"/>
      <c r="V1731" s="20" t="n"/>
      <c r="W1731" s="20" t="n"/>
      <c r="X1731">
        <f>IF($A1731="","",$A1731&amp;"|"&amp;$C1731&amp;"|"&amp;$I1731)</f>
        <v/>
      </c>
      <c r="Y1731">
        <f>IF(AND($A1731=RELATORIO_MEDICAO!$C$5,$C1731=RELATORIO_MEDICAO!$F$5,$A1731&lt;&gt;""),COUNTIFS($A$3:$A1731,RELATORIO_MEDICAO!$C$5,$C$3:$C1731,RELATORIO_MEDICAO!$F$5),"")</f>
        <v/>
      </c>
      <c r="Z1731">
        <f>IF(OR($A1731="",PESQUISA!$C$4=""),0,IF(OR(ISNUMBER(SEARCH(PESQUISA!$C$4,$G1731)),ISNUMBER(SEARCH(PESQUISA!$C$4,$K1731)),ISNUMBER(SEARCH(PESQUISA!$C$4,$L1731))),1,0))</f>
        <v/>
      </c>
      <c r="AA1731">
        <f>IF($Z1731=1,SUM($Z$3:$Z1731),"")</f>
        <v/>
      </c>
      <c r="AB1731">
        <f>IF(OR($A1731="",PESQUISA!$C$50=""),0,IF(ISNUMBER(SEARCH(PESQUISA!$C$50,$I1731)),1,0))</f>
        <v/>
      </c>
      <c r="AC1731">
        <f>IF($AB1731=1,SUM($AB$3:$AB1731),"")</f>
        <v/>
      </c>
    </row>
    <row r="1732">
      <c r="A1732" s="20" t="n"/>
      <c r="B1732" s="20" t="n"/>
      <c r="C1732" s="20" t="n"/>
      <c r="D1732" s="20" t="n"/>
      <c r="E1732" s="20" t="n"/>
      <c r="F1732" s="20" t="n"/>
      <c r="G1732" s="20" t="n"/>
      <c r="H1732" s="20" t="n"/>
      <c r="I1732" s="20" t="n"/>
      <c r="J1732" s="20">
        <f>IFERROR(INDEX(CONFIGURACOES!$G$37:$G$300,MATCH($I1732,CONFIGURACOES!$B$37:$B$300,0)),"")</f>
        <v/>
      </c>
      <c r="K1732" s="20">
        <f>IFERROR(INDEX(CONFIGURACOES!$H$37:$H$300,MATCH($I1732,CONFIGURACOES!$B$37:$B$300,0)),"")</f>
        <v/>
      </c>
      <c r="L1732" s="20" t="n"/>
      <c r="M1732" s="20">
        <f>IFERROR(INDEX(CONFIGURACOES!$I$37:$I$300,MATCH($I1732,CONFIGURACOES!$B$37:$B$300,0)),"")</f>
        <v/>
      </c>
      <c r="N1732" s="21" t="n"/>
      <c r="O1732" s="21" t="n"/>
      <c r="P1732" s="21" t="n"/>
      <c r="Q1732" s="21" t="n"/>
      <c r="R1732" s="21">
        <f>IF($N1732="","",$N1732*IF($Q1732="",1,$Q1732)*IF($P1732="",1,$P1732)*IF($O1732="",1,$O1732))</f>
        <v/>
      </c>
      <c r="S1732" s="22">
        <f>IFERROR(INDEX(CONFIGURACOES!$J$37:$J$300,MATCH($I1732,CONFIGURACOES!$B$37:$B$300,0)),"")</f>
        <v/>
      </c>
      <c r="T1732" s="22">
        <f>IF(OR($R1732="",$S1732=""),"",$R1732*$S1732)</f>
        <v/>
      </c>
      <c r="U1732" s="20" t="n"/>
      <c r="V1732" s="20" t="n"/>
      <c r="W1732" s="20" t="n"/>
      <c r="X1732">
        <f>IF($A1732="","",$A1732&amp;"|"&amp;$C1732&amp;"|"&amp;$I1732)</f>
        <v/>
      </c>
      <c r="Y1732">
        <f>IF(AND($A1732=RELATORIO_MEDICAO!$C$5,$C1732=RELATORIO_MEDICAO!$F$5,$A1732&lt;&gt;""),COUNTIFS($A$3:$A1732,RELATORIO_MEDICAO!$C$5,$C$3:$C1732,RELATORIO_MEDICAO!$F$5),"")</f>
        <v/>
      </c>
      <c r="Z1732">
        <f>IF(OR($A1732="",PESQUISA!$C$4=""),0,IF(OR(ISNUMBER(SEARCH(PESQUISA!$C$4,$G1732)),ISNUMBER(SEARCH(PESQUISA!$C$4,$K1732)),ISNUMBER(SEARCH(PESQUISA!$C$4,$L1732))),1,0))</f>
        <v/>
      </c>
      <c r="AA1732">
        <f>IF($Z1732=1,SUM($Z$3:$Z1732),"")</f>
        <v/>
      </c>
      <c r="AB1732">
        <f>IF(OR($A1732="",PESQUISA!$C$50=""),0,IF(ISNUMBER(SEARCH(PESQUISA!$C$50,$I1732)),1,0))</f>
        <v/>
      </c>
      <c r="AC1732">
        <f>IF($AB1732=1,SUM($AB$3:$AB1732),"")</f>
        <v/>
      </c>
    </row>
    <row r="1733">
      <c r="A1733" s="20" t="n"/>
      <c r="B1733" s="20" t="n"/>
      <c r="C1733" s="20" t="n"/>
      <c r="D1733" s="20" t="n"/>
      <c r="E1733" s="20" t="n"/>
      <c r="F1733" s="20" t="n"/>
      <c r="G1733" s="20" t="n"/>
      <c r="H1733" s="20" t="n"/>
      <c r="I1733" s="20" t="n"/>
      <c r="J1733" s="20">
        <f>IFERROR(INDEX(CONFIGURACOES!$G$37:$G$300,MATCH($I1733,CONFIGURACOES!$B$37:$B$300,0)),"")</f>
        <v/>
      </c>
      <c r="K1733" s="20">
        <f>IFERROR(INDEX(CONFIGURACOES!$H$37:$H$300,MATCH($I1733,CONFIGURACOES!$B$37:$B$300,0)),"")</f>
        <v/>
      </c>
      <c r="L1733" s="20" t="n"/>
      <c r="M1733" s="20">
        <f>IFERROR(INDEX(CONFIGURACOES!$I$37:$I$300,MATCH($I1733,CONFIGURACOES!$B$37:$B$300,0)),"")</f>
        <v/>
      </c>
      <c r="N1733" s="21" t="n"/>
      <c r="O1733" s="21" t="n"/>
      <c r="P1733" s="21" t="n"/>
      <c r="Q1733" s="21" t="n"/>
      <c r="R1733" s="21">
        <f>IF($N1733="","",$N1733*IF($Q1733="",1,$Q1733)*IF($P1733="",1,$P1733)*IF($O1733="",1,$O1733))</f>
        <v/>
      </c>
      <c r="S1733" s="22">
        <f>IFERROR(INDEX(CONFIGURACOES!$J$37:$J$300,MATCH($I1733,CONFIGURACOES!$B$37:$B$300,0)),"")</f>
        <v/>
      </c>
      <c r="T1733" s="22">
        <f>IF(OR($R1733="",$S1733=""),"",$R1733*$S1733)</f>
        <v/>
      </c>
      <c r="U1733" s="20" t="n"/>
      <c r="V1733" s="20" t="n"/>
      <c r="W1733" s="20" t="n"/>
      <c r="X1733">
        <f>IF($A1733="","",$A1733&amp;"|"&amp;$C1733&amp;"|"&amp;$I1733)</f>
        <v/>
      </c>
      <c r="Y1733">
        <f>IF(AND($A1733=RELATORIO_MEDICAO!$C$5,$C1733=RELATORIO_MEDICAO!$F$5,$A1733&lt;&gt;""),COUNTIFS($A$3:$A1733,RELATORIO_MEDICAO!$C$5,$C$3:$C1733,RELATORIO_MEDICAO!$F$5),"")</f>
        <v/>
      </c>
      <c r="Z1733">
        <f>IF(OR($A1733="",PESQUISA!$C$4=""),0,IF(OR(ISNUMBER(SEARCH(PESQUISA!$C$4,$G1733)),ISNUMBER(SEARCH(PESQUISA!$C$4,$K1733)),ISNUMBER(SEARCH(PESQUISA!$C$4,$L1733))),1,0))</f>
        <v/>
      </c>
      <c r="AA1733">
        <f>IF($Z1733=1,SUM($Z$3:$Z1733),"")</f>
        <v/>
      </c>
      <c r="AB1733">
        <f>IF(OR($A1733="",PESQUISA!$C$50=""),0,IF(ISNUMBER(SEARCH(PESQUISA!$C$50,$I1733)),1,0))</f>
        <v/>
      </c>
      <c r="AC1733">
        <f>IF($AB1733=1,SUM($AB$3:$AB1733),"")</f>
        <v/>
      </c>
    </row>
    <row r="1734">
      <c r="A1734" s="20" t="n"/>
      <c r="B1734" s="20" t="n"/>
      <c r="C1734" s="20" t="n"/>
      <c r="D1734" s="20" t="n"/>
      <c r="E1734" s="20" t="n"/>
      <c r="F1734" s="20" t="n"/>
      <c r="G1734" s="20" t="n"/>
      <c r="H1734" s="20" t="n"/>
      <c r="I1734" s="20" t="n"/>
      <c r="J1734" s="20">
        <f>IFERROR(INDEX(CONFIGURACOES!$G$37:$G$300,MATCH($I1734,CONFIGURACOES!$B$37:$B$300,0)),"")</f>
        <v/>
      </c>
      <c r="K1734" s="20">
        <f>IFERROR(INDEX(CONFIGURACOES!$H$37:$H$300,MATCH($I1734,CONFIGURACOES!$B$37:$B$300,0)),"")</f>
        <v/>
      </c>
      <c r="L1734" s="20" t="n"/>
      <c r="M1734" s="20">
        <f>IFERROR(INDEX(CONFIGURACOES!$I$37:$I$300,MATCH($I1734,CONFIGURACOES!$B$37:$B$300,0)),"")</f>
        <v/>
      </c>
      <c r="N1734" s="21" t="n"/>
      <c r="O1734" s="21" t="n"/>
      <c r="P1734" s="21" t="n"/>
      <c r="Q1734" s="21" t="n"/>
      <c r="R1734" s="21">
        <f>IF($N1734="","",$N1734*IF($Q1734="",1,$Q1734)*IF($P1734="",1,$P1734)*IF($O1734="",1,$O1734))</f>
        <v/>
      </c>
      <c r="S1734" s="22">
        <f>IFERROR(INDEX(CONFIGURACOES!$J$37:$J$300,MATCH($I1734,CONFIGURACOES!$B$37:$B$300,0)),"")</f>
        <v/>
      </c>
      <c r="T1734" s="22">
        <f>IF(OR($R1734="",$S1734=""),"",$R1734*$S1734)</f>
        <v/>
      </c>
      <c r="U1734" s="20" t="n"/>
      <c r="V1734" s="20" t="n"/>
      <c r="W1734" s="20" t="n"/>
      <c r="X1734">
        <f>IF($A1734="","",$A1734&amp;"|"&amp;$C1734&amp;"|"&amp;$I1734)</f>
        <v/>
      </c>
      <c r="Y1734">
        <f>IF(AND($A1734=RELATORIO_MEDICAO!$C$5,$C1734=RELATORIO_MEDICAO!$F$5,$A1734&lt;&gt;""),COUNTIFS($A$3:$A1734,RELATORIO_MEDICAO!$C$5,$C$3:$C1734,RELATORIO_MEDICAO!$F$5),"")</f>
        <v/>
      </c>
      <c r="Z1734">
        <f>IF(OR($A1734="",PESQUISA!$C$4=""),0,IF(OR(ISNUMBER(SEARCH(PESQUISA!$C$4,$G1734)),ISNUMBER(SEARCH(PESQUISA!$C$4,$K1734)),ISNUMBER(SEARCH(PESQUISA!$C$4,$L1734))),1,0))</f>
        <v/>
      </c>
      <c r="AA1734">
        <f>IF($Z1734=1,SUM($Z$3:$Z1734),"")</f>
        <v/>
      </c>
      <c r="AB1734">
        <f>IF(OR($A1734="",PESQUISA!$C$50=""),0,IF(ISNUMBER(SEARCH(PESQUISA!$C$50,$I1734)),1,0))</f>
        <v/>
      </c>
      <c r="AC1734">
        <f>IF($AB1734=1,SUM($AB$3:$AB1734),"")</f>
        <v/>
      </c>
    </row>
    <row r="1735">
      <c r="A1735" s="20" t="n"/>
      <c r="B1735" s="20" t="n"/>
      <c r="C1735" s="20" t="n"/>
      <c r="D1735" s="20" t="n"/>
      <c r="E1735" s="20" t="n"/>
      <c r="F1735" s="20" t="n"/>
      <c r="G1735" s="20" t="n"/>
      <c r="H1735" s="20" t="n"/>
      <c r="I1735" s="20" t="n"/>
      <c r="J1735" s="20">
        <f>IFERROR(INDEX(CONFIGURACOES!$G$37:$G$300,MATCH($I1735,CONFIGURACOES!$B$37:$B$300,0)),"")</f>
        <v/>
      </c>
      <c r="K1735" s="20">
        <f>IFERROR(INDEX(CONFIGURACOES!$H$37:$H$300,MATCH($I1735,CONFIGURACOES!$B$37:$B$300,0)),"")</f>
        <v/>
      </c>
      <c r="L1735" s="20" t="n"/>
      <c r="M1735" s="20">
        <f>IFERROR(INDEX(CONFIGURACOES!$I$37:$I$300,MATCH($I1735,CONFIGURACOES!$B$37:$B$300,0)),"")</f>
        <v/>
      </c>
      <c r="N1735" s="21" t="n"/>
      <c r="O1735" s="21" t="n"/>
      <c r="P1735" s="21" t="n"/>
      <c r="Q1735" s="21" t="n"/>
      <c r="R1735" s="21">
        <f>IF($N1735="","",$N1735*IF($Q1735="",1,$Q1735)*IF($P1735="",1,$P1735)*IF($O1735="",1,$O1735))</f>
        <v/>
      </c>
      <c r="S1735" s="22">
        <f>IFERROR(INDEX(CONFIGURACOES!$J$37:$J$300,MATCH($I1735,CONFIGURACOES!$B$37:$B$300,0)),"")</f>
        <v/>
      </c>
      <c r="T1735" s="22">
        <f>IF(OR($R1735="",$S1735=""),"",$R1735*$S1735)</f>
        <v/>
      </c>
      <c r="U1735" s="20" t="n"/>
      <c r="V1735" s="20" t="n"/>
      <c r="W1735" s="20" t="n"/>
      <c r="X1735">
        <f>IF($A1735="","",$A1735&amp;"|"&amp;$C1735&amp;"|"&amp;$I1735)</f>
        <v/>
      </c>
      <c r="Y1735">
        <f>IF(AND($A1735=RELATORIO_MEDICAO!$C$5,$C1735=RELATORIO_MEDICAO!$F$5,$A1735&lt;&gt;""),COUNTIFS($A$3:$A1735,RELATORIO_MEDICAO!$C$5,$C$3:$C1735,RELATORIO_MEDICAO!$F$5),"")</f>
        <v/>
      </c>
      <c r="Z1735">
        <f>IF(OR($A1735="",PESQUISA!$C$4=""),0,IF(OR(ISNUMBER(SEARCH(PESQUISA!$C$4,$G1735)),ISNUMBER(SEARCH(PESQUISA!$C$4,$K1735)),ISNUMBER(SEARCH(PESQUISA!$C$4,$L1735))),1,0))</f>
        <v/>
      </c>
      <c r="AA1735">
        <f>IF($Z1735=1,SUM($Z$3:$Z1735),"")</f>
        <v/>
      </c>
      <c r="AB1735">
        <f>IF(OR($A1735="",PESQUISA!$C$50=""),0,IF(ISNUMBER(SEARCH(PESQUISA!$C$50,$I1735)),1,0))</f>
        <v/>
      </c>
      <c r="AC1735">
        <f>IF($AB1735=1,SUM($AB$3:$AB1735),"")</f>
        <v/>
      </c>
    </row>
    <row r="1736">
      <c r="A1736" s="20" t="n"/>
      <c r="B1736" s="20" t="n"/>
      <c r="C1736" s="20" t="n"/>
      <c r="D1736" s="20" t="n"/>
      <c r="E1736" s="20" t="n"/>
      <c r="F1736" s="20" t="n"/>
      <c r="G1736" s="20" t="n"/>
      <c r="H1736" s="20" t="n"/>
      <c r="I1736" s="20" t="n"/>
      <c r="J1736" s="20">
        <f>IFERROR(INDEX(CONFIGURACOES!$G$37:$G$300,MATCH($I1736,CONFIGURACOES!$B$37:$B$300,0)),"")</f>
        <v/>
      </c>
      <c r="K1736" s="20">
        <f>IFERROR(INDEX(CONFIGURACOES!$H$37:$H$300,MATCH($I1736,CONFIGURACOES!$B$37:$B$300,0)),"")</f>
        <v/>
      </c>
      <c r="L1736" s="20" t="n"/>
      <c r="M1736" s="20">
        <f>IFERROR(INDEX(CONFIGURACOES!$I$37:$I$300,MATCH($I1736,CONFIGURACOES!$B$37:$B$300,0)),"")</f>
        <v/>
      </c>
      <c r="N1736" s="21" t="n"/>
      <c r="O1736" s="21" t="n"/>
      <c r="P1736" s="21" t="n"/>
      <c r="Q1736" s="21" t="n"/>
      <c r="R1736" s="21">
        <f>IF($N1736="","",$N1736*IF($Q1736="",1,$Q1736)*IF($P1736="",1,$P1736)*IF($O1736="",1,$O1736))</f>
        <v/>
      </c>
      <c r="S1736" s="22">
        <f>IFERROR(INDEX(CONFIGURACOES!$J$37:$J$300,MATCH($I1736,CONFIGURACOES!$B$37:$B$300,0)),"")</f>
        <v/>
      </c>
      <c r="T1736" s="22">
        <f>IF(OR($R1736="",$S1736=""),"",$R1736*$S1736)</f>
        <v/>
      </c>
      <c r="U1736" s="20" t="n"/>
      <c r="V1736" s="20" t="n"/>
      <c r="W1736" s="20" t="n"/>
      <c r="X1736">
        <f>IF($A1736="","",$A1736&amp;"|"&amp;$C1736&amp;"|"&amp;$I1736)</f>
        <v/>
      </c>
      <c r="Y1736">
        <f>IF(AND($A1736=RELATORIO_MEDICAO!$C$5,$C1736=RELATORIO_MEDICAO!$F$5,$A1736&lt;&gt;""),COUNTIFS($A$3:$A1736,RELATORIO_MEDICAO!$C$5,$C$3:$C1736,RELATORIO_MEDICAO!$F$5),"")</f>
        <v/>
      </c>
      <c r="Z1736">
        <f>IF(OR($A1736="",PESQUISA!$C$4=""),0,IF(OR(ISNUMBER(SEARCH(PESQUISA!$C$4,$G1736)),ISNUMBER(SEARCH(PESQUISA!$C$4,$K1736)),ISNUMBER(SEARCH(PESQUISA!$C$4,$L1736))),1,0))</f>
        <v/>
      </c>
      <c r="AA1736">
        <f>IF($Z1736=1,SUM($Z$3:$Z1736),"")</f>
        <v/>
      </c>
      <c r="AB1736">
        <f>IF(OR($A1736="",PESQUISA!$C$50=""),0,IF(ISNUMBER(SEARCH(PESQUISA!$C$50,$I1736)),1,0))</f>
        <v/>
      </c>
      <c r="AC1736">
        <f>IF($AB1736=1,SUM($AB$3:$AB1736),"")</f>
        <v/>
      </c>
    </row>
    <row r="1737">
      <c r="A1737" s="20" t="n"/>
      <c r="B1737" s="20" t="n"/>
      <c r="C1737" s="20" t="n"/>
      <c r="D1737" s="20" t="n"/>
      <c r="E1737" s="20" t="n"/>
      <c r="F1737" s="20" t="n"/>
      <c r="G1737" s="20" t="n"/>
      <c r="H1737" s="20" t="n"/>
      <c r="I1737" s="20" t="n"/>
      <c r="J1737" s="20">
        <f>IFERROR(INDEX(CONFIGURACOES!$G$37:$G$300,MATCH($I1737,CONFIGURACOES!$B$37:$B$300,0)),"")</f>
        <v/>
      </c>
      <c r="K1737" s="20">
        <f>IFERROR(INDEX(CONFIGURACOES!$H$37:$H$300,MATCH($I1737,CONFIGURACOES!$B$37:$B$300,0)),"")</f>
        <v/>
      </c>
      <c r="L1737" s="20" t="n"/>
      <c r="M1737" s="20">
        <f>IFERROR(INDEX(CONFIGURACOES!$I$37:$I$300,MATCH($I1737,CONFIGURACOES!$B$37:$B$300,0)),"")</f>
        <v/>
      </c>
      <c r="N1737" s="21" t="n"/>
      <c r="O1737" s="21" t="n"/>
      <c r="P1737" s="21" t="n"/>
      <c r="Q1737" s="21" t="n"/>
      <c r="R1737" s="21">
        <f>IF($N1737="","",$N1737*IF($Q1737="",1,$Q1737)*IF($P1737="",1,$P1737)*IF($O1737="",1,$O1737))</f>
        <v/>
      </c>
      <c r="S1737" s="22">
        <f>IFERROR(INDEX(CONFIGURACOES!$J$37:$J$300,MATCH($I1737,CONFIGURACOES!$B$37:$B$300,0)),"")</f>
        <v/>
      </c>
      <c r="T1737" s="22">
        <f>IF(OR($R1737="",$S1737=""),"",$R1737*$S1737)</f>
        <v/>
      </c>
      <c r="U1737" s="20" t="n"/>
      <c r="V1737" s="20" t="n"/>
      <c r="W1737" s="20" t="n"/>
      <c r="X1737">
        <f>IF($A1737="","",$A1737&amp;"|"&amp;$C1737&amp;"|"&amp;$I1737)</f>
        <v/>
      </c>
      <c r="Y1737">
        <f>IF(AND($A1737=RELATORIO_MEDICAO!$C$5,$C1737=RELATORIO_MEDICAO!$F$5,$A1737&lt;&gt;""),COUNTIFS($A$3:$A1737,RELATORIO_MEDICAO!$C$5,$C$3:$C1737,RELATORIO_MEDICAO!$F$5),"")</f>
        <v/>
      </c>
      <c r="Z1737">
        <f>IF(OR($A1737="",PESQUISA!$C$4=""),0,IF(OR(ISNUMBER(SEARCH(PESQUISA!$C$4,$G1737)),ISNUMBER(SEARCH(PESQUISA!$C$4,$K1737)),ISNUMBER(SEARCH(PESQUISA!$C$4,$L1737))),1,0))</f>
        <v/>
      </c>
      <c r="AA1737">
        <f>IF($Z1737=1,SUM($Z$3:$Z1737),"")</f>
        <v/>
      </c>
      <c r="AB1737">
        <f>IF(OR($A1737="",PESQUISA!$C$50=""),0,IF(ISNUMBER(SEARCH(PESQUISA!$C$50,$I1737)),1,0))</f>
        <v/>
      </c>
      <c r="AC1737">
        <f>IF($AB1737=1,SUM($AB$3:$AB1737),"")</f>
        <v/>
      </c>
    </row>
    <row r="1738">
      <c r="A1738" s="20" t="n"/>
      <c r="B1738" s="20" t="n"/>
      <c r="C1738" s="20" t="n"/>
      <c r="D1738" s="20" t="n"/>
      <c r="E1738" s="20" t="n"/>
      <c r="F1738" s="20" t="n"/>
      <c r="G1738" s="20" t="n"/>
      <c r="H1738" s="20" t="n"/>
      <c r="I1738" s="20" t="n"/>
      <c r="J1738" s="20">
        <f>IFERROR(INDEX(CONFIGURACOES!$G$37:$G$300,MATCH($I1738,CONFIGURACOES!$B$37:$B$300,0)),"")</f>
        <v/>
      </c>
      <c r="K1738" s="20">
        <f>IFERROR(INDEX(CONFIGURACOES!$H$37:$H$300,MATCH($I1738,CONFIGURACOES!$B$37:$B$300,0)),"")</f>
        <v/>
      </c>
      <c r="L1738" s="20" t="n"/>
      <c r="M1738" s="20">
        <f>IFERROR(INDEX(CONFIGURACOES!$I$37:$I$300,MATCH($I1738,CONFIGURACOES!$B$37:$B$300,0)),"")</f>
        <v/>
      </c>
      <c r="N1738" s="21" t="n"/>
      <c r="O1738" s="21" t="n"/>
      <c r="P1738" s="21" t="n"/>
      <c r="Q1738" s="21" t="n"/>
      <c r="R1738" s="21">
        <f>IF($N1738="","",$N1738*IF($Q1738="",1,$Q1738)*IF($P1738="",1,$P1738)*IF($O1738="",1,$O1738))</f>
        <v/>
      </c>
      <c r="S1738" s="22">
        <f>IFERROR(INDEX(CONFIGURACOES!$J$37:$J$300,MATCH($I1738,CONFIGURACOES!$B$37:$B$300,0)),"")</f>
        <v/>
      </c>
      <c r="T1738" s="22">
        <f>IF(OR($R1738="",$S1738=""),"",$R1738*$S1738)</f>
        <v/>
      </c>
      <c r="U1738" s="20" t="n"/>
      <c r="V1738" s="20" t="n"/>
      <c r="W1738" s="20" t="n"/>
      <c r="X1738">
        <f>IF($A1738="","",$A1738&amp;"|"&amp;$C1738&amp;"|"&amp;$I1738)</f>
        <v/>
      </c>
      <c r="Y1738">
        <f>IF(AND($A1738=RELATORIO_MEDICAO!$C$5,$C1738=RELATORIO_MEDICAO!$F$5,$A1738&lt;&gt;""),COUNTIFS($A$3:$A1738,RELATORIO_MEDICAO!$C$5,$C$3:$C1738,RELATORIO_MEDICAO!$F$5),"")</f>
        <v/>
      </c>
      <c r="Z1738">
        <f>IF(OR($A1738="",PESQUISA!$C$4=""),0,IF(OR(ISNUMBER(SEARCH(PESQUISA!$C$4,$G1738)),ISNUMBER(SEARCH(PESQUISA!$C$4,$K1738)),ISNUMBER(SEARCH(PESQUISA!$C$4,$L1738))),1,0))</f>
        <v/>
      </c>
      <c r="AA1738">
        <f>IF($Z1738=1,SUM($Z$3:$Z1738),"")</f>
        <v/>
      </c>
      <c r="AB1738">
        <f>IF(OR($A1738="",PESQUISA!$C$50=""),0,IF(ISNUMBER(SEARCH(PESQUISA!$C$50,$I1738)),1,0))</f>
        <v/>
      </c>
      <c r="AC1738">
        <f>IF($AB1738=1,SUM($AB$3:$AB1738),"")</f>
        <v/>
      </c>
    </row>
    <row r="1739">
      <c r="A1739" s="20" t="n"/>
      <c r="B1739" s="20" t="n"/>
      <c r="C1739" s="20" t="n"/>
      <c r="D1739" s="20" t="n"/>
      <c r="E1739" s="20" t="n"/>
      <c r="F1739" s="20" t="n"/>
      <c r="G1739" s="20" t="n"/>
      <c r="H1739" s="20" t="n"/>
      <c r="I1739" s="20" t="n"/>
      <c r="J1739" s="20">
        <f>IFERROR(INDEX(CONFIGURACOES!$G$37:$G$300,MATCH($I1739,CONFIGURACOES!$B$37:$B$300,0)),"")</f>
        <v/>
      </c>
      <c r="K1739" s="20">
        <f>IFERROR(INDEX(CONFIGURACOES!$H$37:$H$300,MATCH($I1739,CONFIGURACOES!$B$37:$B$300,0)),"")</f>
        <v/>
      </c>
      <c r="L1739" s="20" t="n"/>
      <c r="M1739" s="20">
        <f>IFERROR(INDEX(CONFIGURACOES!$I$37:$I$300,MATCH($I1739,CONFIGURACOES!$B$37:$B$300,0)),"")</f>
        <v/>
      </c>
      <c r="N1739" s="21" t="n"/>
      <c r="O1739" s="21" t="n"/>
      <c r="P1739" s="21" t="n"/>
      <c r="Q1739" s="21" t="n"/>
      <c r="R1739" s="21">
        <f>IF($N1739="","",$N1739*IF($Q1739="",1,$Q1739)*IF($P1739="",1,$P1739)*IF($O1739="",1,$O1739))</f>
        <v/>
      </c>
      <c r="S1739" s="22">
        <f>IFERROR(INDEX(CONFIGURACOES!$J$37:$J$300,MATCH($I1739,CONFIGURACOES!$B$37:$B$300,0)),"")</f>
        <v/>
      </c>
      <c r="T1739" s="22">
        <f>IF(OR($R1739="",$S1739=""),"",$R1739*$S1739)</f>
        <v/>
      </c>
      <c r="U1739" s="20" t="n"/>
      <c r="V1739" s="20" t="n"/>
      <c r="W1739" s="20" t="n"/>
      <c r="X1739">
        <f>IF($A1739="","",$A1739&amp;"|"&amp;$C1739&amp;"|"&amp;$I1739)</f>
        <v/>
      </c>
      <c r="Y1739">
        <f>IF(AND($A1739=RELATORIO_MEDICAO!$C$5,$C1739=RELATORIO_MEDICAO!$F$5,$A1739&lt;&gt;""),COUNTIFS($A$3:$A1739,RELATORIO_MEDICAO!$C$5,$C$3:$C1739,RELATORIO_MEDICAO!$F$5),"")</f>
        <v/>
      </c>
      <c r="Z1739">
        <f>IF(OR($A1739="",PESQUISA!$C$4=""),0,IF(OR(ISNUMBER(SEARCH(PESQUISA!$C$4,$G1739)),ISNUMBER(SEARCH(PESQUISA!$C$4,$K1739)),ISNUMBER(SEARCH(PESQUISA!$C$4,$L1739))),1,0))</f>
        <v/>
      </c>
      <c r="AA1739">
        <f>IF($Z1739=1,SUM($Z$3:$Z1739),"")</f>
        <v/>
      </c>
      <c r="AB1739">
        <f>IF(OR($A1739="",PESQUISA!$C$50=""),0,IF(ISNUMBER(SEARCH(PESQUISA!$C$50,$I1739)),1,0))</f>
        <v/>
      </c>
      <c r="AC1739">
        <f>IF($AB1739=1,SUM($AB$3:$AB1739),"")</f>
        <v/>
      </c>
    </row>
    <row r="1740">
      <c r="A1740" s="20" t="n"/>
      <c r="B1740" s="20" t="n"/>
      <c r="C1740" s="20" t="n"/>
      <c r="D1740" s="20" t="n"/>
      <c r="E1740" s="20" t="n"/>
      <c r="F1740" s="20" t="n"/>
      <c r="G1740" s="20" t="n"/>
      <c r="H1740" s="20" t="n"/>
      <c r="I1740" s="20" t="n"/>
      <c r="J1740" s="20">
        <f>IFERROR(INDEX(CONFIGURACOES!$G$37:$G$300,MATCH($I1740,CONFIGURACOES!$B$37:$B$300,0)),"")</f>
        <v/>
      </c>
      <c r="K1740" s="20">
        <f>IFERROR(INDEX(CONFIGURACOES!$H$37:$H$300,MATCH($I1740,CONFIGURACOES!$B$37:$B$300,0)),"")</f>
        <v/>
      </c>
      <c r="L1740" s="20" t="n"/>
      <c r="M1740" s="20">
        <f>IFERROR(INDEX(CONFIGURACOES!$I$37:$I$300,MATCH($I1740,CONFIGURACOES!$B$37:$B$300,0)),"")</f>
        <v/>
      </c>
      <c r="N1740" s="21" t="n"/>
      <c r="O1740" s="21" t="n"/>
      <c r="P1740" s="21" t="n"/>
      <c r="Q1740" s="21" t="n"/>
      <c r="R1740" s="21">
        <f>IF($N1740="","",$N1740*IF($Q1740="",1,$Q1740)*IF($P1740="",1,$P1740)*IF($O1740="",1,$O1740))</f>
        <v/>
      </c>
      <c r="S1740" s="22">
        <f>IFERROR(INDEX(CONFIGURACOES!$J$37:$J$300,MATCH($I1740,CONFIGURACOES!$B$37:$B$300,0)),"")</f>
        <v/>
      </c>
      <c r="T1740" s="22">
        <f>IF(OR($R1740="",$S1740=""),"",$R1740*$S1740)</f>
        <v/>
      </c>
      <c r="U1740" s="20" t="n"/>
      <c r="V1740" s="20" t="n"/>
      <c r="W1740" s="20" t="n"/>
      <c r="X1740">
        <f>IF($A1740="","",$A1740&amp;"|"&amp;$C1740&amp;"|"&amp;$I1740)</f>
        <v/>
      </c>
      <c r="Y1740">
        <f>IF(AND($A1740=RELATORIO_MEDICAO!$C$5,$C1740=RELATORIO_MEDICAO!$F$5,$A1740&lt;&gt;""),COUNTIFS($A$3:$A1740,RELATORIO_MEDICAO!$C$5,$C$3:$C1740,RELATORIO_MEDICAO!$F$5),"")</f>
        <v/>
      </c>
      <c r="Z1740">
        <f>IF(OR($A1740="",PESQUISA!$C$4=""),0,IF(OR(ISNUMBER(SEARCH(PESQUISA!$C$4,$G1740)),ISNUMBER(SEARCH(PESQUISA!$C$4,$K1740)),ISNUMBER(SEARCH(PESQUISA!$C$4,$L1740))),1,0))</f>
        <v/>
      </c>
      <c r="AA1740">
        <f>IF($Z1740=1,SUM($Z$3:$Z1740),"")</f>
        <v/>
      </c>
      <c r="AB1740">
        <f>IF(OR($A1740="",PESQUISA!$C$50=""),0,IF(ISNUMBER(SEARCH(PESQUISA!$C$50,$I1740)),1,0))</f>
        <v/>
      </c>
      <c r="AC1740">
        <f>IF($AB1740=1,SUM($AB$3:$AB1740),"")</f>
        <v/>
      </c>
    </row>
    <row r="1741">
      <c r="A1741" s="20" t="n"/>
      <c r="B1741" s="20" t="n"/>
      <c r="C1741" s="20" t="n"/>
      <c r="D1741" s="20" t="n"/>
      <c r="E1741" s="20" t="n"/>
      <c r="F1741" s="20" t="n"/>
      <c r="G1741" s="20" t="n"/>
      <c r="H1741" s="20" t="n"/>
      <c r="I1741" s="20" t="n"/>
      <c r="J1741" s="20">
        <f>IFERROR(INDEX(CONFIGURACOES!$G$37:$G$300,MATCH($I1741,CONFIGURACOES!$B$37:$B$300,0)),"")</f>
        <v/>
      </c>
      <c r="K1741" s="20">
        <f>IFERROR(INDEX(CONFIGURACOES!$H$37:$H$300,MATCH($I1741,CONFIGURACOES!$B$37:$B$300,0)),"")</f>
        <v/>
      </c>
      <c r="L1741" s="20" t="n"/>
      <c r="M1741" s="20">
        <f>IFERROR(INDEX(CONFIGURACOES!$I$37:$I$300,MATCH($I1741,CONFIGURACOES!$B$37:$B$300,0)),"")</f>
        <v/>
      </c>
      <c r="N1741" s="21" t="n"/>
      <c r="O1741" s="21" t="n"/>
      <c r="P1741" s="21" t="n"/>
      <c r="Q1741" s="21" t="n"/>
      <c r="R1741" s="21">
        <f>IF($N1741="","",$N1741*IF($Q1741="",1,$Q1741)*IF($P1741="",1,$P1741)*IF($O1741="",1,$O1741))</f>
        <v/>
      </c>
      <c r="S1741" s="22">
        <f>IFERROR(INDEX(CONFIGURACOES!$J$37:$J$300,MATCH($I1741,CONFIGURACOES!$B$37:$B$300,0)),"")</f>
        <v/>
      </c>
      <c r="T1741" s="22">
        <f>IF(OR($R1741="",$S1741=""),"",$R1741*$S1741)</f>
        <v/>
      </c>
      <c r="U1741" s="20" t="n"/>
      <c r="V1741" s="20" t="n"/>
      <c r="W1741" s="20" t="n"/>
      <c r="X1741">
        <f>IF($A1741="","",$A1741&amp;"|"&amp;$C1741&amp;"|"&amp;$I1741)</f>
        <v/>
      </c>
      <c r="Y1741">
        <f>IF(AND($A1741=RELATORIO_MEDICAO!$C$5,$C1741=RELATORIO_MEDICAO!$F$5,$A1741&lt;&gt;""),COUNTIFS($A$3:$A1741,RELATORIO_MEDICAO!$C$5,$C$3:$C1741,RELATORIO_MEDICAO!$F$5),"")</f>
        <v/>
      </c>
      <c r="Z1741">
        <f>IF(OR($A1741="",PESQUISA!$C$4=""),0,IF(OR(ISNUMBER(SEARCH(PESQUISA!$C$4,$G1741)),ISNUMBER(SEARCH(PESQUISA!$C$4,$K1741)),ISNUMBER(SEARCH(PESQUISA!$C$4,$L1741))),1,0))</f>
        <v/>
      </c>
      <c r="AA1741">
        <f>IF($Z1741=1,SUM($Z$3:$Z1741),"")</f>
        <v/>
      </c>
      <c r="AB1741">
        <f>IF(OR($A1741="",PESQUISA!$C$50=""),0,IF(ISNUMBER(SEARCH(PESQUISA!$C$50,$I1741)),1,0))</f>
        <v/>
      </c>
      <c r="AC1741">
        <f>IF($AB1741=1,SUM($AB$3:$AB1741),"")</f>
        <v/>
      </c>
    </row>
    <row r="1742">
      <c r="A1742" s="20" t="n"/>
      <c r="B1742" s="20" t="n"/>
      <c r="C1742" s="20" t="n"/>
      <c r="D1742" s="20" t="n"/>
      <c r="E1742" s="20" t="n"/>
      <c r="F1742" s="20" t="n"/>
      <c r="G1742" s="20" t="n"/>
      <c r="H1742" s="20" t="n"/>
      <c r="I1742" s="20" t="n"/>
      <c r="J1742" s="20">
        <f>IFERROR(INDEX(CONFIGURACOES!$G$37:$G$300,MATCH($I1742,CONFIGURACOES!$B$37:$B$300,0)),"")</f>
        <v/>
      </c>
      <c r="K1742" s="20">
        <f>IFERROR(INDEX(CONFIGURACOES!$H$37:$H$300,MATCH($I1742,CONFIGURACOES!$B$37:$B$300,0)),"")</f>
        <v/>
      </c>
      <c r="L1742" s="20" t="n"/>
      <c r="M1742" s="20">
        <f>IFERROR(INDEX(CONFIGURACOES!$I$37:$I$300,MATCH($I1742,CONFIGURACOES!$B$37:$B$300,0)),"")</f>
        <v/>
      </c>
      <c r="N1742" s="21" t="n"/>
      <c r="O1742" s="21" t="n"/>
      <c r="P1742" s="21" t="n"/>
      <c r="Q1742" s="21" t="n"/>
      <c r="R1742" s="21">
        <f>IF($N1742="","",$N1742*IF($Q1742="",1,$Q1742)*IF($P1742="",1,$P1742)*IF($O1742="",1,$O1742))</f>
        <v/>
      </c>
      <c r="S1742" s="22">
        <f>IFERROR(INDEX(CONFIGURACOES!$J$37:$J$300,MATCH($I1742,CONFIGURACOES!$B$37:$B$300,0)),"")</f>
        <v/>
      </c>
      <c r="T1742" s="22">
        <f>IF(OR($R1742="",$S1742=""),"",$R1742*$S1742)</f>
        <v/>
      </c>
      <c r="U1742" s="20" t="n"/>
      <c r="V1742" s="20" t="n"/>
      <c r="W1742" s="20" t="n"/>
      <c r="X1742">
        <f>IF($A1742="","",$A1742&amp;"|"&amp;$C1742&amp;"|"&amp;$I1742)</f>
        <v/>
      </c>
      <c r="Y1742">
        <f>IF(AND($A1742=RELATORIO_MEDICAO!$C$5,$C1742=RELATORIO_MEDICAO!$F$5,$A1742&lt;&gt;""),COUNTIFS($A$3:$A1742,RELATORIO_MEDICAO!$C$5,$C$3:$C1742,RELATORIO_MEDICAO!$F$5),"")</f>
        <v/>
      </c>
      <c r="Z1742">
        <f>IF(OR($A1742="",PESQUISA!$C$4=""),0,IF(OR(ISNUMBER(SEARCH(PESQUISA!$C$4,$G1742)),ISNUMBER(SEARCH(PESQUISA!$C$4,$K1742)),ISNUMBER(SEARCH(PESQUISA!$C$4,$L1742))),1,0))</f>
        <v/>
      </c>
      <c r="AA1742">
        <f>IF($Z1742=1,SUM($Z$3:$Z1742),"")</f>
        <v/>
      </c>
      <c r="AB1742">
        <f>IF(OR($A1742="",PESQUISA!$C$50=""),0,IF(ISNUMBER(SEARCH(PESQUISA!$C$50,$I1742)),1,0))</f>
        <v/>
      </c>
      <c r="AC1742">
        <f>IF($AB1742=1,SUM($AB$3:$AB1742),"")</f>
        <v/>
      </c>
    </row>
    <row r="1743">
      <c r="A1743" s="20" t="n"/>
      <c r="B1743" s="20" t="n"/>
      <c r="C1743" s="20" t="n"/>
      <c r="D1743" s="20" t="n"/>
      <c r="E1743" s="20" t="n"/>
      <c r="F1743" s="20" t="n"/>
      <c r="G1743" s="20" t="n"/>
      <c r="H1743" s="20" t="n"/>
      <c r="I1743" s="20" t="n"/>
      <c r="J1743" s="20">
        <f>IFERROR(INDEX(CONFIGURACOES!$G$37:$G$300,MATCH($I1743,CONFIGURACOES!$B$37:$B$300,0)),"")</f>
        <v/>
      </c>
      <c r="K1743" s="20">
        <f>IFERROR(INDEX(CONFIGURACOES!$H$37:$H$300,MATCH($I1743,CONFIGURACOES!$B$37:$B$300,0)),"")</f>
        <v/>
      </c>
      <c r="L1743" s="20" t="n"/>
      <c r="M1743" s="20">
        <f>IFERROR(INDEX(CONFIGURACOES!$I$37:$I$300,MATCH($I1743,CONFIGURACOES!$B$37:$B$300,0)),"")</f>
        <v/>
      </c>
      <c r="N1743" s="21" t="n"/>
      <c r="O1743" s="21" t="n"/>
      <c r="P1743" s="21" t="n"/>
      <c r="Q1743" s="21" t="n"/>
      <c r="R1743" s="21">
        <f>IF($N1743="","",$N1743*IF($Q1743="",1,$Q1743)*IF($P1743="",1,$P1743)*IF($O1743="",1,$O1743))</f>
        <v/>
      </c>
      <c r="S1743" s="22">
        <f>IFERROR(INDEX(CONFIGURACOES!$J$37:$J$300,MATCH($I1743,CONFIGURACOES!$B$37:$B$300,0)),"")</f>
        <v/>
      </c>
      <c r="T1743" s="22">
        <f>IF(OR($R1743="",$S1743=""),"",$R1743*$S1743)</f>
        <v/>
      </c>
      <c r="U1743" s="20" t="n"/>
      <c r="V1743" s="20" t="n"/>
      <c r="W1743" s="20" t="n"/>
      <c r="X1743">
        <f>IF($A1743="","",$A1743&amp;"|"&amp;$C1743&amp;"|"&amp;$I1743)</f>
        <v/>
      </c>
      <c r="Y1743">
        <f>IF(AND($A1743=RELATORIO_MEDICAO!$C$5,$C1743=RELATORIO_MEDICAO!$F$5,$A1743&lt;&gt;""),COUNTIFS($A$3:$A1743,RELATORIO_MEDICAO!$C$5,$C$3:$C1743,RELATORIO_MEDICAO!$F$5),"")</f>
        <v/>
      </c>
      <c r="Z1743">
        <f>IF(OR($A1743="",PESQUISA!$C$4=""),0,IF(OR(ISNUMBER(SEARCH(PESQUISA!$C$4,$G1743)),ISNUMBER(SEARCH(PESQUISA!$C$4,$K1743)),ISNUMBER(SEARCH(PESQUISA!$C$4,$L1743))),1,0))</f>
        <v/>
      </c>
      <c r="AA1743">
        <f>IF($Z1743=1,SUM($Z$3:$Z1743),"")</f>
        <v/>
      </c>
      <c r="AB1743">
        <f>IF(OR($A1743="",PESQUISA!$C$50=""),0,IF(ISNUMBER(SEARCH(PESQUISA!$C$50,$I1743)),1,0))</f>
        <v/>
      </c>
      <c r="AC1743">
        <f>IF($AB1743=1,SUM($AB$3:$AB1743),"")</f>
        <v/>
      </c>
    </row>
    <row r="1744">
      <c r="A1744" s="20" t="n"/>
      <c r="B1744" s="20" t="n"/>
      <c r="C1744" s="20" t="n"/>
      <c r="D1744" s="20" t="n"/>
      <c r="E1744" s="20" t="n"/>
      <c r="F1744" s="20" t="n"/>
      <c r="G1744" s="20" t="n"/>
      <c r="H1744" s="20" t="n"/>
      <c r="I1744" s="20" t="n"/>
      <c r="J1744" s="20">
        <f>IFERROR(INDEX(CONFIGURACOES!$G$37:$G$300,MATCH($I1744,CONFIGURACOES!$B$37:$B$300,0)),"")</f>
        <v/>
      </c>
      <c r="K1744" s="20">
        <f>IFERROR(INDEX(CONFIGURACOES!$H$37:$H$300,MATCH($I1744,CONFIGURACOES!$B$37:$B$300,0)),"")</f>
        <v/>
      </c>
      <c r="L1744" s="20" t="n"/>
      <c r="M1744" s="20">
        <f>IFERROR(INDEX(CONFIGURACOES!$I$37:$I$300,MATCH($I1744,CONFIGURACOES!$B$37:$B$300,0)),"")</f>
        <v/>
      </c>
      <c r="N1744" s="21" t="n"/>
      <c r="O1744" s="21" t="n"/>
      <c r="P1744" s="21" t="n"/>
      <c r="Q1744" s="21" t="n"/>
      <c r="R1744" s="21">
        <f>IF($N1744="","",$N1744*IF($Q1744="",1,$Q1744)*IF($P1744="",1,$P1744)*IF($O1744="",1,$O1744))</f>
        <v/>
      </c>
      <c r="S1744" s="22">
        <f>IFERROR(INDEX(CONFIGURACOES!$J$37:$J$300,MATCH($I1744,CONFIGURACOES!$B$37:$B$300,0)),"")</f>
        <v/>
      </c>
      <c r="T1744" s="22">
        <f>IF(OR($R1744="",$S1744=""),"",$R1744*$S1744)</f>
        <v/>
      </c>
      <c r="U1744" s="20" t="n"/>
      <c r="V1744" s="20" t="n"/>
      <c r="W1744" s="20" t="n"/>
      <c r="X1744">
        <f>IF($A1744="","",$A1744&amp;"|"&amp;$C1744&amp;"|"&amp;$I1744)</f>
        <v/>
      </c>
      <c r="Y1744">
        <f>IF(AND($A1744=RELATORIO_MEDICAO!$C$5,$C1744=RELATORIO_MEDICAO!$F$5,$A1744&lt;&gt;""),COUNTIFS($A$3:$A1744,RELATORIO_MEDICAO!$C$5,$C$3:$C1744,RELATORIO_MEDICAO!$F$5),"")</f>
        <v/>
      </c>
      <c r="Z1744">
        <f>IF(OR($A1744="",PESQUISA!$C$4=""),0,IF(OR(ISNUMBER(SEARCH(PESQUISA!$C$4,$G1744)),ISNUMBER(SEARCH(PESQUISA!$C$4,$K1744)),ISNUMBER(SEARCH(PESQUISA!$C$4,$L1744))),1,0))</f>
        <v/>
      </c>
      <c r="AA1744">
        <f>IF($Z1744=1,SUM($Z$3:$Z1744),"")</f>
        <v/>
      </c>
      <c r="AB1744">
        <f>IF(OR($A1744="",PESQUISA!$C$50=""),0,IF(ISNUMBER(SEARCH(PESQUISA!$C$50,$I1744)),1,0))</f>
        <v/>
      </c>
      <c r="AC1744">
        <f>IF($AB1744=1,SUM($AB$3:$AB1744),"")</f>
        <v/>
      </c>
    </row>
    <row r="1745">
      <c r="A1745" s="20" t="n"/>
      <c r="B1745" s="20" t="n"/>
      <c r="C1745" s="20" t="n"/>
      <c r="D1745" s="20" t="n"/>
      <c r="E1745" s="20" t="n"/>
      <c r="F1745" s="20" t="n"/>
      <c r="G1745" s="20" t="n"/>
      <c r="H1745" s="20" t="n"/>
      <c r="I1745" s="20" t="n"/>
      <c r="J1745" s="20">
        <f>IFERROR(INDEX(CONFIGURACOES!$G$37:$G$300,MATCH($I1745,CONFIGURACOES!$B$37:$B$300,0)),"")</f>
        <v/>
      </c>
      <c r="K1745" s="20">
        <f>IFERROR(INDEX(CONFIGURACOES!$H$37:$H$300,MATCH($I1745,CONFIGURACOES!$B$37:$B$300,0)),"")</f>
        <v/>
      </c>
      <c r="L1745" s="20" t="n"/>
      <c r="M1745" s="20">
        <f>IFERROR(INDEX(CONFIGURACOES!$I$37:$I$300,MATCH($I1745,CONFIGURACOES!$B$37:$B$300,0)),"")</f>
        <v/>
      </c>
      <c r="N1745" s="21" t="n"/>
      <c r="O1745" s="21" t="n"/>
      <c r="P1745" s="21" t="n"/>
      <c r="Q1745" s="21" t="n"/>
      <c r="R1745" s="21">
        <f>IF($N1745="","",$N1745*IF($Q1745="",1,$Q1745)*IF($P1745="",1,$P1745)*IF($O1745="",1,$O1745))</f>
        <v/>
      </c>
      <c r="S1745" s="22">
        <f>IFERROR(INDEX(CONFIGURACOES!$J$37:$J$300,MATCH($I1745,CONFIGURACOES!$B$37:$B$300,0)),"")</f>
        <v/>
      </c>
      <c r="T1745" s="22">
        <f>IF(OR($R1745="",$S1745=""),"",$R1745*$S1745)</f>
        <v/>
      </c>
      <c r="U1745" s="20" t="n"/>
      <c r="V1745" s="20" t="n"/>
      <c r="W1745" s="20" t="n"/>
      <c r="X1745">
        <f>IF($A1745="","",$A1745&amp;"|"&amp;$C1745&amp;"|"&amp;$I1745)</f>
        <v/>
      </c>
      <c r="Y1745">
        <f>IF(AND($A1745=RELATORIO_MEDICAO!$C$5,$C1745=RELATORIO_MEDICAO!$F$5,$A1745&lt;&gt;""),COUNTIFS($A$3:$A1745,RELATORIO_MEDICAO!$C$5,$C$3:$C1745,RELATORIO_MEDICAO!$F$5),"")</f>
        <v/>
      </c>
      <c r="Z1745">
        <f>IF(OR($A1745="",PESQUISA!$C$4=""),0,IF(OR(ISNUMBER(SEARCH(PESQUISA!$C$4,$G1745)),ISNUMBER(SEARCH(PESQUISA!$C$4,$K1745)),ISNUMBER(SEARCH(PESQUISA!$C$4,$L1745))),1,0))</f>
        <v/>
      </c>
      <c r="AA1745">
        <f>IF($Z1745=1,SUM($Z$3:$Z1745),"")</f>
        <v/>
      </c>
      <c r="AB1745">
        <f>IF(OR($A1745="",PESQUISA!$C$50=""),0,IF(ISNUMBER(SEARCH(PESQUISA!$C$50,$I1745)),1,0))</f>
        <v/>
      </c>
      <c r="AC1745">
        <f>IF($AB1745=1,SUM($AB$3:$AB1745),"")</f>
        <v/>
      </c>
    </row>
    <row r="1746">
      <c r="A1746" s="20" t="n"/>
      <c r="B1746" s="20" t="n"/>
      <c r="C1746" s="20" t="n"/>
      <c r="D1746" s="20" t="n"/>
      <c r="E1746" s="20" t="n"/>
      <c r="F1746" s="20" t="n"/>
      <c r="G1746" s="20" t="n"/>
      <c r="H1746" s="20" t="n"/>
      <c r="I1746" s="20" t="n"/>
      <c r="J1746" s="20">
        <f>IFERROR(INDEX(CONFIGURACOES!$G$37:$G$300,MATCH($I1746,CONFIGURACOES!$B$37:$B$300,0)),"")</f>
        <v/>
      </c>
      <c r="K1746" s="20">
        <f>IFERROR(INDEX(CONFIGURACOES!$H$37:$H$300,MATCH($I1746,CONFIGURACOES!$B$37:$B$300,0)),"")</f>
        <v/>
      </c>
      <c r="L1746" s="20" t="n"/>
      <c r="M1746" s="20">
        <f>IFERROR(INDEX(CONFIGURACOES!$I$37:$I$300,MATCH($I1746,CONFIGURACOES!$B$37:$B$300,0)),"")</f>
        <v/>
      </c>
      <c r="N1746" s="21" t="n"/>
      <c r="O1746" s="21" t="n"/>
      <c r="P1746" s="21" t="n"/>
      <c r="Q1746" s="21" t="n"/>
      <c r="R1746" s="21">
        <f>IF($N1746="","",$N1746*IF($Q1746="",1,$Q1746)*IF($P1746="",1,$P1746)*IF($O1746="",1,$O1746))</f>
        <v/>
      </c>
      <c r="S1746" s="22">
        <f>IFERROR(INDEX(CONFIGURACOES!$J$37:$J$300,MATCH($I1746,CONFIGURACOES!$B$37:$B$300,0)),"")</f>
        <v/>
      </c>
      <c r="T1746" s="22">
        <f>IF(OR($R1746="",$S1746=""),"",$R1746*$S1746)</f>
        <v/>
      </c>
      <c r="U1746" s="20" t="n"/>
      <c r="V1746" s="20" t="n"/>
      <c r="W1746" s="20" t="n"/>
      <c r="X1746">
        <f>IF($A1746="","",$A1746&amp;"|"&amp;$C1746&amp;"|"&amp;$I1746)</f>
        <v/>
      </c>
      <c r="Y1746">
        <f>IF(AND($A1746=RELATORIO_MEDICAO!$C$5,$C1746=RELATORIO_MEDICAO!$F$5,$A1746&lt;&gt;""),COUNTIFS($A$3:$A1746,RELATORIO_MEDICAO!$C$5,$C$3:$C1746,RELATORIO_MEDICAO!$F$5),"")</f>
        <v/>
      </c>
      <c r="Z1746">
        <f>IF(OR($A1746="",PESQUISA!$C$4=""),0,IF(OR(ISNUMBER(SEARCH(PESQUISA!$C$4,$G1746)),ISNUMBER(SEARCH(PESQUISA!$C$4,$K1746)),ISNUMBER(SEARCH(PESQUISA!$C$4,$L1746))),1,0))</f>
        <v/>
      </c>
      <c r="AA1746">
        <f>IF($Z1746=1,SUM($Z$3:$Z1746),"")</f>
        <v/>
      </c>
      <c r="AB1746">
        <f>IF(OR($A1746="",PESQUISA!$C$50=""),0,IF(ISNUMBER(SEARCH(PESQUISA!$C$50,$I1746)),1,0))</f>
        <v/>
      </c>
      <c r="AC1746">
        <f>IF($AB1746=1,SUM($AB$3:$AB1746),"")</f>
        <v/>
      </c>
    </row>
    <row r="1747">
      <c r="A1747" s="20" t="n"/>
      <c r="B1747" s="20" t="n"/>
      <c r="C1747" s="20" t="n"/>
      <c r="D1747" s="20" t="n"/>
      <c r="E1747" s="20" t="n"/>
      <c r="F1747" s="20" t="n"/>
      <c r="G1747" s="20" t="n"/>
      <c r="H1747" s="20" t="n"/>
      <c r="I1747" s="20" t="n"/>
      <c r="J1747" s="20">
        <f>IFERROR(INDEX(CONFIGURACOES!$G$37:$G$300,MATCH($I1747,CONFIGURACOES!$B$37:$B$300,0)),"")</f>
        <v/>
      </c>
      <c r="K1747" s="20">
        <f>IFERROR(INDEX(CONFIGURACOES!$H$37:$H$300,MATCH($I1747,CONFIGURACOES!$B$37:$B$300,0)),"")</f>
        <v/>
      </c>
      <c r="L1747" s="20" t="n"/>
      <c r="M1747" s="20">
        <f>IFERROR(INDEX(CONFIGURACOES!$I$37:$I$300,MATCH($I1747,CONFIGURACOES!$B$37:$B$300,0)),"")</f>
        <v/>
      </c>
      <c r="N1747" s="21" t="n"/>
      <c r="O1747" s="21" t="n"/>
      <c r="P1747" s="21" t="n"/>
      <c r="Q1747" s="21" t="n"/>
      <c r="R1747" s="21">
        <f>IF($N1747="","",$N1747*IF($Q1747="",1,$Q1747)*IF($P1747="",1,$P1747)*IF($O1747="",1,$O1747))</f>
        <v/>
      </c>
      <c r="S1747" s="22">
        <f>IFERROR(INDEX(CONFIGURACOES!$J$37:$J$300,MATCH($I1747,CONFIGURACOES!$B$37:$B$300,0)),"")</f>
        <v/>
      </c>
      <c r="T1747" s="22">
        <f>IF(OR($R1747="",$S1747=""),"",$R1747*$S1747)</f>
        <v/>
      </c>
      <c r="U1747" s="20" t="n"/>
      <c r="V1747" s="20" t="n"/>
      <c r="W1747" s="20" t="n"/>
      <c r="X1747">
        <f>IF($A1747="","",$A1747&amp;"|"&amp;$C1747&amp;"|"&amp;$I1747)</f>
        <v/>
      </c>
      <c r="Y1747">
        <f>IF(AND($A1747=RELATORIO_MEDICAO!$C$5,$C1747=RELATORIO_MEDICAO!$F$5,$A1747&lt;&gt;""),COUNTIFS($A$3:$A1747,RELATORIO_MEDICAO!$C$5,$C$3:$C1747,RELATORIO_MEDICAO!$F$5),"")</f>
        <v/>
      </c>
      <c r="Z1747">
        <f>IF(OR($A1747="",PESQUISA!$C$4=""),0,IF(OR(ISNUMBER(SEARCH(PESQUISA!$C$4,$G1747)),ISNUMBER(SEARCH(PESQUISA!$C$4,$K1747)),ISNUMBER(SEARCH(PESQUISA!$C$4,$L1747))),1,0))</f>
        <v/>
      </c>
      <c r="AA1747">
        <f>IF($Z1747=1,SUM($Z$3:$Z1747),"")</f>
        <v/>
      </c>
      <c r="AB1747">
        <f>IF(OR($A1747="",PESQUISA!$C$50=""),0,IF(ISNUMBER(SEARCH(PESQUISA!$C$50,$I1747)),1,0))</f>
        <v/>
      </c>
      <c r="AC1747">
        <f>IF($AB1747=1,SUM($AB$3:$AB1747),"")</f>
        <v/>
      </c>
    </row>
    <row r="1748">
      <c r="A1748" s="20" t="n"/>
      <c r="B1748" s="20" t="n"/>
      <c r="C1748" s="20" t="n"/>
      <c r="D1748" s="20" t="n"/>
      <c r="E1748" s="20" t="n"/>
      <c r="F1748" s="20" t="n"/>
      <c r="G1748" s="20" t="n"/>
      <c r="H1748" s="20" t="n"/>
      <c r="I1748" s="20" t="n"/>
      <c r="J1748" s="20">
        <f>IFERROR(INDEX(CONFIGURACOES!$G$37:$G$300,MATCH($I1748,CONFIGURACOES!$B$37:$B$300,0)),"")</f>
        <v/>
      </c>
      <c r="K1748" s="20">
        <f>IFERROR(INDEX(CONFIGURACOES!$H$37:$H$300,MATCH($I1748,CONFIGURACOES!$B$37:$B$300,0)),"")</f>
        <v/>
      </c>
      <c r="L1748" s="20" t="n"/>
      <c r="M1748" s="20">
        <f>IFERROR(INDEX(CONFIGURACOES!$I$37:$I$300,MATCH($I1748,CONFIGURACOES!$B$37:$B$300,0)),"")</f>
        <v/>
      </c>
      <c r="N1748" s="21" t="n"/>
      <c r="O1748" s="21" t="n"/>
      <c r="P1748" s="21" t="n"/>
      <c r="Q1748" s="21" t="n"/>
      <c r="R1748" s="21">
        <f>IF($N1748="","",$N1748*IF($Q1748="",1,$Q1748)*IF($P1748="",1,$P1748)*IF($O1748="",1,$O1748))</f>
        <v/>
      </c>
      <c r="S1748" s="22">
        <f>IFERROR(INDEX(CONFIGURACOES!$J$37:$J$300,MATCH($I1748,CONFIGURACOES!$B$37:$B$300,0)),"")</f>
        <v/>
      </c>
      <c r="T1748" s="22">
        <f>IF(OR($R1748="",$S1748=""),"",$R1748*$S1748)</f>
        <v/>
      </c>
      <c r="U1748" s="20" t="n"/>
      <c r="V1748" s="20" t="n"/>
      <c r="W1748" s="20" t="n"/>
      <c r="X1748">
        <f>IF($A1748="","",$A1748&amp;"|"&amp;$C1748&amp;"|"&amp;$I1748)</f>
        <v/>
      </c>
      <c r="Y1748">
        <f>IF(AND($A1748=RELATORIO_MEDICAO!$C$5,$C1748=RELATORIO_MEDICAO!$F$5,$A1748&lt;&gt;""),COUNTIFS($A$3:$A1748,RELATORIO_MEDICAO!$C$5,$C$3:$C1748,RELATORIO_MEDICAO!$F$5),"")</f>
        <v/>
      </c>
      <c r="Z1748">
        <f>IF(OR($A1748="",PESQUISA!$C$4=""),0,IF(OR(ISNUMBER(SEARCH(PESQUISA!$C$4,$G1748)),ISNUMBER(SEARCH(PESQUISA!$C$4,$K1748)),ISNUMBER(SEARCH(PESQUISA!$C$4,$L1748))),1,0))</f>
        <v/>
      </c>
      <c r="AA1748">
        <f>IF($Z1748=1,SUM($Z$3:$Z1748),"")</f>
        <v/>
      </c>
      <c r="AB1748">
        <f>IF(OR($A1748="",PESQUISA!$C$50=""),0,IF(ISNUMBER(SEARCH(PESQUISA!$C$50,$I1748)),1,0))</f>
        <v/>
      </c>
      <c r="AC1748">
        <f>IF($AB1748=1,SUM($AB$3:$AB1748),"")</f>
        <v/>
      </c>
    </row>
    <row r="1749">
      <c r="A1749" s="20" t="n"/>
      <c r="B1749" s="20" t="n"/>
      <c r="C1749" s="20" t="n"/>
      <c r="D1749" s="20" t="n"/>
      <c r="E1749" s="20" t="n"/>
      <c r="F1749" s="20" t="n"/>
      <c r="G1749" s="20" t="n"/>
      <c r="H1749" s="20" t="n"/>
      <c r="I1749" s="20" t="n"/>
      <c r="J1749" s="20">
        <f>IFERROR(INDEX(CONFIGURACOES!$G$37:$G$300,MATCH($I1749,CONFIGURACOES!$B$37:$B$300,0)),"")</f>
        <v/>
      </c>
      <c r="K1749" s="20">
        <f>IFERROR(INDEX(CONFIGURACOES!$H$37:$H$300,MATCH($I1749,CONFIGURACOES!$B$37:$B$300,0)),"")</f>
        <v/>
      </c>
      <c r="L1749" s="20" t="n"/>
      <c r="M1749" s="20">
        <f>IFERROR(INDEX(CONFIGURACOES!$I$37:$I$300,MATCH($I1749,CONFIGURACOES!$B$37:$B$300,0)),"")</f>
        <v/>
      </c>
      <c r="N1749" s="21" t="n"/>
      <c r="O1749" s="21" t="n"/>
      <c r="P1749" s="21" t="n"/>
      <c r="Q1749" s="21" t="n"/>
      <c r="R1749" s="21">
        <f>IF($N1749="","",$N1749*IF($Q1749="",1,$Q1749)*IF($P1749="",1,$P1749)*IF($O1749="",1,$O1749))</f>
        <v/>
      </c>
      <c r="S1749" s="22">
        <f>IFERROR(INDEX(CONFIGURACOES!$J$37:$J$300,MATCH($I1749,CONFIGURACOES!$B$37:$B$300,0)),"")</f>
        <v/>
      </c>
      <c r="T1749" s="22">
        <f>IF(OR($R1749="",$S1749=""),"",$R1749*$S1749)</f>
        <v/>
      </c>
      <c r="U1749" s="20" t="n"/>
      <c r="V1749" s="20" t="n"/>
      <c r="W1749" s="20" t="n"/>
      <c r="X1749">
        <f>IF($A1749="","",$A1749&amp;"|"&amp;$C1749&amp;"|"&amp;$I1749)</f>
        <v/>
      </c>
      <c r="Y1749">
        <f>IF(AND($A1749=RELATORIO_MEDICAO!$C$5,$C1749=RELATORIO_MEDICAO!$F$5,$A1749&lt;&gt;""),COUNTIFS($A$3:$A1749,RELATORIO_MEDICAO!$C$5,$C$3:$C1749,RELATORIO_MEDICAO!$F$5),"")</f>
        <v/>
      </c>
      <c r="Z1749">
        <f>IF(OR($A1749="",PESQUISA!$C$4=""),0,IF(OR(ISNUMBER(SEARCH(PESQUISA!$C$4,$G1749)),ISNUMBER(SEARCH(PESQUISA!$C$4,$K1749)),ISNUMBER(SEARCH(PESQUISA!$C$4,$L1749))),1,0))</f>
        <v/>
      </c>
      <c r="AA1749">
        <f>IF($Z1749=1,SUM($Z$3:$Z1749),"")</f>
        <v/>
      </c>
      <c r="AB1749">
        <f>IF(OR($A1749="",PESQUISA!$C$50=""),0,IF(ISNUMBER(SEARCH(PESQUISA!$C$50,$I1749)),1,0))</f>
        <v/>
      </c>
      <c r="AC1749">
        <f>IF($AB1749=1,SUM($AB$3:$AB1749),"")</f>
        <v/>
      </c>
    </row>
    <row r="1750">
      <c r="A1750" s="20" t="n"/>
      <c r="B1750" s="20" t="n"/>
      <c r="C1750" s="20" t="n"/>
      <c r="D1750" s="20" t="n"/>
      <c r="E1750" s="20" t="n"/>
      <c r="F1750" s="20" t="n"/>
      <c r="G1750" s="20" t="n"/>
      <c r="H1750" s="20" t="n"/>
      <c r="I1750" s="20" t="n"/>
      <c r="J1750" s="20">
        <f>IFERROR(INDEX(CONFIGURACOES!$G$37:$G$300,MATCH($I1750,CONFIGURACOES!$B$37:$B$300,0)),"")</f>
        <v/>
      </c>
      <c r="K1750" s="20">
        <f>IFERROR(INDEX(CONFIGURACOES!$H$37:$H$300,MATCH($I1750,CONFIGURACOES!$B$37:$B$300,0)),"")</f>
        <v/>
      </c>
      <c r="L1750" s="20" t="n"/>
      <c r="M1750" s="20">
        <f>IFERROR(INDEX(CONFIGURACOES!$I$37:$I$300,MATCH($I1750,CONFIGURACOES!$B$37:$B$300,0)),"")</f>
        <v/>
      </c>
      <c r="N1750" s="21" t="n"/>
      <c r="O1750" s="21" t="n"/>
      <c r="P1750" s="21" t="n"/>
      <c r="Q1750" s="21" t="n"/>
      <c r="R1750" s="21">
        <f>IF($N1750="","",$N1750*IF($Q1750="",1,$Q1750)*IF($P1750="",1,$P1750)*IF($O1750="",1,$O1750))</f>
        <v/>
      </c>
      <c r="S1750" s="22">
        <f>IFERROR(INDEX(CONFIGURACOES!$J$37:$J$300,MATCH($I1750,CONFIGURACOES!$B$37:$B$300,0)),"")</f>
        <v/>
      </c>
      <c r="T1750" s="22">
        <f>IF(OR($R1750="",$S1750=""),"",$R1750*$S1750)</f>
        <v/>
      </c>
      <c r="U1750" s="20" t="n"/>
      <c r="V1750" s="20" t="n"/>
      <c r="W1750" s="20" t="n"/>
      <c r="X1750">
        <f>IF($A1750="","",$A1750&amp;"|"&amp;$C1750&amp;"|"&amp;$I1750)</f>
        <v/>
      </c>
      <c r="Y1750">
        <f>IF(AND($A1750=RELATORIO_MEDICAO!$C$5,$C1750=RELATORIO_MEDICAO!$F$5,$A1750&lt;&gt;""),COUNTIFS($A$3:$A1750,RELATORIO_MEDICAO!$C$5,$C$3:$C1750,RELATORIO_MEDICAO!$F$5),"")</f>
        <v/>
      </c>
      <c r="Z1750">
        <f>IF(OR($A1750="",PESQUISA!$C$4=""),0,IF(OR(ISNUMBER(SEARCH(PESQUISA!$C$4,$G1750)),ISNUMBER(SEARCH(PESQUISA!$C$4,$K1750)),ISNUMBER(SEARCH(PESQUISA!$C$4,$L1750))),1,0))</f>
        <v/>
      </c>
      <c r="AA1750">
        <f>IF($Z1750=1,SUM($Z$3:$Z1750),"")</f>
        <v/>
      </c>
      <c r="AB1750">
        <f>IF(OR($A1750="",PESQUISA!$C$50=""),0,IF(ISNUMBER(SEARCH(PESQUISA!$C$50,$I1750)),1,0))</f>
        <v/>
      </c>
      <c r="AC1750">
        <f>IF($AB1750=1,SUM($AB$3:$AB1750),"")</f>
        <v/>
      </c>
    </row>
    <row r="1751">
      <c r="A1751" s="20" t="n"/>
      <c r="B1751" s="20" t="n"/>
      <c r="C1751" s="20" t="n"/>
      <c r="D1751" s="20" t="n"/>
      <c r="E1751" s="20" t="n"/>
      <c r="F1751" s="20" t="n"/>
      <c r="G1751" s="20" t="n"/>
      <c r="H1751" s="20" t="n"/>
      <c r="I1751" s="20" t="n"/>
      <c r="J1751" s="20">
        <f>IFERROR(INDEX(CONFIGURACOES!$G$37:$G$300,MATCH($I1751,CONFIGURACOES!$B$37:$B$300,0)),"")</f>
        <v/>
      </c>
      <c r="K1751" s="20">
        <f>IFERROR(INDEX(CONFIGURACOES!$H$37:$H$300,MATCH($I1751,CONFIGURACOES!$B$37:$B$300,0)),"")</f>
        <v/>
      </c>
      <c r="L1751" s="20" t="n"/>
      <c r="M1751" s="20">
        <f>IFERROR(INDEX(CONFIGURACOES!$I$37:$I$300,MATCH($I1751,CONFIGURACOES!$B$37:$B$300,0)),"")</f>
        <v/>
      </c>
      <c r="N1751" s="21" t="n"/>
      <c r="O1751" s="21" t="n"/>
      <c r="P1751" s="21" t="n"/>
      <c r="Q1751" s="21" t="n"/>
      <c r="R1751" s="21">
        <f>IF($N1751="","",$N1751*IF($Q1751="",1,$Q1751)*IF($P1751="",1,$P1751)*IF($O1751="",1,$O1751))</f>
        <v/>
      </c>
      <c r="S1751" s="22">
        <f>IFERROR(INDEX(CONFIGURACOES!$J$37:$J$300,MATCH($I1751,CONFIGURACOES!$B$37:$B$300,0)),"")</f>
        <v/>
      </c>
      <c r="T1751" s="22">
        <f>IF(OR($R1751="",$S1751=""),"",$R1751*$S1751)</f>
        <v/>
      </c>
      <c r="U1751" s="20" t="n"/>
      <c r="V1751" s="20" t="n"/>
      <c r="W1751" s="20" t="n"/>
      <c r="X1751">
        <f>IF($A1751="","",$A1751&amp;"|"&amp;$C1751&amp;"|"&amp;$I1751)</f>
        <v/>
      </c>
      <c r="Y1751">
        <f>IF(AND($A1751=RELATORIO_MEDICAO!$C$5,$C1751=RELATORIO_MEDICAO!$F$5,$A1751&lt;&gt;""),COUNTIFS($A$3:$A1751,RELATORIO_MEDICAO!$C$5,$C$3:$C1751,RELATORIO_MEDICAO!$F$5),"")</f>
        <v/>
      </c>
      <c r="Z1751">
        <f>IF(OR($A1751="",PESQUISA!$C$4=""),0,IF(OR(ISNUMBER(SEARCH(PESQUISA!$C$4,$G1751)),ISNUMBER(SEARCH(PESQUISA!$C$4,$K1751)),ISNUMBER(SEARCH(PESQUISA!$C$4,$L1751))),1,0))</f>
        <v/>
      </c>
      <c r="AA1751">
        <f>IF($Z1751=1,SUM($Z$3:$Z1751),"")</f>
        <v/>
      </c>
      <c r="AB1751">
        <f>IF(OR($A1751="",PESQUISA!$C$50=""),0,IF(ISNUMBER(SEARCH(PESQUISA!$C$50,$I1751)),1,0))</f>
        <v/>
      </c>
      <c r="AC1751">
        <f>IF($AB1751=1,SUM($AB$3:$AB1751),"")</f>
        <v/>
      </c>
    </row>
    <row r="1752">
      <c r="A1752" s="20" t="n"/>
      <c r="B1752" s="20" t="n"/>
      <c r="C1752" s="20" t="n"/>
      <c r="D1752" s="20" t="n"/>
      <c r="E1752" s="20" t="n"/>
      <c r="F1752" s="20" t="n"/>
      <c r="G1752" s="20" t="n"/>
      <c r="H1752" s="20" t="n"/>
      <c r="I1752" s="20" t="n"/>
      <c r="J1752" s="20">
        <f>IFERROR(INDEX(CONFIGURACOES!$G$37:$G$300,MATCH($I1752,CONFIGURACOES!$B$37:$B$300,0)),"")</f>
        <v/>
      </c>
      <c r="K1752" s="20">
        <f>IFERROR(INDEX(CONFIGURACOES!$H$37:$H$300,MATCH($I1752,CONFIGURACOES!$B$37:$B$300,0)),"")</f>
        <v/>
      </c>
      <c r="L1752" s="20" t="n"/>
      <c r="M1752" s="20">
        <f>IFERROR(INDEX(CONFIGURACOES!$I$37:$I$300,MATCH($I1752,CONFIGURACOES!$B$37:$B$300,0)),"")</f>
        <v/>
      </c>
      <c r="N1752" s="21" t="n"/>
      <c r="O1752" s="21" t="n"/>
      <c r="P1752" s="21" t="n"/>
      <c r="Q1752" s="21" t="n"/>
      <c r="R1752" s="21">
        <f>IF($N1752="","",$N1752*IF($Q1752="",1,$Q1752)*IF($P1752="",1,$P1752)*IF($O1752="",1,$O1752))</f>
        <v/>
      </c>
      <c r="S1752" s="22">
        <f>IFERROR(INDEX(CONFIGURACOES!$J$37:$J$300,MATCH($I1752,CONFIGURACOES!$B$37:$B$300,0)),"")</f>
        <v/>
      </c>
      <c r="T1752" s="22">
        <f>IF(OR($R1752="",$S1752=""),"",$R1752*$S1752)</f>
        <v/>
      </c>
      <c r="U1752" s="20" t="n"/>
      <c r="V1752" s="20" t="n"/>
      <c r="W1752" s="20" t="n"/>
      <c r="X1752">
        <f>IF($A1752="","",$A1752&amp;"|"&amp;$C1752&amp;"|"&amp;$I1752)</f>
        <v/>
      </c>
      <c r="Y1752">
        <f>IF(AND($A1752=RELATORIO_MEDICAO!$C$5,$C1752=RELATORIO_MEDICAO!$F$5,$A1752&lt;&gt;""),COUNTIFS($A$3:$A1752,RELATORIO_MEDICAO!$C$5,$C$3:$C1752,RELATORIO_MEDICAO!$F$5),"")</f>
        <v/>
      </c>
      <c r="Z1752">
        <f>IF(OR($A1752="",PESQUISA!$C$4=""),0,IF(OR(ISNUMBER(SEARCH(PESQUISA!$C$4,$G1752)),ISNUMBER(SEARCH(PESQUISA!$C$4,$K1752)),ISNUMBER(SEARCH(PESQUISA!$C$4,$L1752))),1,0))</f>
        <v/>
      </c>
      <c r="AA1752">
        <f>IF($Z1752=1,SUM($Z$3:$Z1752),"")</f>
        <v/>
      </c>
      <c r="AB1752">
        <f>IF(OR($A1752="",PESQUISA!$C$50=""),0,IF(ISNUMBER(SEARCH(PESQUISA!$C$50,$I1752)),1,0))</f>
        <v/>
      </c>
      <c r="AC1752">
        <f>IF($AB1752=1,SUM($AB$3:$AB1752),"")</f>
        <v/>
      </c>
    </row>
    <row r="1753">
      <c r="A1753" s="20" t="n"/>
      <c r="B1753" s="20" t="n"/>
      <c r="C1753" s="20" t="n"/>
      <c r="D1753" s="20" t="n"/>
      <c r="E1753" s="20" t="n"/>
      <c r="F1753" s="20" t="n"/>
      <c r="G1753" s="20" t="n"/>
      <c r="H1753" s="20" t="n"/>
      <c r="I1753" s="20" t="n"/>
      <c r="J1753" s="20">
        <f>IFERROR(INDEX(CONFIGURACOES!$G$37:$G$300,MATCH($I1753,CONFIGURACOES!$B$37:$B$300,0)),"")</f>
        <v/>
      </c>
      <c r="K1753" s="20">
        <f>IFERROR(INDEX(CONFIGURACOES!$H$37:$H$300,MATCH($I1753,CONFIGURACOES!$B$37:$B$300,0)),"")</f>
        <v/>
      </c>
      <c r="L1753" s="20" t="n"/>
      <c r="M1753" s="20">
        <f>IFERROR(INDEX(CONFIGURACOES!$I$37:$I$300,MATCH($I1753,CONFIGURACOES!$B$37:$B$300,0)),"")</f>
        <v/>
      </c>
      <c r="N1753" s="21" t="n"/>
      <c r="O1753" s="21" t="n"/>
      <c r="P1753" s="21" t="n"/>
      <c r="Q1753" s="21" t="n"/>
      <c r="R1753" s="21">
        <f>IF($N1753="","",$N1753*IF($Q1753="",1,$Q1753)*IF($P1753="",1,$P1753)*IF($O1753="",1,$O1753))</f>
        <v/>
      </c>
      <c r="S1753" s="22">
        <f>IFERROR(INDEX(CONFIGURACOES!$J$37:$J$300,MATCH($I1753,CONFIGURACOES!$B$37:$B$300,0)),"")</f>
        <v/>
      </c>
      <c r="T1753" s="22">
        <f>IF(OR($R1753="",$S1753=""),"",$R1753*$S1753)</f>
        <v/>
      </c>
      <c r="U1753" s="20" t="n"/>
      <c r="V1753" s="20" t="n"/>
      <c r="W1753" s="20" t="n"/>
      <c r="X1753">
        <f>IF($A1753="","",$A1753&amp;"|"&amp;$C1753&amp;"|"&amp;$I1753)</f>
        <v/>
      </c>
      <c r="Y1753">
        <f>IF(AND($A1753=RELATORIO_MEDICAO!$C$5,$C1753=RELATORIO_MEDICAO!$F$5,$A1753&lt;&gt;""),COUNTIFS($A$3:$A1753,RELATORIO_MEDICAO!$C$5,$C$3:$C1753,RELATORIO_MEDICAO!$F$5),"")</f>
        <v/>
      </c>
      <c r="Z1753">
        <f>IF(OR($A1753="",PESQUISA!$C$4=""),0,IF(OR(ISNUMBER(SEARCH(PESQUISA!$C$4,$G1753)),ISNUMBER(SEARCH(PESQUISA!$C$4,$K1753)),ISNUMBER(SEARCH(PESQUISA!$C$4,$L1753))),1,0))</f>
        <v/>
      </c>
      <c r="AA1753">
        <f>IF($Z1753=1,SUM($Z$3:$Z1753),"")</f>
        <v/>
      </c>
      <c r="AB1753">
        <f>IF(OR($A1753="",PESQUISA!$C$50=""),0,IF(ISNUMBER(SEARCH(PESQUISA!$C$50,$I1753)),1,0))</f>
        <v/>
      </c>
      <c r="AC1753">
        <f>IF($AB1753=1,SUM($AB$3:$AB1753),"")</f>
        <v/>
      </c>
    </row>
    <row r="1754">
      <c r="A1754" s="20" t="n"/>
      <c r="B1754" s="20" t="n"/>
      <c r="C1754" s="20" t="n"/>
      <c r="D1754" s="20" t="n"/>
      <c r="E1754" s="20" t="n"/>
      <c r="F1754" s="20" t="n"/>
      <c r="G1754" s="20" t="n"/>
      <c r="H1754" s="20" t="n"/>
      <c r="I1754" s="20" t="n"/>
      <c r="J1754" s="20">
        <f>IFERROR(INDEX(CONFIGURACOES!$G$37:$G$300,MATCH($I1754,CONFIGURACOES!$B$37:$B$300,0)),"")</f>
        <v/>
      </c>
      <c r="K1754" s="20">
        <f>IFERROR(INDEX(CONFIGURACOES!$H$37:$H$300,MATCH($I1754,CONFIGURACOES!$B$37:$B$300,0)),"")</f>
        <v/>
      </c>
      <c r="L1754" s="20" t="n"/>
      <c r="M1754" s="20">
        <f>IFERROR(INDEX(CONFIGURACOES!$I$37:$I$300,MATCH($I1754,CONFIGURACOES!$B$37:$B$300,0)),"")</f>
        <v/>
      </c>
      <c r="N1754" s="21" t="n"/>
      <c r="O1754" s="21" t="n"/>
      <c r="P1754" s="21" t="n"/>
      <c r="Q1754" s="21" t="n"/>
      <c r="R1754" s="21">
        <f>IF($N1754="","",$N1754*IF($Q1754="",1,$Q1754)*IF($P1754="",1,$P1754)*IF($O1754="",1,$O1754))</f>
        <v/>
      </c>
      <c r="S1754" s="22">
        <f>IFERROR(INDEX(CONFIGURACOES!$J$37:$J$300,MATCH($I1754,CONFIGURACOES!$B$37:$B$300,0)),"")</f>
        <v/>
      </c>
      <c r="T1754" s="22">
        <f>IF(OR($R1754="",$S1754=""),"",$R1754*$S1754)</f>
        <v/>
      </c>
      <c r="U1754" s="20" t="n"/>
      <c r="V1754" s="20" t="n"/>
      <c r="W1754" s="20" t="n"/>
      <c r="X1754">
        <f>IF($A1754="","",$A1754&amp;"|"&amp;$C1754&amp;"|"&amp;$I1754)</f>
        <v/>
      </c>
      <c r="Y1754">
        <f>IF(AND($A1754=RELATORIO_MEDICAO!$C$5,$C1754=RELATORIO_MEDICAO!$F$5,$A1754&lt;&gt;""),COUNTIFS($A$3:$A1754,RELATORIO_MEDICAO!$C$5,$C$3:$C1754,RELATORIO_MEDICAO!$F$5),"")</f>
        <v/>
      </c>
      <c r="Z1754">
        <f>IF(OR($A1754="",PESQUISA!$C$4=""),0,IF(OR(ISNUMBER(SEARCH(PESQUISA!$C$4,$G1754)),ISNUMBER(SEARCH(PESQUISA!$C$4,$K1754)),ISNUMBER(SEARCH(PESQUISA!$C$4,$L1754))),1,0))</f>
        <v/>
      </c>
      <c r="AA1754">
        <f>IF($Z1754=1,SUM($Z$3:$Z1754),"")</f>
        <v/>
      </c>
      <c r="AB1754">
        <f>IF(OR($A1754="",PESQUISA!$C$50=""),0,IF(ISNUMBER(SEARCH(PESQUISA!$C$50,$I1754)),1,0))</f>
        <v/>
      </c>
      <c r="AC1754">
        <f>IF($AB1754=1,SUM($AB$3:$AB1754),"")</f>
        <v/>
      </c>
    </row>
    <row r="1755">
      <c r="A1755" s="20" t="n"/>
      <c r="B1755" s="20" t="n"/>
      <c r="C1755" s="20" t="n"/>
      <c r="D1755" s="20" t="n"/>
      <c r="E1755" s="20" t="n"/>
      <c r="F1755" s="20" t="n"/>
      <c r="G1755" s="20" t="n"/>
      <c r="H1755" s="20" t="n"/>
      <c r="I1755" s="20" t="n"/>
      <c r="J1755" s="20">
        <f>IFERROR(INDEX(CONFIGURACOES!$G$37:$G$300,MATCH($I1755,CONFIGURACOES!$B$37:$B$300,0)),"")</f>
        <v/>
      </c>
      <c r="K1755" s="20">
        <f>IFERROR(INDEX(CONFIGURACOES!$H$37:$H$300,MATCH($I1755,CONFIGURACOES!$B$37:$B$300,0)),"")</f>
        <v/>
      </c>
      <c r="L1755" s="20" t="n"/>
      <c r="M1755" s="20">
        <f>IFERROR(INDEX(CONFIGURACOES!$I$37:$I$300,MATCH($I1755,CONFIGURACOES!$B$37:$B$300,0)),"")</f>
        <v/>
      </c>
      <c r="N1755" s="21" t="n"/>
      <c r="O1755" s="21" t="n"/>
      <c r="P1755" s="21" t="n"/>
      <c r="Q1755" s="21" t="n"/>
      <c r="R1755" s="21">
        <f>IF($N1755="","",$N1755*IF($Q1755="",1,$Q1755)*IF($P1755="",1,$P1755)*IF($O1755="",1,$O1755))</f>
        <v/>
      </c>
      <c r="S1755" s="22">
        <f>IFERROR(INDEX(CONFIGURACOES!$J$37:$J$300,MATCH($I1755,CONFIGURACOES!$B$37:$B$300,0)),"")</f>
        <v/>
      </c>
      <c r="T1755" s="22">
        <f>IF(OR($R1755="",$S1755=""),"",$R1755*$S1755)</f>
        <v/>
      </c>
      <c r="U1755" s="20" t="n"/>
      <c r="V1755" s="20" t="n"/>
      <c r="W1755" s="20" t="n"/>
      <c r="X1755">
        <f>IF($A1755="","",$A1755&amp;"|"&amp;$C1755&amp;"|"&amp;$I1755)</f>
        <v/>
      </c>
      <c r="Y1755">
        <f>IF(AND($A1755=RELATORIO_MEDICAO!$C$5,$C1755=RELATORIO_MEDICAO!$F$5,$A1755&lt;&gt;""),COUNTIFS($A$3:$A1755,RELATORIO_MEDICAO!$C$5,$C$3:$C1755,RELATORIO_MEDICAO!$F$5),"")</f>
        <v/>
      </c>
      <c r="Z1755">
        <f>IF(OR($A1755="",PESQUISA!$C$4=""),0,IF(OR(ISNUMBER(SEARCH(PESQUISA!$C$4,$G1755)),ISNUMBER(SEARCH(PESQUISA!$C$4,$K1755)),ISNUMBER(SEARCH(PESQUISA!$C$4,$L1755))),1,0))</f>
        <v/>
      </c>
      <c r="AA1755">
        <f>IF($Z1755=1,SUM($Z$3:$Z1755),"")</f>
        <v/>
      </c>
      <c r="AB1755">
        <f>IF(OR($A1755="",PESQUISA!$C$50=""),0,IF(ISNUMBER(SEARCH(PESQUISA!$C$50,$I1755)),1,0))</f>
        <v/>
      </c>
      <c r="AC1755">
        <f>IF($AB1755=1,SUM($AB$3:$AB1755),"")</f>
        <v/>
      </c>
    </row>
    <row r="1756">
      <c r="A1756" s="20" t="n"/>
      <c r="B1756" s="20" t="n"/>
      <c r="C1756" s="20" t="n"/>
      <c r="D1756" s="20" t="n"/>
      <c r="E1756" s="20" t="n"/>
      <c r="F1756" s="20" t="n"/>
      <c r="G1756" s="20" t="n"/>
      <c r="H1756" s="20" t="n"/>
      <c r="I1756" s="20" t="n"/>
      <c r="J1756" s="20">
        <f>IFERROR(INDEX(CONFIGURACOES!$G$37:$G$300,MATCH($I1756,CONFIGURACOES!$B$37:$B$300,0)),"")</f>
        <v/>
      </c>
      <c r="K1756" s="20">
        <f>IFERROR(INDEX(CONFIGURACOES!$H$37:$H$300,MATCH($I1756,CONFIGURACOES!$B$37:$B$300,0)),"")</f>
        <v/>
      </c>
      <c r="L1756" s="20" t="n"/>
      <c r="M1756" s="20">
        <f>IFERROR(INDEX(CONFIGURACOES!$I$37:$I$300,MATCH($I1756,CONFIGURACOES!$B$37:$B$300,0)),"")</f>
        <v/>
      </c>
      <c r="N1756" s="21" t="n"/>
      <c r="O1756" s="21" t="n"/>
      <c r="P1756" s="21" t="n"/>
      <c r="Q1756" s="21" t="n"/>
      <c r="R1756" s="21">
        <f>IF($N1756="","",$N1756*IF($Q1756="",1,$Q1756)*IF($P1756="",1,$P1756)*IF($O1756="",1,$O1756))</f>
        <v/>
      </c>
      <c r="S1756" s="22">
        <f>IFERROR(INDEX(CONFIGURACOES!$J$37:$J$300,MATCH($I1756,CONFIGURACOES!$B$37:$B$300,0)),"")</f>
        <v/>
      </c>
      <c r="T1756" s="22">
        <f>IF(OR($R1756="",$S1756=""),"",$R1756*$S1756)</f>
        <v/>
      </c>
      <c r="U1756" s="20" t="n"/>
      <c r="V1756" s="20" t="n"/>
      <c r="W1756" s="20" t="n"/>
      <c r="X1756">
        <f>IF($A1756="","",$A1756&amp;"|"&amp;$C1756&amp;"|"&amp;$I1756)</f>
        <v/>
      </c>
      <c r="Y1756">
        <f>IF(AND($A1756=RELATORIO_MEDICAO!$C$5,$C1756=RELATORIO_MEDICAO!$F$5,$A1756&lt;&gt;""),COUNTIFS($A$3:$A1756,RELATORIO_MEDICAO!$C$5,$C$3:$C1756,RELATORIO_MEDICAO!$F$5),"")</f>
        <v/>
      </c>
      <c r="Z1756">
        <f>IF(OR($A1756="",PESQUISA!$C$4=""),0,IF(OR(ISNUMBER(SEARCH(PESQUISA!$C$4,$G1756)),ISNUMBER(SEARCH(PESQUISA!$C$4,$K1756)),ISNUMBER(SEARCH(PESQUISA!$C$4,$L1756))),1,0))</f>
        <v/>
      </c>
      <c r="AA1756">
        <f>IF($Z1756=1,SUM($Z$3:$Z1756),"")</f>
        <v/>
      </c>
      <c r="AB1756">
        <f>IF(OR($A1756="",PESQUISA!$C$50=""),0,IF(ISNUMBER(SEARCH(PESQUISA!$C$50,$I1756)),1,0))</f>
        <v/>
      </c>
      <c r="AC1756">
        <f>IF($AB1756=1,SUM($AB$3:$AB1756),"")</f>
        <v/>
      </c>
    </row>
    <row r="1757">
      <c r="A1757" s="20" t="n"/>
      <c r="B1757" s="20" t="n"/>
      <c r="C1757" s="20" t="n"/>
      <c r="D1757" s="20" t="n"/>
      <c r="E1757" s="20" t="n"/>
      <c r="F1757" s="20" t="n"/>
      <c r="G1757" s="20" t="n"/>
      <c r="H1757" s="20" t="n"/>
      <c r="I1757" s="20" t="n"/>
      <c r="J1757" s="20">
        <f>IFERROR(INDEX(CONFIGURACOES!$G$37:$G$300,MATCH($I1757,CONFIGURACOES!$B$37:$B$300,0)),"")</f>
        <v/>
      </c>
      <c r="K1757" s="20">
        <f>IFERROR(INDEX(CONFIGURACOES!$H$37:$H$300,MATCH($I1757,CONFIGURACOES!$B$37:$B$300,0)),"")</f>
        <v/>
      </c>
      <c r="L1757" s="20" t="n"/>
      <c r="M1757" s="20">
        <f>IFERROR(INDEX(CONFIGURACOES!$I$37:$I$300,MATCH($I1757,CONFIGURACOES!$B$37:$B$300,0)),"")</f>
        <v/>
      </c>
      <c r="N1757" s="21" t="n"/>
      <c r="O1757" s="21" t="n"/>
      <c r="P1757" s="21" t="n"/>
      <c r="Q1757" s="21" t="n"/>
      <c r="R1757" s="21">
        <f>IF($N1757="","",$N1757*IF($Q1757="",1,$Q1757)*IF($P1757="",1,$P1757)*IF($O1757="",1,$O1757))</f>
        <v/>
      </c>
      <c r="S1757" s="22">
        <f>IFERROR(INDEX(CONFIGURACOES!$J$37:$J$300,MATCH($I1757,CONFIGURACOES!$B$37:$B$300,0)),"")</f>
        <v/>
      </c>
      <c r="T1757" s="22">
        <f>IF(OR($R1757="",$S1757=""),"",$R1757*$S1757)</f>
        <v/>
      </c>
      <c r="U1757" s="20" t="n"/>
      <c r="V1757" s="20" t="n"/>
      <c r="W1757" s="20" t="n"/>
      <c r="X1757">
        <f>IF($A1757="","",$A1757&amp;"|"&amp;$C1757&amp;"|"&amp;$I1757)</f>
        <v/>
      </c>
      <c r="Y1757">
        <f>IF(AND($A1757=RELATORIO_MEDICAO!$C$5,$C1757=RELATORIO_MEDICAO!$F$5,$A1757&lt;&gt;""),COUNTIFS($A$3:$A1757,RELATORIO_MEDICAO!$C$5,$C$3:$C1757,RELATORIO_MEDICAO!$F$5),"")</f>
        <v/>
      </c>
      <c r="Z1757">
        <f>IF(OR($A1757="",PESQUISA!$C$4=""),0,IF(OR(ISNUMBER(SEARCH(PESQUISA!$C$4,$G1757)),ISNUMBER(SEARCH(PESQUISA!$C$4,$K1757)),ISNUMBER(SEARCH(PESQUISA!$C$4,$L1757))),1,0))</f>
        <v/>
      </c>
      <c r="AA1757">
        <f>IF($Z1757=1,SUM($Z$3:$Z1757),"")</f>
        <v/>
      </c>
      <c r="AB1757">
        <f>IF(OR($A1757="",PESQUISA!$C$50=""),0,IF(ISNUMBER(SEARCH(PESQUISA!$C$50,$I1757)),1,0))</f>
        <v/>
      </c>
      <c r="AC1757">
        <f>IF($AB1757=1,SUM($AB$3:$AB1757),"")</f>
        <v/>
      </c>
    </row>
    <row r="1758">
      <c r="A1758" s="20" t="n"/>
      <c r="B1758" s="20" t="n"/>
      <c r="C1758" s="20" t="n"/>
      <c r="D1758" s="20" t="n"/>
      <c r="E1758" s="20" t="n"/>
      <c r="F1758" s="20" t="n"/>
      <c r="G1758" s="20" t="n"/>
      <c r="H1758" s="20" t="n"/>
      <c r="I1758" s="20" t="n"/>
      <c r="J1758" s="20">
        <f>IFERROR(INDEX(CONFIGURACOES!$G$37:$G$300,MATCH($I1758,CONFIGURACOES!$B$37:$B$300,0)),"")</f>
        <v/>
      </c>
      <c r="K1758" s="20">
        <f>IFERROR(INDEX(CONFIGURACOES!$H$37:$H$300,MATCH($I1758,CONFIGURACOES!$B$37:$B$300,0)),"")</f>
        <v/>
      </c>
      <c r="L1758" s="20" t="n"/>
      <c r="M1758" s="20">
        <f>IFERROR(INDEX(CONFIGURACOES!$I$37:$I$300,MATCH($I1758,CONFIGURACOES!$B$37:$B$300,0)),"")</f>
        <v/>
      </c>
      <c r="N1758" s="21" t="n"/>
      <c r="O1758" s="21" t="n"/>
      <c r="P1758" s="21" t="n"/>
      <c r="Q1758" s="21" t="n"/>
      <c r="R1758" s="21">
        <f>IF($N1758="","",$N1758*IF($Q1758="",1,$Q1758)*IF($P1758="",1,$P1758)*IF($O1758="",1,$O1758))</f>
        <v/>
      </c>
      <c r="S1758" s="22">
        <f>IFERROR(INDEX(CONFIGURACOES!$J$37:$J$300,MATCH($I1758,CONFIGURACOES!$B$37:$B$300,0)),"")</f>
        <v/>
      </c>
      <c r="T1758" s="22">
        <f>IF(OR($R1758="",$S1758=""),"",$R1758*$S1758)</f>
        <v/>
      </c>
      <c r="U1758" s="20" t="n"/>
      <c r="V1758" s="20" t="n"/>
      <c r="W1758" s="20" t="n"/>
      <c r="X1758">
        <f>IF($A1758="","",$A1758&amp;"|"&amp;$C1758&amp;"|"&amp;$I1758)</f>
        <v/>
      </c>
      <c r="Y1758">
        <f>IF(AND($A1758=RELATORIO_MEDICAO!$C$5,$C1758=RELATORIO_MEDICAO!$F$5,$A1758&lt;&gt;""),COUNTIFS($A$3:$A1758,RELATORIO_MEDICAO!$C$5,$C$3:$C1758,RELATORIO_MEDICAO!$F$5),"")</f>
        <v/>
      </c>
      <c r="Z1758">
        <f>IF(OR($A1758="",PESQUISA!$C$4=""),0,IF(OR(ISNUMBER(SEARCH(PESQUISA!$C$4,$G1758)),ISNUMBER(SEARCH(PESQUISA!$C$4,$K1758)),ISNUMBER(SEARCH(PESQUISA!$C$4,$L1758))),1,0))</f>
        <v/>
      </c>
      <c r="AA1758">
        <f>IF($Z1758=1,SUM($Z$3:$Z1758),"")</f>
        <v/>
      </c>
      <c r="AB1758">
        <f>IF(OR($A1758="",PESQUISA!$C$50=""),0,IF(ISNUMBER(SEARCH(PESQUISA!$C$50,$I1758)),1,0))</f>
        <v/>
      </c>
      <c r="AC1758">
        <f>IF($AB1758=1,SUM($AB$3:$AB1758),"")</f>
        <v/>
      </c>
    </row>
    <row r="1759">
      <c r="A1759" s="20" t="n"/>
      <c r="B1759" s="20" t="n"/>
      <c r="C1759" s="20" t="n"/>
      <c r="D1759" s="20" t="n"/>
      <c r="E1759" s="20" t="n"/>
      <c r="F1759" s="20" t="n"/>
      <c r="G1759" s="20" t="n"/>
      <c r="H1759" s="20" t="n"/>
      <c r="I1759" s="20" t="n"/>
      <c r="J1759" s="20">
        <f>IFERROR(INDEX(CONFIGURACOES!$G$37:$G$300,MATCH($I1759,CONFIGURACOES!$B$37:$B$300,0)),"")</f>
        <v/>
      </c>
      <c r="K1759" s="20">
        <f>IFERROR(INDEX(CONFIGURACOES!$H$37:$H$300,MATCH($I1759,CONFIGURACOES!$B$37:$B$300,0)),"")</f>
        <v/>
      </c>
      <c r="L1759" s="20" t="n"/>
      <c r="M1759" s="20">
        <f>IFERROR(INDEX(CONFIGURACOES!$I$37:$I$300,MATCH($I1759,CONFIGURACOES!$B$37:$B$300,0)),"")</f>
        <v/>
      </c>
      <c r="N1759" s="21" t="n"/>
      <c r="O1759" s="21" t="n"/>
      <c r="P1759" s="21" t="n"/>
      <c r="Q1759" s="21" t="n"/>
      <c r="R1759" s="21">
        <f>IF($N1759="","",$N1759*IF($Q1759="",1,$Q1759)*IF($P1759="",1,$P1759)*IF($O1759="",1,$O1759))</f>
        <v/>
      </c>
      <c r="S1759" s="22">
        <f>IFERROR(INDEX(CONFIGURACOES!$J$37:$J$300,MATCH($I1759,CONFIGURACOES!$B$37:$B$300,0)),"")</f>
        <v/>
      </c>
      <c r="T1759" s="22">
        <f>IF(OR($R1759="",$S1759=""),"",$R1759*$S1759)</f>
        <v/>
      </c>
      <c r="U1759" s="20" t="n"/>
      <c r="V1759" s="20" t="n"/>
      <c r="W1759" s="20" t="n"/>
      <c r="X1759">
        <f>IF($A1759="","",$A1759&amp;"|"&amp;$C1759&amp;"|"&amp;$I1759)</f>
        <v/>
      </c>
      <c r="Y1759">
        <f>IF(AND($A1759=RELATORIO_MEDICAO!$C$5,$C1759=RELATORIO_MEDICAO!$F$5,$A1759&lt;&gt;""),COUNTIFS($A$3:$A1759,RELATORIO_MEDICAO!$C$5,$C$3:$C1759,RELATORIO_MEDICAO!$F$5),"")</f>
        <v/>
      </c>
      <c r="Z1759">
        <f>IF(OR($A1759="",PESQUISA!$C$4=""),0,IF(OR(ISNUMBER(SEARCH(PESQUISA!$C$4,$G1759)),ISNUMBER(SEARCH(PESQUISA!$C$4,$K1759)),ISNUMBER(SEARCH(PESQUISA!$C$4,$L1759))),1,0))</f>
        <v/>
      </c>
      <c r="AA1759">
        <f>IF($Z1759=1,SUM($Z$3:$Z1759),"")</f>
        <v/>
      </c>
      <c r="AB1759">
        <f>IF(OR($A1759="",PESQUISA!$C$50=""),0,IF(ISNUMBER(SEARCH(PESQUISA!$C$50,$I1759)),1,0))</f>
        <v/>
      </c>
      <c r="AC1759">
        <f>IF($AB1759=1,SUM($AB$3:$AB1759),"")</f>
        <v/>
      </c>
    </row>
    <row r="1760">
      <c r="A1760" s="20" t="n"/>
      <c r="B1760" s="20" t="n"/>
      <c r="C1760" s="20" t="n"/>
      <c r="D1760" s="20" t="n"/>
      <c r="E1760" s="20" t="n"/>
      <c r="F1760" s="20" t="n"/>
      <c r="G1760" s="20" t="n"/>
      <c r="H1760" s="20" t="n"/>
      <c r="I1760" s="20" t="n"/>
      <c r="J1760" s="20">
        <f>IFERROR(INDEX(CONFIGURACOES!$G$37:$G$300,MATCH($I1760,CONFIGURACOES!$B$37:$B$300,0)),"")</f>
        <v/>
      </c>
      <c r="K1760" s="20">
        <f>IFERROR(INDEX(CONFIGURACOES!$H$37:$H$300,MATCH($I1760,CONFIGURACOES!$B$37:$B$300,0)),"")</f>
        <v/>
      </c>
      <c r="L1760" s="20" t="n"/>
      <c r="M1760" s="20">
        <f>IFERROR(INDEX(CONFIGURACOES!$I$37:$I$300,MATCH($I1760,CONFIGURACOES!$B$37:$B$300,0)),"")</f>
        <v/>
      </c>
      <c r="N1760" s="21" t="n"/>
      <c r="O1760" s="21" t="n"/>
      <c r="P1760" s="21" t="n"/>
      <c r="Q1760" s="21" t="n"/>
      <c r="R1760" s="21">
        <f>IF($N1760="","",$N1760*IF($Q1760="",1,$Q1760)*IF($P1760="",1,$P1760)*IF($O1760="",1,$O1760))</f>
        <v/>
      </c>
      <c r="S1760" s="22">
        <f>IFERROR(INDEX(CONFIGURACOES!$J$37:$J$300,MATCH($I1760,CONFIGURACOES!$B$37:$B$300,0)),"")</f>
        <v/>
      </c>
      <c r="T1760" s="22">
        <f>IF(OR($R1760="",$S1760=""),"",$R1760*$S1760)</f>
        <v/>
      </c>
      <c r="U1760" s="20" t="n"/>
      <c r="V1760" s="20" t="n"/>
      <c r="W1760" s="20" t="n"/>
      <c r="X1760">
        <f>IF($A1760="","",$A1760&amp;"|"&amp;$C1760&amp;"|"&amp;$I1760)</f>
        <v/>
      </c>
      <c r="Y1760">
        <f>IF(AND($A1760=RELATORIO_MEDICAO!$C$5,$C1760=RELATORIO_MEDICAO!$F$5,$A1760&lt;&gt;""),COUNTIFS($A$3:$A1760,RELATORIO_MEDICAO!$C$5,$C$3:$C1760,RELATORIO_MEDICAO!$F$5),"")</f>
        <v/>
      </c>
      <c r="Z1760">
        <f>IF(OR($A1760="",PESQUISA!$C$4=""),0,IF(OR(ISNUMBER(SEARCH(PESQUISA!$C$4,$G1760)),ISNUMBER(SEARCH(PESQUISA!$C$4,$K1760)),ISNUMBER(SEARCH(PESQUISA!$C$4,$L1760))),1,0))</f>
        <v/>
      </c>
      <c r="AA1760">
        <f>IF($Z1760=1,SUM($Z$3:$Z1760),"")</f>
        <v/>
      </c>
      <c r="AB1760">
        <f>IF(OR($A1760="",PESQUISA!$C$50=""),0,IF(ISNUMBER(SEARCH(PESQUISA!$C$50,$I1760)),1,0))</f>
        <v/>
      </c>
      <c r="AC1760">
        <f>IF($AB1760=1,SUM($AB$3:$AB1760),"")</f>
        <v/>
      </c>
    </row>
    <row r="1761">
      <c r="A1761" s="20" t="n"/>
      <c r="B1761" s="20" t="n"/>
      <c r="C1761" s="20" t="n"/>
      <c r="D1761" s="20" t="n"/>
      <c r="E1761" s="20" t="n"/>
      <c r="F1761" s="20" t="n"/>
      <c r="G1761" s="20" t="n"/>
      <c r="H1761" s="20" t="n"/>
      <c r="I1761" s="20" t="n"/>
      <c r="J1761" s="20">
        <f>IFERROR(INDEX(CONFIGURACOES!$G$37:$G$300,MATCH($I1761,CONFIGURACOES!$B$37:$B$300,0)),"")</f>
        <v/>
      </c>
      <c r="K1761" s="20">
        <f>IFERROR(INDEX(CONFIGURACOES!$H$37:$H$300,MATCH($I1761,CONFIGURACOES!$B$37:$B$300,0)),"")</f>
        <v/>
      </c>
      <c r="L1761" s="20" t="n"/>
      <c r="M1761" s="20">
        <f>IFERROR(INDEX(CONFIGURACOES!$I$37:$I$300,MATCH($I1761,CONFIGURACOES!$B$37:$B$300,0)),"")</f>
        <v/>
      </c>
      <c r="N1761" s="21" t="n"/>
      <c r="O1761" s="21" t="n"/>
      <c r="P1761" s="21" t="n"/>
      <c r="Q1761" s="21" t="n"/>
      <c r="R1761" s="21">
        <f>IF($N1761="","",$N1761*IF($Q1761="",1,$Q1761)*IF($P1761="",1,$P1761)*IF($O1761="",1,$O1761))</f>
        <v/>
      </c>
      <c r="S1761" s="22">
        <f>IFERROR(INDEX(CONFIGURACOES!$J$37:$J$300,MATCH($I1761,CONFIGURACOES!$B$37:$B$300,0)),"")</f>
        <v/>
      </c>
      <c r="T1761" s="22">
        <f>IF(OR($R1761="",$S1761=""),"",$R1761*$S1761)</f>
        <v/>
      </c>
      <c r="U1761" s="20" t="n"/>
      <c r="V1761" s="20" t="n"/>
      <c r="W1761" s="20" t="n"/>
      <c r="X1761">
        <f>IF($A1761="","",$A1761&amp;"|"&amp;$C1761&amp;"|"&amp;$I1761)</f>
        <v/>
      </c>
      <c r="Y1761">
        <f>IF(AND($A1761=RELATORIO_MEDICAO!$C$5,$C1761=RELATORIO_MEDICAO!$F$5,$A1761&lt;&gt;""),COUNTIFS($A$3:$A1761,RELATORIO_MEDICAO!$C$5,$C$3:$C1761,RELATORIO_MEDICAO!$F$5),"")</f>
        <v/>
      </c>
      <c r="Z1761">
        <f>IF(OR($A1761="",PESQUISA!$C$4=""),0,IF(OR(ISNUMBER(SEARCH(PESQUISA!$C$4,$G1761)),ISNUMBER(SEARCH(PESQUISA!$C$4,$K1761)),ISNUMBER(SEARCH(PESQUISA!$C$4,$L1761))),1,0))</f>
        <v/>
      </c>
      <c r="AA1761">
        <f>IF($Z1761=1,SUM($Z$3:$Z1761),"")</f>
        <v/>
      </c>
      <c r="AB1761">
        <f>IF(OR($A1761="",PESQUISA!$C$50=""),0,IF(ISNUMBER(SEARCH(PESQUISA!$C$50,$I1761)),1,0))</f>
        <v/>
      </c>
      <c r="AC1761">
        <f>IF($AB1761=1,SUM($AB$3:$AB1761),"")</f>
        <v/>
      </c>
    </row>
    <row r="1762">
      <c r="A1762" s="20" t="n"/>
      <c r="B1762" s="20" t="n"/>
      <c r="C1762" s="20" t="n"/>
      <c r="D1762" s="20" t="n"/>
      <c r="E1762" s="20" t="n"/>
      <c r="F1762" s="20" t="n"/>
      <c r="G1762" s="20" t="n"/>
      <c r="H1762" s="20" t="n"/>
      <c r="I1762" s="20" t="n"/>
      <c r="J1762" s="20">
        <f>IFERROR(INDEX(CONFIGURACOES!$G$37:$G$300,MATCH($I1762,CONFIGURACOES!$B$37:$B$300,0)),"")</f>
        <v/>
      </c>
      <c r="K1762" s="20">
        <f>IFERROR(INDEX(CONFIGURACOES!$H$37:$H$300,MATCH($I1762,CONFIGURACOES!$B$37:$B$300,0)),"")</f>
        <v/>
      </c>
      <c r="L1762" s="20" t="n"/>
      <c r="M1762" s="20">
        <f>IFERROR(INDEX(CONFIGURACOES!$I$37:$I$300,MATCH($I1762,CONFIGURACOES!$B$37:$B$300,0)),"")</f>
        <v/>
      </c>
      <c r="N1762" s="21" t="n"/>
      <c r="O1762" s="21" t="n"/>
      <c r="P1762" s="21" t="n"/>
      <c r="Q1762" s="21" t="n"/>
      <c r="R1762" s="21">
        <f>IF($N1762="","",$N1762*IF($Q1762="",1,$Q1762)*IF($P1762="",1,$P1762)*IF($O1762="",1,$O1762))</f>
        <v/>
      </c>
      <c r="S1762" s="22">
        <f>IFERROR(INDEX(CONFIGURACOES!$J$37:$J$300,MATCH($I1762,CONFIGURACOES!$B$37:$B$300,0)),"")</f>
        <v/>
      </c>
      <c r="T1762" s="22">
        <f>IF(OR($R1762="",$S1762=""),"",$R1762*$S1762)</f>
        <v/>
      </c>
      <c r="U1762" s="20" t="n"/>
      <c r="V1762" s="20" t="n"/>
      <c r="W1762" s="20" t="n"/>
      <c r="X1762">
        <f>IF($A1762="","",$A1762&amp;"|"&amp;$C1762&amp;"|"&amp;$I1762)</f>
        <v/>
      </c>
      <c r="Y1762">
        <f>IF(AND($A1762=RELATORIO_MEDICAO!$C$5,$C1762=RELATORIO_MEDICAO!$F$5,$A1762&lt;&gt;""),COUNTIFS($A$3:$A1762,RELATORIO_MEDICAO!$C$5,$C$3:$C1762,RELATORIO_MEDICAO!$F$5),"")</f>
        <v/>
      </c>
      <c r="Z1762">
        <f>IF(OR($A1762="",PESQUISA!$C$4=""),0,IF(OR(ISNUMBER(SEARCH(PESQUISA!$C$4,$G1762)),ISNUMBER(SEARCH(PESQUISA!$C$4,$K1762)),ISNUMBER(SEARCH(PESQUISA!$C$4,$L1762))),1,0))</f>
        <v/>
      </c>
      <c r="AA1762">
        <f>IF($Z1762=1,SUM($Z$3:$Z1762),"")</f>
        <v/>
      </c>
      <c r="AB1762">
        <f>IF(OR($A1762="",PESQUISA!$C$50=""),0,IF(ISNUMBER(SEARCH(PESQUISA!$C$50,$I1762)),1,0))</f>
        <v/>
      </c>
      <c r="AC1762">
        <f>IF($AB1762=1,SUM($AB$3:$AB1762),"")</f>
        <v/>
      </c>
    </row>
    <row r="1763">
      <c r="A1763" s="20" t="n"/>
      <c r="B1763" s="20" t="n"/>
      <c r="C1763" s="20" t="n"/>
      <c r="D1763" s="20" t="n"/>
      <c r="E1763" s="20" t="n"/>
      <c r="F1763" s="20" t="n"/>
      <c r="G1763" s="20" t="n"/>
      <c r="H1763" s="20" t="n"/>
      <c r="I1763" s="20" t="n"/>
      <c r="J1763" s="20">
        <f>IFERROR(INDEX(CONFIGURACOES!$G$37:$G$300,MATCH($I1763,CONFIGURACOES!$B$37:$B$300,0)),"")</f>
        <v/>
      </c>
      <c r="K1763" s="20">
        <f>IFERROR(INDEX(CONFIGURACOES!$H$37:$H$300,MATCH($I1763,CONFIGURACOES!$B$37:$B$300,0)),"")</f>
        <v/>
      </c>
      <c r="L1763" s="20" t="n"/>
      <c r="M1763" s="20">
        <f>IFERROR(INDEX(CONFIGURACOES!$I$37:$I$300,MATCH($I1763,CONFIGURACOES!$B$37:$B$300,0)),"")</f>
        <v/>
      </c>
      <c r="N1763" s="21" t="n"/>
      <c r="O1763" s="21" t="n"/>
      <c r="P1763" s="21" t="n"/>
      <c r="Q1763" s="21" t="n"/>
      <c r="R1763" s="21">
        <f>IF($N1763="","",$N1763*IF($Q1763="",1,$Q1763)*IF($P1763="",1,$P1763)*IF($O1763="",1,$O1763))</f>
        <v/>
      </c>
      <c r="S1763" s="22">
        <f>IFERROR(INDEX(CONFIGURACOES!$J$37:$J$300,MATCH($I1763,CONFIGURACOES!$B$37:$B$300,0)),"")</f>
        <v/>
      </c>
      <c r="T1763" s="22">
        <f>IF(OR($R1763="",$S1763=""),"",$R1763*$S1763)</f>
        <v/>
      </c>
      <c r="U1763" s="20" t="n"/>
      <c r="V1763" s="20" t="n"/>
      <c r="W1763" s="20" t="n"/>
      <c r="X1763">
        <f>IF($A1763="","",$A1763&amp;"|"&amp;$C1763&amp;"|"&amp;$I1763)</f>
        <v/>
      </c>
      <c r="Y1763">
        <f>IF(AND($A1763=RELATORIO_MEDICAO!$C$5,$C1763=RELATORIO_MEDICAO!$F$5,$A1763&lt;&gt;""),COUNTIFS($A$3:$A1763,RELATORIO_MEDICAO!$C$5,$C$3:$C1763,RELATORIO_MEDICAO!$F$5),"")</f>
        <v/>
      </c>
      <c r="Z1763">
        <f>IF(OR($A1763="",PESQUISA!$C$4=""),0,IF(OR(ISNUMBER(SEARCH(PESQUISA!$C$4,$G1763)),ISNUMBER(SEARCH(PESQUISA!$C$4,$K1763)),ISNUMBER(SEARCH(PESQUISA!$C$4,$L1763))),1,0))</f>
        <v/>
      </c>
      <c r="AA1763">
        <f>IF($Z1763=1,SUM($Z$3:$Z1763),"")</f>
        <v/>
      </c>
      <c r="AB1763">
        <f>IF(OR($A1763="",PESQUISA!$C$50=""),0,IF(ISNUMBER(SEARCH(PESQUISA!$C$50,$I1763)),1,0))</f>
        <v/>
      </c>
      <c r="AC1763">
        <f>IF($AB1763=1,SUM($AB$3:$AB1763),"")</f>
        <v/>
      </c>
    </row>
    <row r="1764">
      <c r="A1764" s="20" t="n"/>
      <c r="B1764" s="20" t="n"/>
      <c r="C1764" s="20" t="n"/>
      <c r="D1764" s="20" t="n"/>
      <c r="E1764" s="20" t="n"/>
      <c r="F1764" s="20" t="n"/>
      <c r="G1764" s="20" t="n"/>
      <c r="H1764" s="20" t="n"/>
      <c r="I1764" s="20" t="n"/>
      <c r="J1764" s="20">
        <f>IFERROR(INDEX(CONFIGURACOES!$G$37:$G$300,MATCH($I1764,CONFIGURACOES!$B$37:$B$300,0)),"")</f>
        <v/>
      </c>
      <c r="K1764" s="20">
        <f>IFERROR(INDEX(CONFIGURACOES!$H$37:$H$300,MATCH($I1764,CONFIGURACOES!$B$37:$B$300,0)),"")</f>
        <v/>
      </c>
      <c r="L1764" s="20" t="n"/>
      <c r="M1764" s="20">
        <f>IFERROR(INDEX(CONFIGURACOES!$I$37:$I$300,MATCH($I1764,CONFIGURACOES!$B$37:$B$300,0)),"")</f>
        <v/>
      </c>
      <c r="N1764" s="21" t="n"/>
      <c r="O1764" s="21" t="n"/>
      <c r="P1764" s="21" t="n"/>
      <c r="Q1764" s="21" t="n"/>
      <c r="R1764" s="21">
        <f>IF($N1764="","",$N1764*IF($Q1764="",1,$Q1764)*IF($P1764="",1,$P1764)*IF($O1764="",1,$O1764))</f>
        <v/>
      </c>
      <c r="S1764" s="22">
        <f>IFERROR(INDEX(CONFIGURACOES!$J$37:$J$300,MATCH($I1764,CONFIGURACOES!$B$37:$B$300,0)),"")</f>
        <v/>
      </c>
      <c r="T1764" s="22">
        <f>IF(OR($R1764="",$S1764=""),"",$R1764*$S1764)</f>
        <v/>
      </c>
      <c r="U1764" s="20" t="n"/>
      <c r="V1764" s="20" t="n"/>
      <c r="W1764" s="20" t="n"/>
      <c r="X1764">
        <f>IF($A1764="","",$A1764&amp;"|"&amp;$C1764&amp;"|"&amp;$I1764)</f>
        <v/>
      </c>
      <c r="Y1764">
        <f>IF(AND($A1764=RELATORIO_MEDICAO!$C$5,$C1764=RELATORIO_MEDICAO!$F$5,$A1764&lt;&gt;""),COUNTIFS($A$3:$A1764,RELATORIO_MEDICAO!$C$5,$C$3:$C1764,RELATORIO_MEDICAO!$F$5),"")</f>
        <v/>
      </c>
      <c r="Z1764">
        <f>IF(OR($A1764="",PESQUISA!$C$4=""),0,IF(OR(ISNUMBER(SEARCH(PESQUISA!$C$4,$G1764)),ISNUMBER(SEARCH(PESQUISA!$C$4,$K1764)),ISNUMBER(SEARCH(PESQUISA!$C$4,$L1764))),1,0))</f>
        <v/>
      </c>
      <c r="AA1764">
        <f>IF($Z1764=1,SUM($Z$3:$Z1764),"")</f>
        <v/>
      </c>
      <c r="AB1764">
        <f>IF(OR($A1764="",PESQUISA!$C$50=""),0,IF(ISNUMBER(SEARCH(PESQUISA!$C$50,$I1764)),1,0))</f>
        <v/>
      </c>
      <c r="AC1764">
        <f>IF($AB1764=1,SUM($AB$3:$AB1764),"")</f>
        <v/>
      </c>
    </row>
    <row r="1765">
      <c r="A1765" s="20" t="n"/>
      <c r="B1765" s="20" t="n"/>
      <c r="C1765" s="20" t="n"/>
      <c r="D1765" s="20" t="n"/>
      <c r="E1765" s="20" t="n"/>
      <c r="F1765" s="20" t="n"/>
      <c r="G1765" s="20" t="n"/>
      <c r="H1765" s="20" t="n"/>
      <c r="I1765" s="20" t="n"/>
      <c r="J1765" s="20">
        <f>IFERROR(INDEX(CONFIGURACOES!$G$37:$G$300,MATCH($I1765,CONFIGURACOES!$B$37:$B$300,0)),"")</f>
        <v/>
      </c>
      <c r="K1765" s="20">
        <f>IFERROR(INDEX(CONFIGURACOES!$H$37:$H$300,MATCH($I1765,CONFIGURACOES!$B$37:$B$300,0)),"")</f>
        <v/>
      </c>
      <c r="L1765" s="20" t="n"/>
      <c r="M1765" s="20">
        <f>IFERROR(INDEX(CONFIGURACOES!$I$37:$I$300,MATCH($I1765,CONFIGURACOES!$B$37:$B$300,0)),"")</f>
        <v/>
      </c>
      <c r="N1765" s="21" t="n"/>
      <c r="O1765" s="21" t="n"/>
      <c r="P1765" s="21" t="n"/>
      <c r="Q1765" s="21" t="n"/>
      <c r="R1765" s="21">
        <f>IF($N1765="","",$N1765*IF($Q1765="",1,$Q1765)*IF($P1765="",1,$P1765)*IF($O1765="",1,$O1765))</f>
        <v/>
      </c>
      <c r="S1765" s="22">
        <f>IFERROR(INDEX(CONFIGURACOES!$J$37:$J$300,MATCH($I1765,CONFIGURACOES!$B$37:$B$300,0)),"")</f>
        <v/>
      </c>
      <c r="T1765" s="22">
        <f>IF(OR($R1765="",$S1765=""),"",$R1765*$S1765)</f>
        <v/>
      </c>
      <c r="U1765" s="20" t="n"/>
      <c r="V1765" s="20" t="n"/>
      <c r="W1765" s="20" t="n"/>
      <c r="X1765">
        <f>IF($A1765="","",$A1765&amp;"|"&amp;$C1765&amp;"|"&amp;$I1765)</f>
        <v/>
      </c>
      <c r="Y1765">
        <f>IF(AND($A1765=RELATORIO_MEDICAO!$C$5,$C1765=RELATORIO_MEDICAO!$F$5,$A1765&lt;&gt;""),COUNTIFS($A$3:$A1765,RELATORIO_MEDICAO!$C$5,$C$3:$C1765,RELATORIO_MEDICAO!$F$5),"")</f>
        <v/>
      </c>
      <c r="Z1765">
        <f>IF(OR($A1765="",PESQUISA!$C$4=""),0,IF(OR(ISNUMBER(SEARCH(PESQUISA!$C$4,$G1765)),ISNUMBER(SEARCH(PESQUISA!$C$4,$K1765)),ISNUMBER(SEARCH(PESQUISA!$C$4,$L1765))),1,0))</f>
        <v/>
      </c>
      <c r="AA1765">
        <f>IF($Z1765=1,SUM($Z$3:$Z1765),"")</f>
        <v/>
      </c>
      <c r="AB1765">
        <f>IF(OR($A1765="",PESQUISA!$C$50=""),0,IF(ISNUMBER(SEARCH(PESQUISA!$C$50,$I1765)),1,0))</f>
        <v/>
      </c>
      <c r="AC1765">
        <f>IF($AB1765=1,SUM($AB$3:$AB1765),"")</f>
        <v/>
      </c>
    </row>
    <row r="1766">
      <c r="A1766" s="20" t="n"/>
      <c r="B1766" s="20" t="n"/>
      <c r="C1766" s="20" t="n"/>
      <c r="D1766" s="20" t="n"/>
      <c r="E1766" s="20" t="n"/>
      <c r="F1766" s="20" t="n"/>
      <c r="G1766" s="20" t="n"/>
      <c r="H1766" s="20" t="n"/>
      <c r="I1766" s="20" t="n"/>
      <c r="J1766" s="20">
        <f>IFERROR(INDEX(CONFIGURACOES!$G$37:$G$300,MATCH($I1766,CONFIGURACOES!$B$37:$B$300,0)),"")</f>
        <v/>
      </c>
      <c r="K1766" s="20">
        <f>IFERROR(INDEX(CONFIGURACOES!$H$37:$H$300,MATCH($I1766,CONFIGURACOES!$B$37:$B$300,0)),"")</f>
        <v/>
      </c>
      <c r="L1766" s="20" t="n"/>
      <c r="M1766" s="20">
        <f>IFERROR(INDEX(CONFIGURACOES!$I$37:$I$300,MATCH($I1766,CONFIGURACOES!$B$37:$B$300,0)),"")</f>
        <v/>
      </c>
      <c r="N1766" s="21" t="n"/>
      <c r="O1766" s="21" t="n"/>
      <c r="P1766" s="21" t="n"/>
      <c r="Q1766" s="21" t="n"/>
      <c r="R1766" s="21">
        <f>IF($N1766="","",$N1766*IF($Q1766="",1,$Q1766)*IF($P1766="",1,$P1766)*IF($O1766="",1,$O1766))</f>
        <v/>
      </c>
      <c r="S1766" s="22">
        <f>IFERROR(INDEX(CONFIGURACOES!$J$37:$J$300,MATCH($I1766,CONFIGURACOES!$B$37:$B$300,0)),"")</f>
        <v/>
      </c>
      <c r="T1766" s="22">
        <f>IF(OR($R1766="",$S1766=""),"",$R1766*$S1766)</f>
        <v/>
      </c>
      <c r="U1766" s="20" t="n"/>
      <c r="V1766" s="20" t="n"/>
      <c r="W1766" s="20" t="n"/>
      <c r="X1766">
        <f>IF($A1766="","",$A1766&amp;"|"&amp;$C1766&amp;"|"&amp;$I1766)</f>
        <v/>
      </c>
      <c r="Y1766">
        <f>IF(AND($A1766=RELATORIO_MEDICAO!$C$5,$C1766=RELATORIO_MEDICAO!$F$5,$A1766&lt;&gt;""),COUNTIFS($A$3:$A1766,RELATORIO_MEDICAO!$C$5,$C$3:$C1766,RELATORIO_MEDICAO!$F$5),"")</f>
        <v/>
      </c>
      <c r="Z1766">
        <f>IF(OR($A1766="",PESQUISA!$C$4=""),0,IF(OR(ISNUMBER(SEARCH(PESQUISA!$C$4,$G1766)),ISNUMBER(SEARCH(PESQUISA!$C$4,$K1766)),ISNUMBER(SEARCH(PESQUISA!$C$4,$L1766))),1,0))</f>
        <v/>
      </c>
      <c r="AA1766">
        <f>IF($Z1766=1,SUM($Z$3:$Z1766),"")</f>
        <v/>
      </c>
      <c r="AB1766">
        <f>IF(OR($A1766="",PESQUISA!$C$50=""),0,IF(ISNUMBER(SEARCH(PESQUISA!$C$50,$I1766)),1,0))</f>
        <v/>
      </c>
      <c r="AC1766">
        <f>IF($AB1766=1,SUM($AB$3:$AB1766),"")</f>
        <v/>
      </c>
    </row>
    <row r="1767">
      <c r="A1767" s="20" t="n"/>
      <c r="B1767" s="20" t="n"/>
      <c r="C1767" s="20" t="n"/>
      <c r="D1767" s="20" t="n"/>
      <c r="E1767" s="20" t="n"/>
      <c r="F1767" s="20" t="n"/>
      <c r="G1767" s="20" t="n"/>
      <c r="H1767" s="20" t="n"/>
      <c r="I1767" s="20" t="n"/>
      <c r="J1767" s="20">
        <f>IFERROR(INDEX(CONFIGURACOES!$G$37:$G$300,MATCH($I1767,CONFIGURACOES!$B$37:$B$300,0)),"")</f>
        <v/>
      </c>
      <c r="K1767" s="20">
        <f>IFERROR(INDEX(CONFIGURACOES!$H$37:$H$300,MATCH($I1767,CONFIGURACOES!$B$37:$B$300,0)),"")</f>
        <v/>
      </c>
      <c r="L1767" s="20" t="n"/>
      <c r="M1767" s="20">
        <f>IFERROR(INDEX(CONFIGURACOES!$I$37:$I$300,MATCH($I1767,CONFIGURACOES!$B$37:$B$300,0)),"")</f>
        <v/>
      </c>
      <c r="N1767" s="21" t="n"/>
      <c r="O1767" s="21" t="n"/>
      <c r="P1767" s="21" t="n"/>
      <c r="Q1767" s="21" t="n"/>
      <c r="R1767" s="21">
        <f>IF($N1767="","",$N1767*IF($Q1767="",1,$Q1767)*IF($P1767="",1,$P1767)*IF($O1767="",1,$O1767))</f>
        <v/>
      </c>
      <c r="S1767" s="22">
        <f>IFERROR(INDEX(CONFIGURACOES!$J$37:$J$300,MATCH($I1767,CONFIGURACOES!$B$37:$B$300,0)),"")</f>
        <v/>
      </c>
      <c r="T1767" s="22">
        <f>IF(OR($R1767="",$S1767=""),"",$R1767*$S1767)</f>
        <v/>
      </c>
      <c r="U1767" s="20" t="n"/>
      <c r="V1767" s="20" t="n"/>
      <c r="W1767" s="20" t="n"/>
      <c r="X1767">
        <f>IF($A1767="","",$A1767&amp;"|"&amp;$C1767&amp;"|"&amp;$I1767)</f>
        <v/>
      </c>
      <c r="Y1767">
        <f>IF(AND($A1767=RELATORIO_MEDICAO!$C$5,$C1767=RELATORIO_MEDICAO!$F$5,$A1767&lt;&gt;""),COUNTIFS($A$3:$A1767,RELATORIO_MEDICAO!$C$5,$C$3:$C1767,RELATORIO_MEDICAO!$F$5),"")</f>
        <v/>
      </c>
      <c r="Z1767">
        <f>IF(OR($A1767="",PESQUISA!$C$4=""),0,IF(OR(ISNUMBER(SEARCH(PESQUISA!$C$4,$G1767)),ISNUMBER(SEARCH(PESQUISA!$C$4,$K1767)),ISNUMBER(SEARCH(PESQUISA!$C$4,$L1767))),1,0))</f>
        <v/>
      </c>
      <c r="AA1767">
        <f>IF($Z1767=1,SUM($Z$3:$Z1767),"")</f>
        <v/>
      </c>
      <c r="AB1767">
        <f>IF(OR($A1767="",PESQUISA!$C$50=""),0,IF(ISNUMBER(SEARCH(PESQUISA!$C$50,$I1767)),1,0))</f>
        <v/>
      </c>
      <c r="AC1767">
        <f>IF($AB1767=1,SUM($AB$3:$AB1767),"")</f>
        <v/>
      </c>
    </row>
    <row r="1768">
      <c r="A1768" s="20" t="n"/>
      <c r="B1768" s="20" t="n"/>
      <c r="C1768" s="20" t="n"/>
      <c r="D1768" s="20" t="n"/>
      <c r="E1768" s="20" t="n"/>
      <c r="F1768" s="20" t="n"/>
      <c r="G1768" s="20" t="n"/>
      <c r="H1768" s="20" t="n"/>
      <c r="I1768" s="20" t="n"/>
      <c r="J1768" s="20">
        <f>IFERROR(INDEX(CONFIGURACOES!$G$37:$G$300,MATCH($I1768,CONFIGURACOES!$B$37:$B$300,0)),"")</f>
        <v/>
      </c>
      <c r="K1768" s="20">
        <f>IFERROR(INDEX(CONFIGURACOES!$H$37:$H$300,MATCH($I1768,CONFIGURACOES!$B$37:$B$300,0)),"")</f>
        <v/>
      </c>
      <c r="L1768" s="20" t="n"/>
      <c r="M1768" s="20">
        <f>IFERROR(INDEX(CONFIGURACOES!$I$37:$I$300,MATCH($I1768,CONFIGURACOES!$B$37:$B$300,0)),"")</f>
        <v/>
      </c>
      <c r="N1768" s="21" t="n"/>
      <c r="O1768" s="21" t="n"/>
      <c r="P1768" s="21" t="n"/>
      <c r="Q1768" s="21" t="n"/>
      <c r="R1768" s="21">
        <f>IF($N1768="","",$N1768*IF($Q1768="",1,$Q1768)*IF($P1768="",1,$P1768)*IF($O1768="",1,$O1768))</f>
        <v/>
      </c>
      <c r="S1768" s="22">
        <f>IFERROR(INDEX(CONFIGURACOES!$J$37:$J$300,MATCH($I1768,CONFIGURACOES!$B$37:$B$300,0)),"")</f>
        <v/>
      </c>
      <c r="T1768" s="22">
        <f>IF(OR($R1768="",$S1768=""),"",$R1768*$S1768)</f>
        <v/>
      </c>
      <c r="U1768" s="20" t="n"/>
      <c r="V1768" s="20" t="n"/>
      <c r="W1768" s="20" t="n"/>
      <c r="X1768">
        <f>IF($A1768="","",$A1768&amp;"|"&amp;$C1768&amp;"|"&amp;$I1768)</f>
        <v/>
      </c>
      <c r="Y1768">
        <f>IF(AND($A1768=RELATORIO_MEDICAO!$C$5,$C1768=RELATORIO_MEDICAO!$F$5,$A1768&lt;&gt;""),COUNTIFS($A$3:$A1768,RELATORIO_MEDICAO!$C$5,$C$3:$C1768,RELATORIO_MEDICAO!$F$5),"")</f>
        <v/>
      </c>
      <c r="Z1768">
        <f>IF(OR($A1768="",PESQUISA!$C$4=""),0,IF(OR(ISNUMBER(SEARCH(PESQUISA!$C$4,$G1768)),ISNUMBER(SEARCH(PESQUISA!$C$4,$K1768)),ISNUMBER(SEARCH(PESQUISA!$C$4,$L1768))),1,0))</f>
        <v/>
      </c>
      <c r="AA1768">
        <f>IF($Z1768=1,SUM($Z$3:$Z1768),"")</f>
        <v/>
      </c>
      <c r="AB1768">
        <f>IF(OR($A1768="",PESQUISA!$C$50=""),0,IF(ISNUMBER(SEARCH(PESQUISA!$C$50,$I1768)),1,0))</f>
        <v/>
      </c>
      <c r="AC1768">
        <f>IF($AB1768=1,SUM($AB$3:$AB1768),"")</f>
        <v/>
      </c>
    </row>
    <row r="1769">
      <c r="A1769" s="20" t="n"/>
      <c r="B1769" s="20" t="n"/>
      <c r="C1769" s="20" t="n"/>
      <c r="D1769" s="20" t="n"/>
      <c r="E1769" s="20" t="n"/>
      <c r="F1769" s="20" t="n"/>
      <c r="G1769" s="20" t="n"/>
      <c r="H1769" s="20" t="n"/>
      <c r="I1769" s="20" t="n"/>
      <c r="J1769" s="20">
        <f>IFERROR(INDEX(CONFIGURACOES!$G$37:$G$300,MATCH($I1769,CONFIGURACOES!$B$37:$B$300,0)),"")</f>
        <v/>
      </c>
      <c r="K1769" s="20">
        <f>IFERROR(INDEX(CONFIGURACOES!$H$37:$H$300,MATCH($I1769,CONFIGURACOES!$B$37:$B$300,0)),"")</f>
        <v/>
      </c>
      <c r="L1769" s="20" t="n"/>
      <c r="M1769" s="20">
        <f>IFERROR(INDEX(CONFIGURACOES!$I$37:$I$300,MATCH($I1769,CONFIGURACOES!$B$37:$B$300,0)),"")</f>
        <v/>
      </c>
      <c r="N1769" s="21" t="n"/>
      <c r="O1769" s="21" t="n"/>
      <c r="P1769" s="21" t="n"/>
      <c r="Q1769" s="21" t="n"/>
      <c r="R1769" s="21">
        <f>IF($N1769="","",$N1769*IF($Q1769="",1,$Q1769)*IF($P1769="",1,$P1769)*IF($O1769="",1,$O1769))</f>
        <v/>
      </c>
      <c r="S1769" s="22">
        <f>IFERROR(INDEX(CONFIGURACOES!$J$37:$J$300,MATCH($I1769,CONFIGURACOES!$B$37:$B$300,0)),"")</f>
        <v/>
      </c>
      <c r="T1769" s="22">
        <f>IF(OR($R1769="",$S1769=""),"",$R1769*$S1769)</f>
        <v/>
      </c>
      <c r="U1769" s="20" t="n"/>
      <c r="V1769" s="20" t="n"/>
      <c r="W1769" s="20" t="n"/>
      <c r="X1769">
        <f>IF($A1769="","",$A1769&amp;"|"&amp;$C1769&amp;"|"&amp;$I1769)</f>
        <v/>
      </c>
      <c r="Y1769">
        <f>IF(AND($A1769=RELATORIO_MEDICAO!$C$5,$C1769=RELATORIO_MEDICAO!$F$5,$A1769&lt;&gt;""),COUNTIFS($A$3:$A1769,RELATORIO_MEDICAO!$C$5,$C$3:$C1769,RELATORIO_MEDICAO!$F$5),"")</f>
        <v/>
      </c>
      <c r="Z1769">
        <f>IF(OR($A1769="",PESQUISA!$C$4=""),0,IF(OR(ISNUMBER(SEARCH(PESQUISA!$C$4,$G1769)),ISNUMBER(SEARCH(PESQUISA!$C$4,$K1769)),ISNUMBER(SEARCH(PESQUISA!$C$4,$L1769))),1,0))</f>
        <v/>
      </c>
      <c r="AA1769">
        <f>IF($Z1769=1,SUM($Z$3:$Z1769),"")</f>
        <v/>
      </c>
      <c r="AB1769">
        <f>IF(OR($A1769="",PESQUISA!$C$50=""),0,IF(ISNUMBER(SEARCH(PESQUISA!$C$50,$I1769)),1,0))</f>
        <v/>
      </c>
      <c r="AC1769">
        <f>IF($AB1769=1,SUM($AB$3:$AB1769),"")</f>
        <v/>
      </c>
    </row>
    <row r="1770">
      <c r="A1770" s="20" t="n"/>
      <c r="B1770" s="20" t="n"/>
      <c r="C1770" s="20" t="n"/>
      <c r="D1770" s="20" t="n"/>
      <c r="E1770" s="20" t="n"/>
      <c r="F1770" s="20" t="n"/>
      <c r="G1770" s="20" t="n"/>
      <c r="H1770" s="20" t="n"/>
      <c r="I1770" s="20" t="n"/>
      <c r="J1770" s="20">
        <f>IFERROR(INDEX(CONFIGURACOES!$G$37:$G$300,MATCH($I1770,CONFIGURACOES!$B$37:$B$300,0)),"")</f>
        <v/>
      </c>
      <c r="K1770" s="20">
        <f>IFERROR(INDEX(CONFIGURACOES!$H$37:$H$300,MATCH($I1770,CONFIGURACOES!$B$37:$B$300,0)),"")</f>
        <v/>
      </c>
      <c r="L1770" s="20" t="n"/>
      <c r="M1770" s="20">
        <f>IFERROR(INDEX(CONFIGURACOES!$I$37:$I$300,MATCH($I1770,CONFIGURACOES!$B$37:$B$300,0)),"")</f>
        <v/>
      </c>
      <c r="N1770" s="21" t="n"/>
      <c r="O1770" s="21" t="n"/>
      <c r="P1770" s="21" t="n"/>
      <c r="Q1770" s="21" t="n"/>
      <c r="R1770" s="21">
        <f>IF($N1770="","",$N1770*IF($Q1770="",1,$Q1770)*IF($P1770="",1,$P1770)*IF($O1770="",1,$O1770))</f>
        <v/>
      </c>
      <c r="S1770" s="22">
        <f>IFERROR(INDEX(CONFIGURACOES!$J$37:$J$300,MATCH($I1770,CONFIGURACOES!$B$37:$B$300,0)),"")</f>
        <v/>
      </c>
      <c r="T1770" s="22">
        <f>IF(OR($R1770="",$S1770=""),"",$R1770*$S1770)</f>
        <v/>
      </c>
      <c r="U1770" s="20" t="n"/>
      <c r="V1770" s="20" t="n"/>
      <c r="W1770" s="20" t="n"/>
      <c r="X1770">
        <f>IF($A1770="","",$A1770&amp;"|"&amp;$C1770&amp;"|"&amp;$I1770)</f>
        <v/>
      </c>
      <c r="Y1770">
        <f>IF(AND($A1770=RELATORIO_MEDICAO!$C$5,$C1770=RELATORIO_MEDICAO!$F$5,$A1770&lt;&gt;""),COUNTIFS($A$3:$A1770,RELATORIO_MEDICAO!$C$5,$C$3:$C1770,RELATORIO_MEDICAO!$F$5),"")</f>
        <v/>
      </c>
      <c r="Z1770">
        <f>IF(OR($A1770="",PESQUISA!$C$4=""),0,IF(OR(ISNUMBER(SEARCH(PESQUISA!$C$4,$G1770)),ISNUMBER(SEARCH(PESQUISA!$C$4,$K1770)),ISNUMBER(SEARCH(PESQUISA!$C$4,$L1770))),1,0))</f>
        <v/>
      </c>
      <c r="AA1770">
        <f>IF($Z1770=1,SUM($Z$3:$Z1770),"")</f>
        <v/>
      </c>
      <c r="AB1770">
        <f>IF(OR($A1770="",PESQUISA!$C$50=""),0,IF(ISNUMBER(SEARCH(PESQUISA!$C$50,$I1770)),1,0))</f>
        <v/>
      </c>
      <c r="AC1770">
        <f>IF($AB1770=1,SUM($AB$3:$AB1770),"")</f>
        <v/>
      </c>
    </row>
    <row r="1771">
      <c r="A1771" s="20" t="n"/>
      <c r="B1771" s="20" t="n"/>
      <c r="C1771" s="20" t="n"/>
      <c r="D1771" s="20" t="n"/>
      <c r="E1771" s="20" t="n"/>
      <c r="F1771" s="20" t="n"/>
      <c r="G1771" s="20" t="n"/>
      <c r="H1771" s="20" t="n"/>
      <c r="I1771" s="20" t="n"/>
      <c r="J1771" s="20">
        <f>IFERROR(INDEX(CONFIGURACOES!$G$37:$G$300,MATCH($I1771,CONFIGURACOES!$B$37:$B$300,0)),"")</f>
        <v/>
      </c>
      <c r="K1771" s="20">
        <f>IFERROR(INDEX(CONFIGURACOES!$H$37:$H$300,MATCH($I1771,CONFIGURACOES!$B$37:$B$300,0)),"")</f>
        <v/>
      </c>
      <c r="L1771" s="20" t="n"/>
      <c r="M1771" s="20">
        <f>IFERROR(INDEX(CONFIGURACOES!$I$37:$I$300,MATCH($I1771,CONFIGURACOES!$B$37:$B$300,0)),"")</f>
        <v/>
      </c>
      <c r="N1771" s="21" t="n"/>
      <c r="O1771" s="21" t="n"/>
      <c r="P1771" s="21" t="n"/>
      <c r="Q1771" s="21" t="n"/>
      <c r="R1771" s="21">
        <f>IF($N1771="","",$N1771*IF($Q1771="",1,$Q1771)*IF($P1771="",1,$P1771)*IF($O1771="",1,$O1771))</f>
        <v/>
      </c>
      <c r="S1771" s="22">
        <f>IFERROR(INDEX(CONFIGURACOES!$J$37:$J$300,MATCH($I1771,CONFIGURACOES!$B$37:$B$300,0)),"")</f>
        <v/>
      </c>
      <c r="T1771" s="22">
        <f>IF(OR($R1771="",$S1771=""),"",$R1771*$S1771)</f>
        <v/>
      </c>
      <c r="U1771" s="20" t="n"/>
      <c r="V1771" s="20" t="n"/>
      <c r="W1771" s="20" t="n"/>
      <c r="X1771">
        <f>IF($A1771="","",$A1771&amp;"|"&amp;$C1771&amp;"|"&amp;$I1771)</f>
        <v/>
      </c>
      <c r="Y1771">
        <f>IF(AND($A1771=RELATORIO_MEDICAO!$C$5,$C1771=RELATORIO_MEDICAO!$F$5,$A1771&lt;&gt;""),COUNTIFS($A$3:$A1771,RELATORIO_MEDICAO!$C$5,$C$3:$C1771,RELATORIO_MEDICAO!$F$5),"")</f>
        <v/>
      </c>
      <c r="Z1771">
        <f>IF(OR($A1771="",PESQUISA!$C$4=""),0,IF(OR(ISNUMBER(SEARCH(PESQUISA!$C$4,$G1771)),ISNUMBER(SEARCH(PESQUISA!$C$4,$K1771)),ISNUMBER(SEARCH(PESQUISA!$C$4,$L1771))),1,0))</f>
        <v/>
      </c>
      <c r="AA1771">
        <f>IF($Z1771=1,SUM($Z$3:$Z1771),"")</f>
        <v/>
      </c>
      <c r="AB1771">
        <f>IF(OR($A1771="",PESQUISA!$C$50=""),0,IF(ISNUMBER(SEARCH(PESQUISA!$C$50,$I1771)),1,0))</f>
        <v/>
      </c>
      <c r="AC1771">
        <f>IF($AB1771=1,SUM($AB$3:$AB1771),"")</f>
        <v/>
      </c>
    </row>
    <row r="1772">
      <c r="A1772" s="20" t="n"/>
      <c r="B1772" s="20" t="n"/>
      <c r="C1772" s="20" t="n"/>
      <c r="D1772" s="20" t="n"/>
      <c r="E1772" s="20" t="n"/>
      <c r="F1772" s="20" t="n"/>
      <c r="G1772" s="20" t="n"/>
      <c r="H1772" s="20" t="n"/>
      <c r="I1772" s="20" t="n"/>
      <c r="J1772" s="20">
        <f>IFERROR(INDEX(CONFIGURACOES!$G$37:$G$300,MATCH($I1772,CONFIGURACOES!$B$37:$B$300,0)),"")</f>
        <v/>
      </c>
      <c r="K1772" s="20">
        <f>IFERROR(INDEX(CONFIGURACOES!$H$37:$H$300,MATCH($I1772,CONFIGURACOES!$B$37:$B$300,0)),"")</f>
        <v/>
      </c>
      <c r="L1772" s="20" t="n"/>
      <c r="M1772" s="20">
        <f>IFERROR(INDEX(CONFIGURACOES!$I$37:$I$300,MATCH($I1772,CONFIGURACOES!$B$37:$B$300,0)),"")</f>
        <v/>
      </c>
      <c r="N1772" s="21" t="n"/>
      <c r="O1772" s="21" t="n"/>
      <c r="P1772" s="21" t="n"/>
      <c r="Q1772" s="21" t="n"/>
      <c r="R1772" s="21">
        <f>IF($N1772="","",$N1772*IF($Q1772="",1,$Q1772)*IF($P1772="",1,$P1772)*IF($O1772="",1,$O1772))</f>
        <v/>
      </c>
      <c r="S1772" s="22">
        <f>IFERROR(INDEX(CONFIGURACOES!$J$37:$J$300,MATCH($I1772,CONFIGURACOES!$B$37:$B$300,0)),"")</f>
        <v/>
      </c>
      <c r="T1772" s="22">
        <f>IF(OR($R1772="",$S1772=""),"",$R1772*$S1772)</f>
        <v/>
      </c>
      <c r="U1772" s="20" t="n"/>
      <c r="V1772" s="20" t="n"/>
      <c r="W1772" s="20" t="n"/>
      <c r="X1772">
        <f>IF($A1772="","",$A1772&amp;"|"&amp;$C1772&amp;"|"&amp;$I1772)</f>
        <v/>
      </c>
      <c r="Y1772">
        <f>IF(AND($A1772=RELATORIO_MEDICAO!$C$5,$C1772=RELATORIO_MEDICAO!$F$5,$A1772&lt;&gt;""),COUNTIFS($A$3:$A1772,RELATORIO_MEDICAO!$C$5,$C$3:$C1772,RELATORIO_MEDICAO!$F$5),"")</f>
        <v/>
      </c>
      <c r="Z1772">
        <f>IF(OR($A1772="",PESQUISA!$C$4=""),0,IF(OR(ISNUMBER(SEARCH(PESQUISA!$C$4,$G1772)),ISNUMBER(SEARCH(PESQUISA!$C$4,$K1772)),ISNUMBER(SEARCH(PESQUISA!$C$4,$L1772))),1,0))</f>
        <v/>
      </c>
      <c r="AA1772">
        <f>IF($Z1772=1,SUM($Z$3:$Z1772),"")</f>
        <v/>
      </c>
      <c r="AB1772">
        <f>IF(OR($A1772="",PESQUISA!$C$50=""),0,IF(ISNUMBER(SEARCH(PESQUISA!$C$50,$I1772)),1,0))</f>
        <v/>
      </c>
      <c r="AC1772">
        <f>IF($AB1772=1,SUM($AB$3:$AB1772),"")</f>
        <v/>
      </c>
    </row>
    <row r="1773">
      <c r="A1773" s="20" t="n"/>
      <c r="B1773" s="20" t="n"/>
      <c r="C1773" s="20" t="n"/>
      <c r="D1773" s="20" t="n"/>
      <c r="E1773" s="20" t="n"/>
      <c r="F1773" s="20" t="n"/>
      <c r="G1773" s="20" t="n"/>
      <c r="H1773" s="20" t="n"/>
      <c r="I1773" s="20" t="n"/>
      <c r="J1773" s="20">
        <f>IFERROR(INDEX(CONFIGURACOES!$G$37:$G$300,MATCH($I1773,CONFIGURACOES!$B$37:$B$300,0)),"")</f>
        <v/>
      </c>
      <c r="K1773" s="20">
        <f>IFERROR(INDEX(CONFIGURACOES!$H$37:$H$300,MATCH($I1773,CONFIGURACOES!$B$37:$B$300,0)),"")</f>
        <v/>
      </c>
      <c r="L1773" s="20" t="n"/>
      <c r="M1773" s="20">
        <f>IFERROR(INDEX(CONFIGURACOES!$I$37:$I$300,MATCH($I1773,CONFIGURACOES!$B$37:$B$300,0)),"")</f>
        <v/>
      </c>
      <c r="N1773" s="21" t="n"/>
      <c r="O1773" s="21" t="n"/>
      <c r="P1773" s="21" t="n"/>
      <c r="Q1773" s="21" t="n"/>
      <c r="R1773" s="21">
        <f>IF($N1773="","",$N1773*IF($Q1773="",1,$Q1773)*IF($P1773="",1,$P1773)*IF($O1773="",1,$O1773))</f>
        <v/>
      </c>
      <c r="S1773" s="22">
        <f>IFERROR(INDEX(CONFIGURACOES!$J$37:$J$300,MATCH($I1773,CONFIGURACOES!$B$37:$B$300,0)),"")</f>
        <v/>
      </c>
      <c r="T1773" s="22">
        <f>IF(OR($R1773="",$S1773=""),"",$R1773*$S1773)</f>
        <v/>
      </c>
      <c r="U1773" s="20" t="n"/>
      <c r="V1773" s="20" t="n"/>
      <c r="W1773" s="20" t="n"/>
      <c r="X1773">
        <f>IF($A1773="","",$A1773&amp;"|"&amp;$C1773&amp;"|"&amp;$I1773)</f>
        <v/>
      </c>
      <c r="Y1773">
        <f>IF(AND($A1773=RELATORIO_MEDICAO!$C$5,$C1773=RELATORIO_MEDICAO!$F$5,$A1773&lt;&gt;""),COUNTIFS($A$3:$A1773,RELATORIO_MEDICAO!$C$5,$C$3:$C1773,RELATORIO_MEDICAO!$F$5),"")</f>
        <v/>
      </c>
      <c r="Z1773">
        <f>IF(OR($A1773="",PESQUISA!$C$4=""),0,IF(OR(ISNUMBER(SEARCH(PESQUISA!$C$4,$G1773)),ISNUMBER(SEARCH(PESQUISA!$C$4,$K1773)),ISNUMBER(SEARCH(PESQUISA!$C$4,$L1773))),1,0))</f>
        <v/>
      </c>
      <c r="AA1773">
        <f>IF($Z1773=1,SUM($Z$3:$Z1773),"")</f>
        <v/>
      </c>
      <c r="AB1773">
        <f>IF(OR($A1773="",PESQUISA!$C$50=""),0,IF(ISNUMBER(SEARCH(PESQUISA!$C$50,$I1773)),1,0))</f>
        <v/>
      </c>
      <c r="AC1773">
        <f>IF($AB1773=1,SUM($AB$3:$AB1773),"")</f>
        <v/>
      </c>
    </row>
    <row r="1774">
      <c r="A1774" s="20" t="n"/>
      <c r="B1774" s="20" t="n"/>
      <c r="C1774" s="20" t="n"/>
      <c r="D1774" s="20" t="n"/>
      <c r="E1774" s="20" t="n"/>
      <c r="F1774" s="20" t="n"/>
      <c r="G1774" s="20" t="n"/>
      <c r="H1774" s="20" t="n"/>
      <c r="I1774" s="20" t="n"/>
      <c r="J1774" s="20">
        <f>IFERROR(INDEX(CONFIGURACOES!$G$37:$G$300,MATCH($I1774,CONFIGURACOES!$B$37:$B$300,0)),"")</f>
        <v/>
      </c>
      <c r="K1774" s="20">
        <f>IFERROR(INDEX(CONFIGURACOES!$H$37:$H$300,MATCH($I1774,CONFIGURACOES!$B$37:$B$300,0)),"")</f>
        <v/>
      </c>
      <c r="L1774" s="20" t="n"/>
      <c r="M1774" s="20">
        <f>IFERROR(INDEX(CONFIGURACOES!$I$37:$I$300,MATCH($I1774,CONFIGURACOES!$B$37:$B$300,0)),"")</f>
        <v/>
      </c>
      <c r="N1774" s="21" t="n"/>
      <c r="O1774" s="21" t="n"/>
      <c r="P1774" s="21" t="n"/>
      <c r="Q1774" s="21" t="n"/>
      <c r="R1774" s="21">
        <f>IF($N1774="","",$N1774*IF($Q1774="",1,$Q1774)*IF($P1774="",1,$P1774)*IF($O1774="",1,$O1774))</f>
        <v/>
      </c>
      <c r="S1774" s="22">
        <f>IFERROR(INDEX(CONFIGURACOES!$J$37:$J$300,MATCH($I1774,CONFIGURACOES!$B$37:$B$300,0)),"")</f>
        <v/>
      </c>
      <c r="T1774" s="22">
        <f>IF(OR($R1774="",$S1774=""),"",$R1774*$S1774)</f>
        <v/>
      </c>
      <c r="U1774" s="20" t="n"/>
      <c r="V1774" s="20" t="n"/>
      <c r="W1774" s="20" t="n"/>
      <c r="X1774">
        <f>IF($A1774="","",$A1774&amp;"|"&amp;$C1774&amp;"|"&amp;$I1774)</f>
        <v/>
      </c>
      <c r="Y1774">
        <f>IF(AND($A1774=RELATORIO_MEDICAO!$C$5,$C1774=RELATORIO_MEDICAO!$F$5,$A1774&lt;&gt;""),COUNTIFS($A$3:$A1774,RELATORIO_MEDICAO!$C$5,$C$3:$C1774,RELATORIO_MEDICAO!$F$5),"")</f>
        <v/>
      </c>
      <c r="Z1774">
        <f>IF(OR($A1774="",PESQUISA!$C$4=""),0,IF(OR(ISNUMBER(SEARCH(PESQUISA!$C$4,$G1774)),ISNUMBER(SEARCH(PESQUISA!$C$4,$K1774)),ISNUMBER(SEARCH(PESQUISA!$C$4,$L1774))),1,0))</f>
        <v/>
      </c>
      <c r="AA1774">
        <f>IF($Z1774=1,SUM($Z$3:$Z1774),"")</f>
        <v/>
      </c>
      <c r="AB1774">
        <f>IF(OR($A1774="",PESQUISA!$C$50=""),0,IF(ISNUMBER(SEARCH(PESQUISA!$C$50,$I1774)),1,0))</f>
        <v/>
      </c>
      <c r="AC1774">
        <f>IF($AB1774=1,SUM($AB$3:$AB1774),"")</f>
        <v/>
      </c>
    </row>
    <row r="1775">
      <c r="A1775" s="20" t="n"/>
      <c r="B1775" s="20" t="n"/>
      <c r="C1775" s="20" t="n"/>
      <c r="D1775" s="20" t="n"/>
      <c r="E1775" s="20" t="n"/>
      <c r="F1775" s="20" t="n"/>
      <c r="G1775" s="20" t="n"/>
      <c r="H1775" s="20" t="n"/>
      <c r="I1775" s="20" t="n"/>
      <c r="J1775" s="20">
        <f>IFERROR(INDEX(CONFIGURACOES!$G$37:$G$300,MATCH($I1775,CONFIGURACOES!$B$37:$B$300,0)),"")</f>
        <v/>
      </c>
      <c r="K1775" s="20">
        <f>IFERROR(INDEX(CONFIGURACOES!$H$37:$H$300,MATCH($I1775,CONFIGURACOES!$B$37:$B$300,0)),"")</f>
        <v/>
      </c>
      <c r="L1775" s="20" t="n"/>
      <c r="M1775" s="20">
        <f>IFERROR(INDEX(CONFIGURACOES!$I$37:$I$300,MATCH($I1775,CONFIGURACOES!$B$37:$B$300,0)),"")</f>
        <v/>
      </c>
      <c r="N1775" s="21" t="n"/>
      <c r="O1775" s="21" t="n"/>
      <c r="P1775" s="21" t="n"/>
      <c r="Q1775" s="21" t="n"/>
      <c r="R1775" s="21">
        <f>IF($N1775="","",$N1775*IF($Q1775="",1,$Q1775)*IF($P1775="",1,$P1775)*IF($O1775="",1,$O1775))</f>
        <v/>
      </c>
      <c r="S1775" s="22">
        <f>IFERROR(INDEX(CONFIGURACOES!$J$37:$J$300,MATCH($I1775,CONFIGURACOES!$B$37:$B$300,0)),"")</f>
        <v/>
      </c>
      <c r="T1775" s="22">
        <f>IF(OR($R1775="",$S1775=""),"",$R1775*$S1775)</f>
        <v/>
      </c>
      <c r="U1775" s="20" t="n"/>
      <c r="V1775" s="20" t="n"/>
      <c r="W1775" s="20" t="n"/>
      <c r="X1775">
        <f>IF($A1775="","",$A1775&amp;"|"&amp;$C1775&amp;"|"&amp;$I1775)</f>
        <v/>
      </c>
      <c r="Y1775">
        <f>IF(AND($A1775=RELATORIO_MEDICAO!$C$5,$C1775=RELATORIO_MEDICAO!$F$5,$A1775&lt;&gt;""),COUNTIFS($A$3:$A1775,RELATORIO_MEDICAO!$C$5,$C$3:$C1775,RELATORIO_MEDICAO!$F$5),"")</f>
        <v/>
      </c>
      <c r="Z1775">
        <f>IF(OR($A1775="",PESQUISA!$C$4=""),0,IF(OR(ISNUMBER(SEARCH(PESQUISA!$C$4,$G1775)),ISNUMBER(SEARCH(PESQUISA!$C$4,$K1775)),ISNUMBER(SEARCH(PESQUISA!$C$4,$L1775))),1,0))</f>
        <v/>
      </c>
      <c r="AA1775">
        <f>IF($Z1775=1,SUM($Z$3:$Z1775),"")</f>
        <v/>
      </c>
      <c r="AB1775">
        <f>IF(OR($A1775="",PESQUISA!$C$50=""),0,IF(ISNUMBER(SEARCH(PESQUISA!$C$50,$I1775)),1,0))</f>
        <v/>
      </c>
      <c r="AC1775">
        <f>IF($AB1775=1,SUM($AB$3:$AB1775),"")</f>
        <v/>
      </c>
    </row>
    <row r="1776">
      <c r="A1776" s="20" t="n"/>
      <c r="B1776" s="20" t="n"/>
      <c r="C1776" s="20" t="n"/>
      <c r="D1776" s="20" t="n"/>
      <c r="E1776" s="20" t="n"/>
      <c r="F1776" s="20" t="n"/>
      <c r="G1776" s="20" t="n"/>
      <c r="H1776" s="20" t="n"/>
      <c r="I1776" s="20" t="n"/>
      <c r="J1776" s="20">
        <f>IFERROR(INDEX(CONFIGURACOES!$G$37:$G$300,MATCH($I1776,CONFIGURACOES!$B$37:$B$300,0)),"")</f>
        <v/>
      </c>
      <c r="K1776" s="20">
        <f>IFERROR(INDEX(CONFIGURACOES!$H$37:$H$300,MATCH($I1776,CONFIGURACOES!$B$37:$B$300,0)),"")</f>
        <v/>
      </c>
      <c r="L1776" s="20" t="n"/>
      <c r="M1776" s="20">
        <f>IFERROR(INDEX(CONFIGURACOES!$I$37:$I$300,MATCH($I1776,CONFIGURACOES!$B$37:$B$300,0)),"")</f>
        <v/>
      </c>
      <c r="N1776" s="21" t="n"/>
      <c r="O1776" s="21" t="n"/>
      <c r="P1776" s="21" t="n"/>
      <c r="Q1776" s="21" t="n"/>
      <c r="R1776" s="21">
        <f>IF($N1776="","",$N1776*IF($Q1776="",1,$Q1776)*IF($P1776="",1,$P1776)*IF($O1776="",1,$O1776))</f>
        <v/>
      </c>
      <c r="S1776" s="22">
        <f>IFERROR(INDEX(CONFIGURACOES!$J$37:$J$300,MATCH($I1776,CONFIGURACOES!$B$37:$B$300,0)),"")</f>
        <v/>
      </c>
      <c r="T1776" s="22">
        <f>IF(OR($R1776="",$S1776=""),"",$R1776*$S1776)</f>
        <v/>
      </c>
      <c r="U1776" s="20" t="n"/>
      <c r="V1776" s="20" t="n"/>
      <c r="W1776" s="20" t="n"/>
      <c r="X1776">
        <f>IF($A1776="","",$A1776&amp;"|"&amp;$C1776&amp;"|"&amp;$I1776)</f>
        <v/>
      </c>
      <c r="Y1776">
        <f>IF(AND($A1776=RELATORIO_MEDICAO!$C$5,$C1776=RELATORIO_MEDICAO!$F$5,$A1776&lt;&gt;""),COUNTIFS($A$3:$A1776,RELATORIO_MEDICAO!$C$5,$C$3:$C1776,RELATORIO_MEDICAO!$F$5),"")</f>
        <v/>
      </c>
      <c r="Z1776">
        <f>IF(OR($A1776="",PESQUISA!$C$4=""),0,IF(OR(ISNUMBER(SEARCH(PESQUISA!$C$4,$G1776)),ISNUMBER(SEARCH(PESQUISA!$C$4,$K1776)),ISNUMBER(SEARCH(PESQUISA!$C$4,$L1776))),1,0))</f>
        <v/>
      </c>
      <c r="AA1776">
        <f>IF($Z1776=1,SUM($Z$3:$Z1776),"")</f>
        <v/>
      </c>
      <c r="AB1776">
        <f>IF(OR($A1776="",PESQUISA!$C$50=""),0,IF(ISNUMBER(SEARCH(PESQUISA!$C$50,$I1776)),1,0))</f>
        <v/>
      </c>
      <c r="AC1776">
        <f>IF($AB1776=1,SUM($AB$3:$AB1776),"")</f>
        <v/>
      </c>
    </row>
    <row r="1777">
      <c r="A1777" s="20" t="n"/>
      <c r="B1777" s="20" t="n"/>
      <c r="C1777" s="20" t="n"/>
      <c r="D1777" s="20" t="n"/>
      <c r="E1777" s="20" t="n"/>
      <c r="F1777" s="20" t="n"/>
      <c r="G1777" s="20" t="n"/>
      <c r="H1777" s="20" t="n"/>
      <c r="I1777" s="20" t="n"/>
      <c r="J1777" s="20">
        <f>IFERROR(INDEX(CONFIGURACOES!$G$37:$G$300,MATCH($I1777,CONFIGURACOES!$B$37:$B$300,0)),"")</f>
        <v/>
      </c>
      <c r="K1777" s="20">
        <f>IFERROR(INDEX(CONFIGURACOES!$H$37:$H$300,MATCH($I1777,CONFIGURACOES!$B$37:$B$300,0)),"")</f>
        <v/>
      </c>
      <c r="L1777" s="20" t="n"/>
      <c r="M1777" s="20">
        <f>IFERROR(INDEX(CONFIGURACOES!$I$37:$I$300,MATCH($I1777,CONFIGURACOES!$B$37:$B$300,0)),"")</f>
        <v/>
      </c>
      <c r="N1777" s="21" t="n"/>
      <c r="O1777" s="21" t="n"/>
      <c r="P1777" s="21" t="n"/>
      <c r="Q1777" s="21" t="n"/>
      <c r="R1777" s="21">
        <f>IF($N1777="","",$N1777*IF($Q1777="",1,$Q1777)*IF($P1777="",1,$P1777)*IF($O1777="",1,$O1777))</f>
        <v/>
      </c>
      <c r="S1777" s="22">
        <f>IFERROR(INDEX(CONFIGURACOES!$J$37:$J$300,MATCH($I1777,CONFIGURACOES!$B$37:$B$300,0)),"")</f>
        <v/>
      </c>
      <c r="T1777" s="22">
        <f>IF(OR($R1777="",$S1777=""),"",$R1777*$S1777)</f>
        <v/>
      </c>
      <c r="U1777" s="20" t="n"/>
      <c r="V1777" s="20" t="n"/>
      <c r="W1777" s="20" t="n"/>
      <c r="X1777">
        <f>IF($A1777="","",$A1777&amp;"|"&amp;$C1777&amp;"|"&amp;$I1777)</f>
        <v/>
      </c>
      <c r="Y1777">
        <f>IF(AND($A1777=RELATORIO_MEDICAO!$C$5,$C1777=RELATORIO_MEDICAO!$F$5,$A1777&lt;&gt;""),COUNTIFS($A$3:$A1777,RELATORIO_MEDICAO!$C$5,$C$3:$C1777,RELATORIO_MEDICAO!$F$5),"")</f>
        <v/>
      </c>
      <c r="Z1777">
        <f>IF(OR($A1777="",PESQUISA!$C$4=""),0,IF(OR(ISNUMBER(SEARCH(PESQUISA!$C$4,$G1777)),ISNUMBER(SEARCH(PESQUISA!$C$4,$K1777)),ISNUMBER(SEARCH(PESQUISA!$C$4,$L1777))),1,0))</f>
        <v/>
      </c>
      <c r="AA1777">
        <f>IF($Z1777=1,SUM($Z$3:$Z1777),"")</f>
        <v/>
      </c>
      <c r="AB1777">
        <f>IF(OR($A1777="",PESQUISA!$C$50=""),0,IF(ISNUMBER(SEARCH(PESQUISA!$C$50,$I1777)),1,0))</f>
        <v/>
      </c>
      <c r="AC1777">
        <f>IF($AB1777=1,SUM($AB$3:$AB1777),"")</f>
        <v/>
      </c>
    </row>
    <row r="1778">
      <c r="A1778" s="20" t="n"/>
      <c r="B1778" s="20" t="n"/>
      <c r="C1778" s="20" t="n"/>
      <c r="D1778" s="20" t="n"/>
      <c r="E1778" s="20" t="n"/>
      <c r="F1778" s="20" t="n"/>
      <c r="G1778" s="20" t="n"/>
      <c r="H1778" s="20" t="n"/>
      <c r="I1778" s="20" t="n"/>
      <c r="J1778" s="20">
        <f>IFERROR(INDEX(CONFIGURACOES!$G$37:$G$300,MATCH($I1778,CONFIGURACOES!$B$37:$B$300,0)),"")</f>
        <v/>
      </c>
      <c r="K1778" s="20">
        <f>IFERROR(INDEX(CONFIGURACOES!$H$37:$H$300,MATCH($I1778,CONFIGURACOES!$B$37:$B$300,0)),"")</f>
        <v/>
      </c>
      <c r="L1778" s="20" t="n"/>
      <c r="M1778" s="20">
        <f>IFERROR(INDEX(CONFIGURACOES!$I$37:$I$300,MATCH($I1778,CONFIGURACOES!$B$37:$B$300,0)),"")</f>
        <v/>
      </c>
      <c r="N1778" s="21" t="n"/>
      <c r="O1778" s="21" t="n"/>
      <c r="P1778" s="21" t="n"/>
      <c r="Q1778" s="21" t="n"/>
      <c r="R1778" s="21">
        <f>IF($N1778="","",$N1778*IF($Q1778="",1,$Q1778)*IF($P1778="",1,$P1778)*IF($O1778="",1,$O1778))</f>
        <v/>
      </c>
      <c r="S1778" s="22">
        <f>IFERROR(INDEX(CONFIGURACOES!$J$37:$J$300,MATCH($I1778,CONFIGURACOES!$B$37:$B$300,0)),"")</f>
        <v/>
      </c>
      <c r="T1778" s="22">
        <f>IF(OR($R1778="",$S1778=""),"",$R1778*$S1778)</f>
        <v/>
      </c>
      <c r="U1778" s="20" t="n"/>
      <c r="V1778" s="20" t="n"/>
      <c r="W1778" s="20" t="n"/>
      <c r="X1778">
        <f>IF($A1778="","",$A1778&amp;"|"&amp;$C1778&amp;"|"&amp;$I1778)</f>
        <v/>
      </c>
      <c r="Y1778">
        <f>IF(AND($A1778=RELATORIO_MEDICAO!$C$5,$C1778=RELATORIO_MEDICAO!$F$5,$A1778&lt;&gt;""),COUNTIFS($A$3:$A1778,RELATORIO_MEDICAO!$C$5,$C$3:$C1778,RELATORIO_MEDICAO!$F$5),"")</f>
        <v/>
      </c>
      <c r="Z1778">
        <f>IF(OR($A1778="",PESQUISA!$C$4=""),0,IF(OR(ISNUMBER(SEARCH(PESQUISA!$C$4,$G1778)),ISNUMBER(SEARCH(PESQUISA!$C$4,$K1778)),ISNUMBER(SEARCH(PESQUISA!$C$4,$L1778))),1,0))</f>
        <v/>
      </c>
      <c r="AA1778">
        <f>IF($Z1778=1,SUM($Z$3:$Z1778),"")</f>
        <v/>
      </c>
      <c r="AB1778">
        <f>IF(OR($A1778="",PESQUISA!$C$50=""),0,IF(ISNUMBER(SEARCH(PESQUISA!$C$50,$I1778)),1,0))</f>
        <v/>
      </c>
      <c r="AC1778">
        <f>IF($AB1778=1,SUM($AB$3:$AB1778),"")</f>
        <v/>
      </c>
    </row>
    <row r="1779">
      <c r="A1779" s="20" t="n"/>
      <c r="B1779" s="20" t="n"/>
      <c r="C1779" s="20" t="n"/>
      <c r="D1779" s="20" t="n"/>
      <c r="E1779" s="20" t="n"/>
      <c r="F1779" s="20" t="n"/>
      <c r="G1779" s="20" t="n"/>
      <c r="H1779" s="20" t="n"/>
      <c r="I1779" s="20" t="n"/>
      <c r="J1779" s="20">
        <f>IFERROR(INDEX(CONFIGURACOES!$G$37:$G$300,MATCH($I1779,CONFIGURACOES!$B$37:$B$300,0)),"")</f>
        <v/>
      </c>
      <c r="K1779" s="20">
        <f>IFERROR(INDEX(CONFIGURACOES!$H$37:$H$300,MATCH($I1779,CONFIGURACOES!$B$37:$B$300,0)),"")</f>
        <v/>
      </c>
      <c r="L1779" s="20" t="n"/>
      <c r="M1779" s="20">
        <f>IFERROR(INDEX(CONFIGURACOES!$I$37:$I$300,MATCH($I1779,CONFIGURACOES!$B$37:$B$300,0)),"")</f>
        <v/>
      </c>
      <c r="N1779" s="21" t="n"/>
      <c r="O1779" s="21" t="n"/>
      <c r="P1779" s="21" t="n"/>
      <c r="Q1779" s="21" t="n"/>
      <c r="R1779" s="21">
        <f>IF($N1779="","",$N1779*IF($Q1779="",1,$Q1779)*IF($P1779="",1,$P1779)*IF($O1779="",1,$O1779))</f>
        <v/>
      </c>
      <c r="S1779" s="22">
        <f>IFERROR(INDEX(CONFIGURACOES!$J$37:$J$300,MATCH($I1779,CONFIGURACOES!$B$37:$B$300,0)),"")</f>
        <v/>
      </c>
      <c r="T1779" s="22">
        <f>IF(OR($R1779="",$S1779=""),"",$R1779*$S1779)</f>
        <v/>
      </c>
      <c r="U1779" s="20" t="n"/>
      <c r="V1779" s="20" t="n"/>
      <c r="W1779" s="20" t="n"/>
      <c r="X1779">
        <f>IF($A1779="","",$A1779&amp;"|"&amp;$C1779&amp;"|"&amp;$I1779)</f>
        <v/>
      </c>
      <c r="Y1779">
        <f>IF(AND($A1779=RELATORIO_MEDICAO!$C$5,$C1779=RELATORIO_MEDICAO!$F$5,$A1779&lt;&gt;""),COUNTIFS($A$3:$A1779,RELATORIO_MEDICAO!$C$5,$C$3:$C1779,RELATORIO_MEDICAO!$F$5),"")</f>
        <v/>
      </c>
      <c r="Z1779">
        <f>IF(OR($A1779="",PESQUISA!$C$4=""),0,IF(OR(ISNUMBER(SEARCH(PESQUISA!$C$4,$G1779)),ISNUMBER(SEARCH(PESQUISA!$C$4,$K1779)),ISNUMBER(SEARCH(PESQUISA!$C$4,$L1779))),1,0))</f>
        <v/>
      </c>
      <c r="AA1779">
        <f>IF($Z1779=1,SUM($Z$3:$Z1779),"")</f>
        <v/>
      </c>
      <c r="AB1779">
        <f>IF(OR($A1779="",PESQUISA!$C$50=""),0,IF(ISNUMBER(SEARCH(PESQUISA!$C$50,$I1779)),1,0))</f>
        <v/>
      </c>
      <c r="AC1779">
        <f>IF($AB1779=1,SUM($AB$3:$AB1779),"")</f>
        <v/>
      </c>
    </row>
    <row r="1780">
      <c r="A1780" s="20" t="n"/>
      <c r="B1780" s="20" t="n"/>
      <c r="C1780" s="20" t="n"/>
      <c r="D1780" s="20" t="n"/>
      <c r="E1780" s="20" t="n"/>
      <c r="F1780" s="20" t="n"/>
      <c r="G1780" s="20" t="n"/>
      <c r="H1780" s="20" t="n"/>
      <c r="I1780" s="20" t="n"/>
      <c r="J1780" s="20">
        <f>IFERROR(INDEX(CONFIGURACOES!$G$37:$G$300,MATCH($I1780,CONFIGURACOES!$B$37:$B$300,0)),"")</f>
        <v/>
      </c>
      <c r="K1780" s="20">
        <f>IFERROR(INDEX(CONFIGURACOES!$H$37:$H$300,MATCH($I1780,CONFIGURACOES!$B$37:$B$300,0)),"")</f>
        <v/>
      </c>
      <c r="L1780" s="20" t="n"/>
      <c r="M1780" s="20">
        <f>IFERROR(INDEX(CONFIGURACOES!$I$37:$I$300,MATCH($I1780,CONFIGURACOES!$B$37:$B$300,0)),"")</f>
        <v/>
      </c>
      <c r="N1780" s="21" t="n"/>
      <c r="O1780" s="21" t="n"/>
      <c r="P1780" s="21" t="n"/>
      <c r="Q1780" s="21" t="n"/>
      <c r="R1780" s="21">
        <f>IF($N1780="","",$N1780*IF($Q1780="",1,$Q1780)*IF($P1780="",1,$P1780)*IF($O1780="",1,$O1780))</f>
        <v/>
      </c>
      <c r="S1780" s="22">
        <f>IFERROR(INDEX(CONFIGURACOES!$J$37:$J$300,MATCH($I1780,CONFIGURACOES!$B$37:$B$300,0)),"")</f>
        <v/>
      </c>
      <c r="T1780" s="22">
        <f>IF(OR($R1780="",$S1780=""),"",$R1780*$S1780)</f>
        <v/>
      </c>
      <c r="U1780" s="20" t="n"/>
      <c r="V1780" s="20" t="n"/>
      <c r="W1780" s="20" t="n"/>
      <c r="X1780">
        <f>IF($A1780="","",$A1780&amp;"|"&amp;$C1780&amp;"|"&amp;$I1780)</f>
        <v/>
      </c>
      <c r="Y1780">
        <f>IF(AND($A1780=RELATORIO_MEDICAO!$C$5,$C1780=RELATORIO_MEDICAO!$F$5,$A1780&lt;&gt;""),COUNTIFS($A$3:$A1780,RELATORIO_MEDICAO!$C$5,$C$3:$C1780,RELATORIO_MEDICAO!$F$5),"")</f>
        <v/>
      </c>
      <c r="Z1780">
        <f>IF(OR($A1780="",PESQUISA!$C$4=""),0,IF(OR(ISNUMBER(SEARCH(PESQUISA!$C$4,$G1780)),ISNUMBER(SEARCH(PESQUISA!$C$4,$K1780)),ISNUMBER(SEARCH(PESQUISA!$C$4,$L1780))),1,0))</f>
        <v/>
      </c>
      <c r="AA1780">
        <f>IF($Z1780=1,SUM($Z$3:$Z1780),"")</f>
        <v/>
      </c>
      <c r="AB1780">
        <f>IF(OR($A1780="",PESQUISA!$C$50=""),0,IF(ISNUMBER(SEARCH(PESQUISA!$C$50,$I1780)),1,0))</f>
        <v/>
      </c>
      <c r="AC1780">
        <f>IF($AB1780=1,SUM($AB$3:$AB1780),"")</f>
        <v/>
      </c>
    </row>
    <row r="1781">
      <c r="A1781" s="20" t="n"/>
      <c r="B1781" s="20" t="n"/>
      <c r="C1781" s="20" t="n"/>
      <c r="D1781" s="20" t="n"/>
      <c r="E1781" s="20" t="n"/>
      <c r="F1781" s="20" t="n"/>
      <c r="G1781" s="20" t="n"/>
      <c r="H1781" s="20" t="n"/>
      <c r="I1781" s="20" t="n"/>
      <c r="J1781" s="20">
        <f>IFERROR(INDEX(CONFIGURACOES!$G$37:$G$300,MATCH($I1781,CONFIGURACOES!$B$37:$B$300,0)),"")</f>
        <v/>
      </c>
      <c r="K1781" s="20">
        <f>IFERROR(INDEX(CONFIGURACOES!$H$37:$H$300,MATCH($I1781,CONFIGURACOES!$B$37:$B$300,0)),"")</f>
        <v/>
      </c>
      <c r="L1781" s="20" t="n"/>
      <c r="M1781" s="20">
        <f>IFERROR(INDEX(CONFIGURACOES!$I$37:$I$300,MATCH($I1781,CONFIGURACOES!$B$37:$B$300,0)),"")</f>
        <v/>
      </c>
      <c r="N1781" s="21" t="n"/>
      <c r="O1781" s="21" t="n"/>
      <c r="P1781" s="21" t="n"/>
      <c r="Q1781" s="21" t="n"/>
      <c r="R1781" s="21">
        <f>IF($N1781="","",$N1781*IF($Q1781="",1,$Q1781)*IF($P1781="",1,$P1781)*IF($O1781="",1,$O1781))</f>
        <v/>
      </c>
      <c r="S1781" s="22">
        <f>IFERROR(INDEX(CONFIGURACOES!$J$37:$J$300,MATCH($I1781,CONFIGURACOES!$B$37:$B$300,0)),"")</f>
        <v/>
      </c>
      <c r="T1781" s="22">
        <f>IF(OR($R1781="",$S1781=""),"",$R1781*$S1781)</f>
        <v/>
      </c>
      <c r="U1781" s="20" t="n"/>
      <c r="V1781" s="20" t="n"/>
      <c r="W1781" s="20" t="n"/>
      <c r="X1781">
        <f>IF($A1781="","",$A1781&amp;"|"&amp;$C1781&amp;"|"&amp;$I1781)</f>
        <v/>
      </c>
      <c r="Y1781">
        <f>IF(AND($A1781=RELATORIO_MEDICAO!$C$5,$C1781=RELATORIO_MEDICAO!$F$5,$A1781&lt;&gt;""),COUNTIFS($A$3:$A1781,RELATORIO_MEDICAO!$C$5,$C$3:$C1781,RELATORIO_MEDICAO!$F$5),"")</f>
        <v/>
      </c>
      <c r="Z1781">
        <f>IF(OR($A1781="",PESQUISA!$C$4=""),0,IF(OR(ISNUMBER(SEARCH(PESQUISA!$C$4,$G1781)),ISNUMBER(SEARCH(PESQUISA!$C$4,$K1781)),ISNUMBER(SEARCH(PESQUISA!$C$4,$L1781))),1,0))</f>
        <v/>
      </c>
      <c r="AA1781">
        <f>IF($Z1781=1,SUM($Z$3:$Z1781),"")</f>
        <v/>
      </c>
      <c r="AB1781">
        <f>IF(OR($A1781="",PESQUISA!$C$50=""),0,IF(ISNUMBER(SEARCH(PESQUISA!$C$50,$I1781)),1,0))</f>
        <v/>
      </c>
      <c r="AC1781">
        <f>IF($AB1781=1,SUM($AB$3:$AB1781),"")</f>
        <v/>
      </c>
    </row>
    <row r="1782">
      <c r="A1782" s="20" t="n"/>
      <c r="B1782" s="20" t="n"/>
      <c r="C1782" s="20" t="n"/>
      <c r="D1782" s="20" t="n"/>
      <c r="E1782" s="20" t="n"/>
      <c r="F1782" s="20" t="n"/>
      <c r="G1782" s="20" t="n"/>
      <c r="H1782" s="20" t="n"/>
      <c r="I1782" s="20" t="n"/>
      <c r="J1782" s="20">
        <f>IFERROR(INDEX(CONFIGURACOES!$G$37:$G$300,MATCH($I1782,CONFIGURACOES!$B$37:$B$300,0)),"")</f>
        <v/>
      </c>
      <c r="K1782" s="20">
        <f>IFERROR(INDEX(CONFIGURACOES!$H$37:$H$300,MATCH($I1782,CONFIGURACOES!$B$37:$B$300,0)),"")</f>
        <v/>
      </c>
      <c r="L1782" s="20" t="n"/>
      <c r="M1782" s="20">
        <f>IFERROR(INDEX(CONFIGURACOES!$I$37:$I$300,MATCH($I1782,CONFIGURACOES!$B$37:$B$300,0)),"")</f>
        <v/>
      </c>
      <c r="N1782" s="21" t="n"/>
      <c r="O1782" s="21" t="n"/>
      <c r="P1782" s="21" t="n"/>
      <c r="Q1782" s="21" t="n"/>
      <c r="R1782" s="21">
        <f>IF($N1782="","",$N1782*IF($Q1782="",1,$Q1782)*IF($P1782="",1,$P1782)*IF($O1782="",1,$O1782))</f>
        <v/>
      </c>
      <c r="S1782" s="22">
        <f>IFERROR(INDEX(CONFIGURACOES!$J$37:$J$300,MATCH($I1782,CONFIGURACOES!$B$37:$B$300,0)),"")</f>
        <v/>
      </c>
      <c r="T1782" s="22">
        <f>IF(OR($R1782="",$S1782=""),"",$R1782*$S1782)</f>
        <v/>
      </c>
      <c r="U1782" s="20" t="n"/>
      <c r="V1782" s="20" t="n"/>
      <c r="W1782" s="20" t="n"/>
      <c r="X1782">
        <f>IF($A1782="","",$A1782&amp;"|"&amp;$C1782&amp;"|"&amp;$I1782)</f>
        <v/>
      </c>
      <c r="Y1782">
        <f>IF(AND($A1782=RELATORIO_MEDICAO!$C$5,$C1782=RELATORIO_MEDICAO!$F$5,$A1782&lt;&gt;""),COUNTIFS($A$3:$A1782,RELATORIO_MEDICAO!$C$5,$C$3:$C1782,RELATORIO_MEDICAO!$F$5),"")</f>
        <v/>
      </c>
      <c r="Z1782">
        <f>IF(OR($A1782="",PESQUISA!$C$4=""),0,IF(OR(ISNUMBER(SEARCH(PESQUISA!$C$4,$G1782)),ISNUMBER(SEARCH(PESQUISA!$C$4,$K1782)),ISNUMBER(SEARCH(PESQUISA!$C$4,$L1782))),1,0))</f>
        <v/>
      </c>
      <c r="AA1782">
        <f>IF($Z1782=1,SUM($Z$3:$Z1782),"")</f>
        <v/>
      </c>
      <c r="AB1782">
        <f>IF(OR($A1782="",PESQUISA!$C$50=""),0,IF(ISNUMBER(SEARCH(PESQUISA!$C$50,$I1782)),1,0))</f>
        <v/>
      </c>
      <c r="AC1782">
        <f>IF($AB1782=1,SUM($AB$3:$AB1782),"")</f>
        <v/>
      </c>
    </row>
    <row r="1783">
      <c r="A1783" s="20" t="n"/>
      <c r="B1783" s="20" t="n"/>
      <c r="C1783" s="20" t="n"/>
      <c r="D1783" s="20" t="n"/>
      <c r="E1783" s="20" t="n"/>
      <c r="F1783" s="20" t="n"/>
      <c r="G1783" s="20" t="n"/>
      <c r="H1783" s="20" t="n"/>
      <c r="I1783" s="20" t="n"/>
      <c r="J1783" s="20">
        <f>IFERROR(INDEX(CONFIGURACOES!$G$37:$G$300,MATCH($I1783,CONFIGURACOES!$B$37:$B$300,0)),"")</f>
        <v/>
      </c>
      <c r="K1783" s="20">
        <f>IFERROR(INDEX(CONFIGURACOES!$H$37:$H$300,MATCH($I1783,CONFIGURACOES!$B$37:$B$300,0)),"")</f>
        <v/>
      </c>
      <c r="L1783" s="20" t="n"/>
      <c r="M1783" s="20">
        <f>IFERROR(INDEX(CONFIGURACOES!$I$37:$I$300,MATCH($I1783,CONFIGURACOES!$B$37:$B$300,0)),"")</f>
        <v/>
      </c>
      <c r="N1783" s="21" t="n"/>
      <c r="O1783" s="21" t="n"/>
      <c r="P1783" s="21" t="n"/>
      <c r="Q1783" s="21" t="n"/>
      <c r="R1783" s="21">
        <f>IF($N1783="","",$N1783*IF($Q1783="",1,$Q1783)*IF($P1783="",1,$P1783)*IF($O1783="",1,$O1783))</f>
        <v/>
      </c>
      <c r="S1783" s="22">
        <f>IFERROR(INDEX(CONFIGURACOES!$J$37:$J$300,MATCH($I1783,CONFIGURACOES!$B$37:$B$300,0)),"")</f>
        <v/>
      </c>
      <c r="T1783" s="22">
        <f>IF(OR($R1783="",$S1783=""),"",$R1783*$S1783)</f>
        <v/>
      </c>
      <c r="U1783" s="20" t="n"/>
      <c r="V1783" s="20" t="n"/>
      <c r="W1783" s="20" t="n"/>
      <c r="X1783">
        <f>IF($A1783="","",$A1783&amp;"|"&amp;$C1783&amp;"|"&amp;$I1783)</f>
        <v/>
      </c>
      <c r="Y1783">
        <f>IF(AND($A1783=RELATORIO_MEDICAO!$C$5,$C1783=RELATORIO_MEDICAO!$F$5,$A1783&lt;&gt;""),COUNTIFS($A$3:$A1783,RELATORIO_MEDICAO!$C$5,$C$3:$C1783,RELATORIO_MEDICAO!$F$5),"")</f>
        <v/>
      </c>
      <c r="Z1783">
        <f>IF(OR($A1783="",PESQUISA!$C$4=""),0,IF(OR(ISNUMBER(SEARCH(PESQUISA!$C$4,$G1783)),ISNUMBER(SEARCH(PESQUISA!$C$4,$K1783)),ISNUMBER(SEARCH(PESQUISA!$C$4,$L1783))),1,0))</f>
        <v/>
      </c>
      <c r="AA1783">
        <f>IF($Z1783=1,SUM($Z$3:$Z1783),"")</f>
        <v/>
      </c>
      <c r="AB1783">
        <f>IF(OR($A1783="",PESQUISA!$C$50=""),0,IF(ISNUMBER(SEARCH(PESQUISA!$C$50,$I1783)),1,0))</f>
        <v/>
      </c>
      <c r="AC1783">
        <f>IF($AB1783=1,SUM($AB$3:$AB1783),"")</f>
        <v/>
      </c>
    </row>
    <row r="1784">
      <c r="A1784" s="20" t="n"/>
      <c r="B1784" s="20" t="n"/>
      <c r="C1784" s="20" t="n"/>
      <c r="D1784" s="20" t="n"/>
      <c r="E1784" s="20" t="n"/>
      <c r="F1784" s="20" t="n"/>
      <c r="G1784" s="20" t="n"/>
      <c r="H1784" s="20" t="n"/>
      <c r="I1784" s="20" t="n"/>
      <c r="J1784" s="20">
        <f>IFERROR(INDEX(CONFIGURACOES!$G$37:$G$300,MATCH($I1784,CONFIGURACOES!$B$37:$B$300,0)),"")</f>
        <v/>
      </c>
      <c r="K1784" s="20">
        <f>IFERROR(INDEX(CONFIGURACOES!$H$37:$H$300,MATCH($I1784,CONFIGURACOES!$B$37:$B$300,0)),"")</f>
        <v/>
      </c>
      <c r="L1784" s="20" t="n"/>
      <c r="M1784" s="20">
        <f>IFERROR(INDEX(CONFIGURACOES!$I$37:$I$300,MATCH($I1784,CONFIGURACOES!$B$37:$B$300,0)),"")</f>
        <v/>
      </c>
      <c r="N1784" s="21" t="n"/>
      <c r="O1784" s="21" t="n"/>
      <c r="P1784" s="21" t="n"/>
      <c r="Q1784" s="21" t="n"/>
      <c r="R1784" s="21">
        <f>IF($N1784="","",$N1784*IF($Q1784="",1,$Q1784)*IF($P1784="",1,$P1784)*IF($O1784="",1,$O1784))</f>
        <v/>
      </c>
      <c r="S1784" s="22">
        <f>IFERROR(INDEX(CONFIGURACOES!$J$37:$J$300,MATCH($I1784,CONFIGURACOES!$B$37:$B$300,0)),"")</f>
        <v/>
      </c>
      <c r="T1784" s="22">
        <f>IF(OR($R1784="",$S1784=""),"",$R1784*$S1784)</f>
        <v/>
      </c>
      <c r="U1784" s="20" t="n"/>
      <c r="V1784" s="20" t="n"/>
      <c r="W1784" s="20" t="n"/>
      <c r="X1784">
        <f>IF($A1784="","",$A1784&amp;"|"&amp;$C1784&amp;"|"&amp;$I1784)</f>
        <v/>
      </c>
      <c r="Y1784">
        <f>IF(AND($A1784=RELATORIO_MEDICAO!$C$5,$C1784=RELATORIO_MEDICAO!$F$5,$A1784&lt;&gt;""),COUNTIFS($A$3:$A1784,RELATORIO_MEDICAO!$C$5,$C$3:$C1784,RELATORIO_MEDICAO!$F$5),"")</f>
        <v/>
      </c>
      <c r="Z1784">
        <f>IF(OR($A1784="",PESQUISA!$C$4=""),0,IF(OR(ISNUMBER(SEARCH(PESQUISA!$C$4,$G1784)),ISNUMBER(SEARCH(PESQUISA!$C$4,$K1784)),ISNUMBER(SEARCH(PESQUISA!$C$4,$L1784))),1,0))</f>
        <v/>
      </c>
      <c r="AA1784">
        <f>IF($Z1784=1,SUM($Z$3:$Z1784),"")</f>
        <v/>
      </c>
      <c r="AB1784">
        <f>IF(OR($A1784="",PESQUISA!$C$50=""),0,IF(ISNUMBER(SEARCH(PESQUISA!$C$50,$I1784)),1,0))</f>
        <v/>
      </c>
      <c r="AC1784">
        <f>IF($AB1784=1,SUM($AB$3:$AB1784),"")</f>
        <v/>
      </c>
    </row>
    <row r="1785">
      <c r="A1785" s="20" t="n"/>
      <c r="B1785" s="20" t="n"/>
      <c r="C1785" s="20" t="n"/>
      <c r="D1785" s="20" t="n"/>
      <c r="E1785" s="20" t="n"/>
      <c r="F1785" s="20" t="n"/>
      <c r="G1785" s="20" t="n"/>
      <c r="H1785" s="20" t="n"/>
      <c r="I1785" s="20" t="n"/>
      <c r="J1785" s="20">
        <f>IFERROR(INDEX(CONFIGURACOES!$G$37:$G$300,MATCH($I1785,CONFIGURACOES!$B$37:$B$300,0)),"")</f>
        <v/>
      </c>
      <c r="K1785" s="20">
        <f>IFERROR(INDEX(CONFIGURACOES!$H$37:$H$300,MATCH($I1785,CONFIGURACOES!$B$37:$B$300,0)),"")</f>
        <v/>
      </c>
      <c r="L1785" s="20" t="n"/>
      <c r="M1785" s="20">
        <f>IFERROR(INDEX(CONFIGURACOES!$I$37:$I$300,MATCH($I1785,CONFIGURACOES!$B$37:$B$300,0)),"")</f>
        <v/>
      </c>
      <c r="N1785" s="21" t="n"/>
      <c r="O1785" s="21" t="n"/>
      <c r="P1785" s="21" t="n"/>
      <c r="Q1785" s="21" t="n"/>
      <c r="R1785" s="21">
        <f>IF($N1785="","",$N1785*IF($Q1785="",1,$Q1785)*IF($P1785="",1,$P1785)*IF($O1785="",1,$O1785))</f>
        <v/>
      </c>
      <c r="S1785" s="22">
        <f>IFERROR(INDEX(CONFIGURACOES!$J$37:$J$300,MATCH($I1785,CONFIGURACOES!$B$37:$B$300,0)),"")</f>
        <v/>
      </c>
      <c r="T1785" s="22">
        <f>IF(OR($R1785="",$S1785=""),"",$R1785*$S1785)</f>
        <v/>
      </c>
      <c r="U1785" s="20" t="n"/>
      <c r="V1785" s="20" t="n"/>
      <c r="W1785" s="20" t="n"/>
      <c r="X1785">
        <f>IF($A1785="","",$A1785&amp;"|"&amp;$C1785&amp;"|"&amp;$I1785)</f>
        <v/>
      </c>
      <c r="Y1785">
        <f>IF(AND($A1785=RELATORIO_MEDICAO!$C$5,$C1785=RELATORIO_MEDICAO!$F$5,$A1785&lt;&gt;""),COUNTIFS($A$3:$A1785,RELATORIO_MEDICAO!$C$5,$C$3:$C1785,RELATORIO_MEDICAO!$F$5),"")</f>
        <v/>
      </c>
      <c r="Z1785">
        <f>IF(OR($A1785="",PESQUISA!$C$4=""),0,IF(OR(ISNUMBER(SEARCH(PESQUISA!$C$4,$G1785)),ISNUMBER(SEARCH(PESQUISA!$C$4,$K1785)),ISNUMBER(SEARCH(PESQUISA!$C$4,$L1785))),1,0))</f>
        <v/>
      </c>
      <c r="AA1785">
        <f>IF($Z1785=1,SUM($Z$3:$Z1785),"")</f>
        <v/>
      </c>
      <c r="AB1785">
        <f>IF(OR($A1785="",PESQUISA!$C$50=""),0,IF(ISNUMBER(SEARCH(PESQUISA!$C$50,$I1785)),1,0))</f>
        <v/>
      </c>
      <c r="AC1785">
        <f>IF($AB1785=1,SUM($AB$3:$AB1785),"")</f>
        <v/>
      </c>
    </row>
    <row r="1786">
      <c r="A1786" s="20" t="n"/>
      <c r="B1786" s="20" t="n"/>
      <c r="C1786" s="20" t="n"/>
      <c r="D1786" s="20" t="n"/>
      <c r="E1786" s="20" t="n"/>
      <c r="F1786" s="20" t="n"/>
      <c r="G1786" s="20" t="n"/>
      <c r="H1786" s="20" t="n"/>
      <c r="I1786" s="20" t="n"/>
      <c r="J1786" s="20">
        <f>IFERROR(INDEX(CONFIGURACOES!$G$37:$G$300,MATCH($I1786,CONFIGURACOES!$B$37:$B$300,0)),"")</f>
        <v/>
      </c>
      <c r="K1786" s="20">
        <f>IFERROR(INDEX(CONFIGURACOES!$H$37:$H$300,MATCH($I1786,CONFIGURACOES!$B$37:$B$300,0)),"")</f>
        <v/>
      </c>
      <c r="L1786" s="20" t="n"/>
      <c r="M1786" s="20">
        <f>IFERROR(INDEX(CONFIGURACOES!$I$37:$I$300,MATCH($I1786,CONFIGURACOES!$B$37:$B$300,0)),"")</f>
        <v/>
      </c>
      <c r="N1786" s="21" t="n"/>
      <c r="O1786" s="21" t="n"/>
      <c r="P1786" s="21" t="n"/>
      <c r="Q1786" s="21" t="n"/>
      <c r="R1786" s="21">
        <f>IF($N1786="","",$N1786*IF($Q1786="",1,$Q1786)*IF($P1786="",1,$P1786)*IF($O1786="",1,$O1786))</f>
        <v/>
      </c>
      <c r="S1786" s="22">
        <f>IFERROR(INDEX(CONFIGURACOES!$J$37:$J$300,MATCH($I1786,CONFIGURACOES!$B$37:$B$300,0)),"")</f>
        <v/>
      </c>
      <c r="T1786" s="22">
        <f>IF(OR($R1786="",$S1786=""),"",$R1786*$S1786)</f>
        <v/>
      </c>
      <c r="U1786" s="20" t="n"/>
      <c r="V1786" s="20" t="n"/>
      <c r="W1786" s="20" t="n"/>
      <c r="X1786">
        <f>IF($A1786="","",$A1786&amp;"|"&amp;$C1786&amp;"|"&amp;$I1786)</f>
        <v/>
      </c>
      <c r="Y1786">
        <f>IF(AND($A1786=RELATORIO_MEDICAO!$C$5,$C1786=RELATORIO_MEDICAO!$F$5,$A1786&lt;&gt;""),COUNTIFS($A$3:$A1786,RELATORIO_MEDICAO!$C$5,$C$3:$C1786,RELATORIO_MEDICAO!$F$5),"")</f>
        <v/>
      </c>
      <c r="Z1786">
        <f>IF(OR($A1786="",PESQUISA!$C$4=""),0,IF(OR(ISNUMBER(SEARCH(PESQUISA!$C$4,$G1786)),ISNUMBER(SEARCH(PESQUISA!$C$4,$K1786)),ISNUMBER(SEARCH(PESQUISA!$C$4,$L1786))),1,0))</f>
        <v/>
      </c>
      <c r="AA1786">
        <f>IF($Z1786=1,SUM($Z$3:$Z1786),"")</f>
        <v/>
      </c>
      <c r="AB1786">
        <f>IF(OR($A1786="",PESQUISA!$C$50=""),0,IF(ISNUMBER(SEARCH(PESQUISA!$C$50,$I1786)),1,0))</f>
        <v/>
      </c>
      <c r="AC1786">
        <f>IF($AB1786=1,SUM($AB$3:$AB1786),"")</f>
        <v/>
      </c>
    </row>
    <row r="1787">
      <c r="A1787" s="20" t="n"/>
      <c r="B1787" s="20" t="n"/>
      <c r="C1787" s="20" t="n"/>
      <c r="D1787" s="20" t="n"/>
      <c r="E1787" s="20" t="n"/>
      <c r="F1787" s="20" t="n"/>
      <c r="G1787" s="20" t="n"/>
      <c r="H1787" s="20" t="n"/>
      <c r="I1787" s="20" t="n"/>
      <c r="J1787" s="20">
        <f>IFERROR(INDEX(CONFIGURACOES!$G$37:$G$300,MATCH($I1787,CONFIGURACOES!$B$37:$B$300,0)),"")</f>
        <v/>
      </c>
      <c r="K1787" s="20">
        <f>IFERROR(INDEX(CONFIGURACOES!$H$37:$H$300,MATCH($I1787,CONFIGURACOES!$B$37:$B$300,0)),"")</f>
        <v/>
      </c>
      <c r="L1787" s="20" t="n"/>
      <c r="M1787" s="20">
        <f>IFERROR(INDEX(CONFIGURACOES!$I$37:$I$300,MATCH($I1787,CONFIGURACOES!$B$37:$B$300,0)),"")</f>
        <v/>
      </c>
      <c r="N1787" s="21" t="n"/>
      <c r="O1787" s="21" t="n"/>
      <c r="P1787" s="21" t="n"/>
      <c r="Q1787" s="21" t="n"/>
      <c r="R1787" s="21">
        <f>IF($N1787="","",$N1787*IF($Q1787="",1,$Q1787)*IF($P1787="",1,$P1787)*IF($O1787="",1,$O1787))</f>
        <v/>
      </c>
      <c r="S1787" s="22">
        <f>IFERROR(INDEX(CONFIGURACOES!$J$37:$J$300,MATCH($I1787,CONFIGURACOES!$B$37:$B$300,0)),"")</f>
        <v/>
      </c>
      <c r="T1787" s="22">
        <f>IF(OR($R1787="",$S1787=""),"",$R1787*$S1787)</f>
        <v/>
      </c>
      <c r="U1787" s="20" t="n"/>
      <c r="V1787" s="20" t="n"/>
      <c r="W1787" s="20" t="n"/>
      <c r="X1787">
        <f>IF($A1787="","",$A1787&amp;"|"&amp;$C1787&amp;"|"&amp;$I1787)</f>
        <v/>
      </c>
      <c r="Y1787">
        <f>IF(AND($A1787=RELATORIO_MEDICAO!$C$5,$C1787=RELATORIO_MEDICAO!$F$5,$A1787&lt;&gt;""),COUNTIFS($A$3:$A1787,RELATORIO_MEDICAO!$C$5,$C$3:$C1787,RELATORIO_MEDICAO!$F$5),"")</f>
        <v/>
      </c>
      <c r="Z1787">
        <f>IF(OR($A1787="",PESQUISA!$C$4=""),0,IF(OR(ISNUMBER(SEARCH(PESQUISA!$C$4,$G1787)),ISNUMBER(SEARCH(PESQUISA!$C$4,$K1787)),ISNUMBER(SEARCH(PESQUISA!$C$4,$L1787))),1,0))</f>
        <v/>
      </c>
      <c r="AA1787">
        <f>IF($Z1787=1,SUM($Z$3:$Z1787),"")</f>
        <v/>
      </c>
      <c r="AB1787">
        <f>IF(OR($A1787="",PESQUISA!$C$50=""),0,IF(ISNUMBER(SEARCH(PESQUISA!$C$50,$I1787)),1,0))</f>
        <v/>
      </c>
      <c r="AC1787">
        <f>IF($AB1787=1,SUM($AB$3:$AB1787),"")</f>
        <v/>
      </c>
    </row>
    <row r="1788">
      <c r="A1788" s="20" t="n"/>
      <c r="B1788" s="20" t="n"/>
      <c r="C1788" s="20" t="n"/>
      <c r="D1788" s="20" t="n"/>
      <c r="E1788" s="20" t="n"/>
      <c r="F1788" s="20" t="n"/>
      <c r="G1788" s="20" t="n"/>
      <c r="H1788" s="20" t="n"/>
      <c r="I1788" s="20" t="n"/>
      <c r="J1788" s="20">
        <f>IFERROR(INDEX(CONFIGURACOES!$G$37:$G$300,MATCH($I1788,CONFIGURACOES!$B$37:$B$300,0)),"")</f>
        <v/>
      </c>
      <c r="K1788" s="20">
        <f>IFERROR(INDEX(CONFIGURACOES!$H$37:$H$300,MATCH($I1788,CONFIGURACOES!$B$37:$B$300,0)),"")</f>
        <v/>
      </c>
      <c r="L1788" s="20" t="n"/>
      <c r="M1788" s="20">
        <f>IFERROR(INDEX(CONFIGURACOES!$I$37:$I$300,MATCH($I1788,CONFIGURACOES!$B$37:$B$300,0)),"")</f>
        <v/>
      </c>
      <c r="N1788" s="21" t="n"/>
      <c r="O1788" s="21" t="n"/>
      <c r="P1788" s="21" t="n"/>
      <c r="Q1788" s="21" t="n"/>
      <c r="R1788" s="21">
        <f>IF($N1788="","",$N1788*IF($Q1788="",1,$Q1788)*IF($P1788="",1,$P1788)*IF($O1788="",1,$O1788))</f>
        <v/>
      </c>
      <c r="S1788" s="22">
        <f>IFERROR(INDEX(CONFIGURACOES!$J$37:$J$300,MATCH($I1788,CONFIGURACOES!$B$37:$B$300,0)),"")</f>
        <v/>
      </c>
      <c r="T1788" s="22">
        <f>IF(OR($R1788="",$S1788=""),"",$R1788*$S1788)</f>
        <v/>
      </c>
      <c r="U1788" s="20" t="n"/>
      <c r="V1788" s="20" t="n"/>
      <c r="W1788" s="20" t="n"/>
      <c r="X1788">
        <f>IF($A1788="","",$A1788&amp;"|"&amp;$C1788&amp;"|"&amp;$I1788)</f>
        <v/>
      </c>
      <c r="Y1788">
        <f>IF(AND($A1788=RELATORIO_MEDICAO!$C$5,$C1788=RELATORIO_MEDICAO!$F$5,$A1788&lt;&gt;""),COUNTIFS($A$3:$A1788,RELATORIO_MEDICAO!$C$5,$C$3:$C1788,RELATORIO_MEDICAO!$F$5),"")</f>
        <v/>
      </c>
      <c r="Z1788">
        <f>IF(OR($A1788="",PESQUISA!$C$4=""),0,IF(OR(ISNUMBER(SEARCH(PESQUISA!$C$4,$G1788)),ISNUMBER(SEARCH(PESQUISA!$C$4,$K1788)),ISNUMBER(SEARCH(PESQUISA!$C$4,$L1788))),1,0))</f>
        <v/>
      </c>
      <c r="AA1788">
        <f>IF($Z1788=1,SUM($Z$3:$Z1788),"")</f>
        <v/>
      </c>
      <c r="AB1788">
        <f>IF(OR($A1788="",PESQUISA!$C$50=""),0,IF(ISNUMBER(SEARCH(PESQUISA!$C$50,$I1788)),1,0))</f>
        <v/>
      </c>
      <c r="AC1788">
        <f>IF($AB1788=1,SUM($AB$3:$AB1788),"")</f>
        <v/>
      </c>
    </row>
    <row r="1789">
      <c r="A1789" s="20" t="n"/>
      <c r="B1789" s="20" t="n"/>
      <c r="C1789" s="20" t="n"/>
      <c r="D1789" s="20" t="n"/>
      <c r="E1789" s="20" t="n"/>
      <c r="F1789" s="20" t="n"/>
      <c r="G1789" s="20" t="n"/>
      <c r="H1789" s="20" t="n"/>
      <c r="I1789" s="20" t="n"/>
      <c r="J1789" s="20">
        <f>IFERROR(INDEX(CONFIGURACOES!$G$37:$G$300,MATCH($I1789,CONFIGURACOES!$B$37:$B$300,0)),"")</f>
        <v/>
      </c>
      <c r="K1789" s="20">
        <f>IFERROR(INDEX(CONFIGURACOES!$H$37:$H$300,MATCH($I1789,CONFIGURACOES!$B$37:$B$300,0)),"")</f>
        <v/>
      </c>
      <c r="L1789" s="20" t="n"/>
      <c r="M1789" s="20">
        <f>IFERROR(INDEX(CONFIGURACOES!$I$37:$I$300,MATCH($I1789,CONFIGURACOES!$B$37:$B$300,0)),"")</f>
        <v/>
      </c>
      <c r="N1789" s="21" t="n"/>
      <c r="O1789" s="21" t="n"/>
      <c r="P1789" s="21" t="n"/>
      <c r="Q1789" s="21" t="n"/>
      <c r="R1789" s="21">
        <f>IF($N1789="","",$N1789*IF($Q1789="",1,$Q1789)*IF($P1789="",1,$P1789)*IF($O1789="",1,$O1789))</f>
        <v/>
      </c>
      <c r="S1789" s="22">
        <f>IFERROR(INDEX(CONFIGURACOES!$J$37:$J$300,MATCH($I1789,CONFIGURACOES!$B$37:$B$300,0)),"")</f>
        <v/>
      </c>
      <c r="T1789" s="22">
        <f>IF(OR($R1789="",$S1789=""),"",$R1789*$S1789)</f>
        <v/>
      </c>
      <c r="U1789" s="20" t="n"/>
      <c r="V1789" s="20" t="n"/>
      <c r="W1789" s="20" t="n"/>
      <c r="X1789">
        <f>IF($A1789="","",$A1789&amp;"|"&amp;$C1789&amp;"|"&amp;$I1789)</f>
        <v/>
      </c>
      <c r="Y1789">
        <f>IF(AND($A1789=RELATORIO_MEDICAO!$C$5,$C1789=RELATORIO_MEDICAO!$F$5,$A1789&lt;&gt;""),COUNTIFS($A$3:$A1789,RELATORIO_MEDICAO!$C$5,$C$3:$C1789,RELATORIO_MEDICAO!$F$5),"")</f>
        <v/>
      </c>
      <c r="Z1789">
        <f>IF(OR($A1789="",PESQUISA!$C$4=""),0,IF(OR(ISNUMBER(SEARCH(PESQUISA!$C$4,$G1789)),ISNUMBER(SEARCH(PESQUISA!$C$4,$K1789)),ISNUMBER(SEARCH(PESQUISA!$C$4,$L1789))),1,0))</f>
        <v/>
      </c>
      <c r="AA1789">
        <f>IF($Z1789=1,SUM($Z$3:$Z1789),"")</f>
        <v/>
      </c>
      <c r="AB1789">
        <f>IF(OR($A1789="",PESQUISA!$C$50=""),0,IF(ISNUMBER(SEARCH(PESQUISA!$C$50,$I1789)),1,0))</f>
        <v/>
      </c>
      <c r="AC1789">
        <f>IF($AB1789=1,SUM($AB$3:$AB1789),"")</f>
        <v/>
      </c>
    </row>
    <row r="1790">
      <c r="A1790" s="20" t="n"/>
      <c r="B1790" s="20" t="n"/>
      <c r="C1790" s="20" t="n"/>
      <c r="D1790" s="20" t="n"/>
      <c r="E1790" s="20" t="n"/>
      <c r="F1790" s="20" t="n"/>
      <c r="G1790" s="20" t="n"/>
      <c r="H1790" s="20" t="n"/>
      <c r="I1790" s="20" t="n"/>
      <c r="J1790" s="20">
        <f>IFERROR(INDEX(CONFIGURACOES!$G$37:$G$300,MATCH($I1790,CONFIGURACOES!$B$37:$B$300,0)),"")</f>
        <v/>
      </c>
      <c r="K1790" s="20">
        <f>IFERROR(INDEX(CONFIGURACOES!$H$37:$H$300,MATCH($I1790,CONFIGURACOES!$B$37:$B$300,0)),"")</f>
        <v/>
      </c>
      <c r="L1790" s="20" t="n"/>
      <c r="M1790" s="20">
        <f>IFERROR(INDEX(CONFIGURACOES!$I$37:$I$300,MATCH($I1790,CONFIGURACOES!$B$37:$B$300,0)),"")</f>
        <v/>
      </c>
      <c r="N1790" s="21" t="n"/>
      <c r="O1790" s="21" t="n"/>
      <c r="P1790" s="21" t="n"/>
      <c r="Q1790" s="21" t="n"/>
      <c r="R1790" s="21">
        <f>IF($N1790="","",$N1790*IF($Q1790="",1,$Q1790)*IF($P1790="",1,$P1790)*IF($O1790="",1,$O1790))</f>
        <v/>
      </c>
      <c r="S1790" s="22">
        <f>IFERROR(INDEX(CONFIGURACOES!$J$37:$J$300,MATCH($I1790,CONFIGURACOES!$B$37:$B$300,0)),"")</f>
        <v/>
      </c>
      <c r="T1790" s="22">
        <f>IF(OR($R1790="",$S1790=""),"",$R1790*$S1790)</f>
        <v/>
      </c>
      <c r="U1790" s="20" t="n"/>
      <c r="V1790" s="20" t="n"/>
      <c r="W1790" s="20" t="n"/>
      <c r="X1790">
        <f>IF($A1790="","",$A1790&amp;"|"&amp;$C1790&amp;"|"&amp;$I1790)</f>
        <v/>
      </c>
      <c r="Y1790">
        <f>IF(AND($A1790=RELATORIO_MEDICAO!$C$5,$C1790=RELATORIO_MEDICAO!$F$5,$A1790&lt;&gt;""),COUNTIFS($A$3:$A1790,RELATORIO_MEDICAO!$C$5,$C$3:$C1790,RELATORIO_MEDICAO!$F$5),"")</f>
        <v/>
      </c>
      <c r="Z1790">
        <f>IF(OR($A1790="",PESQUISA!$C$4=""),0,IF(OR(ISNUMBER(SEARCH(PESQUISA!$C$4,$G1790)),ISNUMBER(SEARCH(PESQUISA!$C$4,$K1790)),ISNUMBER(SEARCH(PESQUISA!$C$4,$L1790))),1,0))</f>
        <v/>
      </c>
      <c r="AA1790">
        <f>IF($Z1790=1,SUM($Z$3:$Z1790),"")</f>
        <v/>
      </c>
      <c r="AB1790">
        <f>IF(OR($A1790="",PESQUISA!$C$50=""),0,IF(ISNUMBER(SEARCH(PESQUISA!$C$50,$I1790)),1,0))</f>
        <v/>
      </c>
      <c r="AC1790">
        <f>IF($AB1790=1,SUM($AB$3:$AB1790),"")</f>
        <v/>
      </c>
    </row>
    <row r="1791">
      <c r="A1791" s="20" t="n"/>
      <c r="B1791" s="20" t="n"/>
      <c r="C1791" s="20" t="n"/>
      <c r="D1791" s="20" t="n"/>
      <c r="E1791" s="20" t="n"/>
      <c r="F1791" s="20" t="n"/>
      <c r="G1791" s="20" t="n"/>
      <c r="H1791" s="20" t="n"/>
      <c r="I1791" s="20" t="n"/>
      <c r="J1791" s="20">
        <f>IFERROR(INDEX(CONFIGURACOES!$G$37:$G$300,MATCH($I1791,CONFIGURACOES!$B$37:$B$300,0)),"")</f>
        <v/>
      </c>
      <c r="K1791" s="20">
        <f>IFERROR(INDEX(CONFIGURACOES!$H$37:$H$300,MATCH($I1791,CONFIGURACOES!$B$37:$B$300,0)),"")</f>
        <v/>
      </c>
      <c r="L1791" s="20" t="n"/>
      <c r="M1791" s="20">
        <f>IFERROR(INDEX(CONFIGURACOES!$I$37:$I$300,MATCH($I1791,CONFIGURACOES!$B$37:$B$300,0)),"")</f>
        <v/>
      </c>
      <c r="N1791" s="21" t="n"/>
      <c r="O1791" s="21" t="n"/>
      <c r="P1791" s="21" t="n"/>
      <c r="Q1791" s="21" t="n"/>
      <c r="R1791" s="21">
        <f>IF($N1791="","",$N1791*IF($Q1791="",1,$Q1791)*IF($P1791="",1,$P1791)*IF($O1791="",1,$O1791))</f>
        <v/>
      </c>
      <c r="S1791" s="22">
        <f>IFERROR(INDEX(CONFIGURACOES!$J$37:$J$300,MATCH($I1791,CONFIGURACOES!$B$37:$B$300,0)),"")</f>
        <v/>
      </c>
      <c r="T1791" s="22">
        <f>IF(OR($R1791="",$S1791=""),"",$R1791*$S1791)</f>
        <v/>
      </c>
      <c r="U1791" s="20" t="n"/>
      <c r="V1791" s="20" t="n"/>
      <c r="W1791" s="20" t="n"/>
      <c r="X1791">
        <f>IF($A1791="","",$A1791&amp;"|"&amp;$C1791&amp;"|"&amp;$I1791)</f>
        <v/>
      </c>
      <c r="Y1791">
        <f>IF(AND($A1791=RELATORIO_MEDICAO!$C$5,$C1791=RELATORIO_MEDICAO!$F$5,$A1791&lt;&gt;""),COUNTIFS($A$3:$A1791,RELATORIO_MEDICAO!$C$5,$C$3:$C1791,RELATORIO_MEDICAO!$F$5),"")</f>
        <v/>
      </c>
      <c r="Z1791">
        <f>IF(OR($A1791="",PESQUISA!$C$4=""),0,IF(OR(ISNUMBER(SEARCH(PESQUISA!$C$4,$G1791)),ISNUMBER(SEARCH(PESQUISA!$C$4,$K1791)),ISNUMBER(SEARCH(PESQUISA!$C$4,$L1791))),1,0))</f>
        <v/>
      </c>
      <c r="AA1791">
        <f>IF($Z1791=1,SUM($Z$3:$Z1791),"")</f>
        <v/>
      </c>
      <c r="AB1791">
        <f>IF(OR($A1791="",PESQUISA!$C$50=""),0,IF(ISNUMBER(SEARCH(PESQUISA!$C$50,$I1791)),1,0))</f>
        <v/>
      </c>
      <c r="AC1791">
        <f>IF($AB1791=1,SUM($AB$3:$AB1791),"")</f>
        <v/>
      </c>
    </row>
    <row r="1792">
      <c r="A1792" s="20" t="n"/>
      <c r="B1792" s="20" t="n"/>
      <c r="C1792" s="20" t="n"/>
      <c r="D1792" s="20" t="n"/>
      <c r="E1792" s="20" t="n"/>
      <c r="F1792" s="20" t="n"/>
      <c r="G1792" s="20" t="n"/>
      <c r="H1792" s="20" t="n"/>
      <c r="I1792" s="20" t="n"/>
      <c r="J1792" s="20">
        <f>IFERROR(INDEX(CONFIGURACOES!$G$37:$G$300,MATCH($I1792,CONFIGURACOES!$B$37:$B$300,0)),"")</f>
        <v/>
      </c>
      <c r="K1792" s="20">
        <f>IFERROR(INDEX(CONFIGURACOES!$H$37:$H$300,MATCH($I1792,CONFIGURACOES!$B$37:$B$300,0)),"")</f>
        <v/>
      </c>
      <c r="L1792" s="20" t="n"/>
      <c r="M1792" s="20">
        <f>IFERROR(INDEX(CONFIGURACOES!$I$37:$I$300,MATCH($I1792,CONFIGURACOES!$B$37:$B$300,0)),"")</f>
        <v/>
      </c>
      <c r="N1792" s="21" t="n"/>
      <c r="O1792" s="21" t="n"/>
      <c r="P1792" s="21" t="n"/>
      <c r="Q1792" s="21" t="n"/>
      <c r="R1792" s="21">
        <f>IF($N1792="","",$N1792*IF($Q1792="",1,$Q1792)*IF($P1792="",1,$P1792)*IF($O1792="",1,$O1792))</f>
        <v/>
      </c>
      <c r="S1792" s="22">
        <f>IFERROR(INDEX(CONFIGURACOES!$J$37:$J$300,MATCH($I1792,CONFIGURACOES!$B$37:$B$300,0)),"")</f>
        <v/>
      </c>
      <c r="T1792" s="22">
        <f>IF(OR($R1792="",$S1792=""),"",$R1792*$S1792)</f>
        <v/>
      </c>
      <c r="U1792" s="20" t="n"/>
      <c r="V1792" s="20" t="n"/>
      <c r="W1792" s="20" t="n"/>
      <c r="X1792">
        <f>IF($A1792="","",$A1792&amp;"|"&amp;$C1792&amp;"|"&amp;$I1792)</f>
        <v/>
      </c>
      <c r="Y1792">
        <f>IF(AND($A1792=RELATORIO_MEDICAO!$C$5,$C1792=RELATORIO_MEDICAO!$F$5,$A1792&lt;&gt;""),COUNTIFS($A$3:$A1792,RELATORIO_MEDICAO!$C$5,$C$3:$C1792,RELATORIO_MEDICAO!$F$5),"")</f>
        <v/>
      </c>
      <c r="Z1792">
        <f>IF(OR($A1792="",PESQUISA!$C$4=""),0,IF(OR(ISNUMBER(SEARCH(PESQUISA!$C$4,$G1792)),ISNUMBER(SEARCH(PESQUISA!$C$4,$K1792)),ISNUMBER(SEARCH(PESQUISA!$C$4,$L1792))),1,0))</f>
        <v/>
      </c>
      <c r="AA1792">
        <f>IF($Z1792=1,SUM($Z$3:$Z1792),"")</f>
        <v/>
      </c>
      <c r="AB1792">
        <f>IF(OR($A1792="",PESQUISA!$C$50=""),0,IF(ISNUMBER(SEARCH(PESQUISA!$C$50,$I1792)),1,0))</f>
        <v/>
      </c>
      <c r="AC1792">
        <f>IF($AB1792=1,SUM($AB$3:$AB1792),"")</f>
        <v/>
      </c>
    </row>
    <row r="1793">
      <c r="A1793" s="20" t="n"/>
      <c r="B1793" s="20" t="n"/>
      <c r="C1793" s="20" t="n"/>
      <c r="D1793" s="20" t="n"/>
      <c r="E1793" s="20" t="n"/>
      <c r="F1793" s="20" t="n"/>
      <c r="G1793" s="20" t="n"/>
      <c r="H1793" s="20" t="n"/>
      <c r="I1793" s="20" t="n"/>
      <c r="J1793" s="20">
        <f>IFERROR(INDEX(CONFIGURACOES!$G$37:$G$300,MATCH($I1793,CONFIGURACOES!$B$37:$B$300,0)),"")</f>
        <v/>
      </c>
      <c r="K1793" s="20">
        <f>IFERROR(INDEX(CONFIGURACOES!$H$37:$H$300,MATCH($I1793,CONFIGURACOES!$B$37:$B$300,0)),"")</f>
        <v/>
      </c>
      <c r="L1793" s="20" t="n"/>
      <c r="M1793" s="20">
        <f>IFERROR(INDEX(CONFIGURACOES!$I$37:$I$300,MATCH($I1793,CONFIGURACOES!$B$37:$B$300,0)),"")</f>
        <v/>
      </c>
      <c r="N1793" s="21" t="n"/>
      <c r="O1793" s="21" t="n"/>
      <c r="P1793" s="21" t="n"/>
      <c r="Q1793" s="21" t="n"/>
      <c r="R1793" s="21">
        <f>IF($N1793="","",$N1793*IF($Q1793="",1,$Q1793)*IF($P1793="",1,$P1793)*IF($O1793="",1,$O1793))</f>
        <v/>
      </c>
      <c r="S1793" s="22">
        <f>IFERROR(INDEX(CONFIGURACOES!$J$37:$J$300,MATCH($I1793,CONFIGURACOES!$B$37:$B$300,0)),"")</f>
        <v/>
      </c>
      <c r="T1793" s="22">
        <f>IF(OR($R1793="",$S1793=""),"",$R1793*$S1793)</f>
        <v/>
      </c>
      <c r="U1793" s="20" t="n"/>
      <c r="V1793" s="20" t="n"/>
      <c r="W1793" s="20" t="n"/>
      <c r="X1793">
        <f>IF($A1793="","",$A1793&amp;"|"&amp;$C1793&amp;"|"&amp;$I1793)</f>
        <v/>
      </c>
      <c r="Y1793">
        <f>IF(AND($A1793=RELATORIO_MEDICAO!$C$5,$C1793=RELATORIO_MEDICAO!$F$5,$A1793&lt;&gt;""),COUNTIFS($A$3:$A1793,RELATORIO_MEDICAO!$C$5,$C$3:$C1793,RELATORIO_MEDICAO!$F$5),"")</f>
        <v/>
      </c>
      <c r="Z1793">
        <f>IF(OR($A1793="",PESQUISA!$C$4=""),0,IF(OR(ISNUMBER(SEARCH(PESQUISA!$C$4,$G1793)),ISNUMBER(SEARCH(PESQUISA!$C$4,$K1793)),ISNUMBER(SEARCH(PESQUISA!$C$4,$L1793))),1,0))</f>
        <v/>
      </c>
      <c r="AA1793">
        <f>IF($Z1793=1,SUM($Z$3:$Z1793),"")</f>
        <v/>
      </c>
      <c r="AB1793">
        <f>IF(OR($A1793="",PESQUISA!$C$50=""),0,IF(ISNUMBER(SEARCH(PESQUISA!$C$50,$I1793)),1,0))</f>
        <v/>
      </c>
      <c r="AC1793">
        <f>IF($AB1793=1,SUM($AB$3:$AB1793),"")</f>
        <v/>
      </c>
    </row>
    <row r="1794">
      <c r="A1794" s="20" t="n"/>
      <c r="B1794" s="20" t="n"/>
      <c r="C1794" s="20" t="n"/>
      <c r="D1794" s="20" t="n"/>
      <c r="E1794" s="20" t="n"/>
      <c r="F1794" s="20" t="n"/>
      <c r="G1794" s="20" t="n"/>
      <c r="H1794" s="20" t="n"/>
      <c r="I1794" s="20" t="n"/>
      <c r="J1794" s="20">
        <f>IFERROR(INDEX(CONFIGURACOES!$G$37:$G$300,MATCH($I1794,CONFIGURACOES!$B$37:$B$300,0)),"")</f>
        <v/>
      </c>
      <c r="K1794" s="20">
        <f>IFERROR(INDEX(CONFIGURACOES!$H$37:$H$300,MATCH($I1794,CONFIGURACOES!$B$37:$B$300,0)),"")</f>
        <v/>
      </c>
      <c r="L1794" s="20" t="n"/>
      <c r="M1794" s="20">
        <f>IFERROR(INDEX(CONFIGURACOES!$I$37:$I$300,MATCH($I1794,CONFIGURACOES!$B$37:$B$300,0)),"")</f>
        <v/>
      </c>
      <c r="N1794" s="21" t="n"/>
      <c r="O1794" s="21" t="n"/>
      <c r="P1794" s="21" t="n"/>
      <c r="Q1794" s="21" t="n"/>
      <c r="R1794" s="21">
        <f>IF($N1794="","",$N1794*IF($Q1794="",1,$Q1794)*IF($P1794="",1,$P1794)*IF($O1794="",1,$O1794))</f>
        <v/>
      </c>
      <c r="S1794" s="22">
        <f>IFERROR(INDEX(CONFIGURACOES!$J$37:$J$300,MATCH($I1794,CONFIGURACOES!$B$37:$B$300,0)),"")</f>
        <v/>
      </c>
      <c r="T1794" s="22">
        <f>IF(OR($R1794="",$S1794=""),"",$R1794*$S1794)</f>
        <v/>
      </c>
      <c r="U1794" s="20" t="n"/>
      <c r="V1794" s="20" t="n"/>
      <c r="W1794" s="20" t="n"/>
      <c r="X1794">
        <f>IF($A1794="","",$A1794&amp;"|"&amp;$C1794&amp;"|"&amp;$I1794)</f>
        <v/>
      </c>
      <c r="Y1794">
        <f>IF(AND($A1794=RELATORIO_MEDICAO!$C$5,$C1794=RELATORIO_MEDICAO!$F$5,$A1794&lt;&gt;""),COUNTIFS($A$3:$A1794,RELATORIO_MEDICAO!$C$5,$C$3:$C1794,RELATORIO_MEDICAO!$F$5),"")</f>
        <v/>
      </c>
      <c r="Z1794">
        <f>IF(OR($A1794="",PESQUISA!$C$4=""),0,IF(OR(ISNUMBER(SEARCH(PESQUISA!$C$4,$G1794)),ISNUMBER(SEARCH(PESQUISA!$C$4,$K1794)),ISNUMBER(SEARCH(PESQUISA!$C$4,$L1794))),1,0))</f>
        <v/>
      </c>
      <c r="AA1794">
        <f>IF($Z1794=1,SUM($Z$3:$Z1794),"")</f>
        <v/>
      </c>
      <c r="AB1794">
        <f>IF(OR($A1794="",PESQUISA!$C$50=""),0,IF(ISNUMBER(SEARCH(PESQUISA!$C$50,$I1794)),1,0))</f>
        <v/>
      </c>
      <c r="AC1794">
        <f>IF($AB1794=1,SUM($AB$3:$AB1794),"")</f>
        <v/>
      </c>
    </row>
    <row r="1795">
      <c r="A1795" s="20" t="n"/>
      <c r="B1795" s="20" t="n"/>
      <c r="C1795" s="20" t="n"/>
      <c r="D1795" s="20" t="n"/>
      <c r="E1795" s="20" t="n"/>
      <c r="F1795" s="20" t="n"/>
      <c r="G1795" s="20" t="n"/>
      <c r="H1795" s="20" t="n"/>
      <c r="I1795" s="20" t="n"/>
      <c r="J1795" s="20">
        <f>IFERROR(INDEX(CONFIGURACOES!$G$37:$G$300,MATCH($I1795,CONFIGURACOES!$B$37:$B$300,0)),"")</f>
        <v/>
      </c>
      <c r="K1795" s="20">
        <f>IFERROR(INDEX(CONFIGURACOES!$H$37:$H$300,MATCH($I1795,CONFIGURACOES!$B$37:$B$300,0)),"")</f>
        <v/>
      </c>
      <c r="L1795" s="20" t="n"/>
      <c r="M1795" s="20">
        <f>IFERROR(INDEX(CONFIGURACOES!$I$37:$I$300,MATCH($I1795,CONFIGURACOES!$B$37:$B$300,0)),"")</f>
        <v/>
      </c>
      <c r="N1795" s="21" t="n"/>
      <c r="O1795" s="21" t="n"/>
      <c r="P1795" s="21" t="n"/>
      <c r="Q1795" s="21" t="n"/>
      <c r="R1795" s="21">
        <f>IF($N1795="","",$N1795*IF($Q1795="",1,$Q1795)*IF($P1795="",1,$P1795)*IF($O1795="",1,$O1795))</f>
        <v/>
      </c>
      <c r="S1795" s="22">
        <f>IFERROR(INDEX(CONFIGURACOES!$J$37:$J$300,MATCH($I1795,CONFIGURACOES!$B$37:$B$300,0)),"")</f>
        <v/>
      </c>
      <c r="T1795" s="22">
        <f>IF(OR($R1795="",$S1795=""),"",$R1795*$S1795)</f>
        <v/>
      </c>
      <c r="U1795" s="20" t="n"/>
      <c r="V1795" s="20" t="n"/>
      <c r="W1795" s="20" t="n"/>
      <c r="X1795">
        <f>IF($A1795="","",$A1795&amp;"|"&amp;$C1795&amp;"|"&amp;$I1795)</f>
        <v/>
      </c>
      <c r="Y1795">
        <f>IF(AND($A1795=RELATORIO_MEDICAO!$C$5,$C1795=RELATORIO_MEDICAO!$F$5,$A1795&lt;&gt;""),COUNTIFS($A$3:$A1795,RELATORIO_MEDICAO!$C$5,$C$3:$C1795,RELATORIO_MEDICAO!$F$5),"")</f>
        <v/>
      </c>
      <c r="Z1795">
        <f>IF(OR($A1795="",PESQUISA!$C$4=""),0,IF(OR(ISNUMBER(SEARCH(PESQUISA!$C$4,$G1795)),ISNUMBER(SEARCH(PESQUISA!$C$4,$K1795)),ISNUMBER(SEARCH(PESQUISA!$C$4,$L1795))),1,0))</f>
        <v/>
      </c>
      <c r="AA1795">
        <f>IF($Z1795=1,SUM($Z$3:$Z1795),"")</f>
        <v/>
      </c>
      <c r="AB1795">
        <f>IF(OR($A1795="",PESQUISA!$C$50=""),0,IF(ISNUMBER(SEARCH(PESQUISA!$C$50,$I1795)),1,0))</f>
        <v/>
      </c>
      <c r="AC1795">
        <f>IF($AB1795=1,SUM($AB$3:$AB1795),"")</f>
        <v/>
      </c>
    </row>
    <row r="1796">
      <c r="A1796" s="20" t="n"/>
      <c r="B1796" s="20" t="n"/>
      <c r="C1796" s="20" t="n"/>
      <c r="D1796" s="20" t="n"/>
      <c r="E1796" s="20" t="n"/>
      <c r="F1796" s="20" t="n"/>
      <c r="G1796" s="20" t="n"/>
      <c r="H1796" s="20" t="n"/>
      <c r="I1796" s="20" t="n"/>
      <c r="J1796" s="20">
        <f>IFERROR(INDEX(CONFIGURACOES!$G$37:$G$300,MATCH($I1796,CONFIGURACOES!$B$37:$B$300,0)),"")</f>
        <v/>
      </c>
      <c r="K1796" s="20">
        <f>IFERROR(INDEX(CONFIGURACOES!$H$37:$H$300,MATCH($I1796,CONFIGURACOES!$B$37:$B$300,0)),"")</f>
        <v/>
      </c>
      <c r="L1796" s="20" t="n"/>
      <c r="M1796" s="20">
        <f>IFERROR(INDEX(CONFIGURACOES!$I$37:$I$300,MATCH($I1796,CONFIGURACOES!$B$37:$B$300,0)),"")</f>
        <v/>
      </c>
      <c r="N1796" s="21" t="n"/>
      <c r="O1796" s="21" t="n"/>
      <c r="P1796" s="21" t="n"/>
      <c r="Q1796" s="21" t="n"/>
      <c r="R1796" s="21">
        <f>IF($N1796="","",$N1796*IF($Q1796="",1,$Q1796)*IF($P1796="",1,$P1796)*IF($O1796="",1,$O1796))</f>
        <v/>
      </c>
      <c r="S1796" s="22">
        <f>IFERROR(INDEX(CONFIGURACOES!$J$37:$J$300,MATCH($I1796,CONFIGURACOES!$B$37:$B$300,0)),"")</f>
        <v/>
      </c>
      <c r="T1796" s="22">
        <f>IF(OR($R1796="",$S1796=""),"",$R1796*$S1796)</f>
        <v/>
      </c>
      <c r="U1796" s="20" t="n"/>
      <c r="V1796" s="20" t="n"/>
      <c r="W1796" s="20" t="n"/>
      <c r="X1796">
        <f>IF($A1796="","",$A1796&amp;"|"&amp;$C1796&amp;"|"&amp;$I1796)</f>
        <v/>
      </c>
      <c r="Y1796">
        <f>IF(AND($A1796=RELATORIO_MEDICAO!$C$5,$C1796=RELATORIO_MEDICAO!$F$5,$A1796&lt;&gt;""),COUNTIFS($A$3:$A1796,RELATORIO_MEDICAO!$C$5,$C$3:$C1796,RELATORIO_MEDICAO!$F$5),"")</f>
        <v/>
      </c>
      <c r="Z1796">
        <f>IF(OR($A1796="",PESQUISA!$C$4=""),0,IF(OR(ISNUMBER(SEARCH(PESQUISA!$C$4,$G1796)),ISNUMBER(SEARCH(PESQUISA!$C$4,$K1796)),ISNUMBER(SEARCH(PESQUISA!$C$4,$L1796))),1,0))</f>
        <v/>
      </c>
      <c r="AA1796">
        <f>IF($Z1796=1,SUM($Z$3:$Z1796),"")</f>
        <v/>
      </c>
      <c r="AB1796">
        <f>IF(OR($A1796="",PESQUISA!$C$50=""),0,IF(ISNUMBER(SEARCH(PESQUISA!$C$50,$I1796)),1,0))</f>
        <v/>
      </c>
      <c r="AC1796">
        <f>IF($AB1796=1,SUM($AB$3:$AB1796),"")</f>
        <v/>
      </c>
    </row>
    <row r="1797">
      <c r="A1797" s="20" t="n"/>
      <c r="B1797" s="20" t="n"/>
      <c r="C1797" s="20" t="n"/>
      <c r="D1797" s="20" t="n"/>
      <c r="E1797" s="20" t="n"/>
      <c r="F1797" s="20" t="n"/>
      <c r="G1797" s="20" t="n"/>
      <c r="H1797" s="20" t="n"/>
      <c r="I1797" s="20" t="n"/>
      <c r="J1797" s="20">
        <f>IFERROR(INDEX(CONFIGURACOES!$G$37:$G$300,MATCH($I1797,CONFIGURACOES!$B$37:$B$300,0)),"")</f>
        <v/>
      </c>
      <c r="K1797" s="20">
        <f>IFERROR(INDEX(CONFIGURACOES!$H$37:$H$300,MATCH($I1797,CONFIGURACOES!$B$37:$B$300,0)),"")</f>
        <v/>
      </c>
      <c r="L1797" s="20" t="n"/>
      <c r="M1797" s="20">
        <f>IFERROR(INDEX(CONFIGURACOES!$I$37:$I$300,MATCH($I1797,CONFIGURACOES!$B$37:$B$300,0)),"")</f>
        <v/>
      </c>
      <c r="N1797" s="21" t="n"/>
      <c r="O1797" s="21" t="n"/>
      <c r="P1797" s="21" t="n"/>
      <c r="Q1797" s="21" t="n"/>
      <c r="R1797" s="21">
        <f>IF($N1797="","",$N1797*IF($Q1797="",1,$Q1797)*IF($P1797="",1,$P1797)*IF($O1797="",1,$O1797))</f>
        <v/>
      </c>
      <c r="S1797" s="22">
        <f>IFERROR(INDEX(CONFIGURACOES!$J$37:$J$300,MATCH($I1797,CONFIGURACOES!$B$37:$B$300,0)),"")</f>
        <v/>
      </c>
      <c r="T1797" s="22">
        <f>IF(OR($R1797="",$S1797=""),"",$R1797*$S1797)</f>
        <v/>
      </c>
      <c r="U1797" s="20" t="n"/>
      <c r="V1797" s="20" t="n"/>
      <c r="W1797" s="20" t="n"/>
      <c r="X1797">
        <f>IF($A1797="","",$A1797&amp;"|"&amp;$C1797&amp;"|"&amp;$I1797)</f>
        <v/>
      </c>
      <c r="Y1797">
        <f>IF(AND($A1797=RELATORIO_MEDICAO!$C$5,$C1797=RELATORIO_MEDICAO!$F$5,$A1797&lt;&gt;""),COUNTIFS($A$3:$A1797,RELATORIO_MEDICAO!$C$5,$C$3:$C1797,RELATORIO_MEDICAO!$F$5),"")</f>
        <v/>
      </c>
      <c r="Z1797">
        <f>IF(OR($A1797="",PESQUISA!$C$4=""),0,IF(OR(ISNUMBER(SEARCH(PESQUISA!$C$4,$G1797)),ISNUMBER(SEARCH(PESQUISA!$C$4,$K1797)),ISNUMBER(SEARCH(PESQUISA!$C$4,$L1797))),1,0))</f>
        <v/>
      </c>
      <c r="AA1797">
        <f>IF($Z1797=1,SUM($Z$3:$Z1797),"")</f>
        <v/>
      </c>
      <c r="AB1797">
        <f>IF(OR($A1797="",PESQUISA!$C$50=""),0,IF(ISNUMBER(SEARCH(PESQUISA!$C$50,$I1797)),1,0))</f>
        <v/>
      </c>
      <c r="AC1797">
        <f>IF($AB1797=1,SUM($AB$3:$AB1797),"")</f>
        <v/>
      </c>
    </row>
    <row r="1798">
      <c r="A1798" s="20" t="n"/>
      <c r="B1798" s="20" t="n"/>
      <c r="C1798" s="20" t="n"/>
      <c r="D1798" s="20" t="n"/>
      <c r="E1798" s="20" t="n"/>
      <c r="F1798" s="20" t="n"/>
      <c r="G1798" s="20" t="n"/>
      <c r="H1798" s="20" t="n"/>
      <c r="I1798" s="20" t="n"/>
      <c r="J1798" s="20">
        <f>IFERROR(INDEX(CONFIGURACOES!$G$37:$G$300,MATCH($I1798,CONFIGURACOES!$B$37:$B$300,0)),"")</f>
        <v/>
      </c>
      <c r="K1798" s="20">
        <f>IFERROR(INDEX(CONFIGURACOES!$H$37:$H$300,MATCH($I1798,CONFIGURACOES!$B$37:$B$300,0)),"")</f>
        <v/>
      </c>
      <c r="L1798" s="20" t="n"/>
      <c r="M1798" s="20">
        <f>IFERROR(INDEX(CONFIGURACOES!$I$37:$I$300,MATCH($I1798,CONFIGURACOES!$B$37:$B$300,0)),"")</f>
        <v/>
      </c>
      <c r="N1798" s="21" t="n"/>
      <c r="O1798" s="21" t="n"/>
      <c r="P1798" s="21" t="n"/>
      <c r="Q1798" s="21" t="n"/>
      <c r="R1798" s="21">
        <f>IF($N1798="","",$N1798*IF($Q1798="",1,$Q1798)*IF($P1798="",1,$P1798)*IF($O1798="",1,$O1798))</f>
        <v/>
      </c>
      <c r="S1798" s="22">
        <f>IFERROR(INDEX(CONFIGURACOES!$J$37:$J$300,MATCH($I1798,CONFIGURACOES!$B$37:$B$300,0)),"")</f>
        <v/>
      </c>
      <c r="T1798" s="22">
        <f>IF(OR($R1798="",$S1798=""),"",$R1798*$S1798)</f>
        <v/>
      </c>
      <c r="U1798" s="20" t="n"/>
      <c r="V1798" s="20" t="n"/>
      <c r="W1798" s="20" t="n"/>
      <c r="X1798">
        <f>IF($A1798="","",$A1798&amp;"|"&amp;$C1798&amp;"|"&amp;$I1798)</f>
        <v/>
      </c>
      <c r="Y1798">
        <f>IF(AND($A1798=RELATORIO_MEDICAO!$C$5,$C1798=RELATORIO_MEDICAO!$F$5,$A1798&lt;&gt;""),COUNTIFS($A$3:$A1798,RELATORIO_MEDICAO!$C$5,$C$3:$C1798,RELATORIO_MEDICAO!$F$5),"")</f>
        <v/>
      </c>
      <c r="Z1798">
        <f>IF(OR($A1798="",PESQUISA!$C$4=""),0,IF(OR(ISNUMBER(SEARCH(PESQUISA!$C$4,$G1798)),ISNUMBER(SEARCH(PESQUISA!$C$4,$K1798)),ISNUMBER(SEARCH(PESQUISA!$C$4,$L1798))),1,0))</f>
        <v/>
      </c>
      <c r="AA1798">
        <f>IF($Z1798=1,SUM($Z$3:$Z1798),"")</f>
        <v/>
      </c>
      <c r="AB1798">
        <f>IF(OR($A1798="",PESQUISA!$C$50=""),0,IF(ISNUMBER(SEARCH(PESQUISA!$C$50,$I1798)),1,0))</f>
        <v/>
      </c>
      <c r="AC1798">
        <f>IF($AB1798=1,SUM($AB$3:$AB1798),"")</f>
        <v/>
      </c>
    </row>
    <row r="1799">
      <c r="A1799" s="20" t="n"/>
      <c r="B1799" s="20" t="n"/>
      <c r="C1799" s="20" t="n"/>
      <c r="D1799" s="20" t="n"/>
      <c r="E1799" s="20" t="n"/>
      <c r="F1799" s="20" t="n"/>
      <c r="G1799" s="20" t="n"/>
      <c r="H1799" s="20" t="n"/>
      <c r="I1799" s="20" t="n"/>
      <c r="J1799" s="20">
        <f>IFERROR(INDEX(CONFIGURACOES!$G$37:$G$300,MATCH($I1799,CONFIGURACOES!$B$37:$B$300,0)),"")</f>
        <v/>
      </c>
      <c r="K1799" s="20">
        <f>IFERROR(INDEX(CONFIGURACOES!$H$37:$H$300,MATCH($I1799,CONFIGURACOES!$B$37:$B$300,0)),"")</f>
        <v/>
      </c>
      <c r="L1799" s="20" t="n"/>
      <c r="M1799" s="20">
        <f>IFERROR(INDEX(CONFIGURACOES!$I$37:$I$300,MATCH($I1799,CONFIGURACOES!$B$37:$B$300,0)),"")</f>
        <v/>
      </c>
      <c r="N1799" s="21" t="n"/>
      <c r="O1799" s="21" t="n"/>
      <c r="P1799" s="21" t="n"/>
      <c r="Q1799" s="21" t="n"/>
      <c r="R1799" s="21">
        <f>IF($N1799="","",$N1799*IF($Q1799="",1,$Q1799)*IF($P1799="",1,$P1799)*IF($O1799="",1,$O1799))</f>
        <v/>
      </c>
      <c r="S1799" s="22">
        <f>IFERROR(INDEX(CONFIGURACOES!$J$37:$J$300,MATCH($I1799,CONFIGURACOES!$B$37:$B$300,0)),"")</f>
        <v/>
      </c>
      <c r="T1799" s="22">
        <f>IF(OR($R1799="",$S1799=""),"",$R1799*$S1799)</f>
        <v/>
      </c>
      <c r="U1799" s="20" t="n"/>
      <c r="V1799" s="20" t="n"/>
      <c r="W1799" s="20" t="n"/>
      <c r="X1799">
        <f>IF($A1799="","",$A1799&amp;"|"&amp;$C1799&amp;"|"&amp;$I1799)</f>
        <v/>
      </c>
      <c r="Y1799">
        <f>IF(AND($A1799=RELATORIO_MEDICAO!$C$5,$C1799=RELATORIO_MEDICAO!$F$5,$A1799&lt;&gt;""),COUNTIFS($A$3:$A1799,RELATORIO_MEDICAO!$C$5,$C$3:$C1799,RELATORIO_MEDICAO!$F$5),"")</f>
        <v/>
      </c>
      <c r="Z1799">
        <f>IF(OR($A1799="",PESQUISA!$C$4=""),0,IF(OR(ISNUMBER(SEARCH(PESQUISA!$C$4,$G1799)),ISNUMBER(SEARCH(PESQUISA!$C$4,$K1799)),ISNUMBER(SEARCH(PESQUISA!$C$4,$L1799))),1,0))</f>
        <v/>
      </c>
      <c r="AA1799">
        <f>IF($Z1799=1,SUM($Z$3:$Z1799),"")</f>
        <v/>
      </c>
      <c r="AB1799">
        <f>IF(OR($A1799="",PESQUISA!$C$50=""),0,IF(ISNUMBER(SEARCH(PESQUISA!$C$50,$I1799)),1,0))</f>
        <v/>
      </c>
      <c r="AC1799">
        <f>IF($AB1799=1,SUM($AB$3:$AB1799),"")</f>
        <v/>
      </c>
    </row>
    <row r="1800">
      <c r="A1800" s="20" t="n"/>
      <c r="B1800" s="20" t="n"/>
      <c r="C1800" s="20" t="n"/>
      <c r="D1800" s="20" t="n"/>
      <c r="E1800" s="20" t="n"/>
      <c r="F1800" s="20" t="n"/>
      <c r="G1800" s="20" t="n"/>
      <c r="H1800" s="20" t="n"/>
      <c r="I1800" s="20" t="n"/>
      <c r="J1800" s="20">
        <f>IFERROR(INDEX(CONFIGURACOES!$G$37:$G$300,MATCH($I1800,CONFIGURACOES!$B$37:$B$300,0)),"")</f>
        <v/>
      </c>
      <c r="K1800" s="20">
        <f>IFERROR(INDEX(CONFIGURACOES!$H$37:$H$300,MATCH($I1800,CONFIGURACOES!$B$37:$B$300,0)),"")</f>
        <v/>
      </c>
      <c r="L1800" s="20" t="n"/>
      <c r="M1800" s="20">
        <f>IFERROR(INDEX(CONFIGURACOES!$I$37:$I$300,MATCH($I1800,CONFIGURACOES!$B$37:$B$300,0)),"")</f>
        <v/>
      </c>
      <c r="N1800" s="21" t="n"/>
      <c r="O1800" s="21" t="n"/>
      <c r="P1800" s="21" t="n"/>
      <c r="Q1800" s="21" t="n"/>
      <c r="R1800" s="21">
        <f>IF($N1800="","",$N1800*IF($Q1800="",1,$Q1800)*IF($P1800="",1,$P1800)*IF($O1800="",1,$O1800))</f>
        <v/>
      </c>
      <c r="S1800" s="22">
        <f>IFERROR(INDEX(CONFIGURACOES!$J$37:$J$300,MATCH($I1800,CONFIGURACOES!$B$37:$B$300,0)),"")</f>
        <v/>
      </c>
      <c r="T1800" s="22">
        <f>IF(OR($R1800="",$S1800=""),"",$R1800*$S1800)</f>
        <v/>
      </c>
      <c r="U1800" s="20" t="n"/>
      <c r="V1800" s="20" t="n"/>
      <c r="W1800" s="20" t="n"/>
      <c r="X1800">
        <f>IF($A1800="","",$A1800&amp;"|"&amp;$C1800&amp;"|"&amp;$I1800)</f>
        <v/>
      </c>
      <c r="Y1800">
        <f>IF(AND($A1800=RELATORIO_MEDICAO!$C$5,$C1800=RELATORIO_MEDICAO!$F$5,$A1800&lt;&gt;""),COUNTIFS($A$3:$A1800,RELATORIO_MEDICAO!$C$5,$C$3:$C1800,RELATORIO_MEDICAO!$F$5),"")</f>
        <v/>
      </c>
      <c r="Z1800">
        <f>IF(OR($A1800="",PESQUISA!$C$4=""),0,IF(OR(ISNUMBER(SEARCH(PESQUISA!$C$4,$G1800)),ISNUMBER(SEARCH(PESQUISA!$C$4,$K1800)),ISNUMBER(SEARCH(PESQUISA!$C$4,$L1800))),1,0))</f>
        <v/>
      </c>
      <c r="AA1800">
        <f>IF($Z1800=1,SUM($Z$3:$Z1800),"")</f>
        <v/>
      </c>
      <c r="AB1800">
        <f>IF(OR($A1800="",PESQUISA!$C$50=""),0,IF(ISNUMBER(SEARCH(PESQUISA!$C$50,$I1800)),1,0))</f>
        <v/>
      </c>
      <c r="AC1800">
        <f>IF($AB1800=1,SUM($AB$3:$AB1800),"")</f>
        <v/>
      </c>
    </row>
    <row r="1801">
      <c r="A1801" s="20" t="n"/>
      <c r="B1801" s="20" t="n"/>
      <c r="C1801" s="20" t="n"/>
      <c r="D1801" s="20" t="n"/>
      <c r="E1801" s="20" t="n"/>
      <c r="F1801" s="20" t="n"/>
      <c r="G1801" s="20" t="n"/>
      <c r="H1801" s="20" t="n"/>
      <c r="I1801" s="20" t="n"/>
      <c r="J1801" s="20">
        <f>IFERROR(INDEX(CONFIGURACOES!$G$37:$G$300,MATCH($I1801,CONFIGURACOES!$B$37:$B$300,0)),"")</f>
        <v/>
      </c>
      <c r="K1801" s="20">
        <f>IFERROR(INDEX(CONFIGURACOES!$H$37:$H$300,MATCH($I1801,CONFIGURACOES!$B$37:$B$300,0)),"")</f>
        <v/>
      </c>
      <c r="L1801" s="20" t="n"/>
      <c r="M1801" s="20">
        <f>IFERROR(INDEX(CONFIGURACOES!$I$37:$I$300,MATCH($I1801,CONFIGURACOES!$B$37:$B$300,0)),"")</f>
        <v/>
      </c>
      <c r="N1801" s="21" t="n"/>
      <c r="O1801" s="21" t="n"/>
      <c r="P1801" s="21" t="n"/>
      <c r="Q1801" s="21" t="n"/>
      <c r="R1801" s="21">
        <f>IF($N1801="","",$N1801*IF($Q1801="",1,$Q1801)*IF($P1801="",1,$P1801)*IF($O1801="",1,$O1801))</f>
        <v/>
      </c>
      <c r="S1801" s="22">
        <f>IFERROR(INDEX(CONFIGURACOES!$J$37:$J$300,MATCH($I1801,CONFIGURACOES!$B$37:$B$300,0)),"")</f>
        <v/>
      </c>
      <c r="T1801" s="22">
        <f>IF(OR($R1801="",$S1801=""),"",$R1801*$S1801)</f>
        <v/>
      </c>
      <c r="U1801" s="20" t="n"/>
      <c r="V1801" s="20" t="n"/>
      <c r="W1801" s="20" t="n"/>
      <c r="X1801">
        <f>IF($A1801="","",$A1801&amp;"|"&amp;$C1801&amp;"|"&amp;$I1801)</f>
        <v/>
      </c>
      <c r="Y1801">
        <f>IF(AND($A1801=RELATORIO_MEDICAO!$C$5,$C1801=RELATORIO_MEDICAO!$F$5,$A1801&lt;&gt;""),COUNTIFS($A$3:$A1801,RELATORIO_MEDICAO!$C$5,$C$3:$C1801,RELATORIO_MEDICAO!$F$5),"")</f>
        <v/>
      </c>
      <c r="Z1801">
        <f>IF(OR($A1801="",PESQUISA!$C$4=""),0,IF(OR(ISNUMBER(SEARCH(PESQUISA!$C$4,$G1801)),ISNUMBER(SEARCH(PESQUISA!$C$4,$K1801)),ISNUMBER(SEARCH(PESQUISA!$C$4,$L1801))),1,0))</f>
        <v/>
      </c>
      <c r="AA1801">
        <f>IF($Z1801=1,SUM($Z$3:$Z1801),"")</f>
        <v/>
      </c>
      <c r="AB1801">
        <f>IF(OR($A1801="",PESQUISA!$C$50=""),0,IF(ISNUMBER(SEARCH(PESQUISA!$C$50,$I1801)),1,0))</f>
        <v/>
      </c>
      <c r="AC1801">
        <f>IF($AB1801=1,SUM($AB$3:$AB1801),"")</f>
        <v/>
      </c>
    </row>
    <row r="1802">
      <c r="A1802" s="20" t="n"/>
      <c r="B1802" s="20" t="n"/>
      <c r="C1802" s="20" t="n"/>
      <c r="D1802" s="20" t="n"/>
      <c r="E1802" s="20" t="n"/>
      <c r="F1802" s="20" t="n"/>
      <c r="G1802" s="20" t="n"/>
      <c r="H1802" s="20" t="n"/>
      <c r="I1802" s="20" t="n"/>
      <c r="J1802" s="20">
        <f>IFERROR(INDEX(CONFIGURACOES!$G$37:$G$300,MATCH($I1802,CONFIGURACOES!$B$37:$B$300,0)),"")</f>
        <v/>
      </c>
      <c r="K1802" s="20">
        <f>IFERROR(INDEX(CONFIGURACOES!$H$37:$H$300,MATCH($I1802,CONFIGURACOES!$B$37:$B$300,0)),"")</f>
        <v/>
      </c>
      <c r="L1802" s="20" t="n"/>
      <c r="M1802" s="20">
        <f>IFERROR(INDEX(CONFIGURACOES!$I$37:$I$300,MATCH($I1802,CONFIGURACOES!$B$37:$B$300,0)),"")</f>
        <v/>
      </c>
      <c r="N1802" s="21" t="n"/>
      <c r="O1802" s="21" t="n"/>
      <c r="P1802" s="21" t="n"/>
      <c r="Q1802" s="21" t="n"/>
      <c r="R1802" s="21">
        <f>IF($N1802="","",$N1802*IF($Q1802="",1,$Q1802)*IF($P1802="",1,$P1802)*IF($O1802="",1,$O1802))</f>
        <v/>
      </c>
      <c r="S1802" s="22">
        <f>IFERROR(INDEX(CONFIGURACOES!$J$37:$J$300,MATCH($I1802,CONFIGURACOES!$B$37:$B$300,0)),"")</f>
        <v/>
      </c>
      <c r="T1802" s="22">
        <f>IF(OR($R1802="",$S1802=""),"",$R1802*$S1802)</f>
        <v/>
      </c>
      <c r="U1802" s="20" t="n"/>
      <c r="V1802" s="20" t="n"/>
      <c r="W1802" s="20" t="n"/>
      <c r="X1802">
        <f>IF($A1802="","",$A1802&amp;"|"&amp;$C1802&amp;"|"&amp;$I1802)</f>
        <v/>
      </c>
      <c r="Y1802">
        <f>IF(AND($A1802=RELATORIO_MEDICAO!$C$5,$C1802=RELATORIO_MEDICAO!$F$5,$A1802&lt;&gt;""),COUNTIFS($A$3:$A1802,RELATORIO_MEDICAO!$C$5,$C$3:$C1802,RELATORIO_MEDICAO!$F$5),"")</f>
        <v/>
      </c>
      <c r="Z1802">
        <f>IF(OR($A1802="",PESQUISA!$C$4=""),0,IF(OR(ISNUMBER(SEARCH(PESQUISA!$C$4,$G1802)),ISNUMBER(SEARCH(PESQUISA!$C$4,$K1802)),ISNUMBER(SEARCH(PESQUISA!$C$4,$L1802))),1,0))</f>
        <v/>
      </c>
      <c r="AA1802">
        <f>IF($Z1802=1,SUM($Z$3:$Z1802),"")</f>
        <v/>
      </c>
      <c r="AB1802">
        <f>IF(OR($A1802="",PESQUISA!$C$50=""),0,IF(ISNUMBER(SEARCH(PESQUISA!$C$50,$I1802)),1,0))</f>
        <v/>
      </c>
      <c r="AC1802">
        <f>IF($AB1802=1,SUM($AB$3:$AB1802),"")</f>
        <v/>
      </c>
    </row>
    <row r="1803">
      <c r="A1803" s="20" t="n"/>
      <c r="B1803" s="20" t="n"/>
      <c r="C1803" s="20" t="n"/>
      <c r="D1803" s="20" t="n"/>
      <c r="E1803" s="20" t="n"/>
      <c r="F1803" s="20" t="n"/>
      <c r="G1803" s="20" t="n"/>
      <c r="H1803" s="20" t="n"/>
      <c r="I1803" s="20" t="n"/>
      <c r="J1803" s="20">
        <f>IFERROR(INDEX(CONFIGURACOES!$G$37:$G$300,MATCH($I1803,CONFIGURACOES!$B$37:$B$300,0)),"")</f>
        <v/>
      </c>
      <c r="K1803" s="20">
        <f>IFERROR(INDEX(CONFIGURACOES!$H$37:$H$300,MATCH($I1803,CONFIGURACOES!$B$37:$B$300,0)),"")</f>
        <v/>
      </c>
      <c r="L1803" s="20" t="n"/>
      <c r="M1803" s="20">
        <f>IFERROR(INDEX(CONFIGURACOES!$I$37:$I$300,MATCH($I1803,CONFIGURACOES!$B$37:$B$300,0)),"")</f>
        <v/>
      </c>
      <c r="N1803" s="21" t="n"/>
      <c r="O1803" s="21" t="n"/>
      <c r="P1803" s="21" t="n"/>
      <c r="Q1803" s="21" t="n"/>
      <c r="R1803" s="21">
        <f>IF($N1803="","",$N1803*IF($Q1803="",1,$Q1803)*IF($P1803="",1,$P1803)*IF($O1803="",1,$O1803))</f>
        <v/>
      </c>
      <c r="S1803" s="22">
        <f>IFERROR(INDEX(CONFIGURACOES!$J$37:$J$300,MATCH($I1803,CONFIGURACOES!$B$37:$B$300,0)),"")</f>
        <v/>
      </c>
      <c r="T1803" s="22">
        <f>IF(OR($R1803="",$S1803=""),"",$R1803*$S1803)</f>
        <v/>
      </c>
      <c r="U1803" s="20" t="n"/>
      <c r="V1803" s="20" t="n"/>
      <c r="W1803" s="20" t="n"/>
      <c r="X1803">
        <f>IF($A1803="","",$A1803&amp;"|"&amp;$C1803&amp;"|"&amp;$I1803)</f>
        <v/>
      </c>
      <c r="Y1803">
        <f>IF(AND($A1803=RELATORIO_MEDICAO!$C$5,$C1803=RELATORIO_MEDICAO!$F$5,$A1803&lt;&gt;""),COUNTIFS($A$3:$A1803,RELATORIO_MEDICAO!$C$5,$C$3:$C1803,RELATORIO_MEDICAO!$F$5),"")</f>
        <v/>
      </c>
      <c r="Z1803">
        <f>IF(OR($A1803="",PESQUISA!$C$4=""),0,IF(OR(ISNUMBER(SEARCH(PESQUISA!$C$4,$G1803)),ISNUMBER(SEARCH(PESQUISA!$C$4,$K1803)),ISNUMBER(SEARCH(PESQUISA!$C$4,$L1803))),1,0))</f>
        <v/>
      </c>
      <c r="AA1803">
        <f>IF($Z1803=1,SUM($Z$3:$Z1803),"")</f>
        <v/>
      </c>
      <c r="AB1803">
        <f>IF(OR($A1803="",PESQUISA!$C$50=""),0,IF(ISNUMBER(SEARCH(PESQUISA!$C$50,$I1803)),1,0))</f>
        <v/>
      </c>
      <c r="AC1803">
        <f>IF($AB1803=1,SUM($AB$3:$AB1803),"")</f>
        <v/>
      </c>
    </row>
    <row r="1804">
      <c r="A1804" s="20" t="n"/>
      <c r="B1804" s="20" t="n"/>
      <c r="C1804" s="20" t="n"/>
      <c r="D1804" s="20" t="n"/>
      <c r="E1804" s="20" t="n"/>
      <c r="F1804" s="20" t="n"/>
      <c r="G1804" s="20" t="n"/>
      <c r="H1804" s="20" t="n"/>
      <c r="I1804" s="20" t="n"/>
      <c r="J1804" s="20">
        <f>IFERROR(INDEX(CONFIGURACOES!$G$37:$G$300,MATCH($I1804,CONFIGURACOES!$B$37:$B$300,0)),"")</f>
        <v/>
      </c>
      <c r="K1804" s="20">
        <f>IFERROR(INDEX(CONFIGURACOES!$H$37:$H$300,MATCH($I1804,CONFIGURACOES!$B$37:$B$300,0)),"")</f>
        <v/>
      </c>
      <c r="L1804" s="20" t="n"/>
      <c r="M1804" s="20">
        <f>IFERROR(INDEX(CONFIGURACOES!$I$37:$I$300,MATCH($I1804,CONFIGURACOES!$B$37:$B$300,0)),"")</f>
        <v/>
      </c>
      <c r="N1804" s="21" t="n"/>
      <c r="O1804" s="21" t="n"/>
      <c r="P1804" s="21" t="n"/>
      <c r="Q1804" s="21" t="n"/>
      <c r="R1804" s="21">
        <f>IF($N1804="","",$N1804*IF($Q1804="",1,$Q1804)*IF($P1804="",1,$P1804)*IF($O1804="",1,$O1804))</f>
        <v/>
      </c>
      <c r="S1804" s="22">
        <f>IFERROR(INDEX(CONFIGURACOES!$J$37:$J$300,MATCH($I1804,CONFIGURACOES!$B$37:$B$300,0)),"")</f>
        <v/>
      </c>
      <c r="T1804" s="22">
        <f>IF(OR($R1804="",$S1804=""),"",$R1804*$S1804)</f>
        <v/>
      </c>
      <c r="U1804" s="20" t="n"/>
      <c r="V1804" s="20" t="n"/>
      <c r="W1804" s="20" t="n"/>
      <c r="X1804">
        <f>IF($A1804="","",$A1804&amp;"|"&amp;$C1804&amp;"|"&amp;$I1804)</f>
        <v/>
      </c>
      <c r="Y1804">
        <f>IF(AND($A1804=RELATORIO_MEDICAO!$C$5,$C1804=RELATORIO_MEDICAO!$F$5,$A1804&lt;&gt;""),COUNTIFS($A$3:$A1804,RELATORIO_MEDICAO!$C$5,$C$3:$C1804,RELATORIO_MEDICAO!$F$5),"")</f>
        <v/>
      </c>
      <c r="Z1804">
        <f>IF(OR($A1804="",PESQUISA!$C$4=""),0,IF(OR(ISNUMBER(SEARCH(PESQUISA!$C$4,$G1804)),ISNUMBER(SEARCH(PESQUISA!$C$4,$K1804)),ISNUMBER(SEARCH(PESQUISA!$C$4,$L1804))),1,0))</f>
        <v/>
      </c>
      <c r="AA1804">
        <f>IF($Z1804=1,SUM($Z$3:$Z1804),"")</f>
        <v/>
      </c>
      <c r="AB1804">
        <f>IF(OR($A1804="",PESQUISA!$C$50=""),0,IF(ISNUMBER(SEARCH(PESQUISA!$C$50,$I1804)),1,0))</f>
        <v/>
      </c>
      <c r="AC1804">
        <f>IF($AB1804=1,SUM($AB$3:$AB1804),"")</f>
        <v/>
      </c>
    </row>
    <row r="1805">
      <c r="A1805" s="20" t="n"/>
      <c r="B1805" s="20" t="n"/>
      <c r="C1805" s="20" t="n"/>
      <c r="D1805" s="20" t="n"/>
      <c r="E1805" s="20" t="n"/>
      <c r="F1805" s="20" t="n"/>
      <c r="G1805" s="20" t="n"/>
      <c r="H1805" s="20" t="n"/>
      <c r="I1805" s="20" t="n"/>
      <c r="J1805" s="20">
        <f>IFERROR(INDEX(CONFIGURACOES!$G$37:$G$300,MATCH($I1805,CONFIGURACOES!$B$37:$B$300,0)),"")</f>
        <v/>
      </c>
      <c r="K1805" s="20">
        <f>IFERROR(INDEX(CONFIGURACOES!$H$37:$H$300,MATCH($I1805,CONFIGURACOES!$B$37:$B$300,0)),"")</f>
        <v/>
      </c>
      <c r="L1805" s="20" t="n"/>
      <c r="M1805" s="20">
        <f>IFERROR(INDEX(CONFIGURACOES!$I$37:$I$300,MATCH($I1805,CONFIGURACOES!$B$37:$B$300,0)),"")</f>
        <v/>
      </c>
      <c r="N1805" s="21" t="n"/>
      <c r="O1805" s="21" t="n"/>
      <c r="P1805" s="21" t="n"/>
      <c r="Q1805" s="21" t="n"/>
      <c r="R1805" s="21">
        <f>IF($N1805="","",$N1805*IF($Q1805="",1,$Q1805)*IF($P1805="",1,$P1805)*IF($O1805="",1,$O1805))</f>
        <v/>
      </c>
      <c r="S1805" s="22">
        <f>IFERROR(INDEX(CONFIGURACOES!$J$37:$J$300,MATCH($I1805,CONFIGURACOES!$B$37:$B$300,0)),"")</f>
        <v/>
      </c>
      <c r="T1805" s="22">
        <f>IF(OR($R1805="",$S1805=""),"",$R1805*$S1805)</f>
        <v/>
      </c>
      <c r="U1805" s="20" t="n"/>
      <c r="V1805" s="20" t="n"/>
      <c r="W1805" s="20" t="n"/>
      <c r="X1805">
        <f>IF($A1805="","",$A1805&amp;"|"&amp;$C1805&amp;"|"&amp;$I1805)</f>
        <v/>
      </c>
      <c r="Y1805">
        <f>IF(AND($A1805=RELATORIO_MEDICAO!$C$5,$C1805=RELATORIO_MEDICAO!$F$5,$A1805&lt;&gt;""),COUNTIFS($A$3:$A1805,RELATORIO_MEDICAO!$C$5,$C$3:$C1805,RELATORIO_MEDICAO!$F$5),"")</f>
        <v/>
      </c>
      <c r="Z1805">
        <f>IF(OR($A1805="",PESQUISA!$C$4=""),0,IF(OR(ISNUMBER(SEARCH(PESQUISA!$C$4,$G1805)),ISNUMBER(SEARCH(PESQUISA!$C$4,$K1805)),ISNUMBER(SEARCH(PESQUISA!$C$4,$L1805))),1,0))</f>
        <v/>
      </c>
      <c r="AA1805">
        <f>IF($Z1805=1,SUM($Z$3:$Z1805),"")</f>
        <v/>
      </c>
      <c r="AB1805">
        <f>IF(OR($A1805="",PESQUISA!$C$50=""),0,IF(ISNUMBER(SEARCH(PESQUISA!$C$50,$I1805)),1,0))</f>
        <v/>
      </c>
      <c r="AC1805">
        <f>IF($AB1805=1,SUM($AB$3:$AB1805),"")</f>
        <v/>
      </c>
    </row>
    <row r="1806">
      <c r="A1806" s="20" t="n"/>
      <c r="B1806" s="20" t="n"/>
      <c r="C1806" s="20" t="n"/>
      <c r="D1806" s="20" t="n"/>
      <c r="E1806" s="20" t="n"/>
      <c r="F1806" s="20" t="n"/>
      <c r="G1806" s="20" t="n"/>
      <c r="H1806" s="20" t="n"/>
      <c r="I1806" s="20" t="n"/>
      <c r="J1806" s="20">
        <f>IFERROR(INDEX(CONFIGURACOES!$G$37:$G$300,MATCH($I1806,CONFIGURACOES!$B$37:$B$300,0)),"")</f>
        <v/>
      </c>
      <c r="K1806" s="20">
        <f>IFERROR(INDEX(CONFIGURACOES!$H$37:$H$300,MATCH($I1806,CONFIGURACOES!$B$37:$B$300,0)),"")</f>
        <v/>
      </c>
      <c r="L1806" s="20" t="n"/>
      <c r="M1806" s="20">
        <f>IFERROR(INDEX(CONFIGURACOES!$I$37:$I$300,MATCH($I1806,CONFIGURACOES!$B$37:$B$300,0)),"")</f>
        <v/>
      </c>
      <c r="N1806" s="21" t="n"/>
      <c r="O1806" s="21" t="n"/>
      <c r="P1806" s="21" t="n"/>
      <c r="Q1806" s="21" t="n"/>
      <c r="R1806" s="21">
        <f>IF($N1806="","",$N1806*IF($Q1806="",1,$Q1806)*IF($P1806="",1,$P1806)*IF($O1806="",1,$O1806))</f>
        <v/>
      </c>
      <c r="S1806" s="22">
        <f>IFERROR(INDEX(CONFIGURACOES!$J$37:$J$300,MATCH($I1806,CONFIGURACOES!$B$37:$B$300,0)),"")</f>
        <v/>
      </c>
      <c r="T1806" s="22">
        <f>IF(OR($R1806="",$S1806=""),"",$R1806*$S1806)</f>
        <v/>
      </c>
      <c r="U1806" s="20" t="n"/>
      <c r="V1806" s="20" t="n"/>
      <c r="W1806" s="20" t="n"/>
      <c r="X1806">
        <f>IF($A1806="","",$A1806&amp;"|"&amp;$C1806&amp;"|"&amp;$I1806)</f>
        <v/>
      </c>
      <c r="Y1806">
        <f>IF(AND($A1806=RELATORIO_MEDICAO!$C$5,$C1806=RELATORIO_MEDICAO!$F$5,$A1806&lt;&gt;""),COUNTIFS($A$3:$A1806,RELATORIO_MEDICAO!$C$5,$C$3:$C1806,RELATORIO_MEDICAO!$F$5),"")</f>
        <v/>
      </c>
      <c r="Z1806">
        <f>IF(OR($A1806="",PESQUISA!$C$4=""),0,IF(OR(ISNUMBER(SEARCH(PESQUISA!$C$4,$G1806)),ISNUMBER(SEARCH(PESQUISA!$C$4,$K1806)),ISNUMBER(SEARCH(PESQUISA!$C$4,$L1806))),1,0))</f>
        <v/>
      </c>
      <c r="AA1806">
        <f>IF($Z1806=1,SUM($Z$3:$Z1806),"")</f>
        <v/>
      </c>
      <c r="AB1806">
        <f>IF(OR($A1806="",PESQUISA!$C$50=""),0,IF(ISNUMBER(SEARCH(PESQUISA!$C$50,$I1806)),1,0))</f>
        <v/>
      </c>
      <c r="AC1806">
        <f>IF($AB1806=1,SUM($AB$3:$AB1806),"")</f>
        <v/>
      </c>
    </row>
    <row r="1807">
      <c r="A1807" s="20" t="n"/>
      <c r="B1807" s="20" t="n"/>
      <c r="C1807" s="20" t="n"/>
      <c r="D1807" s="20" t="n"/>
      <c r="E1807" s="20" t="n"/>
      <c r="F1807" s="20" t="n"/>
      <c r="G1807" s="20" t="n"/>
      <c r="H1807" s="20" t="n"/>
      <c r="I1807" s="20" t="n"/>
      <c r="J1807" s="20">
        <f>IFERROR(INDEX(CONFIGURACOES!$G$37:$G$300,MATCH($I1807,CONFIGURACOES!$B$37:$B$300,0)),"")</f>
        <v/>
      </c>
      <c r="K1807" s="20">
        <f>IFERROR(INDEX(CONFIGURACOES!$H$37:$H$300,MATCH($I1807,CONFIGURACOES!$B$37:$B$300,0)),"")</f>
        <v/>
      </c>
      <c r="L1807" s="20" t="n"/>
      <c r="M1807" s="20">
        <f>IFERROR(INDEX(CONFIGURACOES!$I$37:$I$300,MATCH($I1807,CONFIGURACOES!$B$37:$B$300,0)),"")</f>
        <v/>
      </c>
      <c r="N1807" s="21" t="n"/>
      <c r="O1807" s="21" t="n"/>
      <c r="P1807" s="21" t="n"/>
      <c r="Q1807" s="21" t="n"/>
      <c r="R1807" s="21">
        <f>IF($N1807="","",$N1807*IF($Q1807="",1,$Q1807)*IF($P1807="",1,$P1807)*IF($O1807="",1,$O1807))</f>
        <v/>
      </c>
      <c r="S1807" s="22">
        <f>IFERROR(INDEX(CONFIGURACOES!$J$37:$J$300,MATCH($I1807,CONFIGURACOES!$B$37:$B$300,0)),"")</f>
        <v/>
      </c>
      <c r="T1807" s="22">
        <f>IF(OR($R1807="",$S1807=""),"",$R1807*$S1807)</f>
        <v/>
      </c>
      <c r="U1807" s="20" t="n"/>
      <c r="V1807" s="20" t="n"/>
      <c r="W1807" s="20" t="n"/>
      <c r="X1807">
        <f>IF($A1807="","",$A1807&amp;"|"&amp;$C1807&amp;"|"&amp;$I1807)</f>
        <v/>
      </c>
      <c r="Y1807">
        <f>IF(AND($A1807=RELATORIO_MEDICAO!$C$5,$C1807=RELATORIO_MEDICAO!$F$5,$A1807&lt;&gt;""),COUNTIFS($A$3:$A1807,RELATORIO_MEDICAO!$C$5,$C$3:$C1807,RELATORIO_MEDICAO!$F$5),"")</f>
        <v/>
      </c>
      <c r="Z1807">
        <f>IF(OR($A1807="",PESQUISA!$C$4=""),0,IF(OR(ISNUMBER(SEARCH(PESQUISA!$C$4,$G1807)),ISNUMBER(SEARCH(PESQUISA!$C$4,$K1807)),ISNUMBER(SEARCH(PESQUISA!$C$4,$L1807))),1,0))</f>
        <v/>
      </c>
      <c r="AA1807">
        <f>IF($Z1807=1,SUM($Z$3:$Z1807),"")</f>
        <v/>
      </c>
      <c r="AB1807">
        <f>IF(OR($A1807="",PESQUISA!$C$50=""),0,IF(ISNUMBER(SEARCH(PESQUISA!$C$50,$I1807)),1,0))</f>
        <v/>
      </c>
      <c r="AC1807">
        <f>IF($AB1807=1,SUM($AB$3:$AB1807),"")</f>
        <v/>
      </c>
    </row>
    <row r="1808">
      <c r="A1808" s="20" t="n"/>
      <c r="B1808" s="20" t="n"/>
      <c r="C1808" s="20" t="n"/>
      <c r="D1808" s="20" t="n"/>
      <c r="E1808" s="20" t="n"/>
      <c r="F1808" s="20" t="n"/>
      <c r="G1808" s="20" t="n"/>
      <c r="H1808" s="20" t="n"/>
      <c r="I1808" s="20" t="n"/>
      <c r="J1808" s="20">
        <f>IFERROR(INDEX(CONFIGURACOES!$G$37:$G$300,MATCH($I1808,CONFIGURACOES!$B$37:$B$300,0)),"")</f>
        <v/>
      </c>
      <c r="K1808" s="20">
        <f>IFERROR(INDEX(CONFIGURACOES!$H$37:$H$300,MATCH($I1808,CONFIGURACOES!$B$37:$B$300,0)),"")</f>
        <v/>
      </c>
      <c r="L1808" s="20" t="n"/>
      <c r="M1808" s="20">
        <f>IFERROR(INDEX(CONFIGURACOES!$I$37:$I$300,MATCH($I1808,CONFIGURACOES!$B$37:$B$300,0)),"")</f>
        <v/>
      </c>
      <c r="N1808" s="21" t="n"/>
      <c r="O1808" s="21" t="n"/>
      <c r="P1808" s="21" t="n"/>
      <c r="Q1808" s="21" t="n"/>
      <c r="R1808" s="21">
        <f>IF($N1808="","",$N1808*IF($Q1808="",1,$Q1808)*IF($P1808="",1,$P1808)*IF($O1808="",1,$O1808))</f>
        <v/>
      </c>
      <c r="S1808" s="22">
        <f>IFERROR(INDEX(CONFIGURACOES!$J$37:$J$300,MATCH($I1808,CONFIGURACOES!$B$37:$B$300,0)),"")</f>
        <v/>
      </c>
      <c r="T1808" s="22">
        <f>IF(OR($R1808="",$S1808=""),"",$R1808*$S1808)</f>
        <v/>
      </c>
      <c r="U1808" s="20" t="n"/>
      <c r="V1808" s="20" t="n"/>
      <c r="W1808" s="20" t="n"/>
      <c r="X1808">
        <f>IF($A1808="","",$A1808&amp;"|"&amp;$C1808&amp;"|"&amp;$I1808)</f>
        <v/>
      </c>
      <c r="Y1808">
        <f>IF(AND($A1808=RELATORIO_MEDICAO!$C$5,$C1808=RELATORIO_MEDICAO!$F$5,$A1808&lt;&gt;""),COUNTIFS($A$3:$A1808,RELATORIO_MEDICAO!$C$5,$C$3:$C1808,RELATORIO_MEDICAO!$F$5),"")</f>
        <v/>
      </c>
      <c r="Z1808">
        <f>IF(OR($A1808="",PESQUISA!$C$4=""),0,IF(OR(ISNUMBER(SEARCH(PESQUISA!$C$4,$G1808)),ISNUMBER(SEARCH(PESQUISA!$C$4,$K1808)),ISNUMBER(SEARCH(PESQUISA!$C$4,$L1808))),1,0))</f>
        <v/>
      </c>
      <c r="AA1808">
        <f>IF($Z1808=1,SUM($Z$3:$Z1808),"")</f>
        <v/>
      </c>
      <c r="AB1808">
        <f>IF(OR($A1808="",PESQUISA!$C$50=""),0,IF(ISNUMBER(SEARCH(PESQUISA!$C$50,$I1808)),1,0))</f>
        <v/>
      </c>
      <c r="AC1808">
        <f>IF($AB1808=1,SUM($AB$3:$AB1808),"")</f>
        <v/>
      </c>
    </row>
    <row r="1809">
      <c r="A1809" s="20" t="n"/>
      <c r="B1809" s="20" t="n"/>
      <c r="C1809" s="20" t="n"/>
      <c r="D1809" s="20" t="n"/>
      <c r="E1809" s="20" t="n"/>
      <c r="F1809" s="20" t="n"/>
      <c r="G1809" s="20" t="n"/>
      <c r="H1809" s="20" t="n"/>
      <c r="I1809" s="20" t="n"/>
      <c r="J1809" s="20">
        <f>IFERROR(INDEX(CONFIGURACOES!$G$37:$G$300,MATCH($I1809,CONFIGURACOES!$B$37:$B$300,0)),"")</f>
        <v/>
      </c>
      <c r="K1809" s="20">
        <f>IFERROR(INDEX(CONFIGURACOES!$H$37:$H$300,MATCH($I1809,CONFIGURACOES!$B$37:$B$300,0)),"")</f>
        <v/>
      </c>
      <c r="L1809" s="20" t="n"/>
      <c r="M1809" s="20">
        <f>IFERROR(INDEX(CONFIGURACOES!$I$37:$I$300,MATCH($I1809,CONFIGURACOES!$B$37:$B$300,0)),"")</f>
        <v/>
      </c>
      <c r="N1809" s="21" t="n"/>
      <c r="O1809" s="21" t="n"/>
      <c r="P1809" s="21" t="n"/>
      <c r="Q1809" s="21" t="n"/>
      <c r="R1809" s="21">
        <f>IF($N1809="","",$N1809*IF($Q1809="",1,$Q1809)*IF($P1809="",1,$P1809)*IF($O1809="",1,$O1809))</f>
        <v/>
      </c>
      <c r="S1809" s="22">
        <f>IFERROR(INDEX(CONFIGURACOES!$J$37:$J$300,MATCH($I1809,CONFIGURACOES!$B$37:$B$300,0)),"")</f>
        <v/>
      </c>
      <c r="T1809" s="22">
        <f>IF(OR($R1809="",$S1809=""),"",$R1809*$S1809)</f>
        <v/>
      </c>
      <c r="U1809" s="20" t="n"/>
      <c r="V1809" s="20" t="n"/>
      <c r="W1809" s="20" t="n"/>
      <c r="X1809">
        <f>IF($A1809="","",$A1809&amp;"|"&amp;$C1809&amp;"|"&amp;$I1809)</f>
        <v/>
      </c>
      <c r="Y1809">
        <f>IF(AND($A1809=RELATORIO_MEDICAO!$C$5,$C1809=RELATORIO_MEDICAO!$F$5,$A1809&lt;&gt;""),COUNTIFS($A$3:$A1809,RELATORIO_MEDICAO!$C$5,$C$3:$C1809,RELATORIO_MEDICAO!$F$5),"")</f>
        <v/>
      </c>
      <c r="Z1809">
        <f>IF(OR($A1809="",PESQUISA!$C$4=""),0,IF(OR(ISNUMBER(SEARCH(PESQUISA!$C$4,$G1809)),ISNUMBER(SEARCH(PESQUISA!$C$4,$K1809)),ISNUMBER(SEARCH(PESQUISA!$C$4,$L1809))),1,0))</f>
        <v/>
      </c>
      <c r="AA1809">
        <f>IF($Z1809=1,SUM($Z$3:$Z1809),"")</f>
        <v/>
      </c>
      <c r="AB1809">
        <f>IF(OR($A1809="",PESQUISA!$C$50=""),0,IF(ISNUMBER(SEARCH(PESQUISA!$C$50,$I1809)),1,0))</f>
        <v/>
      </c>
      <c r="AC1809">
        <f>IF($AB1809=1,SUM($AB$3:$AB1809),"")</f>
        <v/>
      </c>
    </row>
    <row r="1810">
      <c r="A1810" s="20" t="n"/>
      <c r="B1810" s="20" t="n"/>
      <c r="C1810" s="20" t="n"/>
      <c r="D1810" s="20" t="n"/>
      <c r="E1810" s="20" t="n"/>
      <c r="F1810" s="20" t="n"/>
      <c r="G1810" s="20" t="n"/>
      <c r="H1810" s="20" t="n"/>
      <c r="I1810" s="20" t="n"/>
      <c r="J1810" s="20">
        <f>IFERROR(INDEX(CONFIGURACOES!$G$37:$G$300,MATCH($I1810,CONFIGURACOES!$B$37:$B$300,0)),"")</f>
        <v/>
      </c>
      <c r="K1810" s="20">
        <f>IFERROR(INDEX(CONFIGURACOES!$H$37:$H$300,MATCH($I1810,CONFIGURACOES!$B$37:$B$300,0)),"")</f>
        <v/>
      </c>
      <c r="L1810" s="20" t="n"/>
      <c r="M1810" s="20">
        <f>IFERROR(INDEX(CONFIGURACOES!$I$37:$I$300,MATCH($I1810,CONFIGURACOES!$B$37:$B$300,0)),"")</f>
        <v/>
      </c>
      <c r="N1810" s="21" t="n"/>
      <c r="O1810" s="21" t="n"/>
      <c r="P1810" s="21" t="n"/>
      <c r="Q1810" s="21" t="n"/>
      <c r="R1810" s="21">
        <f>IF($N1810="","",$N1810*IF($Q1810="",1,$Q1810)*IF($P1810="",1,$P1810)*IF($O1810="",1,$O1810))</f>
        <v/>
      </c>
      <c r="S1810" s="22">
        <f>IFERROR(INDEX(CONFIGURACOES!$J$37:$J$300,MATCH($I1810,CONFIGURACOES!$B$37:$B$300,0)),"")</f>
        <v/>
      </c>
      <c r="T1810" s="22">
        <f>IF(OR($R1810="",$S1810=""),"",$R1810*$S1810)</f>
        <v/>
      </c>
      <c r="U1810" s="20" t="n"/>
      <c r="V1810" s="20" t="n"/>
      <c r="W1810" s="20" t="n"/>
      <c r="X1810">
        <f>IF($A1810="","",$A1810&amp;"|"&amp;$C1810&amp;"|"&amp;$I1810)</f>
        <v/>
      </c>
      <c r="Y1810">
        <f>IF(AND($A1810=RELATORIO_MEDICAO!$C$5,$C1810=RELATORIO_MEDICAO!$F$5,$A1810&lt;&gt;""),COUNTIFS($A$3:$A1810,RELATORIO_MEDICAO!$C$5,$C$3:$C1810,RELATORIO_MEDICAO!$F$5),"")</f>
        <v/>
      </c>
      <c r="Z1810">
        <f>IF(OR($A1810="",PESQUISA!$C$4=""),0,IF(OR(ISNUMBER(SEARCH(PESQUISA!$C$4,$G1810)),ISNUMBER(SEARCH(PESQUISA!$C$4,$K1810)),ISNUMBER(SEARCH(PESQUISA!$C$4,$L1810))),1,0))</f>
        <v/>
      </c>
      <c r="AA1810">
        <f>IF($Z1810=1,SUM($Z$3:$Z1810),"")</f>
        <v/>
      </c>
      <c r="AB1810">
        <f>IF(OR($A1810="",PESQUISA!$C$50=""),0,IF(ISNUMBER(SEARCH(PESQUISA!$C$50,$I1810)),1,0))</f>
        <v/>
      </c>
      <c r="AC1810">
        <f>IF($AB1810=1,SUM($AB$3:$AB1810),"")</f>
        <v/>
      </c>
    </row>
    <row r="1811">
      <c r="A1811" s="20" t="n"/>
      <c r="B1811" s="20" t="n"/>
      <c r="C1811" s="20" t="n"/>
      <c r="D1811" s="20" t="n"/>
      <c r="E1811" s="20" t="n"/>
      <c r="F1811" s="20" t="n"/>
      <c r="G1811" s="20" t="n"/>
      <c r="H1811" s="20" t="n"/>
      <c r="I1811" s="20" t="n"/>
      <c r="J1811" s="20">
        <f>IFERROR(INDEX(CONFIGURACOES!$G$37:$G$300,MATCH($I1811,CONFIGURACOES!$B$37:$B$300,0)),"")</f>
        <v/>
      </c>
      <c r="K1811" s="20">
        <f>IFERROR(INDEX(CONFIGURACOES!$H$37:$H$300,MATCH($I1811,CONFIGURACOES!$B$37:$B$300,0)),"")</f>
        <v/>
      </c>
      <c r="L1811" s="20" t="n"/>
      <c r="M1811" s="20">
        <f>IFERROR(INDEX(CONFIGURACOES!$I$37:$I$300,MATCH($I1811,CONFIGURACOES!$B$37:$B$300,0)),"")</f>
        <v/>
      </c>
      <c r="N1811" s="21" t="n"/>
      <c r="O1811" s="21" t="n"/>
      <c r="P1811" s="21" t="n"/>
      <c r="Q1811" s="21" t="n"/>
      <c r="R1811" s="21">
        <f>IF($N1811="","",$N1811*IF($Q1811="",1,$Q1811)*IF($P1811="",1,$P1811)*IF($O1811="",1,$O1811))</f>
        <v/>
      </c>
      <c r="S1811" s="22">
        <f>IFERROR(INDEX(CONFIGURACOES!$J$37:$J$300,MATCH($I1811,CONFIGURACOES!$B$37:$B$300,0)),"")</f>
        <v/>
      </c>
      <c r="T1811" s="22">
        <f>IF(OR($R1811="",$S1811=""),"",$R1811*$S1811)</f>
        <v/>
      </c>
      <c r="U1811" s="20" t="n"/>
      <c r="V1811" s="20" t="n"/>
      <c r="W1811" s="20" t="n"/>
      <c r="X1811">
        <f>IF($A1811="","",$A1811&amp;"|"&amp;$C1811&amp;"|"&amp;$I1811)</f>
        <v/>
      </c>
      <c r="Y1811">
        <f>IF(AND($A1811=RELATORIO_MEDICAO!$C$5,$C1811=RELATORIO_MEDICAO!$F$5,$A1811&lt;&gt;""),COUNTIFS($A$3:$A1811,RELATORIO_MEDICAO!$C$5,$C$3:$C1811,RELATORIO_MEDICAO!$F$5),"")</f>
        <v/>
      </c>
      <c r="Z1811">
        <f>IF(OR($A1811="",PESQUISA!$C$4=""),0,IF(OR(ISNUMBER(SEARCH(PESQUISA!$C$4,$G1811)),ISNUMBER(SEARCH(PESQUISA!$C$4,$K1811)),ISNUMBER(SEARCH(PESQUISA!$C$4,$L1811))),1,0))</f>
        <v/>
      </c>
      <c r="AA1811">
        <f>IF($Z1811=1,SUM($Z$3:$Z1811),"")</f>
        <v/>
      </c>
      <c r="AB1811">
        <f>IF(OR($A1811="",PESQUISA!$C$50=""),0,IF(ISNUMBER(SEARCH(PESQUISA!$C$50,$I1811)),1,0))</f>
        <v/>
      </c>
      <c r="AC1811">
        <f>IF($AB1811=1,SUM($AB$3:$AB1811),"")</f>
        <v/>
      </c>
    </row>
    <row r="1812">
      <c r="A1812" s="20" t="n"/>
      <c r="B1812" s="20" t="n"/>
      <c r="C1812" s="20" t="n"/>
      <c r="D1812" s="20" t="n"/>
      <c r="E1812" s="20" t="n"/>
      <c r="F1812" s="20" t="n"/>
      <c r="G1812" s="20" t="n"/>
      <c r="H1812" s="20" t="n"/>
      <c r="I1812" s="20" t="n"/>
      <c r="J1812" s="20">
        <f>IFERROR(INDEX(CONFIGURACOES!$G$37:$G$300,MATCH($I1812,CONFIGURACOES!$B$37:$B$300,0)),"")</f>
        <v/>
      </c>
      <c r="K1812" s="20">
        <f>IFERROR(INDEX(CONFIGURACOES!$H$37:$H$300,MATCH($I1812,CONFIGURACOES!$B$37:$B$300,0)),"")</f>
        <v/>
      </c>
      <c r="L1812" s="20" t="n"/>
      <c r="M1812" s="20">
        <f>IFERROR(INDEX(CONFIGURACOES!$I$37:$I$300,MATCH($I1812,CONFIGURACOES!$B$37:$B$300,0)),"")</f>
        <v/>
      </c>
      <c r="N1812" s="21" t="n"/>
      <c r="O1812" s="21" t="n"/>
      <c r="P1812" s="21" t="n"/>
      <c r="Q1812" s="21" t="n"/>
      <c r="R1812" s="21">
        <f>IF($N1812="","",$N1812*IF($Q1812="",1,$Q1812)*IF($P1812="",1,$P1812)*IF($O1812="",1,$O1812))</f>
        <v/>
      </c>
      <c r="S1812" s="22">
        <f>IFERROR(INDEX(CONFIGURACOES!$J$37:$J$300,MATCH($I1812,CONFIGURACOES!$B$37:$B$300,0)),"")</f>
        <v/>
      </c>
      <c r="T1812" s="22">
        <f>IF(OR($R1812="",$S1812=""),"",$R1812*$S1812)</f>
        <v/>
      </c>
      <c r="U1812" s="20" t="n"/>
      <c r="V1812" s="20" t="n"/>
      <c r="W1812" s="20" t="n"/>
      <c r="X1812">
        <f>IF($A1812="","",$A1812&amp;"|"&amp;$C1812&amp;"|"&amp;$I1812)</f>
        <v/>
      </c>
      <c r="Y1812">
        <f>IF(AND($A1812=RELATORIO_MEDICAO!$C$5,$C1812=RELATORIO_MEDICAO!$F$5,$A1812&lt;&gt;""),COUNTIFS($A$3:$A1812,RELATORIO_MEDICAO!$C$5,$C$3:$C1812,RELATORIO_MEDICAO!$F$5),"")</f>
        <v/>
      </c>
      <c r="Z1812">
        <f>IF(OR($A1812="",PESQUISA!$C$4=""),0,IF(OR(ISNUMBER(SEARCH(PESQUISA!$C$4,$G1812)),ISNUMBER(SEARCH(PESQUISA!$C$4,$K1812)),ISNUMBER(SEARCH(PESQUISA!$C$4,$L1812))),1,0))</f>
        <v/>
      </c>
      <c r="AA1812">
        <f>IF($Z1812=1,SUM($Z$3:$Z1812),"")</f>
        <v/>
      </c>
      <c r="AB1812">
        <f>IF(OR($A1812="",PESQUISA!$C$50=""),0,IF(ISNUMBER(SEARCH(PESQUISA!$C$50,$I1812)),1,0))</f>
        <v/>
      </c>
      <c r="AC1812">
        <f>IF($AB1812=1,SUM($AB$3:$AB1812),"")</f>
        <v/>
      </c>
    </row>
    <row r="1813">
      <c r="A1813" s="20" t="n"/>
      <c r="B1813" s="20" t="n"/>
      <c r="C1813" s="20" t="n"/>
      <c r="D1813" s="20" t="n"/>
      <c r="E1813" s="20" t="n"/>
      <c r="F1813" s="20" t="n"/>
      <c r="G1813" s="20" t="n"/>
      <c r="H1813" s="20" t="n"/>
      <c r="I1813" s="20" t="n"/>
      <c r="J1813" s="20">
        <f>IFERROR(INDEX(CONFIGURACOES!$G$37:$G$300,MATCH($I1813,CONFIGURACOES!$B$37:$B$300,0)),"")</f>
        <v/>
      </c>
      <c r="K1813" s="20">
        <f>IFERROR(INDEX(CONFIGURACOES!$H$37:$H$300,MATCH($I1813,CONFIGURACOES!$B$37:$B$300,0)),"")</f>
        <v/>
      </c>
      <c r="L1813" s="20" t="n"/>
      <c r="M1813" s="20">
        <f>IFERROR(INDEX(CONFIGURACOES!$I$37:$I$300,MATCH($I1813,CONFIGURACOES!$B$37:$B$300,0)),"")</f>
        <v/>
      </c>
      <c r="N1813" s="21" t="n"/>
      <c r="O1813" s="21" t="n"/>
      <c r="P1813" s="21" t="n"/>
      <c r="Q1813" s="21" t="n"/>
      <c r="R1813" s="21">
        <f>IF($N1813="","",$N1813*IF($Q1813="",1,$Q1813)*IF($P1813="",1,$P1813)*IF($O1813="",1,$O1813))</f>
        <v/>
      </c>
      <c r="S1813" s="22">
        <f>IFERROR(INDEX(CONFIGURACOES!$J$37:$J$300,MATCH($I1813,CONFIGURACOES!$B$37:$B$300,0)),"")</f>
        <v/>
      </c>
      <c r="T1813" s="22">
        <f>IF(OR($R1813="",$S1813=""),"",$R1813*$S1813)</f>
        <v/>
      </c>
      <c r="U1813" s="20" t="n"/>
      <c r="V1813" s="20" t="n"/>
      <c r="W1813" s="20" t="n"/>
      <c r="X1813">
        <f>IF($A1813="","",$A1813&amp;"|"&amp;$C1813&amp;"|"&amp;$I1813)</f>
        <v/>
      </c>
      <c r="Y1813">
        <f>IF(AND($A1813=RELATORIO_MEDICAO!$C$5,$C1813=RELATORIO_MEDICAO!$F$5,$A1813&lt;&gt;""),COUNTIFS($A$3:$A1813,RELATORIO_MEDICAO!$C$5,$C$3:$C1813,RELATORIO_MEDICAO!$F$5),"")</f>
        <v/>
      </c>
      <c r="Z1813">
        <f>IF(OR($A1813="",PESQUISA!$C$4=""),0,IF(OR(ISNUMBER(SEARCH(PESQUISA!$C$4,$G1813)),ISNUMBER(SEARCH(PESQUISA!$C$4,$K1813)),ISNUMBER(SEARCH(PESQUISA!$C$4,$L1813))),1,0))</f>
        <v/>
      </c>
      <c r="AA1813">
        <f>IF($Z1813=1,SUM($Z$3:$Z1813),"")</f>
        <v/>
      </c>
      <c r="AB1813">
        <f>IF(OR($A1813="",PESQUISA!$C$50=""),0,IF(ISNUMBER(SEARCH(PESQUISA!$C$50,$I1813)),1,0))</f>
        <v/>
      </c>
      <c r="AC1813">
        <f>IF($AB1813=1,SUM($AB$3:$AB1813),"")</f>
        <v/>
      </c>
    </row>
    <row r="1814">
      <c r="A1814" s="20" t="n"/>
      <c r="B1814" s="20" t="n"/>
      <c r="C1814" s="20" t="n"/>
      <c r="D1814" s="20" t="n"/>
      <c r="E1814" s="20" t="n"/>
      <c r="F1814" s="20" t="n"/>
      <c r="G1814" s="20" t="n"/>
      <c r="H1814" s="20" t="n"/>
      <c r="I1814" s="20" t="n"/>
      <c r="J1814" s="20">
        <f>IFERROR(INDEX(CONFIGURACOES!$G$37:$G$300,MATCH($I1814,CONFIGURACOES!$B$37:$B$300,0)),"")</f>
        <v/>
      </c>
      <c r="K1814" s="20">
        <f>IFERROR(INDEX(CONFIGURACOES!$H$37:$H$300,MATCH($I1814,CONFIGURACOES!$B$37:$B$300,0)),"")</f>
        <v/>
      </c>
      <c r="L1814" s="20" t="n"/>
      <c r="M1814" s="20">
        <f>IFERROR(INDEX(CONFIGURACOES!$I$37:$I$300,MATCH($I1814,CONFIGURACOES!$B$37:$B$300,0)),"")</f>
        <v/>
      </c>
      <c r="N1814" s="21" t="n"/>
      <c r="O1814" s="21" t="n"/>
      <c r="P1814" s="21" t="n"/>
      <c r="Q1814" s="21" t="n"/>
      <c r="R1814" s="21">
        <f>IF($N1814="","",$N1814*IF($Q1814="",1,$Q1814)*IF($P1814="",1,$P1814)*IF($O1814="",1,$O1814))</f>
        <v/>
      </c>
      <c r="S1814" s="22">
        <f>IFERROR(INDEX(CONFIGURACOES!$J$37:$J$300,MATCH($I1814,CONFIGURACOES!$B$37:$B$300,0)),"")</f>
        <v/>
      </c>
      <c r="T1814" s="22">
        <f>IF(OR($R1814="",$S1814=""),"",$R1814*$S1814)</f>
        <v/>
      </c>
      <c r="U1814" s="20" t="n"/>
      <c r="V1814" s="20" t="n"/>
      <c r="W1814" s="20" t="n"/>
      <c r="X1814">
        <f>IF($A1814="","",$A1814&amp;"|"&amp;$C1814&amp;"|"&amp;$I1814)</f>
        <v/>
      </c>
      <c r="Y1814">
        <f>IF(AND($A1814=RELATORIO_MEDICAO!$C$5,$C1814=RELATORIO_MEDICAO!$F$5,$A1814&lt;&gt;""),COUNTIFS($A$3:$A1814,RELATORIO_MEDICAO!$C$5,$C$3:$C1814,RELATORIO_MEDICAO!$F$5),"")</f>
        <v/>
      </c>
      <c r="Z1814">
        <f>IF(OR($A1814="",PESQUISA!$C$4=""),0,IF(OR(ISNUMBER(SEARCH(PESQUISA!$C$4,$G1814)),ISNUMBER(SEARCH(PESQUISA!$C$4,$K1814)),ISNUMBER(SEARCH(PESQUISA!$C$4,$L1814))),1,0))</f>
        <v/>
      </c>
      <c r="AA1814">
        <f>IF($Z1814=1,SUM($Z$3:$Z1814),"")</f>
        <v/>
      </c>
      <c r="AB1814">
        <f>IF(OR($A1814="",PESQUISA!$C$50=""),0,IF(ISNUMBER(SEARCH(PESQUISA!$C$50,$I1814)),1,0))</f>
        <v/>
      </c>
      <c r="AC1814">
        <f>IF($AB1814=1,SUM($AB$3:$AB1814),"")</f>
        <v/>
      </c>
    </row>
    <row r="1815">
      <c r="A1815" s="20" t="n"/>
      <c r="B1815" s="20" t="n"/>
      <c r="C1815" s="20" t="n"/>
      <c r="D1815" s="20" t="n"/>
      <c r="E1815" s="20" t="n"/>
      <c r="F1815" s="20" t="n"/>
      <c r="G1815" s="20" t="n"/>
      <c r="H1815" s="20" t="n"/>
      <c r="I1815" s="20" t="n"/>
      <c r="J1815" s="20">
        <f>IFERROR(INDEX(CONFIGURACOES!$G$37:$G$300,MATCH($I1815,CONFIGURACOES!$B$37:$B$300,0)),"")</f>
        <v/>
      </c>
      <c r="K1815" s="20">
        <f>IFERROR(INDEX(CONFIGURACOES!$H$37:$H$300,MATCH($I1815,CONFIGURACOES!$B$37:$B$300,0)),"")</f>
        <v/>
      </c>
      <c r="L1815" s="20" t="n"/>
      <c r="M1815" s="20">
        <f>IFERROR(INDEX(CONFIGURACOES!$I$37:$I$300,MATCH($I1815,CONFIGURACOES!$B$37:$B$300,0)),"")</f>
        <v/>
      </c>
      <c r="N1815" s="21" t="n"/>
      <c r="O1815" s="21" t="n"/>
      <c r="P1815" s="21" t="n"/>
      <c r="Q1815" s="21" t="n"/>
      <c r="R1815" s="21">
        <f>IF($N1815="","",$N1815*IF($Q1815="",1,$Q1815)*IF($P1815="",1,$P1815)*IF($O1815="",1,$O1815))</f>
        <v/>
      </c>
      <c r="S1815" s="22">
        <f>IFERROR(INDEX(CONFIGURACOES!$J$37:$J$300,MATCH($I1815,CONFIGURACOES!$B$37:$B$300,0)),"")</f>
        <v/>
      </c>
      <c r="T1815" s="22">
        <f>IF(OR($R1815="",$S1815=""),"",$R1815*$S1815)</f>
        <v/>
      </c>
      <c r="U1815" s="20" t="n"/>
      <c r="V1815" s="20" t="n"/>
      <c r="W1815" s="20" t="n"/>
      <c r="X1815">
        <f>IF($A1815="","",$A1815&amp;"|"&amp;$C1815&amp;"|"&amp;$I1815)</f>
        <v/>
      </c>
      <c r="Y1815">
        <f>IF(AND($A1815=RELATORIO_MEDICAO!$C$5,$C1815=RELATORIO_MEDICAO!$F$5,$A1815&lt;&gt;""),COUNTIFS($A$3:$A1815,RELATORIO_MEDICAO!$C$5,$C$3:$C1815,RELATORIO_MEDICAO!$F$5),"")</f>
        <v/>
      </c>
      <c r="Z1815">
        <f>IF(OR($A1815="",PESQUISA!$C$4=""),0,IF(OR(ISNUMBER(SEARCH(PESQUISA!$C$4,$G1815)),ISNUMBER(SEARCH(PESQUISA!$C$4,$K1815)),ISNUMBER(SEARCH(PESQUISA!$C$4,$L1815))),1,0))</f>
        <v/>
      </c>
      <c r="AA1815">
        <f>IF($Z1815=1,SUM($Z$3:$Z1815),"")</f>
        <v/>
      </c>
      <c r="AB1815">
        <f>IF(OR($A1815="",PESQUISA!$C$50=""),0,IF(ISNUMBER(SEARCH(PESQUISA!$C$50,$I1815)),1,0))</f>
        <v/>
      </c>
      <c r="AC1815">
        <f>IF($AB1815=1,SUM($AB$3:$AB1815),"")</f>
        <v/>
      </c>
    </row>
    <row r="1816">
      <c r="A1816" s="20" t="n"/>
      <c r="B1816" s="20" t="n"/>
      <c r="C1816" s="20" t="n"/>
      <c r="D1816" s="20" t="n"/>
      <c r="E1816" s="20" t="n"/>
      <c r="F1816" s="20" t="n"/>
      <c r="G1816" s="20" t="n"/>
      <c r="H1816" s="20" t="n"/>
      <c r="I1816" s="20" t="n"/>
      <c r="J1816" s="20">
        <f>IFERROR(INDEX(CONFIGURACOES!$G$37:$G$300,MATCH($I1816,CONFIGURACOES!$B$37:$B$300,0)),"")</f>
        <v/>
      </c>
      <c r="K1816" s="20">
        <f>IFERROR(INDEX(CONFIGURACOES!$H$37:$H$300,MATCH($I1816,CONFIGURACOES!$B$37:$B$300,0)),"")</f>
        <v/>
      </c>
      <c r="L1816" s="20" t="n"/>
      <c r="M1816" s="20">
        <f>IFERROR(INDEX(CONFIGURACOES!$I$37:$I$300,MATCH($I1816,CONFIGURACOES!$B$37:$B$300,0)),"")</f>
        <v/>
      </c>
      <c r="N1816" s="21" t="n"/>
      <c r="O1816" s="21" t="n"/>
      <c r="P1816" s="21" t="n"/>
      <c r="Q1816" s="21" t="n"/>
      <c r="R1816" s="21">
        <f>IF($N1816="","",$N1816*IF($Q1816="",1,$Q1816)*IF($P1816="",1,$P1816)*IF($O1816="",1,$O1816))</f>
        <v/>
      </c>
      <c r="S1816" s="22">
        <f>IFERROR(INDEX(CONFIGURACOES!$J$37:$J$300,MATCH($I1816,CONFIGURACOES!$B$37:$B$300,0)),"")</f>
        <v/>
      </c>
      <c r="T1816" s="22">
        <f>IF(OR($R1816="",$S1816=""),"",$R1816*$S1816)</f>
        <v/>
      </c>
      <c r="U1816" s="20" t="n"/>
      <c r="V1816" s="20" t="n"/>
      <c r="W1816" s="20" t="n"/>
      <c r="X1816">
        <f>IF($A1816="","",$A1816&amp;"|"&amp;$C1816&amp;"|"&amp;$I1816)</f>
        <v/>
      </c>
      <c r="Y1816">
        <f>IF(AND($A1816=RELATORIO_MEDICAO!$C$5,$C1816=RELATORIO_MEDICAO!$F$5,$A1816&lt;&gt;""),COUNTIFS($A$3:$A1816,RELATORIO_MEDICAO!$C$5,$C$3:$C1816,RELATORIO_MEDICAO!$F$5),"")</f>
        <v/>
      </c>
      <c r="Z1816">
        <f>IF(OR($A1816="",PESQUISA!$C$4=""),0,IF(OR(ISNUMBER(SEARCH(PESQUISA!$C$4,$G1816)),ISNUMBER(SEARCH(PESQUISA!$C$4,$K1816)),ISNUMBER(SEARCH(PESQUISA!$C$4,$L1816))),1,0))</f>
        <v/>
      </c>
      <c r="AA1816">
        <f>IF($Z1816=1,SUM($Z$3:$Z1816),"")</f>
        <v/>
      </c>
      <c r="AB1816">
        <f>IF(OR($A1816="",PESQUISA!$C$50=""),0,IF(ISNUMBER(SEARCH(PESQUISA!$C$50,$I1816)),1,0))</f>
        <v/>
      </c>
      <c r="AC1816">
        <f>IF($AB1816=1,SUM($AB$3:$AB1816),"")</f>
        <v/>
      </c>
    </row>
    <row r="1817">
      <c r="A1817" s="20" t="n"/>
      <c r="B1817" s="20" t="n"/>
      <c r="C1817" s="20" t="n"/>
      <c r="D1817" s="20" t="n"/>
      <c r="E1817" s="20" t="n"/>
      <c r="F1817" s="20" t="n"/>
      <c r="G1817" s="20" t="n"/>
      <c r="H1817" s="20" t="n"/>
      <c r="I1817" s="20" t="n"/>
      <c r="J1817" s="20">
        <f>IFERROR(INDEX(CONFIGURACOES!$G$37:$G$300,MATCH($I1817,CONFIGURACOES!$B$37:$B$300,0)),"")</f>
        <v/>
      </c>
      <c r="K1817" s="20">
        <f>IFERROR(INDEX(CONFIGURACOES!$H$37:$H$300,MATCH($I1817,CONFIGURACOES!$B$37:$B$300,0)),"")</f>
        <v/>
      </c>
      <c r="L1817" s="20" t="n"/>
      <c r="M1817" s="20">
        <f>IFERROR(INDEX(CONFIGURACOES!$I$37:$I$300,MATCH($I1817,CONFIGURACOES!$B$37:$B$300,0)),"")</f>
        <v/>
      </c>
      <c r="N1817" s="21" t="n"/>
      <c r="O1817" s="21" t="n"/>
      <c r="P1817" s="21" t="n"/>
      <c r="Q1817" s="21" t="n"/>
      <c r="R1817" s="21">
        <f>IF($N1817="","",$N1817*IF($Q1817="",1,$Q1817)*IF($P1817="",1,$P1817)*IF($O1817="",1,$O1817))</f>
        <v/>
      </c>
      <c r="S1817" s="22">
        <f>IFERROR(INDEX(CONFIGURACOES!$J$37:$J$300,MATCH($I1817,CONFIGURACOES!$B$37:$B$300,0)),"")</f>
        <v/>
      </c>
      <c r="T1817" s="22">
        <f>IF(OR($R1817="",$S1817=""),"",$R1817*$S1817)</f>
        <v/>
      </c>
      <c r="U1817" s="20" t="n"/>
      <c r="V1817" s="20" t="n"/>
      <c r="W1817" s="20" t="n"/>
      <c r="X1817">
        <f>IF($A1817="","",$A1817&amp;"|"&amp;$C1817&amp;"|"&amp;$I1817)</f>
        <v/>
      </c>
      <c r="Y1817">
        <f>IF(AND($A1817=RELATORIO_MEDICAO!$C$5,$C1817=RELATORIO_MEDICAO!$F$5,$A1817&lt;&gt;""),COUNTIFS($A$3:$A1817,RELATORIO_MEDICAO!$C$5,$C$3:$C1817,RELATORIO_MEDICAO!$F$5),"")</f>
        <v/>
      </c>
      <c r="Z1817">
        <f>IF(OR($A1817="",PESQUISA!$C$4=""),0,IF(OR(ISNUMBER(SEARCH(PESQUISA!$C$4,$G1817)),ISNUMBER(SEARCH(PESQUISA!$C$4,$K1817)),ISNUMBER(SEARCH(PESQUISA!$C$4,$L1817))),1,0))</f>
        <v/>
      </c>
      <c r="AA1817">
        <f>IF($Z1817=1,SUM($Z$3:$Z1817),"")</f>
        <v/>
      </c>
      <c r="AB1817">
        <f>IF(OR($A1817="",PESQUISA!$C$50=""),0,IF(ISNUMBER(SEARCH(PESQUISA!$C$50,$I1817)),1,0))</f>
        <v/>
      </c>
      <c r="AC1817">
        <f>IF($AB1817=1,SUM($AB$3:$AB1817),"")</f>
        <v/>
      </c>
    </row>
    <row r="1818">
      <c r="A1818" s="20" t="n"/>
      <c r="B1818" s="20" t="n"/>
      <c r="C1818" s="20" t="n"/>
      <c r="D1818" s="20" t="n"/>
      <c r="E1818" s="20" t="n"/>
      <c r="F1818" s="20" t="n"/>
      <c r="G1818" s="20" t="n"/>
      <c r="H1818" s="20" t="n"/>
      <c r="I1818" s="20" t="n"/>
      <c r="J1818" s="20">
        <f>IFERROR(INDEX(CONFIGURACOES!$G$37:$G$300,MATCH($I1818,CONFIGURACOES!$B$37:$B$300,0)),"")</f>
        <v/>
      </c>
      <c r="K1818" s="20">
        <f>IFERROR(INDEX(CONFIGURACOES!$H$37:$H$300,MATCH($I1818,CONFIGURACOES!$B$37:$B$300,0)),"")</f>
        <v/>
      </c>
      <c r="L1818" s="20" t="n"/>
      <c r="M1818" s="20">
        <f>IFERROR(INDEX(CONFIGURACOES!$I$37:$I$300,MATCH($I1818,CONFIGURACOES!$B$37:$B$300,0)),"")</f>
        <v/>
      </c>
      <c r="N1818" s="21" t="n"/>
      <c r="O1818" s="21" t="n"/>
      <c r="P1818" s="21" t="n"/>
      <c r="Q1818" s="21" t="n"/>
      <c r="R1818" s="21">
        <f>IF($N1818="","",$N1818*IF($Q1818="",1,$Q1818)*IF($P1818="",1,$P1818)*IF($O1818="",1,$O1818))</f>
        <v/>
      </c>
      <c r="S1818" s="22">
        <f>IFERROR(INDEX(CONFIGURACOES!$J$37:$J$300,MATCH($I1818,CONFIGURACOES!$B$37:$B$300,0)),"")</f>
        <v/>
      </c>
      <c r="T1818" s="22">
        <f>IF(OR($R1818="",$S1818=""),"",$R1818*$S1818)</f>
        <v/>
      </c>
      <c r="U1818" s="20" t="n"/>
      <c r="V1818" s="20" t="n"/>
      <c r="W1818" s="20" t="n"/>
      <c r="X1818">
        <f>IF($A1818="","",$A1818&amp;"|"&amp;$C1818&amp;"|"&amp;$I1818)</f>
        <v/>
      </c>
      <c r="Y1818">
        <f>IF(AND($A1818=RELATORIO_MEDICAO!$C$5,$C1818=RELATORIO_MEDICAO!$F$5,$A1818&lt;&gt;""),COUNTIFS($A$3:$A1818,RELATORIO_MEDICAO!$C$5,$C$3:$C1818,RELATORIO_MEDICAO!$F$5),"")</f>
        <v/>
      </c>
      <c r="Z1818">
        <f>IF(OR($A1818="",PESQUISA!$C$4=""),0,IF(OR(ISNUMBER(SEARCH(PESQUISA!$C$4,$G1818)),ISNUMBER(SEARCH(PESQUISA!$C$4,$K1818)),ISNUMBER(SEARCH(PESQUISA!$C$4,$L1818))),1,0))</f>
        <v/>
      </c>
      <c r="AA1818">
        <f>IF($Z1818=1,SUM($Z$3:$Z1818),"")</f>
        <v/>
      </c>
      <c r="AB1818">
        <f>IF(OR($A1818="",PESQUISA!$C$50=""),0,IF(ISNUMBER(SEARCH(PESQUISA!$C$50,$I1818)),1,0))</f>
        <v/>
      </c>
      <c r="AC1818">
        <f>IF($AB1818=1,SUM($AB$3:$AB1818),"")</f>
        <v/>
      </c>
    </row>
    <row r="1819">
      <c r="A1819" s="20" t="n"/>
      <c r="B1819" s="20" t="n"/>
      <c r="C1819" s="20" t="n"/>
      <c r="D1819" s="20" t="n"/>
      <c r="E1819" s="20" t="n"/>
      <c r="F1819" s="20" t="n"/>
      <c r="G1819" s="20" t="n"/>
      <c r="H1819" s="20" t="n"/>
      <c r="I1819" s="20" t="n"/>
      <c r="J1819" s="20">
        <f>IFERROR(INDEX(CONFIGURACOES!$G$37:$G$300,MATCH($I1819,CONFIGURACOES!$B$37:$B$300,0)),"")</f>
        <v/>
      </c>
      <c r="K1819" s="20">
        <f>IFERROR(INDEX(CONFIGURACOES!$H$37:$H$300,MATCH($I1819,CONFIGURACOES!$B$37:$B$300,0)),"")</f>
        <v/>
      </c>
      <c r="L1819" s="20" t="n"/>
      <c r="M1819" s="20">
        <f>IFERROR(INDEX(CONFIGURACOES!$I$37:$I$300,MATCH($I1819,CONFIGURACOES!$B$37:$B$300,0)),"")</f>
        <v/>
      </c>
      <c r="N1819" s="21" t="n"/>
      <c r="O1819" s="21" t="n"/>
      <c r="P1819" s="21" t="n"/>
      <c r="Q1819" s="21" t="n"/>
      <c r="R1819" s="21">
        <f>IF($N1819="","",$N1819*IF($Q1819="",1,$Q1819)*IF($P1819="",1,$P1819)*IF($O1819="",1,$O1819))</f>
        <v/>
      </c>
      <c r="S1819" s="22">
        <f>IFERROR(INDEX(CONFIGURACOES!$J$37:$J$300,MATCH($I1819,CONFIGURACOES!$B$37:$B$300,0)),"")</f>
        <v/>
      </c>
      <c r="T1819" s="22">
        <f>IF(OR($R1819="",$S1819=""),"",$R1819*$S1819)</f>
        <v/>
      </c>
      <c r="U1819" s="20" t="n"/>
      <c r="V1819" s="20" t="n"/>
      <c r="W1819" s="20" t="n"/>
      <c r="X1819">
        <f>IF($A1819="","",$A1819&amp;"|"&amp;$C1819&amp;"|"&amp;$I1819)</f>
        <v/>
      </c>
      <c r="Y1819">
        <f>IF(AND($A1819=RELATORIO_MEDICAO!$C$5,$C1819=RELATORIO_MEDICAO!$F$5,$A1819&lt;&gt;""),COUNTIFS($A$3:$A1819,RELATORIO_MEDICAO!$C$5,$C$3:$C1819,RELATORIO_MEDICAO!$F$5),"")</f>
        <v/>
      </c>
      <c r="Z1819">
        <f>IF(OR($A1819="",PESQUISA!$C$4=""),0,IF(OR(ISNUMBER(SEARCH(PESQUISA!$C$4,$G1819)),ISNUMBER(SEARCH(PESQUISA!$C$4,$K1819)),ISNUMBER(SEARCH(PESQUISA!$C$4,$L1819))),1,0))</f>
        <v/>
      </c>
      <c r="AA1819">
        <f>IF($Z1819=1,SUM($Z$3:$Z1819),"")</f>
        <v/>
      </c>
      <c r="AB1819">
        <f>IF(OR($A1819="",PESQUISA!$C$50=""),0,IF(ISNUMBER(SEARCH(PESQUISA!$C$50,$I1819)),1,0))</f>
        <v/>
      </c>
      <c r="AC1819">
        <f>IF($AB1819=1,SUM($AB$3:$AB1819),"")</f>
        <v/>
      </c>
    </row>
    <row r="1820">
      <c r="A1820" s="20" t="n"/>
      <c r="B1820" s="20" t="n"/>
      <c r="C1820" s="20" t="n"/>
      <c r="D1820" s="20" t="n"/>
      <c r="E1820" s="20" t="n"/>
      <c r="F1820" s="20" t="n"/>
      <c r="G1820" s="20" t="n"/>
      <c r="H1820" s="20" t="n"/>
      <c r="I1820" s="20" t="n"/>
      <c r="J1820" s="20">
        <f>IFERROR(INDEX(CONFIGURACOES!$G$37:$G$300,MATCH($I1820,CONFIGURACOES!$B$37:$B$300,0)),"")</f>
        <v/>
      </c>
      <c r="K1820" s="20">
        <f>IFERROR(INDEX(CONFIGURACOES!$H$37:$H$300,MATCH($I1820,CONFIGURACOES!$B$37:$B$300,0)),"")</f>
        <v/>
      </c>
      <c r="L1820" s="20" t="n"/>
      <c r="M1820" s="20">
        <f>IFERROR(INDEX(CONFIGURACOES!$I$37:$I$300,MATCH($I1820,CONFIGURACOES!$B$37:$B$300,0)),"")</f>
        <v/>
      </c>
      <c r="N1820" s="21" t="n"/>
      <c r="O1820" s="21" t="n"/>
      <c r="P1820" s="21" t="n"/>
      <c r="Q1820" s="21" t="n"/>
      <c r="R1820" s="21">
        <f>IF($N1820="","",$N1820*IF($Q1820="",1,$Q1820)*IF($P1820="",1,$P1820)*IF($O1820="",1,$O1820))</f>
        <v/>
      </c>
      <c r="S1820" s="22">
        <f>IFERROR(INDEX(CONFIGURACOES!$J$37:$J$300,MATCH($I1820,CONFIGURACOES!$B$37:$B$300,0)),"")</f>
        <v/>
      </c>
      <c r="T1820" s="22">
        <f>IF(OR($R1820="",$S1820=""),"",$R1820*$S1820)</f>
        <v/>
      </c>
      <c r="U1820" s="20" t="n"/>
      <c r="V1820" s="20" t="n"/>
      <c r="W1820" s="20" t="n"/>
      <c r="X1820">
        <f>IF($A1820="","",$A1820&amp;"|"&amp;$C1820&amp;"|"&amp;$I1820)</f>
        <v/>
      </c>
      <c r="Y1820">
        <f>IF(AND($A1820=RELATORIO_MEDICAO!$C$5,$C1820=RELATORIO_MEDICAO!$F$5,$A1820&lt;&gt;""),COUNTIFS($A$3:$A1820,RELATORIO_MEDICAO!$C$5,$C$3:$C1820,RELATORIO_MEDICAO!$F$5),"")</f>
        <v/>
      </c>
      <c r="Z1820">
        <f>IF(OR($A1820="",PESQUISA!$C$4=""),0,IF(OR(ISNUMBER(SEARCH(PESQUISA!$C$4,$G1820)),ISNUMBER(SEARCH(PESQUISA!$C$4,$K1820)),ISNUMBER(SEARCH(PESQUISA!$C$4,$L1820))),1,0))</f>
        <v/>
      </c>
      <c r="AA1820">
        <f>IF($Z1820=1,SUM($Z$3:$Z1820),"")</f>
        <v/>
      </c>
      <c r="AB1820">
        <f>IF(OR($A1820="",PESQUISA!$C$50=""),0,IF(ISNUMBER(SEARCH(PESQUISA!$C$50,$I1820)),1,0))</f>
        <v/>
      </c>
      <c r="AC1820">
        <f>IF($AB1820=1,SUM($AB$3:$AB1820),"")</f>
        <v/>
      </c>
    </row>
    <row r="1821">
      <c r="A1821" s="20" t="n"/>
      <c r="B1821" s="20" t="n"/>
      <c r="C1821" s="20" t="n"/>
      <c r="D1821" s="20" t="n"/>
      <c r="E1821" s="20" t="n"/>
      <c r="F1821" s="20" t="n"/>
      <c r="G1821" s="20" t="n"/>
      <c r="H1821" s="20" t="n"/>
      <c r="I1821" s="20" t="n"/>
      <c r="J1821" s="20">
        <f>IFERROR(INDEX(CONFIGURACOES!$G$37:$G$300,MATCH($I1821,CONFIGURACOES!$B$37:$B$300,0)),"")</f>
        <v/>
      </c>
      <c r="K1821" s="20">
        <f>IFERROR(INDEX(CONFIGURACOES!$H$37:$H$300,MATCH($I1821,CONFIGURACOES!$B$37:$B$300,0)),"")</f>
        <v/>
      </c>
      <c r="L1821" s="20" t="n"/>
      <c r="M1821" s="20">
        <f>IFERROR(INDEX(CONFIGURACOES!$I$37:$I$300,MATCH($I1821,CONFIGURACOES!$B$37:$B$300,0)),"")</f>
        <v/>
      </c>
      <c r="N1821" s="21" t="n"/>
      <c r="O1821" s="21" t="n"/>
      <c r="P1821" s="21" t="n"/>
      <c r="Q1821" s="21" t="n"/>
      <c r="R1821" s="21">
        <f>IF($N1821="","",$N1821*IF($Q1821="",1,$Q1821)*IF($P1821="",1,$P1821)*IF($O1821="",1,$O1821))</f>
        <v/>
      </c>
      <c r="S1821" s="22">
        <f>IFERROR(INDEX(CONFIGURACOES!$J$37:$J$300,MATCH($I1821,CONFIGURACOES!$B$37:$B$300,0)),"")</f>
        <v/>
      </c>
      <c r="T1821" s="22">
        <f>IF(OR($R1821="",$S1821=""),"",$R1821*$S1821)</f>
        <v/>
      </c>
      <c r="U1821" s="20" t="n"/>
      <c r="V1821" s="20" t="n"/>
      <c r="W1821" s="20" t="n"/>
      <c r="X1821">
        <f>IF($A1821="","",$A1821&amp;"|"&amp;$C1821&amp;"|"&amp;$I1821)</f>
        <v/>
      </c>
      <c r="Y1821">
        <f>IF(AND($A1821=RELATORIO_MEDICAO!$C$5,$C1821=RELATORIO_MEDICAO!$F$5,$A1821&lt;&gt;""),COUNTIFS($A$3:$A1821,RELATORIO_MEDICAO!$C$5,$C$3:$C1821,RELATORIO_MEDICAO!$F$5),"")</f>
        <v/>
      </c>
      <c r="Z1821">
        <f>IF(OR($A1821="",PESQUISA!$C$4=""),0,IF(OR(ISNUMBER(SEARCH(PESQUISA!$C$4,$G1821)),ISNUMBER(SEARCH(PESQUISA!$C$4,$K1821)),ISNUMBER(SEARCH(PESQUISA!$C$4,$L1821))),1,0))</f>
        <v/>
      </c>
      <c r="AA1821">
        <f>IF($Z1821=1,SUM($Z$3:$Z1821),"")</f>
        <v/>
      </c>
      <c r="AB1821">
        <f>IF(OR($A1821="",PESQUISA!$C$50=""),0,IF(ISNUMBER(SEARCH(PESQUISA!$C$50,$I1821)),1,0))</f>
        <v/>
      </c>
      <c r="AC1821">
        <f>IF($AB1821=1,SUM($AB$3:$AB1821),"")</f>
        <v/>
      </c>
    </row>
    <row r="1822">
      <c r="A1822" s="20" t="n"/>
      <c r="B1822" s="20" t="n"/>
      <c r="C1822" s="20" t="n"/>
      <c r="D1822" s="20" t="n"/>
      <c r="E1822" s="20" t="n"/>
      <c r="F1822" s="20" t="n"/>
      <c r="G1822" s="20" t="n"/>
      <c r="H1822" s="20" t="n"/>
      <c r="I1822" s="20" t="n"/>
      <c r="J1822" s="20">
        <f>IFERROR(INDEX(CONFIGURACOES!$G$37:$G$300,MATCH($I1822,CONFIGURACOES!$B$37:$B$300,0)),"")</f>
        <v/>
      </c>
      <c r="K1822" s="20">
        <f>IFERROR(INDEX(CONFIGURACOES!$H$37:$H$300,MATCH($I1822,CONFIGURACOES!$B$37:$B$300,0)),"")</f>
        <v/>
      </c>
      <c r="L1822" s="20" t="n"/>
      <c r="M1822" s="20">
        <f>IFERROR(INDEX(CONFIGURACOES!$I$37:$I$300,MATCH($I1822,CONFIGURACOES!$B$37:$B$300,0)),"")</f>
        <v/>
      </c>
      <c r="N1822" s="21" t="n"/>
      <c r="O1822" s="21" t="n"/>
      <c r="P1822" s="21" t="n"/>
      <c r="Q1822" s="21" t="n"/>
      <c r="R1822" s="21">
        <f>IF($N1822="","",$N1822*IF($Q1822="",1,$Q1822)*IF($P1822="",1,$P1822)*IF($O1822="",1,$O1822))</f>
        <v/>
      </c>
      <c r="S1822" s="22">
        <f>IFERROR(INDEX(CONFIGURACOES!$J$37:$J$300,MATCH($I1822,CONFIGURACOES!$B$37:$B$300,0)),"")</f>
        <v/>
      </c>
      <c r="T1822" s="22">
        <f>IF(OR($R1822="",$S1822=""),"",$R1822*$S1822)</f>
        <v/>
      </c>
      <c r="U1822" s="20" t="n"/>
      <c r="V1822" s="20" t="n"/>
      <c r="W1822" s="20" t="n"/>
      <c r="X1822">
        <f>IF($A1822="","",$A1822&amp;"|"&amp;$C1822&amp;"|"&amp;$I1822)</f>
        <v/>
      </c>
      <c r="Y1822">
        <f>IF(AND($A1822=RELATORIO_MEDICAO!$C$5,$C1822=RELATORIO_MEDICAO!$F$5,$A1822&lt;&gt;""),COUNTIFS($A$3:$A1822,RELATORIO_MEDICAO!$C$5,$C$3:$C1822,RELATORIO_MEDICAO!$F$5),"")</f>
        <v/>
      </c>
      <c r="Z1822">
        <f>IF(OR($A1822="",PESQUISA!$C$4=""),0,IF(OR(ISNUMBER(SEARCH(PESQUISA!$C$4,$G1822)),ISNUMBER(SEARCH(PESQUISA!$C$4,$K1822)),ISNUMBER(SEARCH(PESQUISA!$C$4,$L1822))),1,0))</f>
        <v/>
      </c>
      <c r="AA1822">
        <f>IF($Z1822=1,SUM($Z$3:$Z1822),"")</f>
        <v/>
      </c>
      <c r="AB1822">
        <f>IF(OR($A1822="",PESQUISA!$C$50=""),0,IF(ISNUMBER(SEARCH(PESQUISA!$C$50,$I1822)),1,0))</f>
        <v/>
      </c>
      <c r="AC1822">
        <f>IF($AB1822=1,SUM($AB$3:$AB1822),"")</f>
        <v/>
      </c>
    </row>
    <row r="1823">
      <c r="A1823" s="20" t="n"/>
      <c r="B1823" s="20" t="n"/>
      <c r="C1823" s="20" t="n"/>
      <c r="D1823" s="20" t="n"/>
      <c r="E1823" s="20" t="n"/>
      <c r="F1823" s="20" t="n"/>
      <c r="G1823" s="20" t="n"/>
      <c r="H1823" s="20" t="n"/>
      <c r="I1823" s="20" t="n"/>
      <c r="J1823" s="20">
        <f>IFERROR(INDEX(CONFIGURACOES!$G$37:$G$300,MATCH($I1823,CONFIGURACOES!$B$37:$B$300,0)),"")</f>
        <v/>
      </c>
      <c r="K1823" s="20">
        <f>IFERROR(INDEX(CONFIGURACOES!$H$37:$H$300,MATCH($I1823,CONFIGURACOES!$B$37:$B$300,0)),"")</f>
        <v/>
      </c>
      <c r="L1823" s="20" t="n"/>
      <c r="M1823" s="20">
        <f>IFERROR(INDEX(CONFIGURACOES!$I$37:$I$300,MATCH($I1823,CONFIGURACOES!$B$37:$B$300,0)),"")</f>
        <v/>
      </c>
      <c r="N1823" s="21" t="n"/>
      <c r="O1823" s="21" t="n"/>
      <c r="P1823" s="21" t="n"/>
      <c r="Q1823" s="21" t="n"/>
      <c r="R1823" s="21">
        <f>IF($N1823="","",$N1823*IF($Q1823="",1,$Q1823)*IF($P1823="",1,$P1823)*IF($O1823="",1,$O1823))</f>
        <v/>
      </c>
      <c r="S1823" s="22">
        <f>IFERROR(INDEX(CONFIGURACOES!$J$37:$J$300,MATCH($I1823,CONFIGURACOES!$B$37:$B$300,0)),"")</f>
        <v/>
      </c>
      <c r="T1823" s="22">
        <f>IF(OR($R1823="",$S1823=""),"",$R1823*$S1823)</f>
        <v/>
      </c>
      <c r="U1823" s="20" t="n"/>
      <c r="V1823" s="20" t="n"/>
      <c r="W1823" s="20" t="n"/>
      <c r="X1823">
        <f>IF($A1823="","",$A1823&amp;"|"&amp;$C1823&amp;"|"&amp;$I1823)</f>
        <v/>
      </c>
      <c r="Y1823">
        <f>IF(AND($A1823=RELATORIO_MEDICAO!$C$5,$C1823=RELATORIO_MEDICAO!$F$5,$A1823&lt;&gt;""),COUNTIFS($A$3:$A1823,RELATORIO_MEDICAO!$C$5,$C$3:$C1823,RELATORIO_MEDICAO!$F$5),"")</f>
        <v/>
      </c>
      <c r="Z1823">
        <f>IF(OR($A1823="",PESQUISA!$C$4=""),0,IF(OR(ISNUMBER(SEARCH(PESQUISA!$C$4,$G1823)),ISNUMBER(SEARCH(PESQUISA!$C$4,$K1823)),ISNUMBER(SEARCH(PESQUISA!$C$4,$L1823))),1,0))</f>
        <v/>
      </c>
      <c r="AA1823">
        <f>IF($Z1823=1,SUM($Z$3:$Z1823),"")</f>
        <v/>
      </c>
      <c r="AB1823">
        <f>IF(OR($A1823="",PESQUISA!$C$50=""),0,IF(ISNUMBER(SEARCH(PESQUISA!$C$50,$I1823)),1,0))</f>
        <v/>
      </c>
      <c r="AC1823">
        <f>IF($AB1823=1,SUM($AB$3:$AB1823),"")</f>
        <v/>
      </c>
    </row>
    <row r="1824">
      <c r="A1824" s="20" t="n"/>
      <c r="B1824" s="20" t="n"/>
      <c r="C1824" s="20" t="n"/>
      <c r="D1824" s="20" t="n"/>
      <c r="E1824" s="20" t="n"/>
      <c r="F1824" s="20" t="n"/>
      <c r="G1824" s="20" t="n"/>
      <c r="H1824" s="20" t="n"/>
      <c r="I1824" s="20" t="n"/>
      <c r="J1824" s="20">
        <f>IFERROR(INDEX(CONFIGURACOES!$G$37:$G$300,MATCH($I1824,CONFIGURACOES!$B$37:$B$300,0)),"")</f>
        <v/>
      </c>
      <c r="K1824" s="20">
        <f>IFERROR(INDEX(CONFIGURACOES!$H$37:$H$300,MATCH($I1824,CONFIGURACOES!$B$37:$B$300,0)),"")</f>
        <v/>
      </c>
      <c r="L1824" s="20" t="n"/>
      <c r="M1824" s="20">
        <f>IFERROR(INDEX(CONFIGURACOES!$I$37:$I$300,MATCH($I1824,CONFIGURACOES!$B$37:$B$300,0)),"")</f>
        <v/>
      </c>
      <c r="N1824" s="21" t="n"/>
      <c r="O1824" s="21" t="n"/>
      <c r="P1824" s="21" t="n"/>
      <c r="Q1824" s="21" t="n"/>
      <c r="R1824" s="21">
        <f>IF($N1824="","",$N1824*IF($Q1824="",1,$Q1824)*IF($P1824="",1,$P1824)*IF($O1824="",1,$O1824))</f>
        <v/>
      </c>
      <c r="S1824" s="22">
        <f>IFERROR(INDEX(CONFIGURACOES!$J$37:$J$300,MATCH($I1824,CONFIGURACOES!$B$37:$B$300,0)),"")</f>
        <v/>
      </c>
      <c r="T1824" s="22">
        <f>IF(OR($R1824="",$S1824=""),"",$R1824*$S1824)</f>
        <v/>
      </c>
      <c r="U1824" s="20" t="n"/>
      <c r="V1824" s="20" t="n"/>
      <c r="W1824" s="20" t="n"/>
      <c r="X1824">
        <f>IF($A1824="","",$A1824&amp;"|"&amp;$C1824&amp;"|"&amp;$I1824)</f>
        <v/>
      </c>
      <c r="Y1824">
        <f>IF(AND($A1824=RELATORIO_MEDICAO!$C$5,$C1824=RELATORIO_MEDICAO!$F$5,$A1824&lt;&gt;""),COUNTIFS($A$3:$A1824,RELATORIO_MEDICAO!$C$5,$C$3:$C1824,RELATORIO_MEDICAO!$F$5),"")</f>
        <v/>
      </c>
      <c r="Z1824">
        <f>IF(OR($A1824="",PESQUISA!$C$4=""),0,IF(OR(ISNUMBER(SEARCH(PESQUISA!$C$4,$G1824)),ISNUMBER(SEARCH(PESQUISA!$C$4,$K1824)),ISNUMBER(SEARCH(PESQUISA!$C$4,$L1824))),1,0))</f>
        <v/>
      </c>
      <c r="AA1824">
        <f>IF($Z1824=1,SUM($Z$3:$Z1824),"")</f>
        <v/>
      </c>
      <c r="AB1824">
        <f>IF(OR($A1824="",PESQUISA!$C$50=""),0,IF(ISNUMBER(SEARCH(PESQUISA!$C$50,$I1824)),1,0))</f>
        <v/>
      </c>
      <c r="AC1824">
        <f>IF($AB1824=1,SUM($AB$3:$AB1824),"")</f>
        <v/>
      </c>
    </row>
    <row r="1825">
      <c r="A1825" s="20" t="n"/>
      <c r="B1825" s="20" t="n"/>
      <c r="C1825" s="20" t="n"/>
      <c r="D1825" s="20" t="n"/>
      <c r="E1825" s="20" t="n"/>
      <c r="F1825" s="20" t="n"/>
      <c r="G1825" s="20" t="n"/>
      <c r="H1825" s="20" t="n"/>
      <c r="I1825" s="20" t="n"/>
      <c r="J1825" s="20">
        <f>IFERROR(INDEX(CONFIGURACOES!$G$37:$G$300,MATCH($I1825,CONFIGURACOES!$B$37:$B$300,0)),"")</f>
        <v/>
      </c>
      <c r="K1825" s="20">
        <f>IFERROR(INDEX(CONFIGURACOES!$H$37:$H$300,MATCH($I1825,CONFIGURACOES!$B$37:$B$300,0)),"")</f>
        <v/>
      </c>
      <c r="L1825" s="20" t="n"/>
      <c r="M1825" s="20">
        <f>IFERROR(INDEX(CONFIGURACOES!$I$37:$I$300,MATCH($I1825,CONFIGURACOES!$B$37:$B$300,0)),"")</f>
        <v/>
      </c>
      <c r="N1825" s="21" t="n"/>
      <c r="O1825" s="21" t="n"/>
      <c r="P1825" s="21" t="n"/>
      <c r="Q1825" s="21" t="n"/>
      <c r="R1825" s="21">
        <f>IF($N1825="","",$N1825*IF($Q1825="",1,$Q1825)*IF($P1825="",1,$P1825)*IF($O1825="",1,$O1825))</f>
        <v/>
      </c>
      <c r="S1825" s="22">
        <f>IFERROR(INDEX(CONFIGURACOES!$J$37:$J$300,MATCH($I1825,CONFIGURACOES!$B$37:$B$300,0)),"")</f>
        <v/>
      </c>
      <c r="T1825" s="22">
        <f>IF(OR($R1825="",$S1825=""),"",$R1825*$S1825)</f>
        <v/>
      </c>
      <c r="U1825" s="20" t="n"/>
      <c r="V1825" s="20" t="n"/>
      <c r="W1825" s="20" t="n"/>
      <c r="X1825">
        <f>IF($A1825="","",$A1825&amp;"|"&amp;$C1825&amp;"|"&amp;$I1825)</f>
        <v/>
      </c>
      <c r="Y1825">
        <f>IF(AND($A1825=RELATORIO_MEDICAO!$C$5,$C1825=RELATORIO_MEDICAO!$F$5,$A1825&lt;&gt;""),COUNTIFS($A$3:$A1825,RELATORIO_MEDICAO!$C$5,$C$3:$C1825,RELATORIO_MEDICAO!$F$5),"")</f>
        <v/>
      </c>
      <c r="Z1825">
        <f>IF(OR($A1825="",PESQUISA!$C$4=""),0,IF(OR(ISNUMBER(SEARCH(PESQUISA!$C$4,$G1825)),ISNUMBER(SEARCH(PESQUISA!$C$4,$K1825)),ISNUMBER(SEARCH(PESQUISA!$C$4,$L1825))),1,0))</f>
        <v/>
      </c>
      <c r="AA1825">
        <f>IF($Z1825=1,SUM($Z$3:$Z1825),"")</f>
        <v/>
      </c>
      <c r="AB1825">
        <f>IF(OR($A1825="",PESQUISA!$C$50=""),0,IF(ISNUMBER(SEARCH(PESQUISA!$C$50,$I1825)),1,0))</f>
        <v/>
      </c>
      <c r="AC1825">
        <f>IF($AB1825=1,SUM($AB$3:$AB1825),"")</f>
        <v/>
      </c>
    </row>
    <row r="1826">
      <c r="A1826" s="20" t="n"/>
      <c r="B1826" s="20" t="n"/>
      <c r="C1826" s="20" t="n"/>
      <c r="D1826" s="20" t="n"/>
      <c r="E1826" s="20" t="n"/>
      <c r="F1826" s="20" t="n"/>
      <c r="G1826" s="20" t="n"/>
      <c r="H1826" s="20" t="n"/>
      <c r="I1826" s="20" t="n"/>
      <c r="J1826" s="20">
        <f>IFERROR(INDEX(CONFIGURACOES!$G$37:$G$300,MATCH($I1826,CONFIGURACOES!$B$37:$B$300,0)),"")</f>
        <v/>
      </c>
      <c r="K1826" s="20">
        <f>IFERROR(INDEX(CONFIGURACOES!$H$37:$H$300,MATCH($I1826,CONFIGURACOES!$B$37:$B$300,0)),"")</f>
        <v/>
      </c>
      <c r="L1826" s="20" t="n"/>
      <c r="M1826" s="20">
        <f>IFERROR(INDEX(CONFIGURACOES!$I$37:$I$300,MATCH($I1826,CONFIGURACOES!$B$37:$B$300,0)),"")</f>
        <v/>
      </c>
      <c r="N1826" s="21" t="n"/>
      <c r="O1826" s="21" t="n"/>
      <c r="P1826" s="21" t="n"/>
      <c r="Q1826" s="21" t="n"/>
      <c r="R1826" s="21">
        <f>IF($N1826="","",$N1826*IF($Q1826="",1,$Q1826)*IF($P1826="",1,$P1826)*IF($O1826="",1,$O1826))</f>
        <v/>
      </c>
      <c r="S1826" s="22">
        <f>IFERROR(INDEX(CONFIGURACOES!$J$37:$J$300,MATCH($I1826,CONFIGURACOES!$B$37:$B$300,0)),"")</f>
        <v/>
      </c>
      <c r="T1826" s="22">
        <f>IF(OR($R1826="",$S1826=""),"",$R1826*$S1826)</f>
        <v/>
      </c>
      <c r="U1826" s="20" t="n"/>
      <c r="V1826" s="20" t="n"/>
      <c r="W1826" s="20" t="n"/>
      <c r="X1826">
        <f>IF($A1826="","",$A1826&amp;"|"&amp;$C1826&amp;"|"&amp;$I1826)</f>
        <v/>
      </c>
      <c r="Y1826">
        <f>IF(AND($A1826=RELATORIO_MEDICAO!$C$5,$C1826=RELATORIO_MEDICAO!$F$5,$A1826&lt;&gt;""),COUNTIFS($A$3:$A1826,RELATORIO_MEDICAO!$C$5,$C$3:$C1826,RELATORIO_MEDICAO!$F$5),"")</f>
        <v/>
      </c>
      <c r="Z1826">
        <f>IF(OR($A1826="",PESQUISA!$C$4=""),0,IF(OR(ISNUMBER(SEARCH(PESQUISA!$C$4,$G1826)),ISNUMBER(SEARCH(PESQUISA!$C$4,$K1826)),ISNUMBER(SEARCH(PESQUISA!$C$4,$L1826))),1,0))</f>
        <v/>
      </c>
      <c r="AA1826">
        <f>IF($Z1826=1,SUM($Z$3:$Z1826),"")</f>
        <v/>
      </c>
      <c r="AB1826">
        <f>IF(OR($A1826="",PESQUISA!$C$50=""),0,IF(ISNUMBER(SEARCH(PESQUISA!$C$50,$I1826)),1,0))</f>
        <v/>
      </c>
      <c r="AC1826">
        <f>IF($AB1826=1,SUM($AB$3:$AB1826),"")</f>
        <v/>
      </c>
    </row>
    <row r="1827">
      <c r="A1827" s="20" t="n"/>
      <c r="B1827" s="20" t="n"/>
      <c r="C1827" s="20" t="n"/>
      <c r="D1827" s="20" t="n"/>
      <c r="E1827" s="20" t="n"/>
      <c r="F1827" s="20" t="n"/>
      <c r="G1827" s="20" t="n"/>
      <c r="H1827" s="20" t="n"/>
      <c r="I1827" s="20" t="n"/>
      <c r="J1827" s="20">
        <f>IFERROR(INDEX(CONFIGURACOES!$G$37:$G$300,MATCH($I1827,CONFIGURACOES!$B$37:$B$300,0)),"")</f>
        <v/>
      </c>
      <c r="K1827" s="20">
        <f>IFERROR(INDEX(CONFIGURACOES!$H$37:$H$300,MATCH($I1827,CONFIGURACOES!$B$37:$B$300,0)),"")</f>
        <v/>
      </c>
      <c r="L1827" s="20" t="n"/>
      <c r="M1827" s="20">
        <f>IFERROR(INDEX(CONFIGURACOES!$I$37:$I$300,MATCH($I1827,CONFIGURACOES!$B$37:$B$300,0)),"")</f>
        <v/>
      </c>
      <c r="N1827" s="21" t="n"/>
      <c r="O1827" s="21" t="n"/>
      <c r="P1827" s="21" t="n"/>
      <c r="Q1827" s="21" t="n"/>
      <c r="R1827" s="21">
        <f>IF($N1827="","",$N1827*IF($Q1827="",1,$Q1827)*IF($P1827="",1,$P1827)*IF($O1827="",1,$O1827))</f>
        <v/>
      </c>
      <c r="S1827" s="22">
        <f>IFERROR(INDEX(CONFIGURACOES!$J$37:$J$300,MATCH($I1827,CONFIGURACOES!$B$37:$B$300,0)),"")</f>
        <v/>
      </c>
      <c r="T1827" s="22">
        <f>IF(OR($R1827="",$S1827=""),"",$R1827*$S1827)</f>
        <v/>
      </c>
      <c r="U1827" s="20" t="n"/>
      <c r="V1827" s="20" t="n"/>
      <c r="W1827" s="20" t="n"/>
      <c r="X1827">
        <f>IF($A1827="","",$A1827&amp;"|"&amp;$C1827&amp;"|"&amp;$I1827)</f>
        <v/>
      </c>
      <c r="Y1827">
        <f>IF(AND($A1827=RELATORIO_MEDICAO!$C$5,$C1827=RELATORIO_MEDICAO!$F$5,$A1827&lt;&gt;""),COUNTIFS($A$3:$A1827,RELATORIO_MEDICAO!$C$5,$C$3:$C1827,RELATORIO_MEDICAO!$F$5),"")</f>
        <v/>
      </c>
      <c r="Z1827">
        <f>IF(OR($A1827="",PESQUISA!$C$4=""),0,IF(OR(ISNUMBER(SEARCH(PESQUISA!$C$4,$G1827)),ISNUMBER(SEARCH(PESQUISA!$C$4,$K1827)),ISNUMBER(SEARCH(PESQUISA!$C$4,$L1827))),1,0))</f>
        <v/>
      </c>
      <c r="AA1827">
        <f>IF($Z1827=1,SUM($Z$3:$Z1827),"")</f>
        <v/>
      </c>
      <c r="AB1827">
        <f>IF(OR($A1827="",PESQUISA!$C$50=""),0,IF(ISNUMBER(SEARCH(PESQUISA!$C$50,$I1827)),1,0))</f>
        <v/>
      </c>
      <c r="AC1827">
        <f>IF($AB1827=1,SUM($AB$3:$AB1827),"")</f>
        <v/>
      </c>
    </row>
    <row r="1828">
      <c r="A1828" s="20" t="n"/>
      <c r="B1828" s="20" t="n"/>
      <c r="C1828" s="20" t="n"/>
      <c r="D1828" s="20" t="n"/>
      <c r="E1828" s="20" t="n"/>
      <c r="F1828" s="20" t="n"/>
      <c r="G1828" s="20" t="n"/>
      <c r="H1828" s="20" t="n"/>
      <c r="I1828" s="20" t="n"/>
      <c r="J1828" s="20">
        <f>IFERROR(INDEX(CONFIGURACOES!$G$37:$G$300,MATCH($I1828,CONFIGURACOES!$B$37:$B$300,0)),"")</f>
        <v/>
      </c>
      <c r="K1828" s="20">
        <f>IFERROR(INDEX(CONFIGURACOES!$H$37:$H$300,MATCH($I1828,CONFIGURACOES!$B$37:$B$300,0)),"")</f>
        <v/>
      </c>
      <c r="L1828" s="20" t="n"/>
      <c r="M1828" s="20">
        <f>IFERROR(INDEX(CONFIGURACOES!$I$37:$I$300,MATCH($I1828,CONFIGURACOES!$B$37:$B$300,0)),"")</f>
        <v/>
      </c>
      <c r="N1828" s="21" t="n"/>
      <c r="O1828" s="21" t="n"/>
      <c r="P1828" s="21" t="n"/>
      <c r="Q1828" s="21" t="n"/>
      <c r="R1828" s="21">
        <f>IF($N1828="","",$N1828*IF($Q1828="",1,$Q1828)*IF($P1828="",1,$P1828)*IF($O1828="",1,$O1828))</f>
        <v/>
      </c>
      <c r="S1828" s="22">
        <f>IFERROR(INDEX(CONFIGURACOES!$J$37:$J$300,MATCH($I1828,CONFIGURACOES!$B$37:$B$300,0)),"")</f>
        <v/>
      </c>
      <c r="T1828" s="22">
        <f>IF(OR($R1828="",$S1828=""),"",$R1828*$S1828)</f>
        <v/>
      </c>
      <c r="U1828" s="20" t="n"/>
      <c r="V1828" s="20" t="n"/>
      <c r="W1828" s="20" t="n"/>
      <c r="X1828">
        <f>IF($A1828="","",$A1828&amp;"|"&amp;$C1828&amp;"|"&amp;$I1828)</f>
        <v/>
      </c>
      <c r="Y1828">
        <f>IF(AND($A1828=RELATORIO_MEDICAO!$C$5,$C1828=RELATORIO_MEDICAO!$F$5,$A1828&lt;&gt;""),COUNTIFS($A$3:$A1828,RELATORIO_MEDICAO!$C$5,$C$3:$C1828,RELATORIO_MEDICAO!$F$5),"")</f>
        <v/>
      </c>
      <c r="Z1828">
        <f>IF(OR($A1828="",PESQUISA!$C$4=""),0,IF(OR(ISNUMBER(SEARCH(PESQUISA!$C$4,$G1828)),ISNUMBER(SEARCH(PESQUISA!$C$4,$K1828)),ISNUMBER(SEARCH(PESQUISA!$C$4,$L1828))),1,0))</f>
        <v/>
      </c>
      <c r="AA1828">
        <f>IF($Z1828=1,SUM($Z$3:$Z1828),"")</f>
        <v/>
      </c>
      <c r="AB1828">
        <f>IF(OR($A1828="",PESQUISA!$C$50=""),0,IF(ISNUMBER(SEARCH(PESQUISA!$C$50,$I1828)),1,0))</f>
        <v/>
      </c>
      <c r="AC1828">
        <f>IF($AB1828=1,SUM($AB$3:$AB1828),"")</f>
        <v/>
      </c>
    </row>
    <row r="1829">
      <c r="A1829" s="20" t="n"/>
      <c r="B1829" s="20" t="n"/>
      <c r="C1829" s="20" t="n"/>
      <c r="D1829" s="20" t="n"/>
      <c r="E1829" s="20" t="n"/>
      <c r="F1829" s="20" t="n"/>
      <c r="G1829" s="20" t="n"/>
      <c r="H1829" s="20" t="n"/>
      <c r="I1829" s="20" t="n"/>
      <c r="J1829" s="20">
        <f>IFERROR(INDEX(CONFIGURACOES!$G$37:$G$300,MATCH($I1829,CONFIGURACOES!$B$37:$B$300,0)),"")</f>
        <v/>
      </c>
      <c r="K1829" s="20">
        <f>IFERROR(INDEX(CONFIGURACOES!$H$37:$H$300,MATCH($I1829,CONFIGURACOES!$B$37:$B$300,0)),"")</f>
        <v/>
      </c>
      <c r="L1829" s="20" t="n"/>
      <c r="M1829" s="20">
        <f>IFERROR(INDEX(CONFIGURACOES!$I$37:$I$300,MATCH($I1829,CONFIGURACOES!$B$37:$B$300,0)),"")</f>
        <v/>
      </c>
      <c r="N1829" s="21" t="n"/>
      <c r="O1829" s="21" t="n"/>
      <c r="P1829" s="21" t="n"/>
      <c r="Q1829" s="21" t="n"/>
      <c r="R1829" s="21">
        <f>IF($N1829="","",$N1829*IF($Q1829="",1,$Q1829)*IF($P1829="",1,$P1829)*IF($O1829="",1,$O1829))</f>
        <v/>
      </c>
      <c r="S1829" s="22">
        <f>IFERROR(INDEX(CONFIGURACOES!$J$37:$J$300,MATCH($I1829,CONFIGURACOES!$B$37:$B$300,0)),"")</f>
        <v/>
      </c>
      <c r="T1829" s="22">
        <f>IF(OR($R1829="",$S1829=""),"",$R1829*$S1829)</f>
        <v/>
      </c>
      <c r="U1829" s="20" t="n"/>
      <c r="V1829" s="20" t="n"/>
      <c r="W1829" s="20" t="n"/>
      <c r="X1829">
        <f>IF($A1829="","",$A1829&amp;"|"&amp;$C1829&amp;"|"&amp;$I1829)</f>
        <v/>
      </c>
      <c r="Y1829">
        <f>IF(AND($A1829=RELATORIO_MEDICAO!$C$5,$C1829=RELATORIO_MEDICAO!$F$5,$A1829&lt;&gt;""),COUNTIFS($A$3:$A1829,RELATORIO_MEDICAO!$C$5,$C$3:$C1829,RELATORIO_MEDICAO!$F$5),"")</f>
        <v/>
      </c>
      <c r="Z1829">
        <f>IF(OR($A1829="",PESQUISA!$C$4=""),0,IF(OR(ISNUMBER(SEARCH(PESQUISA!$C$4,$G1829)),ISNUMBER(SEARCH(PESQUISA!$C$4,$K1829)),ISNUMBER(SEARCH(PESQUISA!$C$4,$L1829))),1,0))</f>
        <v/>
      </c>
      <c r="AA1829">
        <f>IF($Z1829=1,SUM($Z$3:$Z1829),"")</f>
        <v/>
      </c>
      <c r="AB1829">
        <f>IF(OR($A1829="",PESQUISA!$C$50=""),0,IF(ISNUMBER(SEARCH(PESQUISA!$C$50,$I1829)),1,0))</f>
        <v/>
      </c>
      <c r="AC1829">
        <f>IF($AB1829=1,SUM($AB$3:$AB1829),"")</f>
        <v/>
      </c>
    </row>
    <row r="1830">
      <c r="A1830" s="20" t="n"/>
      <c r="B1830" s="20" t="n"/>
      <c r="C1830" s="20" t="n"/>
      <c r="D1830" s="20" t="n"/>
      <c r="E1830" s="20" t="n"/>
      <c r="F1830" s="20" t="n"/>
      <c r="G1830" s="20" t="n"/>
      <c r="H1830" s="20" t="n"/>
      <c r="I1830" s="20" t="n"/>
      <c r="J1830" s="20">
        <f>IFERROR(INDEX(CONFIGURACOES!$G$37:$G$300,MATCH($I1830,CONFIGURACOES!$B$37:$B$300,0)),"")</f>
        <v/>
      </c>
      <c r="K1830" s="20">
        <f>IFERROR(INDEX(CONFIGURACOES!$H$37:$H$300,MATCH($I1830,CONFIGURACOES!$B$37:$B$300,0)),"")</f>
        <v/>
      </c>
      <c r="L1830" s="20" t="n"/>
      <c r="M1830" s="20">
        <f>IFERROR(INDEX(CONFIGURACOES!$I$37:$I$300,MATCH($I1830,CONFIGURACOES!$B$37:$B$300,0)),"")</f>
        <v/>
      </c>
      <c r="N1830" s="21" t="n"/>
      <c r="O1830" s="21" t="n"/>
      <c r="P1830" s="21" t="n"/>
      <c r="Q1830" s="21" t="n"/>
      <c r="R1830" s="21">
        <f>IF($N1830="","",$N1830*IF($Q1830="",1,$Q1830)*IF($P1830="",1,$P1830)*IF($O1830="",1,$O1830))</f>
        <v/>
      </c>
      <c r="S1830" s="22">
        <f>IFERROR(INDEX(CONFIGURACOES!$J$37:$J$300,MATCH($I1830,CONFIGURACOES!$B$37:$B$300,0)),"")</f>
        <v/>
      </c>
      <c r="T1830" s="22">
        <f>IF(OR($R1830="",$S1830=""),"",$R1830*$S1830)</f>
        <v/>
      </c>
      <c r="U1830" s="20" t="n"/>
      <c r="V1830" s="20" t="n"/>
      <c r="W1830" s="20" t="n"/>
      <c r="X1830">
        <f>IF($A1830="","",$A1830&amp;"|"&amp;$C1830&amp;"|"&amp;$I1830)</f>
        <v/>
      </c>
      <c r="Y1830">
        <f>IF(AND($A1830=RELATORIO_MEDICAO!$C$5,$C1830=RELATORIO_MEDICAO!$F$5,$A1830&lt;&gt;""),COUNTIFS($A$3:$A1830,RELATORIO_MEDICAO!$C$5,$C$3:$C1830,RELATORIO_MEDICAO!$F$5),"")</f>
        <v/>
      </c>
      <c r="Z1830">
        <f>IF(OR($A1830="",PESQUISA!$C$4=""),0,IF(OR(ISNUMBER(SEARCH(PESQUISA!$C$4,$G1830)),ISNUMBER(SEARCH(PESQUISA!$C$4,$K1830)),ISNUMBER(SEARCH(PESQUISA!$C$4,$L1830))),1,0))</f>
        <v/>
      </c>
      <c r="AA1830">
        <f>IF($Z1830=1,SUM($Z$3:$Z1830),"")</f>
        <v/>
      </c>
      <c r="AB1830">
        <f>IF(OR($A1830="",PESQUISA!$C$50=""),0,IF(ISNUMBER(SEARCH(PESQUISA!$C$50,$I1830)),1,0))</f>
        <v/>
      </c>
      <c r="AC1830">
        <f>IF($AB1830=1,SUM($AB$3:$AB1830),"")</f>
        <v/>
      </c>
    </row>
    <row r="1831">
      <c r="A1831" s="20" t="n"/>
      <c r="B1831" s="20" t="n"/>
      <c r="C1831" s="20" t="n"/>
      <c r="D1831" s="20" t="n"/>
      <c r="E1831" s="20" t="n"/>
      <c r="F1831" s="20" t="n"/>
      <c r="G1831" s="20" t="n"/>
      <c r="H1831" s="20" t="n"/>
      <c r="I1831" s="20" t="n"/>
      <c r="J1831" s="20">
        <f>IFERROR(INDEX(CONFIGURACOES!$G$37:$G$300,MATCH($I1831,CONFIGURACOES!$B$37:$B$300,0)),"")</f>
        <v/>
      </c>
      <c r="K1831" s="20">
        <f>IFERROR(INDEX(CONFIGURACOES!$H$37:$H$300,MATCH($I1831,CONFIGURACOES!$B$37:$B$300,0)),"")</f>
        <v/>
      </c>
      <c r="L1831" s="20" t="n"/>
      <c r="M1831" s="20">
        <f>IFERROR(INDEX(CONFIGURACOES!$I$37:$I$300,MATCH($I1831,CONFIGURACOES!$B$37:$B$300,0)),"")</f>
        <v/>
      </c>
      <c r="N1831" s="21" t="n"/>
      <c r="O1831" s="21" t="n"/>
      <c r="P1831" s="21" t="n"/>
      <c r="Q1831" s="21" t="n"/>
      <c r="R1831" s="21">
        <f>IF($N1831="","",$N1831*IF($Q1831="",1,$Q1831)*IF($P1831="",1,$P1831)*IF($O1831="",1,$O1831))</f>
        <v/>
      </c>
      <c r="S1831" s="22">
        <f>IFERROR(INDEX(CONFIGURACOES!$J$37:$J$300,MATCH($I1831,CONFIGURACOES!$B$37:$B$300,0)),"")</f>
        <v/>
      </c>
      <c r="T1831" s="22">
        <f>IF(OR($R1831="",$S1831=""),"",$R1831*$S1831)</f>
        <v/>
      </c>
      <c r="U1831" s="20" t="n"/>
      <c r="V1831" s="20" t="n"/>
      <c r="W1831" s="20" t="n"/>
      <c r="X1831">
        <f>IF($A1831="","",$A1831&amp;"|"&amp;$C1831&amp;"|"&amp;$I1831)</f>
        <v/>
      </c>
      <c r="Y1831">
        <f>IF(AND($A1831=RELATORIO_MEDICAO!$C$5,$C1831=RELATORIO_MEDICAO!$F$5,$A1831&lt;&gt;""),COUNTIFS($A$3:$A1831,RELATORIO_MEDICAO!$C$5,$C$3:$C1831,RELATORIO_MEDICAO!$F$5),"")</f>
        <v/>
      </c>
      <c r="Z1831">
        <f>IF(OR($A1831="",PESQUISA!$C$4=""),0,IF(OR(ISNUMBER(SEARCH(PESQUISA!$C$4,$G1831)),ISNUMBER(SEARCH(PESQUISA!$C$4,$K1831)),ISNUMBER(SEARCH(PESQUISA!$C$4,$L1831))),1,0))</f>
        <v/>
      </c>
      <c r="AA1831">
        <f>IF($Z1831=1,SUM($Z$3:$Z1831),"")</f>
        <v/>
      </c>
      <c r="AB1831">
        <f>IF(OR($A1831="",PESQUISA!$C$50=""),0,IF(ISNUMBER(SEARCH(PESQUISA!$C$50,$I1831)),1,0))</f>
        <v/>
      </c>
      <c r="AC1831">
        <f>IF($AB1831=1,SUM($AB$3:$AB1831),"")</f>
        <v/>
      </c>
    </row>
    <row r="1832">
      <c r="A1832" s="20" t="n"/>
      <c r="B1832" s="20" t="n"/>
      <c r="C1832" s="20" t="n"/>
      <c r="D1832" s="20" t="n"/>
      <c r="E1832" s="20" t="n"/>
      <c r="F1832" s="20" t="n"/>
      <c r="G1832" s="20" t="n"/>
      <c r="H1832" s="20" t="n"/>
      <c r="I1832" s="20" t="n"/>
      <c r="J1832" s="20">
        <f>IFERROR(INDEX(CONFIGURACOES!$G$37:$G$300,MATCH($I1832,CONFIGURACOES!$B$37:$B$300,0)),"")</f>
        <v/>
      </c>
      <c r="K1832" s="20">
        <f>IFERROR(INDEX(CONFIGURACOES!$H$37:$H$300,MATCH($I1832,CONFIGURACOES!$B$37:$B$300,0)),"")</f>
        <v/>
      </c>
      <c r="L1832" s="20" t="n"/>
      <c r="M1832" s="20">
        <f>IFERROR(INDEX(CONFIGURACOES!$I$37:$I$300,MATCH($I1832,CONFIGURACOES!$B$37:$B$300,0)),"")</f>
        <v/>
      </c>
      <c r="N1832" s="21" t="n"/>
      <c r="O1832" s="21" t="n"/>
      <c r="P1832" s="21" t="n"/>
      <c r="Q1832" s="21" t="n"/>
      <c r="R1832" s="21">
        <f>IF($N1832="","",$N1832*IF($Q1832="",1,$Q1832)*IF($P1832="",1,$P1832)*IF($O1832="",1,$O1832))</f>
        <v/>
      </c>
      <c r="S1832" s="22">
        <f>IFERROR(INDEX(CONFIGURACOES!$J$37:$J$300,MATCH($I1832,CONFIGURACOES!$B$37:$B$300,0)),"")</f>
        <v/>
      </c>
      <c r="T1832" s="22">
        <f>IF(OR($R1832="",$S1832=""),"",$R1832*$S1832)</f>
        <v/>
      </c>
      <c r="U1832" s="20" t="n"/>
      <c r="V1832" s="20" t="n"/>
      <c r="W1832" s="20" t="n"/>
      <c r="X1832">
        <f>IF($A1832="","",$A1832&amp;"|"&amp;$C1832&amp;"|"&amp;$I1832)</f>
        <v/>
      </c>
      <c r="Y1832">
        <f>IF(AND($A1832=RELATORIO_MEDICAO!$C$5,$C1832=RELATORIO_MEDICAO!$F$5,$A1832&lt;&gt;""),COUNTIFS($A$3:$A1832,RELATORIO_MEDICAO!$C$5,$C$3:$C1832,RELATORIO_MEDICAO!$F$5),"")</f>
        <v/>
      </c>
      <c r="Z1832">
        <f>IF(OR($A1832="",PESQUISA!$C$4=""),0,IF(OR(ISNUMBER(SEARCH(PESQUISA!$C$4,$G1832)),ISNUMBER(SEARCH(PESQUISA!$C$4,$K1832)),ISNUMBER(SEARCH(PESQUISA!$C$4,$L1832))),1,0))</f>
        <v/>
      </c>
      <c r="AA1832">
        <f>IF($Z1832=1,SUM($Z$3:$Z1832),"")</f>
        <v/>
      </c>
      <c r="AB1832">
        <f>IF(OR($A1832="",PESQUISA!$C$50=""),0,IF(ISNUMBER(SEARCH(PESQUISA!$C$50,$I1832)),1,0))</f>
        <v/>
      </c>
      <c r="AC1832">
        <f>IF($AB1832=1,SUM($AB$3:$AB1832),"")</f>
        <v/>
      </c>
    </row>
    <row r="1833">
      <c r="A1833" s="20" t="n"/>
      <c r="B1833" s="20" t="n"/>
      <c r="C1833" s="20" t="n"/>
      <c r="D1833" s="20" t="n"/>
      <c r="E1833" s="20" t="n"/>
      <c r="F1833" s="20" t="n"/>
      <c r="G1833" s="20" t="n"/>
      <c r="H1833" s="20" t="n"/>
      <c r="I1833" s="20" t="n"/>
      <c r="J1833" s="20">
        <f>IFERROR(INDEX(CONFIGURACOES!$G$37:$G$300,MATCH($I1833,CONFIGURACOES!$B$37:$B$300,0)),"")</f>
        <v/>
      </c>
      <c r="K1833" s="20">
        <f>IFERROR(INDEX(CONFIGURACOES!$H$37:$H$300,MATCH($I1833,CONFIGURACOES!$B$37:$B$300,0)),"")</f>
        <v/>
      </c>
      <c r="L1833" s="20" t="n"/>
      <c r="M1833" s="20">
        <f>IFERROR(INDEX(CONFIGURACOES!$I$37:$I$300,MATCH($I1833,CONFIGURACOES!$B$37:$B$300,0)),"")</f>
        <v/>
      </c>
      <c r="N1833" s="21" t="n"/>
      <c r="O1833" s="21" t="n"/>
      <c r="P1833" s="21" t="n"/>
      <c r="Q1833" s="21" t="n"/>
      <c r="R1833" s="21">
        <f>IF($N1833="","",$N1833*IF($Q1833="",1,$Q1833)*IF($P1833="",1,$P1833)*IF($O1833="",1,$O1833))</f>
        <v/>
      </c>
      <c r="S1833" s="22">
        <f>IFERROR(INDEX(CONFIGURACOES!$J$37:$J$300,MATCH($I1833,CONFIGURACOES!$B$37:$B$300,0)),"")</f>
        <v/>
      </c>
      <c r="T1833" s="22">
        <f>IF(OR($R1833="",$S1833=""),"",$R1833*$S1833)</f>
        <v/>
      </c>
      <c r="U1833" s="20" t="n"/>
      <c r="V1833" s="20" t="n"/>
      <c r="W1833" s="20" t="n"/>
      <c r="X1833">
        <f>IF($A1833="","",$A1833&amp;"|"&amp;$C1833&amp;"|"&amp;$I1833)</f>
        <v/>
      </c>
      <c r="Y1833">
        <f>IF(AND($A1833=RELATORIO_MEDICAO!$C$5,$C1833=RELATORIO_MEDICAO!$F$5,$A1833&lt;&gt;""),COUNTIFS($A$3:$A1833,RELATORIO_MEDICAO!$C$5,$C$3:$C1833,RELATORIO_MEDICAO!$F$5),"")</f>
        <v/>
      </c>
      <c r="Z1833">
        <f>IF(OR($A1833="",PESQUISA!$C$4=""),0,IF(OR(ISNUMBER(SEARCH(PESQUISA!$C$4,$G1833)),ISNUMBER(SEARCH(PESQUISA!$C$4,$K1833)),ISNUMBER(SEARCH(PESQUISA!$C$4,$L1833))),1,0))</f>
        <v/>
      </c>
      <c r="AA1833">
        <f>IF($Z1833=1,SUM($Z$3:$Z1833),"")</f>
        <v/>
      </c>
      <c r="AB1833">
        <f>IF(OR($A1833="",PESQUISA!$C$50=""),0,IF(ISNUMBER(SEARCH(PESQUISA!$C$50,$I1833)),1,0))</f>
        <v/>
      </c>
      <c r="AC1833">
        <f>IF($AB1833=1,SUM($AB$3:$AB1833),"")</f>
        <v/>
      </c>
    </row>
    <row r="1834">
      <c r="A1834" s="20" t="n"/>
      <c r="B1834" s="20" t="n"/>
      <c r="C1834" s="20" t="n"/>
      <c r="D1834" s="20" t="n"/>
      <c r="E1834" s="20" t="n"/>
      <c r="F1834" s="20" t="n"/>
      <c r="G1834" s="20" t="n"/>
      <c r="H1834" s="20" t="n"/>
      <c r="I1834" s="20" t="n"/>
      <c r="J1834" s="20">
        <f>IFERROR(INDEX(CONFIGURACOES!$G$37:$G$300,MATCH($I1834,CONFIGURACOES!$B$37:$B$300,0)),"")</f>
        <v/>
      </c>
      <c r="K1834" s="20">
        <f>IFERROR(INDEX(CONFIGURACOES!$H$37:$H$300,MATCH($I1834,CONFIGURACOES!$B$37:$B$300,0)),"")</f>
        <v/>
      </c>
      <c r="L1834" s="20" t="n"/>
      <c r="M1834" s="20">
        <f>IFERROR(INDEX(CONFIGURACOES!$I$37:$I$300,MATCH($I1834,CONFIGURACOES!$B$37:$B$300,0)),"")</f>
        <v/>
      </c>
      <c r="N1834" s="21" t="n"/>
      <c r="O1834" s="21" t="n"/>
      <c r="P1834" s="21" t="n"/>
      <c r="Q1834" s="21" t="n"/>
      <c r="R1834" s="21">
        <f>IF($N1834="","",$N1834*IF($Q1834="",1,$Q1834)*IF($P1834="",1,$P1834)*IF($O1834="",1,$O1834))</f>
        <v/>
      </c>
      <c r="S1834" s="22">
        <f>IFERROR(INDEX(CONFIGURACOES!$J$37:$J$300,MATCH($I1834,CONFIGURACOES!$B$37:$B$300,0)),"")</f>
        <v/>
      </c>
      <c r="T1834" s="22">
        <f>IF(OR($R1834="",$S1834=""),"",$R1834*$S1834)</f>
        <v/>
      </c>
      <c r="U1834" s="20" t="n"/>
      <c r="V1834" s="20" t="n"/>
      <c r="W1834" s="20" t="n"/>
      <c r="X1834">
        <f>IF($A1834="","",$A1834&amp;"|"&amp;$C1834&amp;"|"&amp;$I1834)</f>
        <v/>
      </c>
      <c r="Y1834">
        <f>IF(AND($A1834=RELATORIO_MEDICAO!$C$5,$C1834=RELATORIO_MEDICAO!$F$5,$A1834&lt;&gt;""),COUNTIFS($A$3:$A1834,RELATORIO_MEDICAO!$C$5,$C$3:$C1834,RELATORIO_MEDICAO!$F$5),"")</f>
        <v/>
      </c>
      <c r="Z1834">
        <f>IF(OR($A1834="",PESQUISA!$C$4=""),0,IF(OR(ISNUMBER(SEARCH(PESQUISA!$C$4,$G1834)),ISNUMBER(SEARCH(PESQUISA!$C$4,$K1834)),ISNUMBER(SEARCH(PESQUISA!$C$4,$L1834))),1,0))</f>
        <v/>
      </c>
      <c r="AA1834">
        <f>IF($Z1834=1,SUM($Z$3:$Z1834),"")</f>
        <v/>
      </c>
      <c r="AB1834">
        <f>IF(OR($A1834="",PESQUISA!$C$50=""),0,IF(ISNUMBER(SEARCH(PESQUISA!$C$50,$I1834)),1,0))</f>
        <v/>
      </c>
      <c r="AC1834">
        <f>IF($AB1834=1,SUM($AB$3:$AB1834),"")</f>
        <v/>
      </c>
    </row>
    <row r="1835">
      <c r="A1835" s="20" t="n"/>
      <c r="B1835" s="20" t="n"/>
      <c r="C1835" s="20" t="n"/>
      <c r="D1835" s="20" t="n"/>
      <c r="E1835" s="20" t="n"/>
      <c r="F1835" s="20" t="n"/>
      <c r="G1835" s="20" t="n"/>
      <c r="H1835" s="20" t="n"/>
      <c r="I1835" s="20" t="n"/>
      <c r="J1835" s="20">
        <f>IFERROR(INDEX(CONFIGURACOES!$G$37:$G$300,MATCH($I1835,CONFIGURACOES!$B$37:$B$300,0)),"")</f>
        <v/>
      </c>
      <c r="K1835" s="20">
        <f>IFERROR(INDEX(CONFIGURACOES!$H$37:$H$300,MATCH($I1835,CONFIGURACOES!$B$37:$B$300,0)),"")</f>
        <v/>
      </c>
      <c r="L1835" s="20" t="n"/>
      <c r="M1835" s="20">
        <f>IFERROR(INDEX(CONFIGURACOES!$I$37:$I$300,MATCH($I1835,CONFIGURACOES!$B$37:$B$300,0)),"")</f>
        <v/>
      </c>
      <c r="N1835" s="21" t="n"/>
      <c r="O1835" s="21" t="n"/>
      <c r="P1835" s="21" t="n"/>
      <c r="Q1835" s="21" t="n"/>
      <c r="R1835" s="21">
        <f>IF($N1835="","",$N1835*IF($Q1835="",1,$Q1835)*IF($P1835="",1,$P1835)*IF($O1835="",1,$O1835))</f>
        <v/>
      </c>
      <c r="S1835" s="22">
        <f>IFERROR(INDEX(CONFIGURACOES!$J$37:$J$300,MATCH($I1835,CONFIGURACOES!$B$37:$B$300,0)),"")</f>
        <v/>
      </c>
      <c r="T1835" s="22">
        <f>IF(OR($R1835="",$S1835=""),"",$R1835*$S1835)</f>
        <v/>
      </c>
      <c r="U1835" s="20" t="n"/>
      <c r="V1835" s="20" t="n"/>
      <c r="W1835" s="20" t="n"/>
      <c r="X1835">
        <f>IF($A1835="","",$A1835&amp;"|"&amp;$C1835&amp;"|"&amp;$I1835)</f>
        <v/>
      </c>
      <c r="Y1835">
        <f>IF(AND($A1835=RELATORIO_MEDICAO!$C$5,$C1835=RELATORIO_MEDICAO!$F$5,$A1835&lt;&gt;""),COUNTIFS($A$3:$A1835,RELATORIO_MEDICAO!$C$5,$C$3:$C1835,RELATORIO_MEDICAO!$F$5),"")</f>
        <v/>
      </c>
      <c r="Z1835">
        <f>IF(OR($A1835="",PESQUISA!$C$4=""),0,IF(OR(ISNUMBER(SEARCH(PESQUISA!$C$4,$G1835)),ISNUMBER(SEARCH(PESQUISA!$C$4,$K1835)),ISNUMBER(SEARCH(PESQUISA!$C$4,$L1835))),1,0))</f>
        <v/>
      </c>
      <c r="AA1835">
        <f>IF($Z1835=1,SUM($Z$3:$Z1835),"")</f>
        <v/>
      </c>
      <c r="AB1835">
        <f>IF(OR($A1835="",PESQUISA!$C$50=""),0,IF(ISNUMBER(SEARCH(PESQUISA!$C$50,$I1835)),1,0))</f>
        <v/>
      </c>
      <c r="AC1835">
        <f>IF($AB1835=1,SUM($AB$3:$AB1835),"")</f>
        <v/>
      </c>
    </row>
    <row r="1836">
      <c r="A1836" s="20" t="n"/>
      <c r="B1836" s="20" t="n"/>
      <c r="C1836" s="20" t="n"/>
      <c r="D1836" s="20" t="n"/>
      <c r="E1836" s="20" t="n"/>
      <c r="F1836" s="20" t="n"/>
      <c r="G1836" s="20" t="n"/>
      <c r="H1836" s="20" t="n"/>
      <c r="I1836" s="20" t="n"/>
      <c r="J1836" s="20">
        <f>IFERROR(INDEX(CONFIGURACOES!$G$37:$G$300,MATCH($I1836,CONFIGURACOES!$B$37:$B$300,0)),"")</f>
        <v/>
      </c>
      <c r="K1836" s="20">
        <f>IFERROR(INDEX(CONFIGURACOES!$H$37:$H$300,MATCH($I1836,CONFIGURACOES!$B$37:$B$300,0)),"")</f>
        <v/>
      </c>
      <c r="L1836" s="20" t="n"/>
      <c r="M1836" s="20">
        <f>IFERROR(INDEX(CONFIGURACOES!$I$37:$I$300,MATCH($I1836,CONFIGURACOES!$B$37:$B$300,0)),"")</f>
        <v/>
      </c>
      <c r="N1836" s="21" t="n"/>
      <c r="O1836" s="21" t="n"/>
      <c r="P1836" s="21" t="n"/>
      <c r="Q1836" s="21" t="n"/>
      <c r="R1836" s="21">
        <f>IF($N1836="","",$N1836*IF($Q1836="",1,$Q1836)*IF($P1836="",1,$P1836)*IF($O1836="",1,$O1836))</f>
        <v/>
      </c>
      <c r="S1836" s="22">
        <f>IFERROR(INDEX(CONFIGURACOES!$J$37:$J$300,MATCH($I1836,CONFIGURACOES!$B$37:$B$300,0)),"")</f>
        <v/>
      </c>
      <c r="T1836" s="22">
        <f>IF(OR($R1836="",$S1836=""),"",$R1836*$S1836)</f>
        <v/>
      </c>
      <c r="U1836" s="20" t="n"/>
      <c r="V1836" s="20" t="n"/>
      <c r="W1836" s="20" t="n"/>
      <c r="X1836">
        <f>IF($A1836="","",$A1836&amp;"|"&amp;$C1836&amp;"|"&amp;$I1836)</f>
        <v/>
      </c>
      <c r="Y1836">
        <f>IF(AND($A1836=RELATORIO_MEDICAO!$C$5,$C1836=RELATORIO_MEDICAO!$F$5,$A1836&lt;&gt;""),COUNTIFS($A$3:$A1836,RELATORIO_MEDICAO!$C$5,$C$3:$C1836,RELATORIO_MEDICAO!$F$5),"")</f>
        <v/>
      </c>
      <c r="Z1836">
        <f>IF(OR($A1836="",PESQUISA!$C$4=""),0,IF(OR(ISNUMBER(SEARCH(PESQUISA!$C$4,$G1836)),ISNUMBER(SEARCH(PESQUISA!$C$4,$K1836)),ISNUMBER(SEARCH(PESQUISA!$C$4,$L1836))),1,0))</f>
        <v/>
      </c>
      <c r="AA1836">
        <f>IF($Z1836=1,SUM($Z$3:$Z1836),"")</f>
        <v/>
      </c>
      <c r="AB1836">
        <f>IF(OR($A1836="",PESQUISA!$C$50=""),0,IF(ISNUMBER(SEARCH(PESQUISA!$C$50,$I1836)),1,0))</f>
        <v/>
      </c>
      <c r="AC1836">
        <f>IF($AB1836=1,SUM($AB$3:$AB1836),"")</f>
        <v/>
      </c>
    </row>
    <row r="1837">
      <c r="A1837" s="20" t="n"/>
      <c r="B1837" s="20" t="n"/>
      <c r="C1837" s="20" t="n"/>
      <c r="D1837" s="20" t="n"/>
      <c r="E1837" s="20" t="n"/>
      <c r="F1837" s="20" t="n"/>
      <c r="G1837" s="20" t="n"/>
      <c r="H1837" s="20" t="n"/>
      <c r="I1837" s="20" t="n"/>
      <c r="J1837" s="20">
        <f>IFERROR(INDEX(CONFIGURACOES!$G$37:$G$300,MATCH($I1837,CONFIGURACOES!$B$37:$B$300,0)),"")</f>
        <v/>
      </c>
      <c r="K1837" s="20">
        <f>IFERROR(INDEX(CONFIGURACOES!$H$37:$H$300,MATCH($I1837,CONFIGURACOES!$B$37:$B$300,0)),"")</f>
        <v/>
      </c>
      <c r="L1837" s="20" t="n"/>
      <c r="M1837" s="20">
        <f>IFERROR(INDEX(CONFIGURACOES!$I$37:$I$300,MATCH($I1837,CONFIGURACOES!$B$37:$B$300,0)),"")</f>
        <v/>
      </c>
      <c r="N1837" s="21" t="n"/>
      <c r="O1837" s="21" t="n"/>
      <c r="P1837" s="21" t="n"/>
      <c r="Q1837" s="21" t="n"/>
      <c r="R1837" s="21">
        <f>IF($N1837="","",$N1837*IF($Q1837="",1,$Q1837)*IF($P1837="",1,$P1837)*IF($O1837="",1,$O1837))</f>
        <v/>
      </c>
      <c r="S1837" s="22">
        <f>IFERROR(INDEX(CONFIGURACOES!$J$37:$J$300,MATCH($I1837,CONFIGURACOES!$B$37:$B$300,0)),"")</f>
        <v/>
      </c>
      <c r="T1837" s="22">
        <f>IF(OR($R1837="",$S1837=""),"",$R1837*$S1837)</f>
        <v/>
      </c>
      <c r="U1837" s="20" t="n"/>
      <c r="V1837" s="20" t="n"/>
      <c r="W1837" s="20" t="n"/>
      <c r="X1837">
        <f>IF($A1837="","",$A1837&amp;"|"&amp;$C1837&amp;"|"&amp;$I1837)</f>
        <v/>
      </c>
      <c r="Y1837">
        <f>IF(AND($A1837=RELATORIO_MEDICAO!$C$5,$C1837=RELATORIO_MEDICAO!$F$5,$A1837&lt;&gt;""),COUNTIFS($A$3:$A1837,RELATORIO_MEDICAO!$C$5,$C$3:$C1837,RELATORIO_MEDICAO!$F$5),"")</f>
        <v/>
      </c>
      <c r="Z1837">
        <f>IF(OR($A1837="",PESQUISA!$C$4=""),0,IF(OR(ISNUMBER(SEARCH(PESQUISA!$C$4,$G1837)),ISNUMBER(SEARCH(PESQUISA!$C$4,$K1837)),ISNUMBER(SEARCH(PESQUISA!$C$4,$L1837))),1,0))</f>
        <v/>
      </c>
      <c r="AA1837">
        <f>IF($Z1837=1,SUM($Z$3:$Z1837),"")</f>
        <v/>
      </c>
      <c r="AB1837">
        <f>IF(OR($A1837="",PESQUISA!$C$50=""),0,IF(ISNUMBER(SEARCH(PESQUISA!$C$50,$I1837)),1,0))</f>
        <v/>
      </c>
      <c r="AC1837">
        <f>IF($AB1837=1,SUM($AB$3:$AB1837),"")</f>
        <v/>
      </c>
    </row>
    <row r="1838">
      <c r="A1838" s="20" t="n"/>
      <c r="B1838" s="20" t="n"/>
      <c r="C1838" s="20" t="n"/>
      <c r="D1838" s="20" t="n"/>
      <c r="E1838" s="20" t="n"/>
      <c r="F1838" s="20" t="n"/>
      <c r="G1838" s="20" t="n"/>
      <c r="H1838" s="20" t="n"/>
      <c r="I1838" s="20" t="n"/>
      <c r="J1838" s="20">
        <f>IFERROR(INDEX(CONFIGURACOES!$G$37:$G$300,MATCH($I1838,CONFIGURACOES!$B$37:$B$300,0)),"")</f>
        <v/>
      </c>
      <c r="K1838" s="20">
        <f>IFERROR(INDEX(CONFIGURACOES!$H$37:$H$300,MATCH($I1838,CONFIGURACOES!$B$37:$B$300,0)),"")</f>
        <v/>
      </c>
      <c r="L1838" s="20" t="n"/>
      <c r="M1838" s="20">
        <f>IFERROR(INDEX(CONFIGURACOES!$I$37:$I$300,MATCH($I1838,CONFIGURACOES!$B$37:$B$300,0)),"")</f>
        <v/>
      </c>
      <c r="N1838" s="21" t="n"/>
      <c r="O1838" s="21" t="n"/>
      <c r="P1838" s="21" t="n"/>
      <c r="Q1838" s="21" t="n"/>
      <c r="R1838" s="21">
        <f>IF($N1838="","",$N1838*IF($Q1838="",1,$Q1838)*IF($P1838="",1,$P1838)*IF($O1838="",1,$O1838))</f>
        <v/>
      </c>
      <c r="S1838" s="22">
        <f>IFERROR(INDEX(CONFIGURACOES!$J$37:$J$300,MATCH($I1838,CONFIGURACOES!$B$37:$B$300,0)),"")</f>
        <v/>
      </c>
      <c r="T1838" s="22">
        <f>IF(OR($R1838="",$S1838=""),"",$R1838*$S1838)</f>
        <v/>
      </c>
      <c r="U1838" s="20" t="n"/>
      <c r="V1838" s="20" t="n"/>
      <c r="W1838" s="20" t="n"/>
      <c r="X1838">
        <f>IF($A1838="","",$A1838&amp;"|"&amp;$C1838&amp;"|"&amp;$I1838)</f>
        <v/>
      </c>
      <c r="Y1838">
        <f>IF(AND($A1838=RELATORIO_MEDICAO!$C$5,$C1838=RELATORIO_MEDICAO!$F$5,$A1838&lt;&gt;""),COUNTIFS($A$3:$A1838,RELATORIO_MEDICAO!$C$5,$C$3:$C1838,RELATORIO_MEDICAO!$F$5),"")</f>
        <v/>
      </c>
      <c r="Z1838">
        <f>IF(OR($A1838="",PESQUISA!$C$4=""),0,IF(OR(ISNUMBER(SEARCH(PESQUISA!$C$4,$G1838)),ISNUMBER(SEARCH(PESQUISA!$C$4,$K1838)),ISNUMBER(SEARCH(PESQUISA!$C$4,$L1838))),1,0))</f>
        <v/>
      </c>
      <c r="AA1838">
        <f>IF($Z1838=1,SUM($Z$3:$Z1838),"")</f>
        <v/>
      </c>
      <c r="AB1838">
        <f>IF(OR($A1838="",PESQUISA!$C$50=""),0,IF(ISNUMBER(SEARCH(PESQUISA!$C$50,$I1838)),1,0))</f>
        <v/>
      </c>
      <c r="AC1838">
        <f>IF($AB1838=1,SUM($AB$3:$AB1838),"")</f>
        <v/>
      </c>
    </row>
    <row r="1839">
      <c r="A1839" s="20" t="n"/>
      <c r="B1839" s="20" t="n"/>
      <c r="C1839" s="20" t="n"/>
      <c r="D1839" s="20" t="n"/>
      <c r="E1839" s="20" t="n"/>
      <c r="F1839" s="20" t="n"/>
      <c r="G1839" s="20" t="n"/>
      <c r="H1839" s="20" t="n"/>
      <c r="I1839" s="20" t="n"/>
      <c r="J1839" s="20">
        <f>IFERROR(INDEX(CONFIGURACOES!$G$37:$G$300,MATCH($I1839,CONFIGURACOES!$B$37:$B$300,0)),"")</f>
        <v/>
      </c>
      <c r="K1839" s="20">
        <f>IFERROR(INDEX(CONFIGURACOES!$H$37:$H$300,MATCH($I1839,CONFIGURACOES!$B$37:$B$300,0)),"")</f>
        <v/>
      </c>
      <c r="L1839" s="20" t="n"/>
      <c r="M1839" s="20">
        <f>IFERROR(INDEX(CONFIGURACOES!$I$37:$I$300,MATCH($I1839,CONFIGURACOES!$B$37:$B$300,0)),"")</f>
        <v/>
      </c>
      <c r="N1839" s="21" t="n"/>
      <c r="O1839" s="21" t="n"/>
      <c r="P1839" s="21" t="n"/>
      <c r="Q1839" s="21" t="n"/>
      <c r="R1839" s="21">
        <f>IF($N1839="","",$N1839*IF($Q1839="",1,$Q1839)*IF($P1839="",1,$P1839)*IF($O1839="",1,$O1839))</f>
        <v/>
      </c>
      <c r="S1839" s="22">
        <f>IFERROR(INDEX(CONFIGURACOES!$J$37:$J$300,MATCH($I1839,CONFIGURACOES!$B$37:$B$300,0)),"")</f>
        <v/>
      </c>
      <c r="T1839" s="22">
        <f>IF(OR($R1839="",$S1839=""),"",$R1839*$S1839)</f>
        <v/>
      </c>
      <c r="U1839" s="20" t="n"/>
      <c r="V1839" s="20" t="n"/>
      <c r="W1839" s="20" t="n"/>
      <c r="X1839">
        <f>IF($A1839="","",$A1839&amp;"|"&amp;$C1839&amp;"|"&amp;$I1839)</f>
        <v/>
      </c>
      <c r="Y1839">
        <f>IF(AND($A1839=RELATORIO_MEDICAO!$C$5,$C1839=RELATORIO_MEDICAO!$F$5,$A1839&lt;&gt;""),COUNTIFS($A$3:$A1839,RELATORIO_MEDICAO!$C$5,$C$3:$C1839,RELATORIO_MEDICAO!$F$5),"")</f>
        <v/>
      </c>
      <c r="Z1839">
        <f>IF(OR($A1839="",PESQUISA!$C$4=""),0,IF(OR(ISNUMBER(SEARCH(PESQUISA!$C$4,$G1839)),ISNUMBER(SEARCH(PESQUISA!$C$4,$K1839)),ISNUMBER(SEARCH(PESQUISA!$C$4,$L1839))),1,0))</f>
        <v/>
      </c>
      <c r="AA1839">
        <f>IF($Z1839=1,SUM($Z$3:$Z1839),"")</f>
        <v/>
      </c>
      <c r="AB1839">
        <f>IF(OR($A1839="",PESQUISA!$C$50=""),0,IF(ISNUMBER(SEARCH(PESQUISA!$C$50,$I1839)),1,0))</f>
        <v/>
      </c>
      <c r="AC1839">
        <f>IF($AB1839=1,SUM($AB$3:$AB1839),"")</f>
        <v/>
      </c>
    </row>
    <row r="1840">
      <c r="A1840" s="20" t="n"/>
      <c r="B1840" s="20" t="n"/>
      <c r="C1840" s="20" t="n"/>
      <c r="D1840" s="20" t="n"/>
      <c r="E1840" s="20" t="n"/>
      <c r="F1840" s="20" t="n"/>
      <c r="G1840" s="20" t="n"/>
      <c r="H1840" s="20" t="n"/>
      <c r="I1840" s="20" t="n"/>
      <c r="J1840" s="20">
        <f>IFERROR(INDEX(CONFIGURACOES!$G$37:$G$300,MATCH($I1840,CONFIGURACOES!$B$37:$B$300,0)),"")</f>
        <v/>
      </c>
      <c r="K1840" s="20">
        <f>IFERROR(INDEX(CONFIGURACOES!$H$37:$H$300,MATCH($I1840,CONFIGURACOES!$B$37:$B$300,0)),"")</f>
        <v/>
      </c>
      <c r="L1840" s="20" t="n"/>
      <c r="M1840" s="20">
        <f>IFERROR(INDEX(CONFIGURACOES!$I$37:$I$300,MATCH($I1840,CONFIGURACOES!$B$37:$B$300,0)),"")</f>
        <v/>
      </c>
      <c r="N1840" s="21" t="n"/>
      <c r="O1840" s="21" t="n"/>
      <c r="P1840" s="21" t="n"/>
      <c r="Q1840" s="21" t="n"/>
      <c r="R1840" s="21">
        <f>IF($N1840="","",$N1840*IF($Q1840="",1,$Q1840)*IF($P1840="",1,$P1840)*IF($O1840="",1,$O1840))</f>
        <v/>
      </c>
      <c r="S1840" s="22">
        <f>IFERROR(INDEX(CONFIGURACOES!$J$37:$J$300,MATCH($I1840,CONFIGURACOES!$B$37:$B$300,0)),"")</f>
        <v/>
      </c>
      <c r="T1840" s="22">
        <f>IF(OR($R1840="",$S1840=""),"",$R1840*$S1840)</f>
        <v/>
      </c>
      <c r="U1840" s="20" t="n"/>
      <c r="V1840" s="20" t="n"/>
      <c r="W1840" s="20" t="n"/>
      <c r="X1840">
        <f>IF($A1840="","",$A1840&amp;"|"&amp;$C1840&amp;"|"&amp;$I1840)</f>
        <v/>
      </c>
      <c r="Y1840">
        <f>IF(AND($A1840=RELATORIO_MEDICAO!$C$5,$C1840=RELATORIO_MEDICAO!$F$5,$A1840&lt;&gt;""),COUNTIFS($A$3:$A1840,RELATORIO_MEDICAO!$C$5,$C$3:$C1840,RELATORIO_MEDICAO!$F$5),"")</f>
        <v/>
      </c>
      <c r="Z1840">
        <f>IF(OR($A1840="",PESQUISA!$C$4=""),0,IF(OR(ISNUMBER(SEARCH(PESQUISA!$C$4,$G1840)),ISNUMBER(SEARCH(PESQUISA!$C$4,$K1840)),ISNUMBER(SEARCH(PESQUISA!$C$4,$L1840))),1,0))</f>
        <v/>
      </c>
      <c r="AA1840">
        <f>IF($Z1840=1,SUM($Z$3:$Z1840),"")</f>
        <v/>
      </c>
      <c r="AB1840">
        <f>IF(OR($A1840="",PESQUISA!$C$50=""),0,IF(ISNUMBER(SEARCH(PESQUISA!$C$50,$I1840)),1,0))</f>
        <v/>
      </c>
      <c r="AC1840">
        <f>IF($AB1840=1,SUM($AB$3:$AB1840),"")</f>
        <v/>
      </c>
    </row>
    <row r="1841">
      <c r="A1841" s="20" t="n"/>
      <c r="B1841" s="20" t="n"/>
      <c r="C1841" s="20" t="n"/>
      <c r="D1841" s="20" t="n"/>
      <c r="E1841" s="20" t="n"/>
      <c r="F1841" s="20" t="n"/>
      <c r="G1841" s="20" t="n"/>
      <c r="H1841" s="20" t="n"/>
      <c r="I1841" s="20" t="n"/>
      <c r="J1841" s="20">
        <f>IFERROR(INDEX(CONFIGURACOES!$G$37:$G$300,MATCH($I1841,CONFIGURACOES!$B$37:$B$300,0)),"")</f>
        <v/>
      </c>
      <c r="K1841" s="20">
        <f>IFERROR(INDEX(CONFIGURACOES!$H$37:$H$300,MATCH($I1841,CONFIGURACOES!$B$37:$B$300,0)),"")</f>
        <v/>
      </c>
      <c r="L1841" s="20" t="n"/>
      <c r="M1841" s="20">
        <f>IFERROR(INDEX(CONFIGURACOES!$I$37:$I$300,MATCH($I1841,CONFIGURACOES!$B$37:$B$300,0)),"")</f>
        <v/>
      </c>
      <c r="N1841" s="21" t="n"/>
      <c r="O1841" s="21" t="n"/>
      <c r="P1841" s="21" t="n"/>
      <c r="Q1841" s="21" t="n"/>
      <c r="R1841" s="21">
        <f>IF($N1841="","",$N1841*IF($Q1841="",1,$Q1841)*IF($P1841="",1,$P1841)*IF($O1841="",1,$O1841))</f>
        <v/>
      </c>
      <c r="S1841" s="22">
        <f>IFERROR(INDEX(CONFIGURACOES!$J$37:$J$300,MATCH($I1841,CONFIGURACOES!$B$37:$B$300,0)),"")</f>
        <v/>
      </c>
      <c r="T1841" s="22">
        <f>IF(OR($R1841="",$S1841=""),"",$R1841*$S1841)</f>
        <v/>
      </c>
      <c r="U1841" s="20" t="n"/>
      <c r="V1841" s="20" t="n"/>
      <c r="W1841" s="20" t="n"/>
      <c r="X1841">
        <f>IF($A1841="","",$A1841&amp;"|"&amp;$C1841&amp;"|"&amp;$I1841)</f>
        <v/>
      </c>
      <c r="Y1841">
        <f>IF(AND($A1841=RELATORIO_MEDICAO!$C$5,$C1841=RELATORIO_MEDICAO!$F$5,$A1841&lt;&gt;""),COUNTIFS($A$3:$A1841,RELATORIO_MEDICAO!$C$5,$C$3:$C1841,RELATORIO_MEDICAO!$F$5),"")</f>
        <v/>
      </c>
      <c r="Z1841">
        <f>IF(OR($A1841="",PESQUISA!$C$4=""),0,IF(OR(ISNUMBER(SEARCH(PESQUISA!$C$4,$G1841)),ISNUMBER(SEARCH(PESQUISA!$C$4,$K1841)),ISNUMBER(SEARCH(PESQUISA!$C$4,$L1841))),1,0))</f>
        <v/>
      </c>
      <c r="AA1841">
        <f>IF($Z1841=1,SUM($Z$3:$Z1841),"")</f>
        <v/>
      </c>
      <c r="AB1841">
        <f>IF(OR($A1841="",PESQUISA!$C$50=""),0,IF(ISNUMBER(SEARCH(PESQUISA!$C$50,$I1841)),1,0))</f>
        <v/>
      </c>
      <c r="AC1841">
        <f>IF($AB1841=1,SUM($AB$3:$AB1841),"")</f>
        <v/>
      </c>
    </row>
    <row r="1842">
      <c r="A1842" s="20" t="n"/>
      <c r="B1842" s="20" t="n"/>
      <c r="C1842" s="20" t="n"/>
      <c r="D1842" s="20" t="n"/>
      <c r="E1842" s="20" t="n"/>
      <c r="F1842" s="20" t="n"/>
      <c r="G1842" s="20" t="n"/>
      <c r="H1842" s="20" t="n"/>
      <c r="I1842" s="20" t="n"/>
      <c r="J1842" s="20">
        <f>IFERROR(INDEX(CONFIGURACOES!$G$37:$G$300,MATCH($I1842,CONFIGURACOES!$B$37:$B$300,0)),"")</f>
        <v/>
      </c>
      <c r="K1842" s="20">
        <f>IFERROR(INDEX(CONFIGURACOES!$H$37:$H$300,MATCH($I1842,CONFIGURACOES!$B$37:$B$300,0)),"")</f>
        <v/>
      </c>
      <c r="L1842" s="20" t="n"/>
      <c r="M1842" s="20">
        <f>IFERROR(INDEX(CONFIGURACOES!$I$37:$I$300,MATCH($I1842,CONFIGURACOES!$B$37:$B$300,0)),"")</f>
        <v/>
      </c>
      <c r="N1842" s="21" t="n"/>
      <c r="O1842" s="21" t="n"/>
      <c r="P1842" s="21" t="n"/>
      <c r="Q1842" s="21" t="n"/>
      <c r="R1842" s="21">
        <f>IF($N1842="","",$N1842*IF($Q1842="",1,$Q1842)*IF($P1842="",1,$P1842)*IF($O1842="",1,$O1842))</f>
        <v/>
      </c>
      <c r="S1842" s="22">
        <f>IFERROR(INDEX(CONFIGURACOES!$J$37:$J$300,MATCH($I1842,CONFIGURACOES!$B$37:$B$300,0)),"")</f>
        <v/>
      </c>
      <c r="T1842" s="22">
        <f>IF(OR($R1842="",$S1842=""),"",$R1842*$S1842)</f>
        <v/>
      </c>
      <c r="U1842" s="20" t="n"/>
      <c r="V1842" s="20" t="n"/>
      <c r="W1842" s="20" t="n"/>
      <c r="X1842">
        <f>IF($A1842="","",$A1842&amp;"|"&amp;$C1842&amp;"|"&amp;$I1842)</f>
        <v/>
      </c>
      <c r="Y1842">
        <f>IF(AND($A1842=RELATORIO_MEDICAO!$C$5,$C1842=RELATORIO_MEDICAO!$F$5,$A1842&lt;&gt;""),COUNTIFS($A$3:$A1842,RELATORIO_MEDICAO!$C$5,$C$3:$C1842,RELATORIO_MEDICAO!$F$5),"")</f>
        <v/>
      </c>
      <c r="Z1842">
        <f>IF(OR($A1842="",PESQUISA!$C$4=""),0,IF(OR(ISNUMBER(SEARCH(PESQUISA!$C$4,$G1842)),ISNUMBER(SEARCH(PESQUISA!$C$4,$K1842)),ISNUMBER(SEARCH(PESQUISA!$C$4,$L1842))),1,0))</f>
        <v/>
      </c>
      <c r="AA1842">
        <f>IF($Z1842=1,SUM($Z$3:$Z1842),"")</f>
        <v/>
      </c>
      <c r="AB1842">
        <f>IF(OR($A1842="",PESQUISA!$C$50=""),0,IF(ISNUMBER(SEARCH(PESQUISA!$C$50,$I1842)),1,0))</f>
        <v/>
      </c>
      <c r="AC1842">
        <f>IF($AB1842=1,SUM($AB$3:$AB1842),"")</f>
        <v/>
      </c>
    </row>
    <row r="1843">
      <c r="A1843" s="20" t="n"/>
      <c r="B1843" s="20" t="n"/>
      <c r="C1843" s="20" t="n"/>
      <c r="D1843" s="20" t="n"/>
      <c r="E1843" s="20" t="n"/>
      <c r="F1843" s="20" t="n"/>
      <c r="G1843" s="20" t="n"/>
      <c r="H1843" s="20" t="n"/>
      <c r="I1843" s="20" t="n"/>
      <c r="J1843" s="20">
        <f>IFERROR(INDEX(CONFIGURACOES!$G$37:$G$300,MATCH($I1843,CONFIGURACOES!$B$37:$B$300,0)),"")</f>
        <v/>
      </c>
      <c r="K1843" s="20">
        <f>IFERROR(INDEX(CONFIGURACOES!$H$37:$H$300,MATCH($I1843,CONFIGURACOES!$B$37:$B$300,0)),"")</f>
        <v/>
      </c>
      <c r="L1843" s="20" t="n"/>
      <c r="M1843" s="20">
        <f>IFERROR(INDEX(CONFIGURACOES!$I$37:$I$300,MATCH($I1843,CONFIGURACOES!$B$37:$B$300,0)),"")</f>
        <v/>
      </c>
      <c r="N1843" s="21" t="n"/>
      <c r="O1843" s="21" t="n"/>
      <c r="P1843" s="21" t="n"/>
      <c r="Q1843" s="21" t="n"/>
      <c r="R1843" s="21">
        <f>IF($N1843="","",$N1843*IF($Q1843="",1,$Q1843)*IF($P1843="",1,$P1843)*IF($O1843="",1,$O1843))</f>
        <v/>
      </c>
      <c r="S1843" s="22">
        <f>IFERROR(INDEX(CONFIGURACOES!$J$37:$J$300,MATCH($I1843,CONFIGURACOES!$B$37:$B$300,0)),"")</f>
        <v/>
      </c>
      <c r="T1843" s="22">
        <f>IF(OR($R1843="",$S1843=""),"",$R1843*$S1843)</f>
        <v/>
      </c>
      <c r="U1843" s="20" t="n"/>
      <c r="V1843" s="20" t="n"/>
      <c r="W1843" s="20" t="n"/>
      <c r="X1843">
        <f>IF($A1843="","",$A1843&amp;"|"&amp;$C1843&amp;"|"&amp;$I1843)</f>
        <v/>
      </c>
      <c r="Y1843">
        <f>IF(AND($A1843=RELATORIO_MEDICAO!$C$5,$C1843=RELATORIO_MEDICAO!$F$5,$A1843&lt;&gt;""),COUNTIFS($A$3:$A1843,RELATORIO_MEDICAO!$C$5,$C$3:$C1843,RELATORIO_MEDICAO!$F$5),"")</f>
        <v/>
      </c>
      <c r="Z1843">
        <f>IF(OR($A1843="",PESQUISA!$C$4=""),0,IF(OR(ISNUMBER(SEARCH(PESQUISA!$C$4,$G1843)),ISNUMBER(SEARCH(PESQUISA!$C$4,$K1843)),ISNUMBER(SEARCH(PESQUISA!$C$4,$L1843))),1,0))</f>
        <v/>
      </c>
      <c r="AA1843">
        <f>IF($Z1843=1,SUM($Z$3:$Z1843),"")</f>
        <v/>
      </c>
      <c r="AB1843">
        <f>IF(OR($A1843="",PESQUISA!$C$50=""),0,IF(ISNUMBER(SEARCH(PESQUISA!$C$50,$I1843)),1,0))</f>
        <v/>
      </c>
      <c r="AC1843">
        <f>IF($AB1843=1,SUM($AB$3:$AB1843),"")</f>
        <v/>
      </c>
    </row>
    <row r="1844">
      <c r="A1844" s="20" t="n"/>
      <c r="B1844" s="20" t="n"/>
      <c r="C1844" s="20" t="n"/>
      <c r="D1844" s="20" t="n"/>
      <c r="E1844" s="20" t="n"/>
      <c r="F1844" s="20" t="n"/>
      <c r="G1844" s="20" t="n"/>
      <c r="H1844" s="20" t="n"/>
      <c r="I1844" s="20" t="n"/>
      <c r="J1844" s="20">
        <f>IFERROR(INDEX(CONFIGURACOES!$G$37:$G$300,MATCH($I1844,CONFIGURACOES!$B$37:$B$300,0)),"")</f>
        <v/>
      </c>
      <c r="K1844" s="20">
        <f>IFERROR(INDEX(CONFIGURACOES!$H$37:$H$300,MATCH($I1844,CONFIGURACOES!$B$37:$B$300,0)),"")</f>
        <v/>
      </c>
      <c r="L1844" s="20" t="n"/>
      <c r="M1844" s="20">
        <f>IFERROR(INDEX(CONFIGURACOES!$I$37:$I$300,MATCH($I1844,CONFIGURACOES!$B$37:$B$300,0)),"")</f>
        <v/>
      </c>
      <c r="N1844" s="21" t="n"/>
      <c r="O1844" s="21" t="n"/>
      <c r="P1844" s="21" t="n"/>
      <c r="Q1844" s="21" t="n"/>
      <c r="R1844" s="21">
        <f>IF($N1844="","",$N1844*IF($Q1844="",1,$Q1844)*IF($P1844="",1,$P1844)*IF($O1844="",1,$O1844))</f>
        <v/>
      </c>
      <c r="S1844" s="22">
        <f>IFERROR(INDEX(CONFIGURACOES!$J$37:$J$300,MATCH($I1844,CONFIGURACOES!$B$37:$B$300,0)),"")</f>
        <v/>
      </c>
      <c r="T1844" s="22">
        <f>IF(OR($R1844="",$S1844=""),"",$R1844*$S1844)</f>
        <v/>
      </c>
      <c r="U1844" s="20" t="n"/>
      <c r="V1844" s="20" t="n"/>
      <c r="W1844" s="20" t="n"/>
      <c r="X1844">
        <f>IF($A1844="","",$A1844&amp;"|"&amp;$C1844&amp;"|"&amp;$I1844)</f>
        <v/>
      </c>
      <c r="Y1844">
        <f>IF(AND($A1844=RELATORIO_MEDICAO!$C$5,$C1844=RELATORIO_MEDICAO!$F$5,$A1844&lt;&gt;""),COUNTIFS($A$3:$A1844,RELATORIO_MEDICAO!$C$5,$C$3:$C1844,RELATORIO_MEDICAO!$F$5),"")</f>
        <v/>
      </c>
      <c r="Z1844">
        <f>IF(OR($A1844="",PESQUISA!$C$4=""),0,IF(OR(ISNUMBER(SEARCH(PESQUISA!$C$4,$G1844)),ISNUMBER(SEARCH(PESQUISA!$C$4,$K1844)),ISNUMBER(SEARCH(PESQUISA!$C$4,$L1844))),1,0))</f>
        <v/>
      </c>
      <c r="AA1844">
        <f>IF($Z1844=1,SUM($Z$3:$Z1844),"")</f>
        <v/>
      </c>
      <c r="AB1844">
        <f>IF(OR($A1844="",PESQUISA!$C$50=""),0,IF(ISNUMBER(SEARCH(PESQUISA!$C$50,$I1844)),1,0))</f>
        <v/>
      </c>
      <c r="AC1844">
        <f>IF($AB1844=1,SUM($AB$3:$AB1844),"")</f>
        <v/>
      </c>
    </row>
    <row r="1845">
      <c r="A1845" s="20" t="n"/>
      <c r="B1845" s="20" t="n"/>
      <c r="C1845" s="20" t="n"/>
      <c r="D1845" s="20" t="n"/>
      <c r="E1845" s="20" t="n"/>
      <c r="F1845" s="20" t="n"/>
      <c r="G1845" s="20" t="n"/>
      <c r="H1845" s="20" t="n"/>
      <c r="I1845" s="20" t="n"/>
      <c r="J1845" s="20">
        <f>IFERROR(INDEX(CONFIGURACOES!$G$37:$G$300,MATCH($I1845,CONFIGURACOES!$B$37:$B$300,0)),"")</f>
        <v/>
      </c>
      <c r="K1845" s="20">
        <f>IFERROR(INDEX(CONFIGURACOES!$H$37:$H$300,MATCH($I1845,CONFIGURACOES!$B$37:$B$300,0)),"")</f>
        <v/>
      </c>
      <c r="L1845" s="20" t="n"/>
      <c r="M1845" s="20">
        <f>IFERROR(INDEX(CONFIGURACOES!$I$37:$I$300,MATCH($I1845,CONFIGURACOES!$B$37:$B$300,0)),"")</f>
        <v/>
      </c>
      <c r="N1845" s="21" t="n"/>
      <c r="O1845" s="21" t="n"/>
      <c r="P1845" s="21" t="n"/>
      <c r="Q1845" s="21" t="n"/>
      <c r="R1845" s="21">
        <f>IF($N1845="","",$N1845*IF($Q1845="",1,$Q1845)*IF($P1845="",1,$P1845)*IF($O1845="",1,$O1845))</f>
        <v/>
      </c>
      <c r="S1845" s="22">
        <f>IFERROR(INDEX(CONFIGURACOES!$J$37:$J$300,MATCH($I1845,CONFIGURACOES!$B$37:$B$300,0)),"")</f>
        <v/>
      </c>
      <c r="T1845" s="22">
        <f>IF(OR($R1845="",$S1845=""),"",$R1845*$S1845)</f>
        <v/>
      </c>
      <c r="U1845" s="20" t="n"/>
      <c r="V1845" s="20" t="n"/>
      <c r="W1845" s="20" t="n"/>
      <c r="X1845">
        <f>IF($A1845="","",$A1845&amp;"|"&amp;$C1845&amp;"|"&amp;$I1845)</f>
        <v/>
      </c>
      <c r="Y1845">
        <f>IF(AND($A1845=RELATORIO_MEDICAO!$C$5,$C1845=RELATORIO_MEDICAO!$F$5,$A1845&lt;&gt;""),COUNTIFS($A$3:$A1845,RELATORIO_MEDICAO!$C$5,$C$3:$C1845,RELATORIO_MEDICAO!$F$5),"")</f>
        <v/>
      </c>
      <c r="Z1845">
        <f>IF(OR($A1845="",PESQUISA!$C$4=""),0,IF(OR(ISNUMBER(SEARCH(PESQUISA!$C$4,$G1845)),ISNUMBER(SEARCH(PESQUISA!$C$4,$K1845)),ISNUMBER(SEARCH(PESQUISA!$C$4,$L1845))),1,0))</f>
        <v/>
      </c>
      <c r="AA1845">
        <f>IF($Z1845=1,SUM($Z$3:$Z1845),"")</f>
        <v/>
      </c>
      <c r="AB1845">
        <f>IF(OR($A1845="",PESQUISA!$C$50=""),0,IF(ISNUMBER(SEARCH(PESQUISA!$C$50,$I1845)),1,0))</f>
        <v/>
      </c>
      <c r="AC1845">
        <f>IF($AB1845=1,SUM($AB$3:$AB1845),"")</f>
        <v/>
      </c>
    </row>
    <row r="1846">
      <c r="A1846" s="20" t="n"/>
      <c r="B1846" s="20" t="n"/>
      <c r="C1846" s="20" t="n"/>
      <c r="D1846" s="20" t="n"/>
      <c r="E1846" s="20" t="n"/>
      <c r="F1846" s="20" t="n"/>
      <c r="G1846" s="20" t="n"/>
      <c r="H1846" s="20" t="n"/>
      <c r="I1846" s="20" t="n"/>
      <c r="J1846" s="20">
        <f>IFERROR(INDEX(CONFIGURACOES!$G$37:$G$300,MATCH($I1846,CONFIGURACOES!$B$37:$B$300,0)),"")</f>
        <v/>
      </c>
      <c r="K1846" s="20">
        <f>IFERROR(INDEX(CONFIGURACOES!$H$37:$H$300,MATCH($I1846,CONFIGURACOES!$B$37:$B$300,0)),"")</f>
        <v/>
      </c>
      <c r="L1846" s="20" t="n"/>
      <c r="M1846" s="20">
        <f>IFERROR(INDEX(CONFIGURACOES!$I$37:$I$300,MATCH($I1846,CONFIGURACOES!$B$37:$B$300,0)),"")</f>
        <v/>
      </c>
      <c r="N1846" s="21" t="n"/>
      <c r="O1846" s="21" t="n"/>
      <c r="P1846" s="21" t="n"/>
      <c r="Q1846" s="21" t="n"/>
      <c r="R1846" s="21">
        <f>IF($N1846="","",$N1846*IF($Q1846="",1,$Q1846)*IF($P1846="",1,$P1846)*IF($O1846="",1,$O1846))</f>
        <v/>
      </c>
      <c r="S1846" s="22">
        <f>IFERROR(INDEX(CONFIGURACOES!$J$37:$J$300,MATCH($I1846,CONFIGURACOES!$B$37:$B$300,0)),"")</f>
        <v/>
      </c>
      <c r="T1846" s="22">
        <f>IF(OR($R1846="",$S1846=""),"",$R1846*$S1846)</f>
        <v/>
      </c>
      <c r="U1846" s="20" t="n"/>
      <c r="V1846" s="20" t="n"/>
      <c r="W1846" s="20" t="n"/>
      <c r="X1846">
        <f>IF($A1846="","",$A1846&amp;"|"&amp;$C1846&amp;"|"&amp;$I1846)</f>
        <v/>
      </c>
      <c r="Y1846">
        <f>IF(AND($A1846=RELATORIO_MEDICAO!$C$5,$C1846=RELATORIO_MEDICAO!$F$5,$A1846&lt;&gt;""),COUNTIFS($A$3:$A1846,RELATORIO_MEDICAO!$C$5,$C$3:$C1846,RELATORIO_MEDICAO!$F$5),"")</f>
        <v/>
      </c>
      <c r="Z1846">
        <f>IF(OR($A1846="",PESQUISA!$C$4=""),0,IF(OR(ISNUMBER(SEARCH(PESQUISA!$C$4,$G1846)),ISNUMBER(SEARCH(PESQUISA!$C$4,$K1846)),ISNUMBER(SEARCH(PESQUISA!$C$4,$L1846))),1,0))</f>
        <v/>
      </c>
      <c r="AA1846">
        <f>IF($Z1846=1,SUM($Z$3:$Z1846),"")</f>
        <v/>
      </c>
      <c r="AB1846">
        <f>IF(OR($A1846="",PESQUISA!$C$50=""),0,IF(ISNUMBER(SEARCH(PESQUISA!$C$50,$I1846)),1,0))</f>
        <v/>
      </c>
      <c r="AC1846">
        <f>IF($AB1846=1,SUM($AB$3:$AB1846),"")</f>
        <v/>
      </c>
    </row>
    <row r="1847">
      <c r="A1847" s="20" t="n"/>
      <c r="B1847" s="20" t="n"/>
      <c r="C1847" s="20" t="n"/>
      <c r="D1847" s="20" t="n"/>
      <c r="E1847" s="20" t="n"/>
      <c r="F1847" s="20" t="n"/>
      <c r="G1847" s="20" t="n"/>
      <c r="H1847" s="20" t="n"/>
      <c r="I1847" s="20" t="n"/>
      <c r="J1847" s="20">
        <f>IFERROR(INDEX(CONFIGURACOES!$G$37:$G$300,MATCH($I1847,CONFIGURACOES!$B$37:$B$300,0)),"")</f>
        <v/>
      </c>
      <c r="K1847" s="20">
        <f>IFERROR(INDEX(CONFIGURACOES!$H$37:$H$300,MATCH($I1847,CONFIGURACOES!$B$37:$B$300,0)),"")</f>
        <v/>
      </c>
      <c r="L1847" s="20" t="n"/>
      <c r="M1847" s="20">
        <f>IFERROR(INDEX(CONFIGURACOES!$I$37:$I$300,MATCH($I1847,CONFIGURACOES!$B$37:$B$300,0)),"")</f>
        <v/>
      </c>
      <c r="N1847" s="21" t="n"/>
      <c r="O1847" s="21" t="n"/>
      <c r="P1847" s="21" t="n"/>
      <c r="Q1847" s="21" t="n"/>
      <c r="R1847" s="21">
        <f>IF($N1847="","",$N1847*IF($Q1847="",1,$Q1847)*IF($P1847="",1,$P1847)*IF($O1847="",1,$O1847))</f>
        <v/>
      </c>
      <c r="S1847" s="22">
        <f>IFERROR(INDEX(CONFIGURACOES!$J$37:$J$300,MATCH($I1847,CONFIGURACOES!$B$37:$B$300,0)),"")</f>
        <v/>
      </c>
      <c r="T1847" s="22">
        <f>IF(OR($R1847="",$S1847=""),"",$R1847*$S1847)</f>
        <v/>
      </c>
      <c r="U1847" s="20" t="n"/>
      <c r="V1847" s="20" t="n"/>
      <c r="W1847" s="20" t="n"/>
      <c r="X1847">
        <f>IF($A1847="","",$A1847&amp;"|"&amp;$C1847&amp;"|"&amp;$I1847)</f>
        <v/>
      </c>
      <c r="Y1847">
        <f>IF(AND($A1847=RELATORIO_MEDICAO!$C$5,$C1847=RELATORIO_MEDICAO!$F$5,$A1847&lt;&gt;""),COUNTIFS($A$3:$A1847,RELATORIO_MEDICAO!$C$5,$C$3:$C1847,RELATORIO_MEDICAO!$F$5),"")</f>
        <v/>
      </c>
      <c r="Z1847">
        <f>IF(OR($A1847="",PESQUISA!$C$4=""),0,IF(OR(ISNUMBER(SEARCH(PESQUISA!$C$4,$G1847)),ISNUMBER(SEARCH(PESQUISA!$C$4,$K1847)),ISNUMBER(SEARCH(PESQUISA!$C$4,$L1847))),1,0))</f>
        <v/>
      </c>
      <c r="AA1847">
        <f>IF($Z1847=1,SUM($Z$3:$Z1847),"")</f>
        <v/>
      </c>
      <c r="AB1847">
        <f>IF(OR($A1847="",PESQUISA!$C$50=""),0,IF(ISNUMBER(SEARCH(PESQUISA!$C$50,$I1847)),1,0))</f>
        <v/>
      </c>
      <c r="AC1847">
        <f>IF($AB1847=1,SUM($AB$3:$AB1847),"")</f>
        <v/>
      </c>
    </row>
    <row r="1848">
      <c r="A1848" s="20" t="n"/>
      <c r="B1848" s="20" t="n"/>
      <c r="C1848" s="20" t="n"/>
      <c r="D1848" s="20" t="n"/>
      <c r="E1848" s="20" t="n"/>
      <c r="F1848" s="20" t="n"/>
      <c r="G1848" s="20" t="n"/>
      <c r="H1848" s="20" t="n"/>
      <c r="I1848" s="20" t="n"/>
      <c r="J1848" s="20">
        <f>IFERROR(INDEX(CONFIGURACOES!$G$37:$G$300,MATCH($I1848,CONFIGURACOES!$B$37:$B$300,0)),"")</f>
        <v/>
      </c>
      <c r="K1848" s="20">
        <f>IFERROR(INDEX(CONFIGURACOES!$H$37:$H$300,MATCH($I1848,CONFIGURACOES!$B$37:$B$300,0)),"")</f>
        <v/>
      </c>
      <c r="L1848" s="20" t="n"/>
      <c r="M1848" s="20">
        <f>IFERROR(INDEX(CONFIGURACOES!$I$37:$I$300,MATCH($I1848,CONFIGURACOES!$B$37:$B$300,0)),"")</f>
        <v/>
      </c>
      <c r="N1848" s="21" t="n"/>
      <c r="O1848" s="21" t="n"/>
      <c r="P1848" s="21" t="n"/>
      <c r="Q1848" s="21" t="n"/>
      <c r="R1848" s="21">
        <f>IF($N1848="","",$N1848*IF($Q1848="",1,$Q1848)*IF($P1848="",1,$P1848)*IF($O1848="",1,$O1848))</f>
        <v/>
      </c>
      <c r="S1848" s="22">
        <f>IFERROR(INDEX(CONFIGURACOES!$J$37:$J$300,MATCH($I1848,CONFIGURACOES!$B$37:$B$300,0)),"")</f>
        <v/>
      </c>
      <c r="T1848" s="22">
        <f>IF(OR($R1848="",$S1848=""),"",$R1848*$S1848)</f>
        <v/>
      </c>
      <c r="U1848" s="20" t="n"/>
      <c r="V1848" s="20" t="n"/>
      <c r="W1848" s="20" t="n"/>
      <c r="X1848">
        <f>IF($A1848="","",$A1848&amp;"|"&amp;$C1848&amp;"|"&amp;$I1848)</f>
        <v/>
      </c>
      <c r="Y1848">
        <f>IF(AND($A1848=RELATORIO_MEDICAO!$C$5,$C1848=RELATORIO_MEDICAO!$F$5,$A1848&lt;&gt;""),COUNTIFS($A$3:$A1848,RELATORIO_MEDICAO!$C$5,$C$3:$C1848,RELATORIO_MEDICAO!$F$5),"")</f>
        <v/>
      </c>
      <c r="Z1848">
        <f>IF(OR($A1848="",PESQUISA!$C$4=""),0,IF(OR(ISNUMBER(SEARCH(PESQUISA!$C$4,$G1848)),ISNUMBER(SEARCH(PESQUISA!$C$4,$K1848)),ISNUMBER(SEARCH(PESQUISA!$C$4,$L1848))),1,0))</f>
        <v/>
      </c>
      <c r="AA1848">
        <f>IF($Z1848=1,SUM($Z$3:$Z1848),"")</f>
        <v/>
      </c>
      <c r="AB1848">
        <f>IF(OR($A1848="",PESQUISA!$C$50=""),0,IF(ISNUMBER(SEARCH(PESQUISA!$C$50,$I1848)),1,0))</f>
        <v/>
      </c>
      <c r="AC1848">
        <f>IF($AB1848=1,SUM($AB$3:$AB1848),"")</f>
        <v/>
      </c>
    </row>
    <row r="1849">
      <c r="A1849" s="20" t="n"/>
      <c r="B1849" s="20" t="n"/>
      <c r="C1849" s="20" t="n"/>
      <c r="D1849" s="20" t="n"/>
      <c r="E1849" s="20" t="n"/>
      <c r="F1849" s="20" t="n"/>
      <c r="G1849" s="20" t="n"/>
      <c r="H1849" s="20" t="n"/>
      <c r="I1849" s="20" t="n"/>
      <c r="J1849" s="20">
        <f>IFERROR(INDEX(CONFIGURACOES!$G$37:$G$300,MATCH($I1849,CONFIGURACOES!$B$37:$B$300,0)),"")</f>
        <v/>
      </c>
      <c r="K1849" s="20">
        <f>IFERROR(INDEX(CONFIGURACOES!$H$37:$H$300,MATCH($I1849,CONFIGURACOES!$B$37:$B$300,0)),"")</f>
        <v/>
      </c>
      <c r="L1849" s="20" t="n"/>
      <c r="M1849" s="20">
        <f>IFERROR(INDEX(CONFIGURACOES!$I$37:$I$300,MATCH($I1849,CONFIGURACOES!$B$37:$B$300,0)),"")</f>
        <v/>
      </c>
      <c r="N1849" s="21" t="n"/>
      <c r="O1849" s="21" t="n"/>
      <c r="P1849" s="21" t="n"/>
      <c r="Q1849" s="21" t="n"/>
      <c r="R1849" s="21">
        <f>IF($N1849="","",$N1849*IF($Q1849="",1,$Q1849)*IF($P1849="",1,$P1849)*IF($O1849="",1,$O1849))</f>
        <v/>
      </c>
      <c r="S1849" s="22">
        <f>IFERROR(INDEX(CONFIGURACOES!$J$37:$J$300,MATCH($I1849,CONFIGURACOES!$B$37:$B$300,0)),"")</f>
        <v/>
      </c>
      <c r="T1849" s="22">
        <f>IF(OR($R1849="",$S1849=""),"",$R1849*$S1849)</f>
        <v/>
      </c>
      <c r="U1849" s="20" t="n"/>
      <c r="V1849" s="20" t="n"/>
      <c r="W1849" s="20" t="n"/>
      <c r="X1849">
        <f>IF($A1849="","",$A1849&amp;"|"&amp;$C1849&amp;"|"&amp;$I1849)</f>
        <v/>
      </c>
      <c r="Y1849">
        <f>IF(AND($A1849=RELATORIO_MEDICAO!$C$5,$C1849=RELATORIO_MEDICAO!$F$5,$A1849&lt;&gt;""),COUNTIFS($A$3:$A1849,RELATORIO_MEDICAO!$C$5,$C$3:$C1849,RELATORIO_MEDICAO!$F$5),"")</f>
        <v/>
      </c>
      <c r="Z1849">
        <f>IF(OR($A1849="",PESQUISA!$C$4=""),0,IF(OR(ISNUMBER(SEARCH(PESQUISA!$C$4,$G1849)),ISNUMBER(SEARCH(PESQUISA!$C$4,$K1849)),ISNUMBER(SEARCH(PESQUISA!$C$4,$L1849))),1,0))</f>
        <v/>
      </c>
      <c r="AA1849">
        <f>IF($Z1849=1,SUM($Z$3:$Z1849),"")</f>
        <v/>
      </c>
      <c r="AB1849">
        <f>IF(OR($A1849="",PESQUISA!$C$50=""),0,IF(ISNUMBER(SEARCH(PESQUISA!$C$50,$I1849)),1,0))</f>
        <v/>
      </c>
      <c r="AC1849">
        <f>IF($AB1849=1,SUM($AB$3:$AB1849),"")</f>
        <v/>
      </c>
    </row>
    <row r="1850">
      <c r="A1850" s="20" t="n"/>
      <c r="B1850" s="20" t="n"/>
      <c r="C1850" s="20" t="n"/>
      <c r="D1850" s="20" t="n"/>
      <c r="E1850" s="20" t="n"/>
      <c r="F1850" s="20" t="n"/>
      <c r="G1850" s="20" t="n"/>
      <c r="H1850" s="20" t="n"/>
      <c r="I1850" s="20" t="n"/>
      <c r="J1850" s="20">
        <f>IFERROR(INDEX(CONFIGURACOES!$G$37:$G$300,MATCH($I1850,CONFIGURACOES!$B$37:$B$300,0)),"")</f>
        <v/>
      </c>
      <c r="K1850" s="20">
        <f>IFERROR(INDEX(CONFIGURACOES!$H$37:$H$300,MATCH($I1850,CONFIGURACOES!$B$37:$B$300,0)),"")</f>
        <v/>
      </c>
      <c r="L1850" s="20" t="n"/>
      <c r="M1850" s="20">
        <f>IFERROR(INDEX(CONFIGURACOES!$I$37:$I$300,MATCH($I1850,CONFIGURACOES!$B$37:$B$300,0)),"")</f>
        <v/>
      </c>
      <c r="N1850" s="21" t="n"/>
      <c r="O1850" s="21" t="n"/>
      <c r="P1850" s="21" t="n"/>
      <c r="Q1850" s="21" t="n"/>
      <c r="R1850" s="21">
        <f>IF($N1850="","",$N1850*IF($Q1850="",1,$Q1850)*IF($P1850="",1,$P1850)*IF($O1850="",1,$O1850))</f>
        <v/>
      </c>
      <c r="S1850" s="22">
        <f>IFERROR(INDEX(CONFIGURACOES!$J$37:$J$300,MATCH($I1850,CONFIGURACOES!$B$37:$B$300,0)),"")</f>
        <v/>
      </c>
      <c r="T1850" s="22">
        <f>IF(OR($R1850="",$S1850=""),"",$R1850*$S1850)</f>
        <v/>
      </c>
      <c r="U1850" s="20" t="n"/>
      <c r="V1850" s="20" t="n"/>
      <c r="W1850" s="20" t="n"/>
      <c r="X1850">
        <f>IF($A1850="","",$A1850&amp;"|"&amp;$C1850&amp;"|"&amp;$I1850)</f>
        <v/>
      </c>
      <c r="Y1850">
        <f>IF(AND($A1850=RELATORIO_MEDICAO!$C$5,$C1850=RELATORIO_MEDICAO!$F$5,$A1850&lt;&gt;""),COUNTIFS($A$3:$A1850,RELATORIO_MEDICAO!$C$5,$C$3:$C1850,RELATORIO_MEDICAO!$F$5),"")</f>
        <v/>
      </c>
      <c r="Z1850">
        <f>IF(OR($A1850="",PESQUISA!$C$4=""),0,IF(OR(ISNUMBER(SEARCH(PESQUISA!$C$4,$G1850)),ISNUMBER(SEARCH(PESQUISA!$C$4,$K1850)),ISNUMBER(SEARCH(PESQUISA!$C$4,$L1850))),1,0))</f>
        <v/>
      </c>
      <c r="AA1850">
        <f>IF($Z1850=1,SUM($Z$3:$Z1850),"")</f>
        <v/>
      </c>
      <c r="AB1850">
        <f>IF(OR($A1850="",PESQUISA!$C$50=""),0,IF(ISNUMBER(SEARCH(PESQUISA!$C$50,$I1850)),1,0))</f>
        <v/>
      </c>
      <c r="AC1850">
        <f>IF($AB1850=1,SUM($AB$3:$AB1850),"")</f>
        <v/>
      </c>
    </row>
    <row r="1851">
      <c r="A1851" s="20" t="n"/>
      <c r="B1851" s="20" t="n"/>
      <c r="C1851" s="20" t="n"/>
      <c r="D1851" s="20" t="n"/>
      <c r="E1851" s="20" t="n"/>
      <c r="F1851" s="20" t="n"/>
      <c r="G1851" s="20" t="n"/>
      <c r="H1851" s="20" t="n"/>
      <c r="I1851" s="20" t="n"/>
      <c r="J1851" s="20">
        <f>IFERROR(INDEX(CONFIGURACOES!$G$37:$G$300,MATCH($I1851,CONFIGURACOES!$B$37:$B$300,0)),"")</f>
        <v/>
      </c>
      <c r="K1851" s="20">
        <f>IFERROR(INDEX(CONFIGURACOES!$H$37:$H$300,MATCH($I1851,CONFIGURACOES!$B$37:$B$300,0)),"")</f>
        <v/>
      </c>
      <c r="L1851" s="20" t="n"/>
      <c r="M1851" s="20">
        <f>IFERROR(INDEX(CONFIGURACOES!$I$37:$I$300,MATCH($I1851,CONFIGURACOES!$B$37:$B$300,0)),"")</f>
        <v/>
      </c>
      <c r="N1851" s="21" t="n"/>
      <c r="O1851" s="21" t="n"/>
      <c r="P1851" s="21" t="n"/>
      <c r="Q1851" s="21" t="n"/>
      <c r="R1851" s="21">
        <f>IF($N1851="","",$N1851*IF($Q1851="",1,$Q1851)*IF($P1851="",1,$P1851)*IF($O1851="",1,$O1851))</f>
        <v/>
      </c>
      <c r="S1851" s="22">
        <f>IFERROR(INDEX(CONFIGURACOES!$J$37:$J$300,MATCH($I1851,CONFIGURACOES!$B$37:$B$300,0)),"")</f>
        <v/>
      </c>
      <c r="T1851" s="22">
        <f>IF(OR($R1851="",$S1851=""),"",$R1851*$S1851)</f>
        <v/>
      </c>
      <c r="U1851" s="20" t="n"/>
      <c r="V1851" s="20" t="n"/>
      <c r="W1851" s="20" t="n"/>
      <c r="X1851">
        <f>IF($A1851="","",$A1851&amp;"|"&amp;$C1851&amp;"|"&amp;$I1851)</f>
        <v/>
      </c>
      <c r="Y1851">
        <f>IF(AND($A1851=RELATORIO_MEDICAO!$C$5,$C1851=RELATORIO_MEDICAO!$F$5,$A1851&lt;&gt;""),COUNTIFS($A$3:$A1851,RELATORIO_MEDICAO!$C$5,$C$3:$C1851,RELATORIO_MEDICAO!$F$5),"")</f>
        <v/>
      </c>
      <c r="Z1851">
        <f>IF(OR($A1851="",PESQUISA!$C$4=""),0,IF(OR(ISNUMBER(SEARCH(PESQUISA!$C$4,$G1851)),ISNUMBER(SEARCH(PESQUISA!$C$4,$K1851)),ISNUMBER(SEARCH(PESQUISA!$C$4,$L1851))),1,0))</f>
        <v/>
      </c>
      <c r="AA1851">
        <f>IF($Z1851=1,SUM($Z$3:$Z1851),"")</f>
        <v/>
      </c>
      <c r="AB1851">
        <f>IF(OR($A1851="",PESQUISA!$C$50=""),0,IF(ISNUMBER(SEARCH(PESQUISA!$C$50,$I1851)),1,0))</f>
        <v/>
      </c>
      <c r="AC1851">
        <f>IF($AB1851=1,SUM($AB$3:$AB1851),"")</f>
        <v/>
      </c>
    </row>
    <row r="1852">
      <c r="A1852" s="20" t="n"/>
      <c r="B1852" s="20" t="n"/>
      <c r="C1852" s="20" t="n"/>
      <c r="D1852" s="20" t="n"/>
      <c r="E1852" s="20" t="n"/>
      <c r="F1852" s="20" t="n"/>
      <c r="G1852" s="20" t="n"/>
      <c r="H1852" s="20" t="n"/>
      <c r="I1852" s="20" t="n"/>
      <c r="J1852" s="20">
        <f>IFERROR(INDEX(CONFIGURACOES!$G$37:$G$300,MATCH($I1852,CONFIGURACOES!$B$37:$B$300,0)),"")</f>
        <v/>
      </c>
      <c r="K1852" s="20">
        <f>IFERROR(INDEX(CONFIGURACOES!$H$37:$H$300,MATCH($I1852,CONFIGURACOES!$B$37:$B$300,0)),"")</f>
        <v/>
      </c>
      <c r="L1852" s="20" t="n"/>
      <c r="M1852" s="20">
        <f>IFERROR(INDEX(CONFIGURACOES!$I$37:$I$300,MATCH($I1852,CONFIGURACOES!$B$37:$B$300,0)),"")</f>
        <v/>
      </c>
      <c r="N1852" s="21" t="n"/>
      <c r="O1852" s="21" t="n"/>
      <c r="P1852" s="21" t="n"/>
      <c r="Q1852" s="21" t="n"/>
      <c r="R1852" s="21">
        <f>IF($N1852="","",$N1852*IF($Q1852="",1,$Q1852)*IF($P1852="",1,$P1852)*IF($O1852="",1,$O1852))</f>
        <v/>
      </c>
      <c r="S1852" s="22">
        <f>IFERROR(INDEX(CONFIGURACOES!$J$37:$J$300,MATCH($I1852,CONFIGURACOES!$B$37:$B$300,0)),"")</f>
        <v/>
      </c>
      <c r="T1852" s="22">
        <f>IF(OR($R1852="",$S1852=""),"",$R1852*$S1852)</f>
        <v/>
      </c>
      <c r="U1852" s="20" t="n"/>
      <c r="V1852" s="20" t="n"/>
      <c r="W1852" s="20" t="n"/>
      <c r="X1852">
        <f>IF($A1852="","",$A1852&amp;"|"&amp;$C1852&amp;"|"&amp;$I1852)</f>
        <v/>
      </c>
      <c r="Y1852">
        <f>IF(AND($A1852=RELATORIO_MEDICAO!$C$5,$C1852=RELATORIO_MEDICAO!$F$5,$A1852&lt;&gt;""),COUNTIFS($A$3:$A1852,RELATORIO_MEDICAO!$C$5,$C$3:$C1852,RELATORIO_MEDICAO!$F$5),"")</f>
        <v/>
      </c>
      <c r="Z1852">
        <f>IF(OR($A1852="",PESQUISA!$C$4=""),0,IF(OR(ISNUMBER(SEARCH(PESQUISA!$C$4,$G1852)),ISNUMBER(SEARCH(PESQUISA!$C$4,$K1852)),ISNUMBER(SEARCH(PESQUISA!$C$4,$L1852))),1,0))</f>
        <v/>
      </c>
      <c r="AA1852">
        <f>IF($Z1852=1,SUM($Z$3:$Z1852),"")</f>
        <v/>
      </c>
      <c r="AB1852">
        <f>IF(OR($A1852="",PESQUISA!$C$50=""),0,IF(ISNUMBER(SEARCH(PESQUISA!$C$50,$I1852)),1,0))</f>
        <v/>
      </c>
      <c r="AC1852">
        <f>IF($AB1852=1,SUM($AB$3:$AB1852),"")</f>
        <v/>
      </c>
    </row>
    <row r="1853">
      <c r="A1853" s="20" t="n"/>
      <c r="B1853" s="20" t="n"/>
      <c r="C1853" s="20" t="n"/>
      <c r="D1853" s="20" t="n"/>
      <c r="E1853" s="20" t="n"/>
      <c r="F1853" s="20" t="n"/>
      <c r="G1853" s="20" t="n"/>
      <c r="H1853" s="20" t="n"/>
      <c r="I1853" s="20" t="n"/>
      <c r="J1853" s="20">
        <f>IFERROR(INDEX(CONFIGURACOES!$G$37:$G$300,MATCH($I1853,CONFIGURACOES!$B$37:$B$300,0)),"")</f>
        <v/>
      </c>
      <c r="K1853" s="20">
        <f>IFERROR(INDEX(CONFIGURACOES!$H$37:$H$300,MATCH($I1853,CONFIGURACOES!$B$37:$B$300,0)),"")</f>
        <v/>
      </c>
      <c r="L1853" s="20" t="n"/>
      <c r="M1853" s="20">
        <f>IFERROR(INDEX(CONFIGURACOES!$I$37:$I$300,MATCH($I1853,CONFIGURACOES!$B$37:$B$300,0)),"")</f>
        <v/>
      </c>
      <c r="N1853" s="21" t="n"/>
      <c r="O1853" s="21" t="n"/>
      <c r="P1853" s="21" t="n"/>
      <c r="Q1853" s="21" t="n"/>
      <c r="R1853" s="21">
        <f>IF($N1853="","",$N1853*IF($Q1853="",1,$Q1853)*IF($P1853="",1,$P1853)*IF($O1853="",1,$O1853))</f>
        <v/>
      </c>
      <c r="S1853" s="22">
        <f>IFERROR(INDEX(CONFIGURACOES!$J$37:$J$300,MATCH($I1853,CONFIGURACOES!$B$37:$B$300,0)),"")</f>
        <v/>
      </c>
      <c r="T1853" s="22">
        <f>IF(OR($R1853="",$S1853=""),"",$R1853*$S1853)</f>
        <v/>
      </c>
      <c r="U1853" s="20" t="n"/>
      <c r="V1853" s="20" t="n"/>
      <c r="W1853" s="20" t="n"/>
      <c r="X1853">
        <f>IF($A1853="","",$A1853&amp;"|"&amp;$C1853&amp;"|"&amp;$I1853)</f>
        <v/>
      </c>
      <c r="Y1853">
        <f>IF(AND($A1853=RELATORIO_MEDICAO!$C$5,$C1853=RELATORIO_MEDICAO!$F$5,$A1853&lt;&gt;""),COUNTIFS($A$3:$A1853,RELATORIO_MEDICAO!$C$5,$C$3:$C1853,RELATORIO_MEDICAO!$F$5),"")</f>
        <v/>
      </c>
      <c r="Z1853">
        <f>IF(OR($A1853="",PESQUISA!$C$4=""),0,IF(OR(ISNUMBER(SEARCH(PESQUISA!$C$4,$G1853)),ISNUMBER(SEARCH(PESQUISA!$C$4,$K1853)),ISNUMBER(SEARCH(PESQUISA!$C$4,$L1853))),1,0))</f>
        <v/>
      </c>
      <c r="AA1853">
        <f>IF($Z1853=1,SUM($Z$3:$Z1853),"")</f>
        <v/>
      </c>
      <c r="AB1853">
        <f>IF(OR($A1853="",PESQUISA!$C$50=""),0,IF(ISNUMBER(SEARCH(PESQUISA!$C$50,$I1853)),1,0))</f>
        <v/>
      </c>
      <c r="AC1853">
        <f>IF($AB1853=1,SUM($AB$3:$AB1853),"")</f>
        <v/>
      </c>
    </row>
    <row r="1854">
      <c r="A1854" s="20" t="n"/>
      <c r="B1854" s="20" t="n"/>
      <c r="C1854" s="20" t="n"/>
      <c r="D1854" s="20" t="n"/>
      <c r="E1854" s="20" t="n"/>
      <c r="F1854" s="20" t="n"/>
      <c r="G1854" s="20" t="n"/>
      <c r="H1854" s="20" t="n"/>
      <c r="I1854" s="20" t="n"/>
      <c r="J1854" s="20">
        <f>IFERROR(INDEX(CONFIGURACOES!$G$37:$G$300,MATCH($I1854,CONFIGURACOES!$B$37:$B$300,0)),"")</f>
        <v/>
      </c>
      <c r="K1854" s="20">
        <f>IFERROR(INDEX(CONFIGURACOES!$H$37:$H$300,MATCH($I1854,CONFIGURACOES!$B$37:$B$300,0)),"")</f>
        <v/>
      </c>
      <c r="L1854" s="20" t="n"/>
      <c r="M1854" s="20">
        <f>IFERROR(INDEX(CONFIGURACOES!$I$37:$I$300,MATCH($I1854,CONFIGURACOES!$B$37:$B$300,0)),"")</f>
        <v/>
      </c>
      <c r="N1854" s="21" t="n"/>
      <c r="O1854" s="21" t="n"/>
      <c r="P1854" s="21" t="n"/>
      <c r="Q1854" s="21" t="n"/>
      <c r="R1854" s="21">
        <f>IF($N1854="","",$N1854*IF($Q1854="",1,$Q1854)*IF($P1854="",1,$P1854)*IF($O1854="",1,$O1854))</f>
        <v/>
      </c>
      <c r="S1854" s="22">
        <f>IFERROR(INDEX(CONFIGURACOES!$J$37:$J$300,MATCH($I1854,CONFIGURACOES!$B$37:$B$300,0)),"")</f>
        <v/>
      </c>
      <c r="T1854" s="22">
        <f>IF(OR($R1854="",$S1854=""),"",$R1854*$S1854)</f>
        <v/>
      </c>
      <c r="U1854" s="20" t="n"/>
      <c r="V1854" s="20" t="n"/>
      <c r="W1854" s="20" t="n"/>
      <c r="X1854">
        <f>IF($A1854="","",$A1854&amp;"|"&amp;$C1854&amp;"|"&amp;$I1854)</f>
        <v/>
      </c>
      <c r="Y1854">
        <f>IF(AND($A1854=RELATORIO_MEDICAO!$C$5,$C1854=RELATORIO_MEDICAO!$F$5,$A1854&lt;&gt;""),COUNTIFS($A$3:$A1854,RELATORIO_MEDICAO!$C$5,$C$3:$C1854,RELATORIO_MEDICAO!$F$5),"")</f>
        <v/>
      </c>
      <c r="Z1854">
        <f>IF(OR($A1854="",PESQUISA!$C$4=""),0,IF(OR(ISNUMBER(SEARCH(PESQUISA!$C$4,$G1854)),ISNUMBER(SEARCH(PESQUISA!$C$4,$K1854)),ISNUMBER(SEARCH(PESQUISA!$C$4,$L1854))),1,0))</f>
        <v/>
      </c>
      <c r="AA1854">
        <f>IF($Z1854=1,SUM($Z$3:$Z1854),"")</f>
        <v/>
      </c>
      <c r="AB1854">
        <f>IF(OR($A1854="",PESQUISA!$C$50=""),0,IF(ISNUMBER(SEARCH(PESQUISA!$C$50,$I1854)),1,0))</f>
        <v/>
      </c>
      <c r="AC1854">
        <f>IF($AB1854=1,SUM($AB$3:$AB1854),"")</f>
        <v/>
      </c>
    </row>
    <row r="1855">
      <c r="A1855" s="20" t="n"/>
      <c r="B1855" s="20" t="n"/>
      <c r="C1855" s="20" t="n"/>
      <c r="D1855" s="20" t="n"/>
      <c r="E1855" s="20" t="n"/>
      <c r="F1855" s="20" t="n"/>
      <c r="G1855" s="20" t="n"/>
      <c r="H1855" s="20" t="n"/>
      <c r="I1855" s="20" t="n"/>
      <c r="J1855" s="20">
        <f>IFERROR(INDEX(CONFIGURACOES!$G$37:$G$300,MATCH($I1855,CONFIGURACOES!$B$37:$B$300,0)),"")</f>
        <v/>
      </c>
      <c r="K1855" s="20">
        <f>IFERROR(INDEX(CONFIGURACOES!$H$37:$H$300,MATCH($I1855,CONFIGURACOES!$B$37:$B$300,0)),"")</f>
        <v/>
      </c>
      <c r="L1855" s="20" t="n"/>
      <c r="M1855" s="20">
        <f>IFERROR(INDEX(CONFIGURACOES!$I$37:$I$300,MATCH($I1855,CONFIGURACOES!$B$37:$B$300,0)),"")</f>
        <v/>
      </c>
      <c r="N1855" s="21" t="n"/>
      <c r="O1855" s="21" t="n"/>
      <c r="P1855" s="21" t="n"/>
      <c r="Q1855" s="21" t="n"/>
      <c r="R1855" s="21">
        <f>IF($N1855="","",$N1855*IF($Q1855="",1,$Q1855)*IF($P1855="",1,$P1855)*IF($O1855="",1,$O1855))</f>
        <v/>
      </c>
      <c r="S1855" s="22">
        <f>IFERROR(INDEX(CONFIGURACOES!$J$37:$J$300,MATCH($I1855,CONFIGURACOES!$B$37:$B$300,0)),"")</f>
        <v/>
      </c>
      <c r="T1855" s="22">
        <f>IF(OR($R1855="",$S1855=""),"",$R1855*$S1855)</f>
        <v/>
      </c>
      <c r="U1855" s="20" t="n"/>
      <c r="V1855" s="20" t="n"/>
      <c r="W1855" s="20" t="n"/>
      <c r="X1855">
        <f>IF($A1855="","",$A1855&amp;"|"&amp;$C1855&amp;"|"&amp;$I1855)</f>
        <v/>
      </c>
      <c r="Y1855">
        <f>IF(AND($A1855=RELATORIO_MEDICAO!$C$5,$C1855=RELATORIO_MEDICAO!$F$5,$A1855&lt;&gt;""),COUNTIFS($A$3:$A1855,RELATORIO_MEDICAO!$C$5,$C$3:$C1855,RELATORIO_MEDICAO!$F$5),"")</f>
        <v/>
      </c>
      <c r="Z1855">
        <f>IF(OR($A1855="",PESQUISA!$C$4=""),0,IF(OR(ISNUMBER(SEARCH(PESQUISA!$C$4,$G1855)),ISNUMBER(SEARCH(PESQUISA!$C$4,$K1855)),ISNUMBER(SEARCH(PESQUISA!$C$4,$L1855))),1,0))</f>
        <v/>
      </c>
      <c r="AA1855">
        <f>IF($Z1855=1,SUM($Z$3:$Z1855),"")</f>
        <v/>
      </c>
      <c r="AB1855">
        <f>IF(OR($A1855="",PESQUISA!$C$50=""),0,IF(ISNUMBER(SEARCH(PESQUISA!$C$50,$I1855)),1,0))</f>
        <v/>
      </c>
      <c r="AC1855">
        <f>IF($AB1855=1,SUM($AB$3:$AB1855),"")</f>
        <v/>
      </c>
    </row>
    <row r="1856">
      <c r="A1856" s="20" t="n"/>
      <c r="B1856" s="20" t="n"/>
      <c r="C1856" s="20" t="n"/>
      <c r="D1856" s="20" t="n"/>
      <c r="E1856" s="20" t="n"/>
      <c r="F1856" s="20" t="n"/>
      <c r="G1856" s="20" t="n"/>
      <c r="H1856" s="20" t="n"/>
      <c r="I1856" s="20" t="n"/>
      <c r="J1856" s="20">
        <f>IFERROR(INDEX(CONFIGURACOES!$G$37:$G$300,MATCH($I1856,CONFIGURACOES!$B$37:$B$300,0)),"")</f>
        <v/>
      </c>
      <c r="K1856" s="20">
        <f>IFERROR(INDEX(CONFIGURACOES!$H$37:$H$300,MATCH($I1856,CONFIGURACOES!$B$37:$B$300,0)),"")</f>
        <v/>
      </c>
      <c r="L1856" s="20" t="n"/>
      <c r="M1856" s="20">
        <f>IFERROR(INDEX(CONFIGURACOES!$I$37:$I$300,MATCH($I1856,CONFIGURACOES!$B$37:$B$300,0)),"")</f>
        <v/>
      </c>
      <c r="N1856" s="21" t="n"/>
      <c r="O1856" s="21" t="n"/>
      <c r="P1856" s="21" t="n"/>
      <c r="Q1856" s="21" t="n"/>
      <c r="R1856" s="21">
        <f>IF($N1856="","",$N1856*IF($Q1856="",1,$Q1856)*IF($P1856="",1,$P1856)*IF($O1856="",1,$O1856))</f>
        <v/>
      </c>
      <c r="S1856" s="22">
        <f>IFERROR(INDEX(CONFIGURACOES!$J$37:$J$300,MATCH($I1856,CONFIGURACOES!$B$37:$B$300,0)),"")</f>
        <v/>
      </c>
      <c r="T1856" s="22">
        <f>IF(OR($R1856="",$S1856=""),"",$R1856*$S1856)</f>
        <v/>
      </c>
      <c r="U1856" s="20" t="n"/>
      <c r="V1856" s="20" t="n"/>
      <c r="W1856" s="20" t="n"/>
      <c r="X1856">
        <f>IF($A1856="","",$A1856&amp;"|"&amp;$C1856&amp;"|"&amp;$I1856)</f>
        <v/>
      </c>
      <c r="Y1856">
        <f>IF(AND($A1856=RELATORIO_MEDICAO!$C$5,$C1856=RELATORIO_MEDICAO!$F$5,$A1856&lt;&gt;""),COUNTIFS($A$3:$A1856,RELATORIO_MEDICAO!$C$5,$C$3:$C1856,RELATORIO_MEDICAO!$F$5),"")</f>
        <v/>
      </c>
      <c r="Z1856">
        <f>IF(OR($A1856="",PESQUISA!$C$4=""),0,IF(OR(ISNUMBER(SEARCH(PESQUISA!$C$4,$G1856)),ISNUMBER(SEARCH(PESQUISA!$C$4,$K1856)),ISNUMBER(SEARCH(PESQUISA!$C$4,$L1856))),1,0))</f>
        <v/>
      </c>
      <c r="AA1856">
        <f>IF($Z1856=1,SUM($Z$3:$Z1856),"")</f>
        <v/>
      </c>
      <c r="AB1856">
        <f>IF(OR($A1856="",PESQUISA!$C$50=""),0,IF(ISNUMBER(SEARCH(PESQUISA!$C$50,$I1856)),1,0))</f>
        <v/>
      </c>
      <c r="AC1856">
        <f>IF($AB1856=1,SUM($AB$3:$AB1856),"")</f>
        <v/>
      </c>
    </row>
    <row r="1857">
      <c r="A1857" s="20" t="n"/>
      <c r="B1857" s="20" t="n"/>
      <c r="C1857" s="20" t="n"/>
      <c r="D1857" s="20" t="n"/>
      <c r="E1857" s="20" t="n"/>
      <c r="F1857" s="20" t="n"/>
      <c r="G1857" s="20" t="n"/>
      <c r="H1857" s="20" t="n"/>
      <c r="I1857" s="20" t="n"/>
      <c r="J1857" s="20">
        <f>IFERROR(INDEX(CONFIGURACOES!$G$37:$G$300,MATCH($I1857,CONFIGURACOES!$B$37:$B$300,0)),"")</f>
        <v/>
      </c>
      <c r="K1857" s="20">
        <f>IFERROR(INDEX(CONFIGURACOES!$H$37:$H$300,MATCH($I1857,CONFIGURACOES!$B$37:$B$300,0)),"")</f>
        <v/>
      </c>
      <c r="L1857" s="20" t="n"/>
      <c r="M1857" s="20">
        <f>IFERROR(INDEX(CONFIGURACOES!$I$37:$I$300,MATCH($I1857,CONFIGURACOES!$B$37:$B$300,0)),"")</f>
        <v/>
      </c>
      <c r="N1857" s="21" t="n"/>
      <c r="O1857" s="21" t="n"/>
      <c r="P1857" s="21" t="n"/>
      <c r="Q1857" s="21" t="n"/>
      <c r="R1857" s="21">
        <f>IF($N1857="","",$N1857*IF($Q1857="",1,$Q1857)*IF($P1857="",1,$P1857)*IF($O1857="",1,$O1857))</f>
        <v/>
      </c>
      <c r="S1857" s="22">
        <f>IFERROR(INDEX(CONFIGURACOES!$J$37:$J$300,MATCH($I1857,CONFIGURACOES!$B$37:$B$300,0)),"")</f>
        <v/>
      </c>
      <c r="T1857" s="22">
        <f>IF(OR($R1857="",$S1857=""),"",$R1857*$S1857)</f>
        <v/>
      </c>
      <c r="U1857" s="20" t="n"/>
      <c r="V1857" s="20" t="n"/>
      <c r="W1857" s="20" t="n"/>
      <c r="X1857">
        <f>IF($A1857="","",$A1857&amp;"|"&amp;$C1857&amp;"|"&amp;$I1857)</f>
        <v/>
      </c>
      <c r="Y1857">
        <f>IF(AND($A1857=RELATORIO_MEDICAO!$C$5,$C1857=RELATORIO_MEDICAO!$F$5,$A1857&lt;&gt;""),COUNTIFS($A$3:$A1857,RELATORIO_MEDICAO!$C$5,$C$3:$C1857,RELATORIO_MEDICAO!$F$5),"")</f>
        <v/>
      </c>
      <c r="Z1857">
        <f>IF(OR($A1857="",PESQUISA!$C$4=""),0,IF(OR(ISNUMBER(SEARCH(PESQUISA!$C$4,$G1857)),ISNUMBER(SEARCH(PESQUISA!$C$4,$K1857)),ISNUMBER(SEARCH(PESQUISA!$C$4,$L1857))),1,0))</f>
        <v/>
      </c>
      <c r="AA1857">
        <f>IF($Z1857=1,SUM($Z$3:$Z1857),"")</f>
        <v/>
      </c>
      <c r="AB1857">
        <f>IF(OR($A1857="",PESQUISA!$C$50=""),0,IF(ISNUMBER(SEARCH(PESQUISA!$C$50,$I1857)),1,0))</f>
        <v/>
      </c>
      <c r="AC1857">
        <f>IF($AB1857=1,SUM($AB$3:$AB1857),"")</f>
        <v/>
      </c>
    </row>
    <row r="1858">
      <c r="A1858" s="20" t="n"/>
      <c r="B1858" s="20" t="n"/>
      <c r="C1858" s="20" t="n"/>
      <c r="D1858" s="20" t="n"/>
      <c r="E1858" s="20" t="n"/>
      <c r="F1858" s="20" t="n"/>
      <c r="G1858" s="20" t="n"/>
      <c r="H1858" s="20" t="n"/>
      <c r="I1858" s="20" t="n"/>
      <c r="J1858" s="20">
        <f>IFERROR(INDEX(CONFIGURACOES!$G$37:$G$300,MATCH($I1858,CONFIGURACOES!$B$37:$B$300,0)),"")</f>
        <v/>
      </c>
      <c r="K1858" s="20">
        <f>IFERROR(INDEX(CONFIGURACOES!$H$37:$H$300,MATCH($I1858,CONFIGURACOES!$B$37:$B$300,0)),"")</f>
        <v/>
      </c>
      <c r="L1858" s="20" t="n"/>
      <c r="M1858" s="20">
        <f>IFERROR(INDEX(CONFIGURACOES!$I$37:$I$300,MATCH($I1858,CONFIGURACOES!$B$37:$B$300,0)),"")</f>
        <v/>
      </c>
      <c r="N1858" s="21" t="n"/>
      <c r="O1858" s="21" t="n"/>
      <c r="P1858" s="21" t="n"/>
      <c r="Q1858" s="21" t="n"/>
      <c r="R1858" s="21">
        <f>IF($N1858="","",$N1858*IF($Q1858="",1,$Q1858)*IF($P1858="",1,$P1858)*IF($O1858="",1,$O1858))</f>
        <v/>
      </c>
      <c r="S1858" s="22">
        <f>IFERROR(INDEX(CONFIGURACOES!$J$37:$J$300,MATCH($I1858,CONFIGURACOES!$B$37:$B$300,0)),"")</f>
        <v/>
      </c>
      <c r="T1858" s="22">
        <f>IF(OR($R1858="",$S1858=""),"",$R1858*$S1858)</f>
        <v/>
      </c>
      <c r="U1858" s="20" t="n"/>
      <c r="V1858" s="20" t="n"/>
      <c r="W1858" s="20" t="n"/>
      <c r="X1858">
        <f>IF($A1858="","",$A1858&amp;"|"&amp;$C1858&amp;"|"&amp;$I1858)</f>
        <v/>
      </c>
      <c r="Y1858">
        <f>IF(AND($A1858=RELATORIO_MEDICAO!$C$5,$C1858=RELATORIO_MEDICAO!$F$5,$A1858&lt;&gt;""),COUNTIFS($A$3:$A1858,RELATORIO_MEDICAO!$C$5,$C$3:$C1858,RELATORIO_MEDICAO!$F$5),"")</f>
        <v/>
      </c>
      <c r="Z1858">
        <f>IF(OR($A1858="",PESQUISA!$C$4=""),0,IF(OR(ISNUMBER(SEARCH(PESQUISA!$C$4,$G1858)),ISNUMBER(SEARCH(PESQUISA!$C$4,$K1858)),ISNUMBER(SEARCH(PESQUISA!$C$4,$L1858))),1,0))</f>
        <v/>
      </c>
      <c r="AA1858">
        <f>IF($Z1858=1,SUM($Z$3:$Z1858),"")</f>
        <v/>
      </c>
      <c r="AB1858">
        <f>IF(OR($A1858="",PESQUISA!$C$50=""),0,IF(ISNUMBER(SEARCH(PESQUISA!$C$50,$I1858)),1,0))</f>
        <v/>
      </c>
      <c r="AC1858">
        <f>IF($AB1858=1,SUM($AB$3:$AB1858),"")</f>
        <v/>
      </c>
    </row>
    <row r="1859">
      <c r="A1859" s="20" t="n"/>
      <c r="B1859" s="20" t="n"/>
      <c r="C1859" s="20" t="n"/>
      <c r="D1859" s="20" t="n"/>
      <c r="E1859" s="20" t="n"/>
      <c r="F1859" s="20" t="n"/>
      <c r="G1859" s="20" t="n"/>
      <c r="H1859" s="20" t="n"/>
      <c r="I1859" s="20" t="n"/>
      <c r="J1859" s="20">
        <f>IFERROR(INDEX(CONFIGURACOES!$G$37:$G$300,MATCH($I1859,CONFIGURACOES!$B$37:$B$300,0)),"")</f>
        <v/>
      </c>
      <c r="K1859" s="20">
        <f>IFERROR(INDEX(CONFIGURACOES!$H$37:$H$300,MATCH($I1859,CONFIGURACOES!$B$37:$B$300,0)),"")</f>
        <v/>
      </c>
      <c r="L1859" s="20" t="n"/>
      <c r="M1859" s="20">
        <f>IFERROR(INDEX(CONFIGURACOES!$I$37:$I$300,MATCH($I1859,CONFIGURACOES!$B$37:$B$300,0)),"")</f>
        <v/>
      </c>
      <c r="N1859" s="21" t="n"/>
      <c r="O1859" s="21" t="n"/>
      <c r="P1859" s="21" t="n"/>
      <c r="Q1859" s="21" t="n"/>
      <c r="R1859" s="21">
        <f>IF($N1859="","",$N1859*IF($Q1859="",1,$Q1859)*IF($P1859="",1,$P1859)*IF($O1859="",1,$O1859))</f>
        <v/>
      </c>
      <c r="S1859" s="22">
        <f>IFERROR(INDEX(CONFIGURACOES!$J$37:$J$300,MATCH($I1859,CONFIGURACOES!$B$37:$B$300,0)),"")</f>
        <v/>
      </c>
      <c r="T1859" s="22">
        <f>IF(OR($R1859="",$S1859=""),"",$R1859*$S1859)</f>
        <v/>
      </c>
      <c r="U1859" s="20" t="n"/>
      <c r="V1859" s="20" t="n"/>
      <c r="W1859" s="20" t="n"/>
      <c r="X1859">
        <f>IF($A1859="","",$A1859&amp;"|"&amp;$C1859&amp;"|"&amp;$I1859)</f>
        <v/>
      </c>
      <c r="Y1859">
        <f>IF(AND($A1859=RELATORIO_MEDICAO!$C$5,$C1859=RELATORIO_MEDICAO!$F$5,$A1859&lt;&gt;""),COUNTIFS($A$3:$A1859,RELATORIO_MEDICAO!$C$5,$C$3:$C1859,RELATORIO_MEDICAO!$F$5),"")</f>
        <v/>
      </c>
      <c r="Z1859">
        <f>IF(OR($A1859="",PESQUISA!$C$4=""),0,IF(OR(ISNUMBER(SEARCH(PESQUISA!$C$4,$G1859)),ISNUMBER(SEARCH(PESQUISA!$C$4,$K1859)),ISNUMBER(SEARCH(PESQUISA!$C$4,$L1859))),1,0))</f>
        <v/>
      </c>
      <c r="AA1859">
        <f>IF($Z1859=1,SUM($Z$3:$Z1859),"")</f>
        <v/>
      </c>
      <c r="AB1859">
        <f>IF(OR($A1859="",PESQUISA!$C$50=""),0,IF(ISNUMBER(SEARCH(PESQUISA!$C$50,$I1859)),1,0))</f>
        <v/>
      </c>
      <c r="AC1859">
        <f>IF($AB1859=1,SUM($AB$3:$AB1859),"")</f>
        <v/>
      </c>
    </row>
    <row r="1860">
      <c r="A1860" s="20" t="n"/>
      <c r="B1860" s="20" t="n"/>
      <c r="C1860" s="20" t="n"/>
      <c r="D1860" s="20" t="n"/>
      <c r="E1860" s="20" t="n"/>
      <c r="F1860" s="20" t="n"/>
      <c r="G1860" s="20" t="n"/>
      <c r="H1860" s="20" t="n"/>
      <c r="I1860" s="20" t="n"/>
      <c r="J1860" s="20">
        <f>IFERROR(INDEX(CONFIGURACOES!$G$37:$G$300,MATCH($I1860,CONFIGURACOES!$B$37:$B$300,0)),"")</f>
        <v/>
      </c>
      <c r="K1860" s="20">
        <f>IFERROR(INDEX(CONFIGURACOES!$H$37:$H$300,MATCH($I1860,CONFIGURACOES!$B$37:$B$300,0)),"")</f>
        <v/>
      </c>
      <c r="L1860" s="20" t="n"/>
      <c r="M1860" s="20">
        <f>IFERROR(INDEX(CONFIGURACOES!$I$37:$I$300,MATCH($I1860,CONFIGURACOES!$B$37:$B$300,0)),"")</f>
        <v/>
      </c>
      <c r="N1860" s="21" t="n"/>
      <c r="O1860" s="21" t="n"/>
      <c r="P1860" s="21" t="n"/>
      <c r="Q1860" s="21" t="n"/>
      <c r="R1860" s="21">
        <f>IF($N1860="","",$N1860*IF($Q1860="",1,$Q1860)*IF($P1860="",1,$P1860)*IF($O1860="",1,$O1860))</f>
        <v/>
      </c>
      <c r="S1860" s="22">
        <f>IFERROR(INDEX(CONFIGURACOES!$J$37:$J$300,MATCH($I1860,CONFIGURACOES!$B$37:$B$300,0)),"")</f>
        <v/>
      </c>
      <c r="T1860" s="22">
        <f>IF(OR($R1860="",$S1860=""),"",$R1860*$S1860)</f>
        <v/>
      </c>
      <c r="U1860" s="20" t="n"/>
      <c r="V1860" s="20" t="n"/>
      <c r="W1860" s="20" t="n"/>
      <c r="X1860">
        <f>IF($A1860="","",$A1860&amp;"|"&amp;$C1860&amp;"|"&amp;$I1860)</f>
        <v/>
      </c>
      <c r="Y1860">
        <f>IF(AND($A1860=RELATORIO_MEDICAO!$C$5,$C1860=RELATORIO_MEDICAO!$F$5,$A1860&lt;&gt;""),COUNTIFS($A$3:$A1860,RELATORIO_MEDICAO!$C$5,$C$3:$C1860,RELATORIO_MEDICAO!$F$5),"")</f>
        <v/>
      </c>
      <c r="Z1860">
        <f>IF(OR($A1860="",PESQUISA!$C$4=""),0,IF(OR(ISNUMBER(SEARCH(PESQUISA!$C$4,$G1860)),ISNUMBER(SEARCH(PESQUISA!$C$4,$K1860)),ISNUMBER(SEARCH(PESQUISA!$C$4,$L1860))),1,0))</f>
        <v/>
      </c>
      <c r="AA1860">
        <f>IF($Z1860=1,SUM($Z$3:$Z1860),"")</f>
        <v/>
      </c>
      <c r="AB1860">
        <f>IF(OR($A1860="",PESQUISA!$C$50=""),0,IF(ISNUMBER(SEARCH(PESQUISA!$C$50,$I1860)),1,0))</f>
        <v/>
      </c>
      <c r="AC1860">
        <f>IF($AB1860=1,SUM($AB$3:$AB1860),"")</f>
        <v/>
      </c>
    </row>
    <row r="1861">
      <c r="A1861" s="20" t="n"/>
      <c r="B1861" s="20" t="n"/>
      <c r="C1861" s="20" t="n"/>
      <c r="D1861" s="20" t="n"/>
      <c r="E1861" s="20" t="n"/>
      <c r="F1861" s="20" t="n"/>
      <c r="G1861" s="20" t="n"/>
      <c r="H1861" s="20" t="n"/>
      <c r="I1861" s="20" t="n"/>
      <c r="J1861" s="20">
        <f>IFERROR(INDEX(CONFIGURACOES!$G$37:$G$300,MATCH($I1861,CONFIGURACOES!$B$37:$B$300,0)),"")</f>
        <v/>
      </c>
      <c r="K1861" s="20">
        <f>IFERROR(INDEX(CONFIGURACOES!$H$37:$H$300,MATCH($I1861,CONFIGURACOES!$B$37:$B$300,0)),"")</f>
        <v/>
      </c>
      <c r="L1861" s="20" t="n"/>
      <c r="M1861" s="20">
        <f>IFERROR(INDEX(CONFIGURACOES!$I$37:$I$300,MATCH($I1861,CONFIGURACOES!$B$37:$B$300,0)),"")</f>
        <v/>
      </c>
      <c r="N1861" s="21" t="n"/>
      <c r="O1861" s="21" t="n"/>
      <c r="P1861" s="21" t="n"/>
      <c r="Q1861" s="21" t="n"/>
      <c r="R1861" s="21">
        <f>IF($N1861="","",$N1861*IF($Q1861="",1,$Q1861)*IF($P1861="",1,$P1861)*IF($O1861="",1,$O1861))</f>
        <v/>
      </c>
      <c r="S1861" s="22">
        <f>IFERROR(INDEX(CONFIGURACOES!$J$37:$J$300,MATCH($I1861,CONFIGURACOES!$B$37:$B$300,0)),"")</f>
        <v/>
      </c>
      <c r="T1861" s="22">
        <f>IF(OR($R1861="",$S1861=""),"",$R1861*$S1861)</f>
        <v/>
      </c>
      <c r="U1861" s="20" t="n"/>
      <c r="V1861" s="20" t="n"/>
      <c r="W1861" s="20" t="n"/>
      <c r="X1861">
        <f>IF($A1861="","",$A1861&amp;"|"&amp;$C1861&amp;"|"&amp;$I1861)</f>
        <v/>
      </c>
      <c r="Y1861">
        <f>IF(AND($A1861=RELATORIO_MEDICAO!$C$5,$C1861=RELATORIO_MEDICAO!$F$5,$A1861&lt;&gt;""),COUNTIFS($A$3:$A1861,RELATORIO_MEDICAO!$C$5,$C$3:$C1861,RELATORIO_MEDICAO!$F$5),"")</f>
        <v/>
      </c>
      <c r="Z1861">
        <f>IF(OR($A1861="",PESQUISA!$C$4=""),0,IF(OR(ISNUMBER(SEARCH(PESQUISA!$C$4,$G1861)),ISNUMBER(SEARCH(PESQUISA!$C$4,$K1861)),ISNUMBER(SEARCH(PESQUISA!$C$4,$L1861))),1,0))</f>
        <v/>
      </c>
      <c r="AA1861">
        <f>IF($Z1861=1,SUM($Z$3:$Z1861),"")</f>
        <v/>
      </c>
      <c r="AB1861">
        <f>IF(OR($A1861="",PESQUISA!$C$50=""),0,IF(ISNUMBER(SEARCH(PESQUISA!$C$50,$I1861)),1,0))</f>
        <v/>
      </c>
      <c r="AC1861">
        <f>IF($AB1861=1,SUM($AB$3:$AB1861),"")</f>
        <v/>
      </c>
    </row>
    <row r="1862">
      <c r="A1862" s="20" t="n"/>
      <c r="B1862" s="20" t="n"/>
      <c r="C1862" s="20" t="n"/>
      <c r="D1862" s="20" t="n"/>
      <c r="E1862" s="20" t="n"/>
      <c r="F1862" s="20" t="n"/>
      <c r="G1862" s="20" t="n"/>
      <c r="H1862" s="20" t="n"/>
      <c r="I1862" s="20" t="n"/>
      <c r="J1862" s="20">
        <f>IFERROR(INDEX(CONFIGURACOES!$G$37:$G$300,MATCH($I1862,CONFIGURACOES!$B$37:$B$300,0)),"")</f>
        <v/>
      </c>
      <c r="K1862" s="20">
        <f>IFERROR(INDEX(CONFIGURACOES!$H$37:$H$300,MATCH($I1862,CONFIGURACOES!$B$37:$B$300,0)),"")</f>
        <v/>
      </c>
      <c r="L1862" s="20" t="n"/>
      <c r="M1862" s="20">
        <f>IFERROR(INDEX(CONFIGURACOES!$I$37:$I$300,MATCH($I1862,CONFIGURACOES!$B$37:$B$300,0)),"")</f>
        <v/>
      </c>
      <c r="N1862" s="21" t="n"/>
      <c r="O1862" s="21" t="n"/>
      <c r="P1862" s="21" t="n"/>
      <c r="Q1862" s="21" t="n"/>
      <c r="R1862" s="21">
        <f>IF($N1862="","",$N1862*IF($Q1862="",1,$Q1862)*IF($P1862="",1,$P1862)*IF($O1862="",1,$O1862))</f>
        <v/>
      </c>
      <c r="S1862" s="22">
        <f>IFERROR(INDEX(CONFIGURACOES!$J$37:$J$300,MATCH($I1862,CONFIGURACOES!$B$37:$B$300,0)),"")</f>
        <v/>
      </c>
      <c r="T1862" s="22">
        <f>IF(OR($R1862="",$S1862=""),"",$R1862*$S1862)</f>
        <v/>
      </c>
      <c r="U1862" s="20" t="n"/>
      <c r="V1862" s="20" t="n"/>
      <c r="W1862" s="20" t="n"/>
      <c r="X1862">
        <f>IF($A1862="","",$A1862&amp;"|"&amp;$C1862&amp;"|"&amp;$I1862)</f>
        <v/>
      </c>
      <c r="Y1862">
        <f>IF(AND($A1862=RELATORIO_MEDICAO!$C$5,$C1862=RELATORIO_MEDICAO!$F$5,$A1862&lt;&gt;""),COUNTIFS($A$3:$A1862,RELATORIO_MEDICAO!$C$5,$C$3:$C1862,RELATORIO_MEDICAO!$F$5),"")</f>
        <v/>
      </c>
      <c r="Z1862">
        <f>IF(OR($A1862="",PESQUISA!$C$4=""),0,IF(OR(ISNUMBER(SEARCH(PESQUISA!$C$4,$G1862)),ISNUMBER(SEARCH(PESQUISA!$C$4,$K1862)),ISNUMBER(SEARCH(PESQUISA!$C$4,$L1862))),1,0))</f>
        <v/>
      </c>
      <c r="AA1862">
        <f>IF($Z1862=1,SUM($Z$3:$Z1862),"")</f>
        <v/>
      </c>
      <c r="AB1862">
        <f>IF(OR($A1862="",PESQUISA!$C$50=""),0,IF(ISNUMBER(SEARCH(PESQUISA!$C$50,$I1862)),1,0))</f>
        <v/>
      </c>
      <c r="AC1862">
        <f>IF($AB1862=1,SUM($AB$3:$AB1862),"")</f>
        <v/>
      </c>
    </row>
    <row r="1863">
      <c r="A1863" s="20" t="n"/>
      <c r="B1863" s="20" t="n"/>
      <c r="C1863" s="20" t="n"/>
      <c r="D1863" s="20" t="n"/>
      <c r="E1863" s="20" t="n"/>
      <c r="F1863" s="20" t="n"/>
      <c r="G1863" s="20" t="n"/>
      <c r="H1863" s="20" t="n"/>
      <c r="I1863" s="20" t="n"/>
      <c r="J1863" s="20">
        <f>IFERROR(INDEX(CONFIGURACOES!$G$37:$G$300,MATCH($I1863,CONFIGURACOES!$B$37:$B$300,0)),"")</f>
        <v/>
      </c>
      <c r="K1863" s="20">
        <f>IFERROR(INDEX(CONFIGURACOES!$H$37:$H$300,MATCH($I1863,CONFIGURACOES!$B$37:$B$300,0)),"")</f>
        <v/>
      </c>
      <c r="L1863" s="20" t="n"/>
      <c r="M1863" s="20">
        <f>IFERROR(INDEX(CONFIGURACOES!$I$37:$I$300,MATCH($I1863,CONFIGURACOES!$B$37:$B$300,0)),"")</f>
        <v/>
      </c>
      <c r="N1863" s="21" t="n"/>
      <c r="O1863" s="21" t="n"/>
      <c r="P1863" s="21" t="n"/>
      <c r="Q1863" s="21" t="n"/>
      <c r="R1863" s="21">
        <f>IF($N1863="","",$N1863*IF($Q1863="",1,$Q1863)*IF($P1863="",1,$P1863)*IF($O1863="",1,$O1863))</f>
        <v/>
      </c>
      <c r="S1863" s="22">
        <f>IFERROR(INDEX(CONFIGURACOES!$J$37:$J$300,MATCH($I1863,CONFIGURACOES!$B$37:$B$300,0)),"")</f>
        <v/>
      </c>
      <c r="T1863" s="22">
        <f>IF(OR($R1863="",$S1863=""),"",$R1863*$S1863)</f>
        <v/>
      </c>
      <c r="U1863" s="20" t="n"/>
      <c r="V1863" s="20" t="n"/>
      <c r="W1863" s="20" t="n"/>
      <c r="X1863">
        <f>IF($A1863="","",$A1863&amp;"|"&amp;$C1863&amp;"|"&amp;$I1863)</f>
        <v/>
      </c>
      <c r="Y1863">
        <f>IF(AND($A1863=RELATORIO_MEDICAO!$C$5,$C1863=RELATORIO_MEDICAO!$F$5,$A1863&lt;&gt;""),COUNTIFS($A$3:$A1863,RELATORIO_MEDICAO!$C$5,$C$3:$C1863,RELATORIO_MEDICAO!$F$5),"")</f>
        <v/>
      </c>
      <c r="Z1863">
        <f>IF(OR($A1863="",PESQUISA!$C$4=""),0,IF(OR(ISNUMBER(SEARCH(PESQUISA!$C$4,$G1863)),ISNUMBER(SEARCH(PESQUISA!$C$4,$K1863)),ISNUMBER(SEARCH(PESQUISA!$C$4,$L1863))),1,0))</f>
        <v/>
      </c>
      <c r="AA1863">
        <f>IF($Z1863=1,SUM($Z$3:$Z1863),"")</f>
        <v/>
      </c>
      <c r="AB1863">
        <f>IF(OR($A1863="",PESQUISA!$C$50=""),0,IF(ISNUMBER(SEARCH(PESQUISA!$C$50,$I1863)),1,0))</f>
        <v/>
      </c>
      <c r="AC1863">
        <f>IF($AB1863=1,SUM($AB$3:$AB1863),"")</f>
        <v/>
      </c>
    </row>
    <row r="1864">
      <c r="A1864" s="20" t="n"/>
      <c r="B1864" s="20" t="n"/>
      <c r="C1864" s="20" t="n"/>
      <c r="D1864" s="20" t="n"/>
      <c r="E1864" s="20" t="n"/>
      <c r="F1864" s="20" t="n"/>
      <c r="G1864" s="20" t="n"/>
      <c r="H1864" s="20" t="n"/>
      <c r="I1864" s="20" t="n"/>
      <c r="J1864" s="20">
        <f>IFERROR(INDEX(CONFIGURACOES!$G$37:$G$300,MATCH($I1864,CONFIGURACOES!$B$37:$B$300,0)),"")</f>
        <v/>
      </c>
      <c r="K1864" s="20">
        <f>IFERROR(INDEX(CONFIGURACOES!$H$37:$H$300,MATCH($I1864,CONFIGURACOES!$B$37:$B$300,0)),"")</f>
        <v/>
      </c>
      <c r="L1864" s="20" t="n"/>
      <c r="M1864" s="20">
        <f>IFERROR(INDEX(CONFIGURACOES!$I$37:$I$300,MATCH($I1864,CONFIGURACOES!$B$37:$B$300,0)),"")</f>
        <v/>
      </c>
      <c r="N1864" s="21" t="n"/>
      <c r="O1864" s="21" t="n"/>
      <c r="P1864" s="21" t="n"/>
      <c r="Q1864" s="21" t="n"/>
      <c r="R1864" s="21">
        <f>IF($N1864="","",$N1864*IF($Q1864="",1,$Q1864)*IF($P1864="",1,$P1864)*IF($O1864="",1,$O1864))</f>
        <v/>
      </c>
      <c r="S1864" s="22">
        <f>IFERROR(INDEX(CONFIGURACOES!$J$37:$J$300,MATCH($I1864,CONFIGURACOES!$B$37:$B$300,0)),"")</f>
        <v/>
      </c>
      <c r="T1864" s="22">
        <f>IF(OR($R1864="",$S1864=""),"",$R1864*$S1864)</f>
        <v/>
      </c>
      <c r="U1864" s="20" t="n"/>
      <c r="V1864" s="20" t="n"/>
      <c r="W1864" s="20" t="n"/>
      <c r="X1864">
        <f>IF($A1864="","",$A1864&amp;"|"&amp;$C1864&amp;"|"&amp;$I1864)</f>
        <v/>
      </c>
      <c r="Y1864">
        <f>IF(AND($A1864=RELATORIO_MEDICAO!$C$5,$C1864=RELATORIO_MEDICAO!$F$5,$A1864&lt;&gt;""),COUNTIFS($A$3:$A1864,RELATORIO_MEDICAO!$C$5,$C$3:$C1864,RELATORIO_MEDICAO!$F$5),"")</f>
        <v/>
      </c>
      <c r="Z1864">
        <f>IF(OR($A1864="",PESQUISA!$C$4=""),0,IF(OR(ISNUMBER(SEARCH(PESQUISA!$C$4,$G1864)),ISNUMBER(SEARCH(PESQUISA!$C$4,$K1864)),ISNUMBER(SEARCH(PESQUISA!$C$4,$L1864))),1,0))</f>
        <v/>
      </c>
      <c r="AA1864">
        <f>IF($Z1864=1,SUM($Z$3:$Z1864),"")</f>
        <v/>
      </c>
      <c r="AB1864">
        <f>IF(OR($A1864="",PESQUISA!$C$50=""),0,IF(ISNUMBER(SEARCH(PESQUISA!$C$50,$I1864)),1,0))</f>
        <v/>
      </c>
      <c r="AC1864">
        <f>IF($AB1864=1,SUM($AB$3:$AB1864),"")</f>
        <v/>
      </c>
    </row>
    <row r="1865">
      <c r="A1865" s="20" t="n"/>
      <c r="B1865" s="20" t="n"/>
      <c r="C1865" s="20" t="n"/>
      <c r="D1865" s="20" t="n"/>
      <c r="E1865" s="20" t="n"/>
      <c r="F1865" s="20" t="n"/>
      <c r="G1865" s="20" t="n"/>
      <c r="H1865" s="20" t="n"/>
      <c r="I1865" s="20" t="n"/>
      <c r="J1865" s="20">
        <f>IFERROR(INDEX(CONFIGURACOES!$G$37:$G$300,MATCH($I1865,CONFIGURACOES!$B$37:$B$300,0)),"")</f>
        <v/>
      </c>
      <c r="K1865" s="20">
        <f>IFERROR(INDEX(CONFIGURACOES!$H$37:$H$300,MATCH($I1865,CONFIGURACOES!$B$37:$B$300,0)),"")</f>
        <v/>
      </c>
      <c r="L1865" s="20" t="n"/>
      <c r="M1865" s="20">
        <f>IFERROR(INDEX(CONFIGURACOES!$I$37:$I$300,MATCH($I1865,CONFIGURACOES!$B$37:$B$300,0)),"")</f>
        <v/>
      </c>
      <c r="N1865" s="21" t="n"/>
      <c r="O1865" s="21" t="n"/>
      <c r="P1865" s="21" t="n"/>
      <c r="Q1865" s="21" t="n"/>
      <c r="R1865" s="21">
        <f>IF($N1865="","",$N1865*IF($Q1865="",1,$Q1865)*IF($P1865="",1,$P1865)*IF($O1865="",1,$O1865))</f>
        <v/>
      </c>
      <c r="S1865" s="22">
        <f>IFERROR(INDEX(CONFIGURACOES!$J$37:$J$300,MATCH($I1865,CONFIGURACOES!$B$37:$B$300,0)),"")</f>
        <v/>
      </c>
      <c r="T1865" s="22">
        <f>IF(OR($R1865="",$S1865=""),"",$R1865*$S1865)</f>
        <v/>
      </c>
      <c r="U1865" s="20" t="n"/>
      <c r="V1865" s="20" t="n"/>
      <c r="W1865" s="20" t="n"/>
      <c r="X1865">
        <f>IF($A1865="","",$A1865&amp;"|"&amp;$C1865&amp;"|"&amp;$I1865)</f>
        <v/>
      </c>
      <c r="Y1865">
        <f>IF(AND($A1865=RELATORIO_MEDICAO!$C$5,$C1865=RELATORIO_MEDICAO!$F$5,$A1865&lt;&gt;""),COUNTIFS($A$3:$A1865,RELATORIO_MEDICAO!$C$5,$C$3:$C1865,RELATORIO_MEDICAO!$F$5),"")</f>
        <v/>
      </c>
      <c r="Z1865">
        <f>IF(OR($A1865="",PESQUISA!$C$4=""),0,IF(OR(ISNUMBER(SEARCH(PESQUISA!$C$4,$G1865)),ISNUMBER(SEARCH(PESQUISA!$C$4,$K1865)),ISNUMBER(SEARCH(PESQUISA!$C$4,$L1865))),1,0))</f>
        <v/>
      </c>
      <c r="AA1865">
        <f>IF($Z1865=1,SUM($Z$3:$Z1865),"")</f>
        <v/>
      </c>
      <c r="AB1865">
        <f>IF(OR($A1865="",PESQUISA!$C$50=""),0,IF(ISNUMBER(SEARCH(PESQUISA!$C$50,$I1865)),1,0))</f>
        <v/>
      </c>
      <c r="AC1865">
        <f>IF($AB1865=1,SUM($AB$3:$AB1865),"")</f>
        <v/>
      </c>
    </row>
    <row r="1866">
      <c r="A1866" s="20" t="n"/>
      <c r="B1866" s="20" t="n"/>
      <c r="C1866" s="20" t="n"/>
      <c r="D1866" s="20" t="n"/>
      <c r="E1866" s="20" t="n"/>
      <c r="F1866" s="20" t="n"/>
      <c r="G1866" s="20" t="n"/>
      <c r="H1866" s="20" t="n"/>
      <c r="I1866" s="20" t="n"/>
      <c r="J1866" s="20">
        <f>IFERROR(INDEX(CONFIGURACOES!$G$37:$G$300,MATCH($I1866,CONFIGURACOES!$B$37:$B$300,0)),"")</f>
        <v/>
      </c>
      <c r="K1866" s="20">
        <f>IFERROR(INDEX(CONFIGURACOES!$H$37:$H$300,MATCH($I1866,CONFIGURACOES!$B$37:$B$300,0)),"")</f>
        <v/>
      </c>
      <c r="L1866" s="20" t="n"/>
      <c r="M1866" s="20">
        <f>IFERROR(INDEX(CONFIGURACOES!$I$37:$I$300,MATCH($I1866,CONFIGURACOES!$B$37:$B$300,0)),"")</f>
        <v/>
      </c>
      <c r="N1866" s="21" t="n"/>
      <c r="O1866" s="21" t="n"/>
      <c r="P1866" s="21" t="n"/>
      <c r="Q1866" s="21" t="n"/>
      <c r="R1866" s="21">
        <f>IF($N1866="","",$N1866*IF($Q1866="",1,$Q1866)*IF($P1866="",1,$P1866)*IF($O1866="",1,$O1866))</f>
        <v/>
      </c>
      <c r="S1866" s="22">
        <f>IFERROR(INDEX(CONFIGURACOES!$J$37:$J$300,MATCH($I1866,CONFIGURACOES!$B$37:$B$300,0)),"")</f>
        <v/>
      </c>
      <c r="T1866" s="22">
        <f>IF(OR($R1866="",$S1866=""),"",$R1866*$S1866)</f>
        <v/>
      </c>
      <c r="U1866" s="20" t="n"/>
      <c r="V1866" s="20" t="n"/>
      <c r="W1866" s="20" t="n"/>
      <c r="X1866">
        <f>IF($A1866="","",$A1866&amp;"|"&amp;$C1866&amp;"|"&amp;$I1866)</f>
        <v/>
      </c>
      <c r="Y1866">
        <f>IF(AND($A1866=RELATORIO_MEDICAO!$C$5,$C1866=RELATORIO_MEDICAO!$F$5,$A1866&lt;&gt;""),COUNTIFS($A$3:$A1866,RELATORIO_MEDICAO!$C$5,$C$3:$C1866,RELATORIO_MEDICAO!$F$5),"")</f>
        <v/>
      </c>
      <c r="Z1866">
        <f>IF(OR($A1866="",PESQUISA!$C$4=""),0,IF(OR(ISNUMBER(SEARCH(PESQUISA!$C$4,$G1866)),ISNUMBER(SEARCH(PESQUISA!$C$4,$K1866)),ISNUMBER(SEARCH(PESQUISA!$C$4,$L1866))),1,0))</f>
        <v/>
      </c>
      <c r="AA1866">
        <f>IF($Z1866=1,SUM($Z$3:$Z1866),"")</f>
        <v/>
      </c>
      <c r="AB1866">
        <f>IF(OR($A1866="",PESQUISA!$C$50=""),0,IF(ISNUMBER(SEARCH(PESQUISA!$C$50,$I1866)),1,0))</f>
        <v/>
      </c>
      <c r="AC1866">
        <f>IF($AB1866=1,SUM($AB$3:$AB1866),"")</f>
        <v/>
      </c>
    </row>
    <row r="1867">
      <c r="A1867" s="20" t="n"/>
      <c r="B1867" s="20" t="n"/>
      <c r="C1867" s="20" t="n"/>
      <c r="D1867" s="20" t="n"/>
      <c r="E1867" s="20" t="n"/>
      <c r="F1867" s="20" t="n"/>
      <c r="G1867" s="20" t="n"/>
      <c r="H1867" s="20" t="n"/>
      <c r="I1867" s="20" t="n"/>
      <c r="J1867" s="20">
        <f>IFERROR(INDEX(CONFIGURACOES!$G$37:$G$300,MATCH($I1867,CONFIGURACOES!$B$37:$B$300,0)),"")</f>
        <v/>
      </c>
      <c r="K1867" s="20">
        <f>IFERROR(INDEX(CONFIGURACOES!$H$37:$H$300,MATCH($I1867,CONFIGURACOES!$B$37:$B$300,0)),"")</f>
        <v/>
      </c>
      <c r="L1867" s="20" t="n"/>
      <c r="M1867" s="20">
        <f>IFERROR(INDEX(CONFIGURACOES!$I$37:$I$300,MATCH($I1867,CONFIGURACOES!$B$37:$B$300,0)),"")</f>
        <v/>
      </c>
      <c r="N1867" s="21" t="n"/>
      <c r="O1867" s="21" t="n"/>
      <c r="P1867" s="21" t="n"/>
      <c r="Q1867" s="21" t="n"/>
      <c r="R1867" s="21">
        <f>IF($N1867="","",$N1867*IF($Q1867="",1,$Q1867)*IF($P1867="",1,$P1867)*IF($O1867="",1,$O1867))</f>
        <v/>
      </c>
      <c r="S1867" s="22">
        <f>IFERROR(INDEX(CONFIGURACOES!$J$37:$J$300,MATCH($I1867,CONFIGURACOES!$B$37:$B$300,0)),"")</f>
        <v/>
      </c>
      <c r="T1867" s="22">
        <f>IF(OR($R1867="",$S1867=""),"",$R1867*$S1867)</f>
        <v/>
      </c>
      <c r="U1867" s="20" t="n"/>
      <c r="V1867" s="20" t="n"/>
      <c r="W1867" s="20" t="n"/>
      <c r="X1867">
        <f>IF($A1867="","",$A1867&amp;"|"&amp;$C1867&amp;"|"&amp;$I1867)</f>
        <v/>
      </c>
      <c r="Y1867">
        <f>IF(AND($A1867=RELATORIO_MEDICAO!$C$5,$C1867=RELATORIO_MEDICAO!$F$5,$A1867&lt;&gt;""),COUNTIFS($A$3:$A1867,RELATORIO_MEDICAO!$C$5,$C$3:$C1867,RELATORIO_MEDICAO!$F$5),"")</f>
        <v/>
      </c>
      <c r="Z1867">
        <f>IF(OR($A1867="",PESQUISA!$C$4=""),0,IF(OR(ISNUMBER(SEARCH(PESQUISA!$C$4,$G1867)),ISNUMBER(SEARCH(PESQUISA!$C$4,$K1867)),ISNUMBER(SEARCH(PESQUISA!$C$4,$L1867))),1,0))</f>
        <v/>
      </c>
      <c r="AA1867">
        <f>IF($Z1867=1,SUM($Z$3:$Z1867),"")</f>
        <v/>
      </c>
      <c r="AB1867">
        <f>IF(OR($A1867="",PESQUISA!$C$50=""),0,IF(ISNUMBER(SEARCH(PESQUISA!$C$50,$I1867)),1,0))</f>
        <v/>
      </c>
      <c r="AC1867">
        <f>IF($AB1867=1,SUM($AB$3:$AB1867),"")</f>
        <v/>
      </c>
    </row>
    <row r="1868">
      <c r="A1868" s="20" t="n"/>
      <c r="B1868" s="20" t="n"/>
      <c r="C1868" s="20" t="n"/>
      <c r="D1868" s="20" t="n"/>
      <c r="E1868" s="20" t="n"/>
      <c r="F1868" s="20" t="n"/>
      <c r="G1868" s="20" t="n"/>
      <c r="H1868" s="20" t="n"/>
      <c r="I1868" s="20" t="n"/>
      <c r="J1868" s="20">
        <f>IFERROR(INDEX(CONFIGURACOES!$G$37:$G$300,MATCH($I1868,CONFIGURACOES!$B$37:$B$300,0)),"")</f>
        <v/>
      </c>
      <c r="K1868" s="20">
        <f>IFERROR(INDEX(CONFIGURACOES!$H$37:$H$300,MATCH($I1868,CONFIGURACOES!$B$37:$B$300,0)),"")</f>
        <v/>
      </c>
      <c r="L1868" s="20" t="n"/>
      <c r="M1868" s="20">
        <f>IFERROR(INDEX(CONFIGURACOES!$I$37:$I$300,MATCH($I1868,CONFIGURACOES!$B$37:$B$300,0)),"")</f>
        <v/>
      </c>
      <c r="N1868" s="21" t="n"/>
      <c r="O1868" s="21" t="n"/>
      <c r="P1868" s="21" t="n"/>
      <c r="Q1868" s="21" t="n"/>
      <c r="R1868" s="21">
        <f>IF($N1868="","",$N1868*IF($Q1868="",1,$Q1868)*IF($P1868="",1,$P1868)*IF($O1868="",1,$O1868))</f>
        <v/>
      </c>
      <c r="S1868" s="22">
        <f>IFERROR(INDEX(CONFIGURACOES!$J$37:$J$300,MATCH($I1868,CONFIGURACOES!$B$37:$B$300,0)),"")</f>
        <v/>
      </c>
      <c r="T1868" s="22">
        <f>IF(OR($R1868="",$S1868=""),"",$R1868*$S1868)</f>
        <v/>
      </c>
      <c r="U1868" s="20" t="n"/>
      <c r="V1868" s="20" t="n"/>
      <c r="W1868" s="20" t="n"/>
      <c r="X1868">
        <f>IF($A1868="","",$A1868&amp;"|"&amp;$C1868&amp;"|"&amp;$I1868)</f>
        <v/>
      </c>
      <c r="Y1868">
        <f>IF(AND($A1868=RELATORIO_MEDICAO!$C$5,$C1868=RELATORIO_MEDICAO!$F$5,$A1868&lt;&gt;""),COUNTIFS($A$3:$A1868,RELATORIO_MEDICAO!$C$5,$C$3:$C1868,RELATORIO_MEDICAO!$F$5),"")</f>
        <v/>
      </c>
      <c r="Z1868">
        <f>IF(OR($A1868="",PESQUISA!$C$4=""),0,IF(OR(ISNUMBER(SEARCH(PESQUISA!$C$4,$G1868)),ISNUMBER(SEARCH(PESQUISA!$C$4,$K1868)),ISNUMBER(SEARCH(PESQUISA!$C$4,$L1868))),1,0))</f>
        <v/>
      </c>
      <c r="AA1868">
        <f>IF($Z1868=1,SUM($Z$3:$Z1868),"")</f>
        <v/>
      </c>
      <c r="AB1868">
        <f>IF(OR($A1868="",PESQUISA!$C$50=""),0,IF(ISNUMBER(SEARCH(PESQUISA!$C$50,$I1868)),1,0))</f>
        <v/>
      </c>
      <c r="AC1868">
        <f>IF($AB1868=1,SUM($AB$3:$AB1868),"")</f>
        <v/>
      </c>
    </row>
    <row r="1869">
      <c r="A1869" s="20" t="n"/>
      <c r="B1869" s="20" t="n"/>
      <c r="C1869" s="20" t="n"/>
      <c r="D1869" s="20" t="n"/>
      <c r="E1869" s="20" t="n"/>
      <c r="F1869" s="20" t="n"/>
      <c r="G1869" s="20" t="n"/>
      <c r="H1869" s="20" t="n"/>
      <c r="I1869" s="20" t="n"/>
      <c r="J1869" s="20">
        <f>IFERROR(INDEX(CONFIGURACOES!$G$37:$G$300,MATCH($I1869,CONFIGURACOES!$B$37:$B$300,0)),"")</f>
        <v/>
      </c>
      <c r="K1869" s="20">
        <f>IFERROR(INDEX(CONFIGURACOES!$H$37:$H$300,MATCH($I1869,CONFIGURACOES!$B$37:$B$300,0)),"")</f>
        <v/>
      </c>
      <c r="L1869" s="20" t="n"/>
      <c r="M1869" s="20">
        <f>IFERROR(INDEX(CONFIGURACOES!$I$37:$I$300,MATCH($I1869,CONFIGURACOES!$B$37:$B$300,0)),"")</f>
        <v/>
      </c>
      <c r="N1869" s="21" t="n"/>
      <c r="O1869" s="21" t="n"/>
      <c r="P1869" s="21" t="n"/>
      <c r="Q1869" s="21" t="n"/>
      <c r="R1869" s="21">
        <f>IF($N1869="","",$N1869*IF($Q1869="",1,$Q1869)*IF($P1869="",1,$P1869)*IF($O1869="",1,$O1869))</f>
        <v/>
      </c>
      <c r="S1869" s="22">
        <f>IFERROR(INDEX(CONFIGURACOES!$J$37:$J$300,MATCH($I1869,CONFIGURACOES!$B$37:$B$300,0)),"")</f>
        <v/>
      </c>
      <c r="T1869" s="22">
        <f>IF(OR($R1869="",$S1869=""),"",$R1869*$S1869)</f>
        <v/>
      </c>
      <c r="U1869" s="20" t="n"/>
      <c r="V1869" s="20" t="n"/>
      <c r="W1869" s="20" t="n"/>
      <c r="X1869">
        <f>IF($A1869="","",$A1869&amp;"|"&amp;$C1869&amp;"|"&amp;$I1869)</f>
        <v/>
      </c>
      <c r="Y1869">
        <f>IF(AND($A1869=RELATORIO_MEDICAO!$C$5,$C1869=RELATORIO_MEDICAO!$F$5,$A1869&lt;&gt;""),COUNTIFS($A$3:$A1869,RELATORIO_MEDICAO!$C$5,$C$3:$C1869,RELATORIO_MEDICAO!$F$5),"")</f>
        <v/>
      </c>
      <c r="Z1869">
        <f>IF(OR($A1869="",PESQUISA!$C$4=""),0,IF(OR(ISNUMBER(SEARCH(PESQUISA!$C$4,$G1869)),ISNUMBER(SEARCH(PESQUISA!$C$4,$K1869)),ISNUMBER(SEARCH(PESQUISA!$C$4,$L1869))),1,0))</f>
        <v/>
      </c>
      <c r="AA1869">
        <f>IF($Z1869=1,SUM($Z$3:$Z1869),"")</f>
        <v/>
      </c>
      <c r="AB1869">
        <f>IF(OR($A1869="",PESQUISA!$C$50=""),0,IF(ISNUMBER(SEARCH(PESQUISA!$C$50,$I1869)),1,0))</f>
        <v/>
      </c>
      <c r="AC1869">
        <f>IF($AB1869=1,SUM($AB$3:$AB1869),"")</f>
        <v/>
      </c>
    </row>
    <row r="1870">
      <c r="A1870" s="20" t="n"/>
      <c r="B1870" s="20" t="n"/>
      <c r="C1870" s="20" t="n"/>
      <c r="D1870" s="20" t="n"/>
      <c r="E1870" s="20" t="n"/>
      <c r="F1870" s="20" t="n"/>
      <c r="G1870" s="20" t="n"/>
      <c r="H1870" s="20" t="n"/>
      <c r="I1870" s="20" t="n"/>
      <c r="J1870" s="20">
        <f>IFERROR(INDEX(CONFIGURACOES!$G$37:$G$300,MATCH($I1870,CONFIGURACOES!$B$37:$B$300,0)),"")</f>
        <v/>
      </c>
      <c r="K1870" s="20">
        <f>IFERROR(INDEX(CONFIGURACOES!$H$37:$H$300,MATCH($I1870,CONFIGURACOES!$B$37:$B$300,0)),"")</f>
        <v/>
      </c>
      <c r="L1870" s="20" t="n"/>
      <c r="M1870" s="20">
        <f>IFERROR(INDEX(CONFIGURACOES!$I$37:$I$300,MATCH($I1870,CONFIGURACOES!$B$37:$B$300,0)),"")</f>
        <v/>
      </c>
      <c r="N1870" s="21" t="n"/>
      <c r="O1870" s="21" t="n"/>
      <c r="P1870" s="21" t="n"/>
      <c r="Q1870" s="21" t="n"/>
      <c r="R1870" s="21">
        <f>IF($N1870="","",$N1870*IF($Q1870="",1,$Q1870)*IF($P1870="",1,$P1870)*IF($O1870="",1,$O1870))</f>
        <v/>
      </c>
      <c r="S1870" s="22">
        <f>IFERROR(INDEX(CONFIGURACOES!$J$37:$J$300,MATCH($I1870,CONFIGURACOES!$B$37:$B$300,0)),"")</f>
        <v/>
      </c>
      <c r="T1870" s="22">
        <f>IF(OR($R1870="",$S1870=""),"",$R1870*$S1870)</f>
        <v/>
      </c>
      <c r="U1870" s="20" t="n"/>
      <c r="V1870" s="20" t="n"/>
      <c r="W1870" s="20" t="n"/>
      <c r="X1870">
        <f>IF($A1870="","",$A1870&amp;"|"&amp;$C1870&amp;"|"&amp;$I1870)</f>
        <v/>
      </c>
      <c r="Y1870">
        <f>IF(AND($A1870=RELATORIO_MEDICAO!$C$5,$C1870=RELATORIO_MEDICAO!$F$5,$A1870&lt;&gt;""),COUNTIFS($A$3:$A1870,RELATORIO_MEDICAO!$C$5,$C$3:$C1870,RELATORIO_MEDICAO!$F$5),"")</f>
        <v/>
      </c>
      <c r="Z1870">
        <f>IF(OR($A1870="",PESQUISA!$C$4=""),0,IF(OR(ISNUMBER(SEARCH(PESQUISA!$C$4,$G1870)),ISNUMBER(SEARCH(PESQUISA!$C$4,$K1870)),ISNUMBER(SEARCH(PESQUISA!$C$4,$L1870))),1,0))</f>
        <v/>
      </c>
      <c r="AA1870">
        <f>IF($Z1870=1,SUM($Z$3:$Z1870),"")</f>
        <v/>
      </c>
      <c r="AB1870">
        <f>IF(OR($A1870="",PESQUISA!$C$50=""),0,IF(ISNUMBER(SEARCH(PESQUISA!$C$50,$I1870)),1,0))</f>
        <v/>
      </c>
      <c r="AC1870">
        <f>IF($AB1870=1,SUM($AB$3:$AB1870),"")</f>
        <v/>
      </c>
    </row>
    <row r="1871">
      <c r="A1871" s="20" t="n"/>
      <c r="B1871" s="20" t="n"/>
      <c r="C1871" s="20" t="n"/>
      <c r="D1871" s="20" t="n"/>
      <c r="E1871" s="20" t="n"/>
      <c r="F1871" s="20" t="n"/>
      <c r="G1871" s="20" t="n"/>
      <c r="H1871" s="20" t="n"/>
      <c r="I1871" s="20" t="n"/>
      <c r="J1871" s="20">
        <f>IFERROR(INDEX(CONFIGURACOES!$G$37:$G$300,MATCH($I1871,CONFIGURACOES!$B$37:$B$300,0)),"")</f>
        <v/>
      </c>
      <c r="K1871" s="20">
        <f>IFERROR(INDEX(CONFIGURACOES!$H$37:$H$300,MATCH($I1871,CONFIGURACOES!$B$37:$B$300,0)),"")</f>
        <v/>
      </c>
      <c r="L1871" s="20" t="n"/>
      <c r="M1871" s="20">
        <f>IFERROR(INDEX(CONFIGURACOES!$I$37:$I$300,MATCH($I1871,CONFIGURACOES!$B$37:$B$300,0)),"")</f>
        <v/>
      </c>
      <c r="N1871" s="21" t="n"/>
      <c r="O1871" s="21" t="n"/>
      <c r="P1871" s="21" t="n"/>
      <c r="Q1871" s="21" t="n"/>
      <c r="R1871" s="21">
        <f>IF($N1871="","",$N1871*IF($Q1871="",1,$Q1871)*IF($P1871="",1,$P1871)*IF($O1871="",1,$O1871))</f>
        <v/>
      </c>
      <c r="S1871" s="22">
        <f>IFERROR(INDEX(CONFIGURACOES!$J$37:$J$300,MATCH($I1871,CONFIGURACOES!$B$37:$B$300,0)),"")</f>
        <v/>
      </c>
      <c r="T1871" s="22">
        <f>IF(OR($R1871="",$S1871=""),"",$R1871*$S1871)</f>
        <v/>
      </c>
      <c r="U1871" s="20" t="n"/>
      <c r="V1871" s="20" t="n"/>
      <c r="W1871" s="20" t="n"/>
      <c r="X1871">
        <f>IF($A1871="","",$A1871&amp;"|"&amp;$C1871&amp;"|"&amp;$I1871)</f>
        <v/>
      </c>
      <c r="Y1871">
        <f>IF(AND($A1871=RELATORIO_MEDICAO!$C$5,$C1871=RELATORIO_MEDICAO!$F$5,$A1871&lt;&gt;""),COUNTIFS($A$3:$A1871,RELATORIO_MEDICAO!$C$5,$C$3:$C1871,RELATORIO_MEDICAO!$F$5),"")</f>
        <v/>
      </c>
      <c r="Z1871">
        <f>IF(OR($A1871="",PESQUISA!$C$4=""),0,IF(OR(ISNUMBER(SEARCH(PESQUISA!$C$4,$G1871)),ISNUMBER(SEARCH(PESQUISA!$C$4,$K1871)),ISNUMBER(SEARCH(PESQUISA!$C$4,$L1871))),1,0))</f>
        <v/>
      </c>
      <c r="AA1871">
        <f>IF($Z1871=1,SUM($Z$3:$Z1871),"")</f>
        <v/>
      </c>
      <c r="AB1871">
        <f>IF(OR($A1871="",PESQUISA!$C$50=""),0,IF(ISNUMBER(SEARCH(PESQUISA!$C$50,$I1871)),1,0))</f>
        <v/>
      </c>
      <c r="AC1871">
        <f>IF($AB1871=1,SUM($AB$3:$AB1871),"")</f>
        <v/>
      </c>
    </row>
    <row r="1872">
      <c r="A1872" s="20" t="n"/>
      <c r="B1872" s="20" t="n"/>
      <c r="C1872" s="20" t="n"/>
      <c r="D1872" s="20" t="n"/>
      <c r="E1872" s="20" t="n"/>
      <c r="F1872" s="20" t="n"/>
      <c r="G1872" s="20" t="n"/>
      <c r="H1872" s="20" t="n"/>
      <c r="I1872" s="20" t="n"/>
      <c r="J1872" s="20">
        <f>IFERROR(INDEX(CONFIGURACOES!$G$37:$G$300,MATCH($I1872,CONFIGURACOES!$B$37:$B$300,0)),"")</f>
        <v/>
      </c>
      <c r="K1872" s="20">
        <f>IFERROR(INDEX(CONFIGURACOES!$H$37:$H$300,MATCH($I1872,CONFIGURACOES!$B$37:$B$300,0)),"")</f>
        <v/>
      </c>
      <c r="L1872" s="20" t="n"/>
      <c r="M1872" s="20">
        <f>IFERROR(INDEX(CONFIGURACOES!$I$37:$I$300,MATCH($I1872,CONFIGURACOES!$B$37:$B$300,0)),"")</f>
        <v/>
      </c>
      <c r="N1872" s="21" t="n"/>
      <c r="O1872" s="21" t="n"/>
      <c r="P1872" s="21" t="n"/>
      <c r="Q1872" s="21" t="n"/>
      <c r="R1872" s="21">
        <f>IF($N1872="","",$N1872*IF($Q1872="",1,$Q1872)*IF($P1872="",1,$P1872)*IF($O1872="",1,$O1872))</f>
        <v/>
      </c>
      <c r="S1872" s="22">
        <f>IFERROR(INDEX(CONFIGURACOES!$J$37:$J$300,MATCH($I1872,CONFIGURACOES!$B$37:$B$300,0)),"")</f>
        <v/>
      </c>
      <c r="T1872" s="22">
        <f>IF(OR($R1872="",$S1872=""),"",$R1872*$S1872)</f>
        <v/>
      </c>
      <c r="U1872" s="20" t="n"/>
      <c r="V1872" s="20" t="n"/>
      <c r="W1872" s="20" t="n"/>
      <c r="X1872">
        <f>IF($A1872="","",$A1872&amp;"|"&amp;$C1872&amp;"|"&amp;$I1872)</f>
        <v/>
      </c>
      <c r="Y1872">
        <f>IF(AND($A1872=RELATORIO_MEDICAO!$C$5,$C1872=RELATORIO_MEDICAO!$F$5,$A1872&lt;&gt;""),COUNTIFS($A$3:$A1872,RELATORIO_MEDICAO!$C$5,$C$3:$C1872,RELATORIO_MEDICAO!$F$5),"")</f>
        <v/>
      </c>
      <c r="Z1872">
        <f>IF(OR($A1872="",PESQUISA!$C$4=""),0,IF(OR(ISNUMBER(SEARCH(PESQUISA!$C$4,$G1872)),ISNUMBER(SEARCH(PESQUISA!$C$4,$K1872)),ISNUMBER(SEARCH(PESQUISA!$C$4,$L1872))),1,0))</f>
        <v/>
      </c>
      <c r="AA1872">
        <f>IF($Z1872=1,SUM($Z$3:$Z1872),"")</f>
        <v/>
      </c>
      <c r="AB1872">
        <f>IF(OR($A1872="",PESQUISA!$C$50=""),0,IF(ISNUMBER(SEARCH(PESQUISA!$C$50,$I1872)),1,0))</f>
        <v/>
      </c>
      <c r="AC1872">
        <f>IF($AB1872=1,SUM($AB$3:$AB1872),"")</f>
        <v/>
      </c>
    </row>
    <row r="1873">
      <c r="A1873" s="20" t="n"/>
      <c r="B1873" s="20" t="n"/>
      <c r="C1873" s="20" t="n"/>
      <c r="D1873" s="20" t="n"/>
      <c r="E1873" s="20" t="n"/>
      <c r="F1873" s="20" t="n"/>
      <c r="G1873" s="20" t="n"/>
      <c r="H1873" s="20" t="n"/>
      <c r="I1873" s="20" t="n"/>
      <c r="J1873" s="20">
        <f>IFERROR(INDEX(CONFIGURACOES!$G$37:$G$300,MATCH($I1873,CONFIGURACOES!$B$37:$B$300,0)),"")</f>
        <v/>
      </c>
      <c r="K1873" s="20">
        <f>IFERROR(INDEX(CONFIGURACOES!$H$37:$H$300,MATCH($I1873,CONFIGURACOES!$B$37:$B$300,0)),"")</f>
        <v/>
      </c>
      <c r="L1873" s="20" t="n"/>
      <c r="M1873" s="20">
        <f>IFERROR(INDEX(CONFIGURACOES!$I$37:$I$300,MATCH($I1873,CONFIGURACOES!$B$37:$B$300,0)),"")</f>
        <v/>
      </c>
      <c r="N1873" s="21" t="n"/>
      <c r="O1873" s="21" t="n"/>
      <c r="P1873" s="21" t="n"/>
      <c r="Q1873" s="21" t="n"/>
      <c r="R1873" s="21">
        <f>IF($N1873="","",$N1873*IF($Q1873="",1,$Q1873)*IF($P1873="",1,$P1873)*IF($O1873="",1,$O1873))</f>
        <v/>
      </c>
      <c r="S1873" s="22">
        <f>IFERROR(INDEX(CONFIGURACOES!$J$37:$J$300,MATCH($I1873,CONFIGURACOES!$B$37:$B$300,0)),"")</f>
        <v/>
      </c>
      <c r="T1873" s="22">
        <f>IF(OR($R1873="",$S1873=""),"",$R1873*$S1873)</f>
        <v/>
      </c>
      <c r="U1873" s="20" t="n"/>
      <c r="V1873" s="20" t="n"/>
      <c r="W1873" s="20" t="n"/>
      <c r="X1873">
        <f>IF($A1873="","",$A1873&amp;"|"&amp;$C1873&amp;"|"&amp;$I1873)</f>
        <v/>
      </c>
      <c r="Y1873">
        <f>IF(AND($A1873=RELATORIO_MEDICAO!$C$5,$C1873=RELATORIO_MEDICAO!$F$5,$A1873&lt;&gt;""),COUNTIFS($A$3:$A1873,RELATORIO_MEDICAO!$C$5,$C$3:$C1873,RELATORIO_MEDICAO!$F$5),"")</f>
        <v/>
      </c>
      <c r="Z1873">
        <f>IF(OR($A1873="",PESQUISA!$C$4=""),0,IF(OR(ISNUMBER(SEARCH(PESQUISA!$C$4,$G1873)),ISNUMBER(SEARCH(PESQUISA!$C$4,$K1873)),ISNUMBER(SEARCH(PESQUISA!$C$4,$L1873))),1,0))</f>
        <v/>
      </c>
      <c r="AA1873">
        <f>IF($Z1873=1,SUM($Z$3:$Z1873),"")</f>
        <v/>
      </c>
      <c r="AB1873">
        <f>IF(OR($A1873="",PESQUISA!$C$50=""),0,IF(ISNUMBER(SEARCH(PESQUISA!$C$50,$I1873)),1,0))</f>
        <v/>
      </c>
      <c r="AC1873">
        <f>IF($AB1873=1,SUM($AB$3:$AB1873),"")</f>
        <v/>
      </c>
    </row>
    <row r="1874">
      <c r="A1874" s="20" t="n"/>
      <c r="B1874" s="20" t="n"/>
      <c r="C1874" s="20" t="n"/>
      <c r="D1874" s="20" t="n"/>
      <c r="E1874" s="20" t="n"/>
      <c r="F1874" s="20" t="n"/>
      <c r="G1874" s="20" t="n"/>
      <c r="H1874" s="20" t="n"/>
      <c r="I1874" s="20" t="n"/>
      <c r="J1874" s="20">
        <f>IFERROR(INDEX(CONFIGURACOES!$G$37:$G$300,MATCH($I1874,CONFIGURACOES!$B$37:$B$300,0)),"")</f>
        <v/>
      </c>
      <c r="K1874" s="20">
        <f>IFERROR(INDEX(CONFIGURACOES!$H$37:$H$300,MATCH($I1874,CONFIGURACOES!$B$37:$B$300,0)),"")</f>
        <v/>
      </c>
      <c r="L1874" s="20" t="n"/>
      <c r="M1874" s="20">
        <f>IFERROR(INDEX(CONFIGURACOES!$I$37:$I$300,MATCH($I1874,CONFIGURACOES!$B$37:$B$300,0)),"")</f>
        <v/>
      </c>
      <c r="N1874" s="21" t="n"/>
      <c r="O1874" s="21" t="n"/>
      <c r="P1874" s="21" t="n"/>
      <c r="Q1874" s="21" t="n"/>
      <c r="R1874" s="21">
        <f>IF($N1874="","",$N1874*IF($Q1874="",1,$Q1874)*IF($P1874="",1,$P1874)*IF($O1874="",1,$O1874))</f>
        <v/>
      </c>
      <c r="S1874" s="22">
        <f>IFERROR(INDEX(CONFIGURACOES!$J$37:$J$300,MATCH($I1874,CONFIGURACOES!$B$37:$B$300,0)),"")</f>
        <v/>
      </c>
      <c r="T1874" s="22">
        <f>IF(OR($R1874="",$S1874=""),"",$R1874*$S1874)</f>
        <v/>
      </c>
      <c r="U1874" s="20" t="n"/>
      <c r="V1874" s="20" t="n"/>
      <c r="W1874" s="20" t="n"/>
      <c r="X1874">
        <f>IF($A1874="","",$A1874&amp;"|"&amp;$C1874&amp;"|"&amp;$I1874)</f>
        <v/>
      </c>
      <c r="Y1874">
        <f>IF(AND($A1874=RELATORIO_MEDICAO!$C$5,$C1874=RELATORIO_MEDICAO!$F$5,$A1874&lt;&gt;""),COUNTIFS($A$3:$A1874,RELATORIO_MEDICAO!$C$5,$C$3:$C1874,RELATORIO_MEDICAO!$F$5),"")</f>
        <v/>
      </c>
      <c r="Z1874">
        <f>IF(OR($A1874="",PESQUISA!$C$4=""),0,IF(OR(ISNUMBER(SEARCH(PESQUISA!$C$4,$G1874)),ISNUMBER(SEARCH(PESQUISA!$C$4,$K1874)),ISNUMBER(SEARCH(PESQUISA!$C$4,$L1874))),1,0))</f>
        <v/>
      </c>
      <c r="AA1874">
        <f>IF($Z1874=1,SUM($Z$3:$Z1874),"")</f>
        <v/>
      </c>
      <c r="AB1874">
        <f>IF(OR($A1874="",PESQUISA!$C$50=""),0,IF(ISNUMBER(SEARCH(PESQUISA!$C$50,$I1874)),1,0))</f>
        <v/>
      </c>
      <c r="AC1874">
        <f>IF($AB1874=1,SUM($AB$3:$AB1874),"")</f>
        <v/>
      </c>
    </row>
    <row r="1875">
      <c r="A1875" s="20" t="n"/>
      <c r="B1875" s="20" t="n"/>
      <c r="C1875" s="20" t="n"/>
      <c r="D1875" s="20" t="n"/>
      <c r="E1875" s="20" t="n"/>
      <c r="F1875" s="20" t="n"/>
      <c r="G1875" s="20" t="n"/>
      <c r="H1875" s="20" t="n"/>
      <c r="I1875" s="20" t="n"/>
      <c r="J1875" s="20">
        <f>IFERROR(INDEX(CONFIGURACOES!$G$37:$G$300,MATCH($I1875,CONFIGURACOES!$B$37:$B$300,0)),"")</f>
        <v/>
      </c>
      <c r="K1875" s="20">
        <f>IFERROR(INDEX(CONFIGURACOES!$H$37:$H$300,MATCH($I1875,CONFIGURACOES!$B$37:$B$300,0)),"")</f>
        <v/>
      </c>
      <c r="L1875" s="20" t="n"/>
      <c r="M1875" s="20">
        <f>IFERROR(INDEX(CONFIGURACOES!$I$37:$I$300,MATCH($I1875,CONFIGURACOES!$B$37:$B$300,0)),"")</f>
        <v/>
      </c>
      <c r="N1875" s="21" t="n"/>
      <c r="O1875" s="21" t="n"/>
      <c r="P1875" s="21" t="n"/>
      <c r="Q1875" s="21" t="n"/>
      <c r="R1875" s="21">
        <f>IF($N1875="","",$N1875*IF($Q1875="",1,$Q1875)*IF($P1875="",1,$P1875)*IF($O1875="",1,$O1875))</f>
        <v/>
      </c>
      <c r="S1875" s="22">
        <f>IFERROR(INDEX(CONFIGURACOES!$J$37:$J$300,MATCH($I1875,CONFIGURACOES!$B$37:$B$300,0)),"")</f>
        <v/>
      </c>
      <c r="T1875" s="22">
        <f>IF(OR($R1875="",$S1875=""),"",$R1875*$S1875)</f>
        <v/>
      </c>
      <c r="U1875" s="20" t="n"/>
      <c r="V1875" s="20" t="n"/>
      <c r="W1875" s="20" t="n"/>
      <c r="X1875">
        <f>IF($A1875="","",$A1875&amp;"|"&amp;$C1875&amp;"|"&amp;$I1875)</f>
        <v/>
      </c>
      <c r="Y1875">
        <f>IF(AND($A1875=RELATORIO_MEDICAO!$C$5,$C1875=RELATORIO_MEDICAO!$F$5,$A1875&lt;&gt;""),COUNTIFS($A$3:$A1875,RELATORIO_MEDICAO!$C$5,$C$3:$C1875,RELATORIO_MEDICAO!$F$5),"")</f>
        <v/>
      </c>
      <c r="Z1875">
        <f>IF(OR($A1875="",PESQUISA!$C$4=""),0,IF(OR(ISNUMBER(SEARCH(PESQUISA!$C$4,$G1875)),ISNUMBER(SEARCH(PESQUISA!$C$4,$K1875)),ISNUMBER(SEARCH(PESQUISA!$C$4,$L1875))),1,0))</f>
        <v/>
      </c>
      <c r="AA1875">
        <f>IF($Z1875=1,SUM($Z$3:$Z1875),"")</f>
        <v/>
      </c>
      <c r="AB1875">
        <f>IF(OR($A1875="",PESQUISA!$C$50=""),0,IF(ISNUMBER(SEARCH(PESQUISA!$C$50,$I1875)),1,0))</f>
        <v/>
      </c>
      <c r="AC1875">
        <f>IF($AB1875=1,SUM($AB$3:$AB1875),"")</f>
        <v/>
      </c>
    </row>
    <row r="1876">
      <c r="A1876" s="20" t="n"/>
      <c r="B1876" s="20" t="n"/>
      <c r="C1876" s="20" t="n"/>
      <c r="D1876" s="20" t="n"/>
      <c r="E1876" s="20" t="n"/>
      <c r="F1876" s="20" t="n"/>
      <c r="G1876" s="20" t="n"/>
      <c r="H1876" s="20" t="n"/>
      <c r="I1876" s="20" t="n"/>
      <c r="J1876" s="20">
        <f>IFERROR(INDEX(CONFIGURACOES!$G$37:$G$300,MATCH($I1876,CONFIGURACOES!$B$37:$B$300,0)),"")</f>
        <v/>
      </c>
      <c r="K1876" s="20">
        <f>IFERROR(INDEX(CONFIGURACOES!$H$37:$H$300,MATCH($I1876,CONFIGURACOES!$B$37:$B$300,0)),"")</f>
        <v/>
      </c>
      <c r="L1876" s="20" t="n"/>
      <c r="M1876" s="20">
        <f>IFERROR(INDEX(CONFIGURACOES!$I$37:$I$300,MATCH($I1876,CONFIGURACOES!$B$37:$B$300,0)),"")</f>
        <v/>
      </c>
      <c r="N1876" s="21" t="n"/>
      <c r="O1876" s="21" t="n"/>
      <c r="P1876" s="21" t="n"/>
      <c r="Q1876" s="21" t="n"/>
      <c r="R1876" s="21">
        <f>IF($N1876="","",$N1876*IF($Q1876="",1,$Q1876)*IF($P1876="",1,$P1876)*IF($O1876="",1,$O1876))</f>
        <v/>
      </c>
      <c r="S1876" s="22">
        <f>IFERROR(INDEX(CONFIGURACOES!$J$37:$J$300,MATCH($I1876,CONFIGURACOES!$B$37:$B$300,0)),"")</f>
        <v/>
      </c>
      <c r="T1876" s="22">
        <f>IF(OR($R1876="",$S1876=""),"",$R1876*$S1876)</f>
        <v/>
      </c>
      <c r="U1876" s="20" t="n"/>
      <c r="V1876" s="20" t="n"/>
      <c r="W1876" s="20" t="n"/>
      <c r="X1876">
        <f>IF($A1876="","",$A1876&amp;"|"&amp;$C1876&amp;"|"&amp;$I1876)</f>
        <v/>
      </c>
      <c r="Y1876">
        <f>IF(AND($A1876=RELATORIO_MEDICAO!$C$5,$C1876=RELATORIO_MEDICAO!$F$5,$A1876&lt;&gt;""),COUNTIFS($A$3:$A1876,RELATORIO_MEDICAO!$C$5,$C$3:$C1876,RELATORIO_MEDICAO!$F$5),"")</f>
        <v/>
      </c>
      <c r="Z1876">
        <f>IF(OR($A1876="",PESQUISA!$C$4=""),0,IF(OR(ISNUMBER(SEARCH(PESQUISA!$C$4,$G1876)),ISNUMBER(SEARCH(PESQUISA!$C$4,$K1876)),ISNUMBER(SEARCH(PESQUISA!$C$4,$L1876))),1,0))</f>
        <v/>
      </c>
      <c r="AA1876">
        <f>IF($Z1876=1,SUM($Z$3:$Z1876),"")</f>
        <v/>
      </c>
      <c r="AB1876">
        <f>IF(OR($A1876="",PESQUISA!$C$50=""),0,IF(ISNUMBER(SEARCH(PESQUISA!$C$50,$I1876)),1,0))</f>
        <v/>
      </c>
      <c r="AC1876">
        <f>IF($AB1876=1,SUM($AB$3:$AB1876),"")</f>
        <v/>
      </c>
    </row>
    <row r="1877">
      <c r="A1877" s="20" t="n"/>
      <c r="B1877" s="20" t="n"/>
      <c r="C1877" s="20" t="n"/>
      <c r="D1877" s="20" t="n"/>
      <c r="E1877" s="20" t="n"/>
      <c r="F1877" s="20" t="n"/>
      <c r="G1877" s="20" t="n"/>
      <c r="H1877" s="20" t="n"/>
      <c r="I1877" s="20" t="n"/>
      <c r="J1877" s="20">
        <f>IFERROR(INDEX(CONFIGURACOES!$G$37:$G$300,MATCH($I1877,CONFIGURACOES!$B$37:$B$300,0)),"")</f>
        <v/>
      </c>
      <c r="K1877" s="20">
        <f>IFERROR(INDEX(CONFIGURACOES!$H$37:$H$300,MATCH($I1877,CONFIGURACOES!$B$37:$B$300,0)),"")</f>
        <v/>
      </c>
      <c r="L1877" s="20" t="n"/>
      <c r="M1877" s="20">
        <f>IFERROR(INDEX(CONFIGURACOES!$I$37:$I$300,MATCH($I1877,CONFIGURACOES!$B$37:$B$300,0)),"")</f>
        <v/>
      </c>
      <c r="N1877" s="21" t="n"/>
      <c r="O1877" s="21" t="n"/>
      <c r="P1877" s="21" t="n"/>
      <c r="Q1877" s="21" t="n"/>
      <c r="R1877" s="21">
        <f>IF($N1877="","",$N1877*IF($Q1877="",1,$Q1877)*IF($P1877="",1,$P1877)*IF($O1877="",1,$O1877))</f>
        <v/>
      </c>
      <c r="S1877" s="22">
        <f>IFERROR(INDEX(CONFIGURACOES!$J$37:$J$300,MATCH($I1877,CONFIGURACOES!$B$37:$B$300,0)),"")</f>
        <v/>
      </c>
      <c r="T1877" s="22">
        <f>IF(OR($R1877="",$S1877=""),"",$R1877*$S1877)</f>
        <v/>
      </c>
      <c r="U1877" s="20" t="n"/>
      <c r="V1877" s="20" t="n"/>
      <c r="W1877" s="20" t="n"/>
      <c r="X1877">
        <f>IF($A1877="","",$A1877&amp;"|"&amp;$C1877&amp;"|"&amp;$I1877)</f>
        <v/>
      </c>
      <c r="Y1877">
        <f>IF(AND($A1877=RELATORIO_MEDICAO!$C$5,$C1877=RELATORIO_MEDICAO!$F$5,$A1877&lt;&gt;""),COUNTIFS($A$3:$A1877,RELATORIO_MEDICAO!$C$5,$C$3:$C1877,RELATORIO_MEDICAO!$F$5),"")</f>
        <v/>
      </c>
      <c r="Z1877">
        <f>IF(OR($A1877="",PESQUISA!$C$4=""),0,IF(OR(ISNUMBER(SEARCH(PESQUISA!$C$4,$G1877)),ISNUMBER(SEARCH(PESQUISA!$C$4,$K1877)),ISNUMBER(SEARCH(PESQUISA!$C$4,$L1877))),1,0))</f>
        <v/>
      </c>
      <c r="AA1877">
        <f>IF($Z1877=1,SUM($Z$3:$Z1877),"")</f>
        <v/>
      </c>
      <c r="AB1877">
        <f>IF(OR($A1877="",PESQUISA!$C$50=""),0,IF(ISNUMBER(SEARCH(PESQUISA!$C$50,$I1877)),1,0))</f>
        <v/>
      </c>
      <c r="AC1877">
        <f>IF($AB1877=1,SUM($AB$3:$AB1877),"")</f>
        <v/>
      </c>
    </row>
    <row r="1878">
      <c r="A1878" s="20" t="n"/>
      <c r="B1878" s="20" t="n"/>
      <c r="C1878" s="20" t="n"/>
      <c r="D1878" s="20" t="n"/>
      <c r="E1878" s="20" t="n"/>
      <c r="F1878" s="20" t="n"/>
      <c r="G1878" s="20" t="n"/>
      <c r="H1878" s="20" t="n"/>
      <c r="I1878" s="20" t="n"/>
      <c r="J1878" s="20">
        <f>IFERROR(INDEX(CONFIGURACOES!$G$37:$G$300,MATCH($I1878,CONFIGURACOES!$B$37:$B$300,0)),"")</f>
        <v/>
      </c>
      <c r="K1878" s="20">
        <f>IFERROR(INDEX(CONFIGURACOES!$H$37:$H$300,MATCH($I1878,CONFIGURACOES!$B$37:$B$300,0)),"")</f>
        <v/>
      </c>
      <c r="L1878" s="20" t="n"/>
      <c r="M1878" s="20">
        <f>IFERROR(INDEX(CONFIGURACOES!$I$37:$I$300,MATCH($I1878,CONFIGURACOES!$B$37:$B$300,0)),"")</f>
        <v/>
      </c>
      <c r="N1878" s="21" t="n"/>
      <c r="O1878" s="21" t="n"/>
      <c r="P1878" s="21" t="n"/>
      <c r="Q1878" s="21" t="n"/>
      <c r="R1878" s="21">
        <f>IF($N1878="","",$N1878*IF($Q1878="",1,$Q1878)*IF($P1878="",1,$P1878)*IF($O1878="",1,$O1878))</f>
        <v/>
      </c>
      <c r="S1878" s="22">
        <f>IFERROR(INDEX(CONFIGURACOES!$J$37:$J$300,MATCH($I1878,CONFIGURACOES!$B$37:$B$300,0)),"")</f>
        <v/>
      </c>
      <c r="T1878" s="22">
        <f>IF(OR($R1878="",$S1878=""),"",$R1878*$S1878)</f>
        <v/>
      </c>
      <c r="U1878" s="20" t="n"/>
      <c r="V1878" s="20" t="n"/>
      <c r="W1878" s="20" t="n"/>
      <c r="X1878">
        <f>IF($A1878="","",$A1878&amp;"|"&amp;$C1878&amp;"|"&amp;$I1878)</f>
        <v/>
      </c>
      <c r="Y1878">
        <f>IF(AND($A1878=RELATORIO_MEDICAO!$C$5,$C1878=RELATORIO_MEDICAO!$F$5,$A1878&lt;&gt;""),COUNTIFS($A$3:$A1878,RELATORIO_MEDICAO!$C$5,$C$3:$C1878,RELATORIO_MEDICAO!$F$5),"")</f>
        <v/>
      </c>
      <c r="Z1878">
        <f>IF(OR($A1878="",PESQUISA!$C$4=""),0,IF(OR(ISNUMBER(SEARCH(PESQUISA!$C$4,$G1878)),ISNUMBER(SEARCH(PESQUISA!$C$4,$K1878)),ISNUMBER(SEARCH(PESQUISA!$C$4,$L1878))),1,0))</f>
        <v/>
      </c>
      <c r="AA1878">
        <f>IF($Z1878=1,SUM($Z$3:$Z1878),"")</f>
        <v/>
      </c>
      <c r="AB1878">
        <f>IF(OR($A1878="",PESQUISA!$C$50=""),0,IF(ISNUMBER(SEARCH(PESQUISA!$C$50,$I1878)),1,0))</f>
        <v/>
      </c>
      <c r="AC1878">
        <f>IF($AB1878=1,SUM($AB$3:$AB1878),"")</f>
        <v/>
      </c>
    </row>
    <row r="1879">
      <c r="A1879" s="20" t="n"/>
      <c r="B1879" s="20" t="n"/>
      <c r="C1879" s="20" t="n"/>
      <c r="D1879" s="20" t="n"/>
      <c r="E1879" s="20" t="n"/>
      <c r="F1879" s="20" t="n"/>
      <c r="G1879" s="20" t="n"/>
      <c r="H1879" s="20" t="n"/>
      <c r="I1879" s="20" t="n"/>
      <c r="J1879" s="20">
        <f>IFERROR(INDEX(CONFIGURACOES!$G$37:$G$300,MATCH($I1879,CONFIGURACOES!$B$37:$B$300,0)),"")</f>
        <v/>
      </c>
      <c r="K1879" s="20">
        <f>IFERROR(INDEX(CONFIGURACOES!$H$37:$H$300,MATCH($I1879,CONFIGURACOES!$B$37:$B$300,0)),"")</f>
        <v/>
      </c>
      <c r="L1879" s="20" t="n"/>
      <c r="M1879" s="20">
        <f>IFERROR(INDEX(CONFIGURACOES!$I$37:$I$300,MATCH($I1879,CONFIGURACOES!$B$37:$B$300,0)),"")</f>
        <v/>
      </c>
      <c r="N1879" s="21" t="n"/>
      <c r="O1879" s="21" t="n"/>
      <c r="P1879" s="21" t="n"/>
      <c r="Q1879" s="21" t="n"/>
      <c r="R1879" s="21">
        <f>IF($N1879="","",$N1879*IF($Q1879="",1,$Q1879)*IF($P1879="",1,$P1879)*IF($O1879="",1,$O1879))</f>
        <v/>
      </c>
      <c r="S1879" s="22">
        <f>IFERROR(INDEX(CONFIGURACOES!$J$37:$J$300,MATCH($I1879,CONFIGURACOES!$B$37:$B$300,0)),"")</f>
        <v/>
      </c>
      <c r="T1879" s="22">
        <f>IF(OR($R1879="",$S1879=""),"",$R1879*$S1879)</f>
        <v/>
      </c>
      <c r="U1879" s="20" t="n"/>
      <c r="V1879" s="20" t="n"/>
      <c r="W1879" s="20" t="n"/>
      <c r="X1879">
        <f>IF($A1879="","",$A1879&amp;"|"&amp;$C1879&amp;"|"&amp;$I1879)</f>
        <v/>
      </c>
      <c r="Y1879">
        <f>IF(AND($A1879=RELATORIO_MEDICAO!$C$5,$C1879=RELATORIO_MEDICAO!$F$5,$A1879&lt;&gt;""),COUNTIFS($A$3:$A1879,RELATORIO_MEDICAO!$C$5,$C$3:$C1879,RELATORIO_MEDICAO!$F$5),"")</f>
        <v/>
      </c>
      <c r="Z1879">
        <f>IF(OR($A1879="",PESQUISA!$C$4=""),0,IF(OR(ISNUMBER(SEARCH(PESQUISA!$C$4,$G1879)),ISNUMBER(SEARCH(PESQUISA!$C$4,$K1879)),ISNUMBER(SEARCH(PESQUISA!$C$4,$L1879))),1,0))</f>
        <v/>
      </c>
      <c r="AA1879">
        <f>IF($Z1879=1,SUM($Z$3:$Z1879),"")</f>
        <v/>
      </c>
      <c r="AB1879">
        <f>IF(OR($A1879="",PESQUISA!$C$50=""),0,IF(ISNUMBER(SEARCH(PESQUISA!$C$50,$I1879)),1,0))</f>
        <v/>
      </c>
      <c r="AC1879">
        <f>IF($AB1879=1,SUM($AB$3:$AB1879),"")</f>
        <v/>
      </c>
    </row>
    <row r="1880">
      <c r="A1880" s="20" t="n"/>
      <c r="B1880" s="20" t="n"/>
      <c r="C1880" s="20" t="n"/>
      <c r="D1880" s="20" t="n"/>
      <c r="E1880" s="20" t="n"/>
      <c r="F1880" s="20" t="n"/>
      <c r="G1880" s="20" t="n"/>
      <c r="H1880" s="20" t="n"/>
      <c r="I1880" s="20" t="n"/>
      <c r="J1880" s="20">
        <f>IFERROR(INDEX(CONFIGURACOES!$G$37:$G$300,MATCH($I1880,CONFIGURACOES!$B$37:$B$300,0)),"")</f>
        <v/>
      </c>
      <c r="K1880" s="20">
        <f>IFERROR(INDEX(CONFIGURACOES!$H$37:$H$300,MATCH($I1880,CONFIGURACOES!$B$37:$B$300,0)),"")</f>
        <v/>
      </c>
      <c r="L1880" s="20" t="n"/>
      <c r="M1880" s="20">
        <f>IFERROR(INDEX(CONFIGURACOES!$I$37:$I$300,MATCH($I1880,CONFIGURACOES!$B$37:$B$300,0)),"")</f>
        <v/>
      </c>
      <c r="N1880" s="21" t="n"/>
      <c r="O1880" s="21" t="n"/>
      <c r="P1880" s="21" t="n"/>
      <c r="Q1880" s="21" t="n"/>
      <c r="R1880" s="21">
        <f>IF($N1880="","",$N1880*IF($Q1880="",1,$Q1880)*IF($P1880="",1,$P1880)*IF($O1880="",1,$O1880))</f>
        <v/>
      </c>
      <c r="S1880" s="22">
        <f>IFERROR(INDEX(CONFIGURACOES!$J$37:$J$300,MATCH($I1880,CONFIGURACOES!$B$37:$B$300,0)),"")</f>
        <v/>
      </c>
      <c r="T1880" s="22">
        <f>IF(OR($R1880="",$S1880=""),"",$R1880*$S1880)</f>
        <v/>
      </c>
      <c r="U1880" s="20" t="n"/>
      <c r="V1880" s="20" t="n"/>
      <c r="W1880" s="20" t="n"/>
      <c r="X1880">
        <f>IF($A1880="","",$A1880&amp;"|"&amp;$C1880&amp;"|"&amp;$I1880)</f>
        <v/>
      </c>
      <c r="Y1880">
        <f>IF(AND($A1880=RELATORIO_MEDICAO!$C$5,$C1880=RELATORIO_MEDICAO!$F$5,$A1880&lt;&gt;""),COUNTIFS($A$3:$A1880,RELATORIO_MEDICAO!$C$5,$C$3:$C1880,RELATORIO_MEDICAO!$F$5),"")</f>
        <v/>
      </c>
      <c r="Z1880">
        <f>IF(OR($A1880="",PESQUISA!$C$4=""),0,IF(OR(ISNUMBER(SEARCH(PESQUISA!$C$4,$G1880)),ISNUMBER(SEARCH(PESQUISA!$C$4,$K1880)),ISNUMBER(SEARCH(PESQUISA!$C$4,$L1880))),1,0))</f>
        <v/>
      </c>
      <c r="AA1880">
        <f>IF($Z1880=1,SUM($Z$3:$Z1880),"")</f>
        <v/>
      </c>
      <c r="AB1880">
        <f>IF(OR($A1880="",PESQUISA!$C$50=""),0,IF(ISNUMBER(SEARCH(PESQUISA!$C$50,$I1880)),1,0))</f>
        <v/>
      </c>
      <c r="AC1880">
        <f>IF($AB1880=1,SUM($AB$3:$AB1880),"")</f>
        <v/>
      </c>
    </row>
    <row r="1881">
      <c r="A1881" s="20" t="n"/>
      <c r="B1881" s="20" t="n"/>
      <c r="C1881" s="20" t="n"/>
      <c r="D1881" s="20" t="n"/>
      <c r="E1881" s="20" t="n"/>
      <c r="F1881" s="20" t="n"/>
      <c r="G1881" s="20" t="n"/>
      <c r="H1881" s="20" t="n"/>
      <c r="I1881" s="20" t="n"/>
      <c r="J1881" s="20">
        <f>IFERROR(INDEX(CONFIGURACOES!$G$37:$G$300,MATCH($I1881,CONFIGURACOES!$B$37:$B$300,0)),"")</f>
        <v/>
      </c>
      <c r="K1881" s="20">
        <f>IFERROR(INDEX(CONFIGURACOES!$H$37:$H$300,MATCH($I1881,CONFIGURACOES!$B$37:$B$300,0)),"")</f>
        <v/>
      </c>
      <c r="L1881" s="20" t="n"/>
      <c r="M1881" s="20">
        <f>IFERROR(INDEX(CONFIGURACOES!$I$37:$I$300,MATCH($I1881,CONFIGURACOES!$B$37:$B$300,0)),"")</f>
        <v/>
      </c>
      <c r="N1881" s="21" t="n"/>
      <c r="O1881" s="21" t="n"/>
      <c r="P1881" s="21" t="n"/>
      <c r="Q1881" s="21" t="n"/>
      <c r="R1881" s="21">
        <f>IF($N1881="","",$N1881*IF($Q1881="",1,$Q1881)*IF($P1881="",1,$P1881)*IF($O1881="",1,$O1881))</f>
        <v/>
      </c>
      <c r="S1881" s="22">
        <f>IFERROR(INDEX(CONFIGURACOES!$J$37:$J$300,MATCH($I1881,CONFIGURACOES!$B$37:$B$300,0)),"")</f>
        <v/>
      </c>
      <c r="T1881" s="22">
        <f>IF(OR($R1881="",$S1881=""),"",$R1881*$S1881)</f>
        <v/>
      </c>
      <c r="U1881" s="20" t="n"/>
      <c r="V1881" s="20" t="n"/>
      <c r="W1881" s="20" t="n"/>
      <c r="X1881">
        <f>IF($A1881="","",$A1881&amp;"|"&amp;$C1881&amp;"|"&amp;$I1881)</f>
        <v/>
      </c>
      <c r="Y1881">
        <f>IF(AND($A1881=RELATORIO_MEDICAO!$C$5,$C1881=RELATORIO_MEDICAO!$F$5,$A1881&lt;&gt;""),COUNTIFS($A$3:$A1881,RELATORIO_MEDICAO!$C$5,$C$3:$C1881,RELATORIO_MEDICAO!$F$5),"")</f>
        <v/>
      </c>
      <c r="Z1881">
        <f>IF(OR($A1881="",PESQUISA!$C$4=""),0,IF(OR(ISNUMBER(SEARCH(PESQUISA!$C$4,$G1881)),ISNUMBER(SEARCH(PESQUISA!$C$4,$K1881)),ISNUMBER(SEARCH(PESQUISA!$C$4,$L1881))),1,0))</f>
        <v/>
      </c>
      <c r="AA1881">
        <f>IF($Z1881=1,SUM($Z$3:$Z1881),"")</f>
        <v/>
      </c>
      <c r="AB1881">
        <f>IF(OR($A1881="",PESQUISA!$C$50=""),0,IF(ISNUMBER(SEARCH(PESQUISA!$C$50,$I1881)),1,0))</f>
        <v/>
      </c>
      <c r="AC1881">
        <f>IF($AB1881=1,SUM($AB$3:$AB1881),"")</f>
        <v/>
      </c>
    </row>
    <row r="1882">
      <c r="A1882" s="20" t="n"/>
      <c r="B1882" s="20" t="n"/>
      <c r="C1882" s="20" t="n"/>
      <c r="D1882" s="20" t="n"/>
      <c r="E1882" s="20" t="n"/>
      <c r="F1882" s="20" t="n"/>
      <c r="G1882" s="20" t="n"/>
      <c r="H1882" s="20" t="n"/>
      <c r="I1882" s="20" t="n"/>
      <c r="J1882" s="20">
        <f>IFERROR(INDEX(CONFIGURACOES!$G$37:$G$300,MATCH($I1882,CONFIGURACOES!$B$37:$B$300,0)),"")</f>
        <v/>
      </c>
      <c r="K1882" s="20">
        <f>IFERROR(INDEX(CONFIGURACOES!$H$37:$H$300,MATCH($I1882,CONFIGURACOES!$B$37:$B$300,0)),"")</f>
        <v/>
      </c>
      <c r="L1882" s="20" t="n"/>
      <c r="M1882" s="20">
        <f>IFERROR(INDEX(CONFIGURACOES!$I$37:$I$300,MATCH($I1882,CONFIGURACOES!$B$37:$B$300,0)),"")</f>
        <v/>
      </c>
      <c r="N1882" s="21" t="n"/>
      <c r="O1882" s="21" t="n"/>
      <c r="P1882" s="21" t="n"/>
      <c r="Q1882" s="21" t="n"/>
      <c r="R1882" s="21">
        <f>IF($N1882="","",$N1882*IF($Q1882="",1,$Q1882)*IF($P1882="",1,$P1882)*IF($O1882="",1,$O1882))</f>
        <v/>
      </c>
      <c r="S1882" s="22">
        <f>IFERROR(INDEX(CONFIGURACOES!$J$37:$J$300,MATCH($I1882,CONFIGURACOES!$B$37:$B$300,0)),"")</f>
        <v/>
      </c>
      <c r="T1882" s="22">
        <f>IF(OR($R1882="",$S1882=""),"",$R1882*$S1882)</f>
        <v/>
      </c>
      <c r="U1882" s="20" t="n"/>
      <c r="V1882" s="20" t="n"/>
      <c r="W1882" s="20" t="n"/>
      <c r="X1882">
        <f>IF($A1882="","",$A1882&amp;"|"&amp;$C1882&amp;"|"&amp;$I1882)</f>
        <v/>
      </c>
      <c r="Y1882">
        <f>IF(AND($A1882=RELATORIO_MEDICAO!$C$5,$C1882=RELATORIO_MEDICAO!$F$5,$A1882&lt;&gt;""),COUNTIFS($A$3:$A1882,RELATORIO_MEDICAO!$C$5,$C$3:$C1882,RELATORIO_MEDICAO!$F$5),"")</f>
        <v/>
      </c>
      <c r="Z1882">
        <f>IF(OR($A1882="",PESQUISA!$C$4=""),0,IF(OR(ISNUMBER(SEARCH(PESQUISA!$C$4,$G1882)),ISNUMBER(SEARCH(PESQUISA!$C$4,$K1882)),ISNUMBER(SEARCH(PESQUISA!$C$4,$L1882))),1,0))</f>
        <v/>
      </c>
      <c r="AA1882">
        <f>IF($Z1882=1,SUM($Z$3:$Z1882),"")</f>
        <v/>
      </c>
      <c r="AB1882">
        <f>IF(OR($A1882="",PESQUISA!$C$50=""),0,IF(ISNUMBER(SEARCH(PESQUISA!$C$50,$I1882)),1,0))</f>
        <v/>
      </c>
      <c r="AC1882">
        <f>IF($AB1882=1,SUM($AB$3:$AB1882),"")</f>
        <v/>
      </c>
    </row>
    <row r="1883">
      <c r="A1883" s="20" t="n"/>
      <c r="B1883" s="20" t="n"/>
      <c r="C1883" s="20" t="n"/>
      <c r="D1883" s="20" t="n"/>
      <c r="E1883" s="20" t="n"/>
      <c r="F1883" s="20" t="n"/>
      <c r="G1883" s="20" t="n"/>
      <c r="H1883" s="20" t="n"/>
      <c r="I1883" s="20" t="n"/>
      <c r="J1883" s="20">
        <f>IFERROR(INDEX(CONFIGURACOES!$G$37:$G$300,MATCH($I1883,CONFIGURACOES!$B$37:$B$300,0)),"")</f>
        <v/>
      </c>
      <c r="K1883" s="20">
        <f>IFERROR(INDEX(CONFIGURACOES!$H$37:$H$300,MATCH($I1883,CONFIGURACOES!$B$37:$B$300,0)),"")</f>
        <v/>
      </c>
      <c r="L1883" s="20" t="n"/>
      <c r="M1883" s="20">
        <f>IFERROR(INDEX(CONFIGURACOES!$I$37:$I$300,MATCH($I1883,CONFIGURACOES!$B$37:$B$300,0)),"")</f>
        <v/>
      </c>
      <c r="N1883" s="21" t="n"/>
      <c r="O1883" s="21" t="n"/>
      <c r="P1883" s="21" t="n"/>
      <c r="Q1883" s="21" t="n"/>
      <c r="R1883" s="21">
        <f>IF($N1883="","",$N1883*IF($Q1883="",1,$Q1883)*IF($P1883="",1,$P1883)*IF($O1883="",1,$O1883))</f>
        <v/>
      </c>
      <c r="S1883" s="22">
        <f>IFERROR(INDEX(CONFIGURACOES!$J$37:$J$300,MATCH($I1883,CONFIGURACOES!$B$37:$B$300,0)),"")</f>
        <v/>
      </c>
      <c r="T1883" s="22">
        <f>IF(OR($R1883="",$S1883=""),"",$R1883*$S1883)</f>
        <v/>
      </c>
      <c r="U1883" s="20" t="n"/>
      <c r="V1883" s="20" t="n"/>
      <c r="W1883" s="20" t="n"/>
      <c r="X1883">
        <f>IF($A1883="","",$A1883&amp;"|"&amp;$C1883&amp;"|"&amp;$I1883)</f>
        <v/>
      </c>
      <c r="Y1883">
        <f>IF(AND($A1883=RELATORIO_MEDICAO!$C$5,$C1883=RELATORIO_MEDICAO!$F$5,$A1883&lt;&gt;""),COUNTIFS($A$3:$A1883,RELATORIO_MEDICAO!$C$5,$C$3:$C1883,RELATORIO_MEDICAO!$F$5),"")</f>
        <v/>
      </c>
      <c r="Z1883">
        <f>IF(OR($A1883="",PESQUISA!$C$4=""),0,IF(OR(ISNUMBER(SEARCH(PESQUISA!$C$4,$G1883)),ISNUMBER(SEARCH(PESQUISA!$C$4,$K1883)),ISNUMBER(SEARCH(PESQUISA!$C$4,$L1883))),1,0))</f>
        <v/>
      </c>
      <c r="AA1883">
        <f>IF($Z1883=1,SUM($Z$3:$Z1883),"")</f>
        <v/>
      </c>
      <c r="AB1883">
        <f>IF(OR($A1883="",PESQUISA!$C$50=""),0,IF(ISNUMBER(SEARCH(PESQUISA!$C$50,$I1883)),1,0))</f>
        <v/>
      </c>
      <c r="AC1883">
        <f>IF($AB1883=1,SUM($AB$3:$AB1883),"")</f>
        <v/>
      </c>
    </row>
    <row r="1884">
      <c r="A1884" s="20" t="n"/>
      <c r="B1884" s="20" t="n"/>
      <c r="C1884" s="20" t="n"/>
      <c r="D1884" s="20" t="n"/>
      <c r="E1884" s="20" t="n"/>
      <c r="F1884" s="20" t="n"/>
      <c r="G1884" s="20" t="n"/>
      <c r="H1884" s="20" t="n"/>
      <c r="I1884" s="20" t="n"/>
      <c r="J1884" s="20">
        <f>IFERROR(INDEX(CONFIGURACOES!$G$37:$G$300,MATCH($I1884,CONFIGURACOES!$B$37:$B$300,0)),"")</f>
        <v/>
      </c>
      <c r="K1884" s="20">
        <f>IFERROR(INDEX(CONFIGURACOES!$H$37:$H$300,MATCH($I1884,CONFIGURACOES!$B$37:$B$300,0)),"")</f>
        <v/>
      </c>
      <c r="L1884" s="20" t="n"/>
      <c r="M1884" s="20">
        <f>IFERROR(INDEX(CONFIGURACOES!$I$37:$I$300,MATCH($I1884,CONFIGURACOES!$B$37:$B$300,0)),"")</f>
        <v/>
      </c>
      <c r="N1884" s="21" t="n"/>
      <c r="O1884" s="21" t="n"/>
      <c r="P1884" s="21" t="n"/>
      <c r="Q1884" s="21" t="n"/>
      <c r="R1884" s="21">
        <f>IF($N1884="","",$N1884*IF($Q1884="",1,$Q1884)*IF($P1884="",1,$P1884)*IF($O1884="",1,$O1884))</f>
        <v/>
      </c>
      <c r="S1884" s="22">
        <f>IFERROR(INDEX(CONFIGURACOES!$J$37:$J$300,MATCH($I1884,CONFIGURACOES!$B$37:$B$300,0)),"")</f>
        <v/>
      </c>
      <c r="T1884" s="22">
        <f>IF(OR($R1884="",$S1884=""),"",$R1884*$S1884)</f>
        <v/>
      </c>
      <c r="U1884" s="20" t="n"/>
      <c r="V1884" s="20" t="n"/>
      <c r="W1884" s="20" t="n"/>
      <c r="X1884">
        <f>IF($A1884="","",$A1884&amp;"|"&amp;$C1884&amp;"|"&amp;$I1884)</f>
        <v/>
      </c>
      <c r="Y1884">
        <f>IF(AND($A1884=RELATORIO_MEDICAO!$C$5,$C1884=RELATORIO_MEDICAO!$F$5,$A1884&lt;&gt;""),COUNTIFS($A$3:$A1884,RELATORIO_MEDICAO!$C$5,$C$3:$C1884,RELATORIO_MEDICAO!$F$5),"")</f>
        <v/>
      </c>
      <c r="Z1884">
        <f>IF(OR($A1884="",PESQUISA!$C$4=""),0,IF(OR(ISNUMBER(SEARCH(PESQUISA!$C$4,$G1884)),ISNUMBER(SEARCH(PESQUISA!$C$4,$K1884)),ISNUMBER(SEARCH(PESQUISA!$C$4,$L1884))),1,0))</f>
        <v/>
      </c>
      <c r="AA1884">
        <f>IF($Z1884=1,SUM($Z$3:$Z1884),"")</f>
        <v/>
      </c>
      <c r="AB1884">
        <f>IF(OR($A1884="",PESQUISA!$C$50=""),0,IF(ISNUMBER(SEARCH(PESQUISA!$C$50,$I1884)),1,0))</f>
        <v/>
      </c>
      <c r="AC1884">
        <f>IF($AB1884=1,SUM($AB$3:$AB1884),"")</f>
        <v/>
      </c>
    </row>
    <row r="1885">
      <c r="A1885" s="20" t="n"/>
      <c r="B1885" s="20" t="n"/>
      <c r="C1885" s="20" t="n"/>
      <c r="D1885" s="20" t="n"/>
      <c r="E1885" s="20" t="n"/>
      <c r="F1885" s="20" t="n"/>
      <c r="G1885" s="20" t="n"/>
      <c r="H1885" s="20" t="n"/>
      <c r="I1885" s="20" t="n"/>
      <c r="J1885" s="20">
        <f>IFERROR(INDEX(CONFIGURACOES!$G$37:$G$300,MATCH($I1885,CONFIGURACOES!$B$37:$B$300,0)),"")</f>
        <v/>
      </c>
      <c r="K1885" s="20">
        <f>IFERROR(INDEX(CONFIGURACOES!$H$37:$H$300,MATCH($I1885,CONFIGURACOES!$B$37:$B$300,0)),"")</f>
        <v/>
      </c>
      <c r="L1885" s="20" t="n"/>
      <c r="M1885" s="20">
        <f>IFERROR(INDEX(CONFIGURACOES!$I$37:$I$300,MATCH($I1885,CONFIGURACOES!$B$37:$B$300,0)),"")</f>
        <v/>
      </c>
      <c r="N1885" s="21" t="n"/>
      <c r="O1885" s="21" t="n"/>
      <c r="P1885" s="21" t="n"/>
      <c r="Q1885" s="21" t="n"/>
      <c r="R1885" s="21">
        <f>IF($N1885="","",$N1885*IF($Q1885="",1,$Q1885)*IF($P1885="",1,$P1885)*IF($O1885="",1,$O1885))</f>
        <v/>
      </c>
      <c r="S1885" s="22">
        <f>IFERROR(INDEX(CONFIGURACOES!$J$37:$J$300,MATCH($I1885,CONFIGURACOES!$B$37:$B$300,0)),"")</f>
        <v/>
      </c>
      <c r="T1885" s="22">
        <f>IF(OR($R1885="",$S1885=""),"",$R1885*$S1885)</f>
        <v/>
      </c>
      <c r="U1885" s="20" t="n"/>
      <c r="V1885" s="20" t="n"/>
      <c r="W1885" s="20" t="n"/>
      <c r="X1885">
        <f>IF($A1885="","",$A1885&amp;"|"&amp;$C1885&amp;"|"&amp;$I1885)</f>
        <v/>
      </c>
      <c r="Y1885">
        <f>IF(AND($A1885=RELATORIO_MEDICAO!$C$5,$C1885=RELATORIO_MEDICAO!$F$5,$A1885&lt;&gt;""),COUNTIFS($A$3:$A1885,RELATORIO_MEDICAO!$C$5,$C$3:$C1885,RELATORIO_MEDICAO!$F$5),"")</f>
        <v/>
      </c>
      <c r="Z1885">
        <f>IF(OR($A1885="",PESQUISA!$C$4=""),0,IF(OR(ISNUMBER(SEARCH(PESQUISA!$C$4,$G1885)),ISNUMBER(SEARCH(PESQUISA!$C$4,$K1885)),ISNUMBER(SEARCH(PESQUISA!$C$4,$L1885))),1,0))</f>
        <v/>
      </c>
      <c r="AA1885">
        <f>IF($Z1885=1,SUM($Z$3:$Z1885),"")</f>
        <v/>
      </c>
      <c r="AB1885">
        <f>IF(OR($A1885="",PESQUISA!$C$50=""),0,IF(ISNUMBER(SEARCH(PESQUISA!$C$50,$I1885)),1,0))</f>
        <v/>
      </c>
      <c r="AC1885">
        <f>IF($AB1885=1,SUM($AB$3:$AB1885),"")</f>
        <v/>
      </c>
    </row>
    <row r="1886">
      <c r="A1886" s="20" t="n"/>
      <c r="B1886" s="20" t="n"/>
      <c r="C1886" s="20" t="n"/>
      <c r="D1886" s="20" t="n"/>
      <c r="E1886" s="20" t="n"/>
      <c r="F1886" s="20" t="n"/>
      <c r="G1886" s="20" t="n"/>
      <c r="H1886" s="20" t="n"/>
      <c r="I1886" s="20" t="n"/>
      <c r="J1886" s="20">
        <f>IFERROR(INDEX(CONFIGURACOES!$G$37:$G$300,MATCH($I1886,CONFIGURACOES!$B$37:$B$300,0)),"")</f>
        <v/>
      </c>
      <c r="K1886" s="20">
        <f>IFERROR(INDEX(CONFIGURACOES!$H$37:$H$300,MATCH($I1886,CONFIGURACOES!$B$37:$B$300,0)),"")</f>
        <v/>
      </c>
      <c r="L1886" s="20" t="n"/>
      <c r="M1886" s="20">
        <f>IFERROR(INDEX(CONFIGURACOES!$I$37:$I$300,MATCH($I1886,CONFIGURACOES!$B$37:$B$300,0)),"")</f>
        <v/>
      </c>
      <c r="N1886" s="21" t="n"/>
      <c r="O1886" s="21" t="n"/>
      <c r="P1886" s="21" t="n"/>
      <c r="Q1886" s="21" t="n"/>
      <c r="R1886" s="21">
        <f>IF($N1886="","",$N1886*IF($Q1886="",1,$Q1886)*IF($P1886="",1,$P1886)*IF($O1886="",1,$O1886))</f>
        <v/>
      </c>
      <c r="S1886" s="22">
        <f>IFERROR(INDEX(CONFIGURACOES!$J$37:$J$300,MATCH($I1886,CONFIGURACOES!$B$37:$B$300,0)),"")</f>
        <v/>
      </c>
      <c r="T1886" s="22">
        <f>IF(OR($R1886="",$S1886=""),"",$R1886*$S1886)</f>
        <v/>
      </c>
      <c r="U1886" s="20" t="n"/>
      <c r="V1886" s="20" t="n"/>
      <c r="W1886" s="20" t="n"/>
      <c r="X1886">
        <f>IF($A1886="","",$A1886&amp;"|"&amp;$C1886&amp;"|"&amp;$I1886)</f>
        <v/>
      </c>
      <c r="Y1886">
        <f>IF(AND($A1886=RELATORIO_MEDICAO!$C$5,$C1886=RELATORIO_MEDICAO!$F$5,$A1886&lt;&gt;""),COUNTIFS($A$3:$A1886,RELATORIO_MEDICAO!$C$5,$C$3:$C1886,RELATORIO_MEDICAO!$F$5),"")</f>
        <v/>
      </c>
      <c r="Z1886">
        <f>IF(OR($A1886="",PESQUISA!$C$4=""),0,IF(OR(ISNUMBER(SEARCH(PESQUISA!$C$4,$G1886)),ISNUMBER(SEARCH(PESQUISA!$C$4,$K1886)),ISNUMBER(SEARCH(PESQUISA!$C$4,$L1886))),1,0))</f>
        <v/>
      </c>
      <c r="AA1886">
        <f>IF($Z1886=1,SUM($Z$3:$Z1886),"")</f>
        <v/>
      </c>
      <c r="AB1886">
        <f>IF(OR($A1886="",PESQUISA!$C$50=""),0,IF(ISNUMBER(SEARCH(PESQUISA!$C$50,$I1886)),1,0))</f>
        <v/>
      </c>
      <c r="AC1886">
        <f>IF($AB1886=1,SUM($AB$3:$AB1886),"")</f>
        <v/>
      </c>
    </row>
    <row r="1887">
      <c r="A1887" s="20" t="n"/>
      <c r="B1887" s="20" t="n"/>
      <c r="C1887" s="20" t="n"/>
      <c r="D1887" s="20" t="n"/>
      <c r="E1887" s="20" t="n"/>
      <c r="F1887" s="20" t="n"/>
      <c r="G1887" s="20" t="n"/>
      <c r="H1887" s="20" t="n"/>
      <c r="I1887" s="20" t="n"/>
      <c r="J1887" s="20">
        <f>IFERROR(INDEX(CONFIGURACOES!$G$37:$G$300,MATCH($I1887,CONFIGURACOES!$B$37:$B$300,0)),"")</f>
        <v/>
      </c>
      <c r="K1887" s="20">
        <f>IFERROR(INDEX(CONFIGURACOES!$H$37:$H$300,MATCH($I1887,CONFIGURACOES!$B$37:$B$300,0)),"")</f>
        <v/>
      </c>
      <c r="L1887" s="20" t="n"/>
      <c r="M1887" s="20">
        <f>IFERROR(INDEX(CONFIGURACOES!$I$37:$I$300,MATCH($I1887,CONFIGURACOES!$B$37:$B$300,0)),"")</f>
        <v/>
      </c>
      <c r="N1887" s="21" t="n"/>
      <c r="O1887" s="21" t="n"/>
      <c r="P1887" s="21" t="n"/>
      <c r="Q1887" s="21" t="n"/>
      <c r="R1887" s="21">
        <f>IF($N1887="","",$N1887*IF($Q1887="",1,$Q1887)*IF($P1887="",1,$P1887)*IF($O1887="",1,$O1887))</f>
        <v/>
      </c>
      <c r="S1887" s="22">
        <f>IFERROR(INDEX(CONFIGURACOES!$J$37:$J$300,MATCH($I1887,CONFIGURACOES!$B$37:$B$300,0)),"")</f>
        <v/>
      </c>
      <c r="T1887" s="22">
        <f>IF(OR($R1887="",$S1887=""),"",$R1887*$S1887)</f>
        <v/>
      </c>
      <c r="U1887" s="20" t="n"/>
      <c r="V1887" s="20" t="n"/>
      <c r="W1887" s="20" t="n"/>
      <c r="X1887">
        <f>IF($A1887="","",$A1887&amp;"|"&amp;$C1887&amp;"|"&amp;$I1887)</f>
        <v/>
      </c>
      <c r="Y1887">
        <f>IF(AND($A1887=RELATORIO_MEDICAO!$C$5,$C1887=RELATORIO_MEDICAO!$F$5,$A1887&lt;&gt;""),COUNTIFS($A$3:$A1887,RELATORIO_MEDICAO!$C$5,$C$3:$C1887,RELATORIO_MEDICAO!$F$5),"")</f>
        <v/>
      </c>
      <c r="Z1887">
        <f>IF(OR($A1887="",PESQUISA!$C$4=""),0,IF(OR(ISNUMBER(SEARCH(PESQUISA!$C$4,$G1887)),ISNUMBER(SEARCH(PESQUISA!$C$4,$K1887)),ISNUMBER(SEARCH(PESQUISA!$C$4,$L1887))),1,0))</f>
        <v/>
      </c>
      <c r="AA1887">
        <f>IF($Z1887=1,SUM($Z$3:$Z1887),"")</f>
        <v/>
      </c>
      <c r="AB1887">
        <f>IF(OR($A1887="",PESQUISA!$C$50=""),0,IF(ISNUMBER(SEARCH(PESQUISA!$C$50,$I1887)),1,0))</f>
        <v/>
      </c>
      <c r="AC1887">
        <f>IF($AB1887=1,SUM($AB$3:$AB1887),"")</f>
        <v/>
      </c>
    </row>
    <row r="1888">
      <c r="A1888" s="20" t="n"/>
      <c r="B1888" s="20" t="n"/>
      <c r="C1888" s="20" t="n"/>
      <c r="D1888" s="20" t="n"/>
      <c r="E1888" s="20" t="n"/>
      <c r="F1888" s="20" t="n"/>
      <c r="G1888" s="20" t="n"/>
      <c r="H1888" s="20" t="n"/>
      <c r="I1888" s="20" t="n"/>
      <c r="J1888" s="20">
        <f>IFERROR(INDEX(CONFIGURACOES!$G$37:$G$300,MATCH($I1888,CONFIGURACOES!$B$37:$B$300,0)),"")</f>
        <v/>
      </c>
      <c r="K1888" s="20">
        <f>IFERROR(INDEX(CONFIGURACOES!$H$37:$H$300,MATCH($I1888,CONFIGURACOES!$B$37:$B$300,0)),"")</f>
        <v/>
      </c>
      <c r="L1888" s="20" t="n"/>
      <c r="M1888" s="20">
        <f>IFERROR(INDEX(CONFIGURACOES!$I$37:$I$300,MATCH($I1888,CONFIGURACOES!$B$37:$B$300,0)),"")</f>
        <v/>
      </c>
      <c r="N1888" s="21" t="n"/>
      <c r="O1888" s="21" t="n"/>
      <c r="P1888" s="21" t="n"/>
      <c r="Q1888" s="21" t="n"/>
      <c r="R1888" s="21">
        <f>IF($N1888="","",$N1888*IF($Q1888="",1,$Q1888)*IF($P1888="",1,$P1888)*IF($O1888="",1,$O1888))</f>
        <v/>
      </c>
      <c r="S1888" s="22">
        <f>IFERROR(INDEX(CONFIGURACOES!$J$37:$J$300,MATCH($I1888,CONFIGURACOES!$B$37:$B$300,0)),"")</f>
        <v/>
      </c>
      <c r="T1888" s="22">
        <f>IF(OR($R1888="",$S1888=""),"",$R1888*$S1888)</f>
        <v/>
      </c>
      <c r="U1888" s="20" t="n"/>
      <c r="V1888" s="20" t="n"/>
      <c r="W1888" s="20" t="n"/>
      <c r="X1888">
        <f>IF($A1888="","",$A1888&amp;"|"&amp;$C1888&amp;"|"&amp;$I1888)</f>
        <v/>
      </c>
      <c r="Y1888">
        <f>IF(AND($A1888=RELATORIO_MEDICAO!$C$5,$C1888=RELATORIO_MEDICAO!$F$5,$A1888&lt;&gt;""),COUNTIFS($A$3:$A1888,RELATORIO_MEDICAO!$C$5,$C$3:$C1888,RELATORIO_MEDICAO!$F$5),"")</f>
        <v/>
      </c>
      <c r="Z1888">
        <f>IF(OR($A1888="",PESQUISA!$C$4=""),0,IF(OR(ISNUMBER(SEARCH(PESQUISA!$C$4,$G1888)),ISNUMBER(SEARCH(PESQUISA!$C$4,$K1888)),ISNUMBER(SEARCH(PESQUISA!$C$4,$L1888))),1,0))</f>
        <v/>
      </c>
      <c r="AA1888">
        <f>IF($Z1888=1,SUM($Z$3:$Z1888),"")</f>
        <v/>
      </c>
      <c r="AB1888">
        <f>IF(OR($A1888="",PESQUISA!$C$50=""),0,IF(ISNUMBER(SEARCH(PESQUISA!$C$50,$I1888)),1,0))</f>
        <v/>
      </c>
      <c r="AC1888">
        <f>IF($AB1888=1,SUM($AB$3:$AB1888),"")</f>
        <v/>
      </c>
    </row>
    <row r="1889">
      <c r="A1889" s="20" t="n"/>
      <c r="B1889" s="20" t="n"/>
      <c r="C1889" s="20" t="n"/>
      <c r="D1889" s="20" t="n"/>
      <c r="E1889" s="20" t="n"/>
      <c r="F1889" s="20" t="n"/>
      <c r="G1889" s="20" t="n"/>
      <c r="H1889" s="20" t="n"/>
      <c r="I1889" s="20" t="n"/>
      <c r="J1889" s="20">
        <f>IFERROR(INDEX(CONFIGURACOES!$G$37:$G$300,MATCH($I1889,CONFIGURACOES!$B$37:$B$300,0)),"")</f>
        <v/>
      </c>
      <c r="K1889" s="20">
        <f>IFERROR(INDEX(CONFIGURACOES!$H$37:$H$300,MATCH($I1889,CONFIGURACOES!$B$37:$B$300,0)),"")</f>
        <v/>
      </c>
      <c r="L1889" s="20" t="n"/>
      <c r="M1889" s="20">
        <f>IFERROR(INDEX(CONFIGURACOES!$I$37:$I$300,MATCH($I1889,CONFIGURACOES!$B$37:$B$300,0)),"")</f>
        <v/>
      </c>
      <c r="N1889" s="21" t="n"/>
      <c r="O1889" s="21" t="n"/>
      <c r="P1889" s="21" t="n"/>
      <c r="Q1889" s="21" t="n"/>
      <c r="R1889" s="21">
        <f>IF($N1889="","",$N1889*IF($Q1889="",1,$Q1889)*IF($P1889="",1,$P1889)*IF($O1889="",1,$O1889))</f>
        <v/>
      </c>
      <c r="S1889" s="22">
        <f>IFERROR(INDEX(CONFIGURACOES!$J$37:$J$300,MATCH($I1889,CONFIGURACOES!$B$37:$B$300,0)),"")</f>
        <v/>
      </c>
      <c r="T1889" s="22">
        <f>IF(OR($R1889="",$S1889=""),"",$R1889*$S1889)</f>
        <v/>
      </c>
      <c r="U1889" s="20" t="n"/>
      <c r="V1889" s="20" t="n"/>
      <c r="W1889" s="20" t="n"/>
      <c r="X1889">
        <f>IF($A1889="","",$A1889&amp;"|"&amp;$C1889&amp;"|"&amp;$I1889)</f>
        <v/>
      </c>
      <c r="Y1889">
        <f>IF(AND($A1889=RELATORIO_MEDICAO!$C$5,$C1889=RELATORIO_MEDICAO!$F$5,$A1889&lt;&gt;""),COUNTIFS($A$3:$A1889,RELATORIO_MEDICAO!$C$5,$C$3:$C1889,RELATORIO_MEDICAO!$F$5),"")</f>
        <v/>
      </c>
      <c r="Z1889">
        <f>IF(OR($A1889="",PESQUISA!$C$4=""),0,IF(OR(ISNUMBER(SEARCH(PESQUISA!$C$4,$G1889)),ISNUMBER(SEARCH(PESQUISA!$C$4,$K1889)),ISNUMBER(SEARCH(PESQUISA!$C$4,$L1889))),1,0))</f>
        <v/>
      </c>
      <c r="AA1889">
        <f>IF($Z1889=1,SUM($Z$3:$Z1889),"")</f>
        <v/>
      </c>
      <c r="AB1889">
        <f>IF(OR($A1889="",PESQUISA!$C$50=""),0,IF(ISNUMBER(SEARCH(PESQUISA!$C$50,$I1889)),1,0))</f>
        <v/>
      </c>
      <c r="AC1889">
        <f>IF($AB1889=1,SUM($AB$3:$AB1889),"")</f>
        <v/>
      </c>
    </row>
    <row r="1890">
      <c r="A1890" s="20" t="n"/>
      <c r="B1890" s="20" t="n"/>
      <c r="C1890" s="20" t="n"/>
      <c r="D1890" s="20" t="n"/>
      <c r="E1890" s="20" t="n"/>
      <c r="F1890" s="20" t="n"/>
      <c r="G1890" s="20" t="n"/>
      <c r="H1890" s="20" t="n"/>
      <c r="I1890" s="20" t="n"/>
      <c r="J1890" s="20">
        <f>IFERROR(INDEX(CONFIGURACOES!$G$37:$G$300,MATCH($I1890,CONFIGURACOES!$B$37:$B$300,0)),"")</f>
        <v/>
      </c>
      <c r="K1890" s="20">
        <f>IFERROR(INDEX(CONFIGURACOES!$H$37:$H$300,MATCH($I1890,CONFIGURACOES!$B$37:$B$300,0)),"")</f>
        <v/>
      </c>
      <c r="L1890" s="20" t="n"/>
      <c r="M1890" s="20">
        <f>IFERROR(INDEX(CONFIGURACOES!$I$37:$I$300,MATCH($I1890,CONFIGURACOES!$B$37:$B$300,0)),"")</f>
        <v/>
      </c>
      <c r="N1890" s="21" t="n"/>
      <c r="O1890" s="21" t="n"/>
      <c r="P1890" s="21" t="n"/>
      <c r="Q1890" s="21" t="n"/>
      <c r="R1890" s="21">
        <f>IF($N1890="","",$N1890*IF($Q1890="",1,$Q1890)*IF($P1890="",1,$P1890)*IF($O1890="",1,$O1890))</f>
        <v/>
      </c>
      <c r="S1890" s="22">
        <f>IFERROR(INDEX(CONFIGURACOES!$J$37:$J$300,MATCH($I1890,CONFIGURACOES!$B$37:$B$300,0)),"")</f>
        <v/>
      </c>
      <c r="T1890" s="22">
        <f>IF(OR($R1890="",$S1890=""),"",$R1890*$S1890)</f>
        <v/>
      </c>
      <c r="U1890" s="20" t="n"/>
      <c r="V1890" s="20" t="n"/>
      <c r="W1890" s="20" t="n"/>
      <c r="X1890">
        <f>IF($A1890="","",$A1890&amp;"|"&amp;$C1890&amp;"|"&amp;$I1890)</f>
        <v/>
      </c>
      <c r="Y1890">
        <f>IF(AND($A1890=RELATORIO_MEDICAO!$C$5,$C1890=RELATORIO_MEDICAO!$F$5,$A1890&lt;&gt;""),COUNTIFS($A$3:$A1890,RELATORIO_MEDICAO!$C$5,$C$3:$C1890,RELATORIO_MEDICAO!$F$5),"")</f>
        <v/>
      </c>
      <c r="Z1890">
        <f>IF(OR($A1890="",PESQUISA!$C$4=""),0,IF(OR(ISNUMBER(SEARCH(PESQUISA!$C$4,$G1890)),ISNUMBER(SEARCH(PESQUISA!$C$4,$K1890)),ISNUMBER(SEARCH(PESQUISA!$C$4,$L1890))),1,0))</f>
        <v/>
      </c>
      <c r="AA1890">
        <f>IF($Z1890=1,SUM($Z$3:$Z1890),"")</f>
        <v/>
      </c>
      <c r="AB1890">
        <f>IF(OR($A1890="",PESQUISA!$C$50=""),0,IF(ISNUMBER(SEARCH(PESQUISA!$C$50,$I1890)),1,0))</f>
        <v/>
      </c>
      <c r="AC1890">
        <f>IF($AB1890=1,SUM($AB$3:$AB1890),"")</f>
        <v/>
      </c>
    </row>
    <row r="1891">
      <c r="A1891" s="20" t="n"/>
      <c r="B1891" s="20" t="n"/>
      <c r="C1891" s="20" t="n"/>
      <c r="D1891" s="20" t="n"/>
      <c r="E1891" s="20" t="n"/>
      <c r="F1891" s="20" t="n"/>
      <c r="G1891" s="20" t="n"/>
      <c r="H1891" s="20" t="n"/>
      <c r="I1891" s="20" t="n"/>
      <c r="J1891" s="20">
        <f>IFERROR(INDEX(CONFIGURACOES!$G$37:$G$300,MATCH($I1891,CONFIGURACOES!$B$37:$B$300,0)),"")</f>
        <v/>
      </c>
      <c r="K1891" s="20">
        <f>IFERROR(INDEX(CONFIGURACOES!$H$37:$H$300,MATCH($I1891,CONFIGURACOES!$B$37:$B$300,0)),"")</f>
        <v/>
      </c>
      <c r="L1891" s="20" t="n"/>
      <c r="M1891" s="20">
        <f>IFERROR(INDEX(CONFIGURACOES!$I$37:$I$300,MATCH($I1891,CONFIGURACOES!$B$37:$B$300,0)),"")</f>
        <v/>
      </c>
      <c r="N1891" s="21" t="n"/>
      <c r="O1891" s="21" t="n"/>
      <c r="P1891" s="21" t="n"/>
      <c r="Q1891" s="21" t="n"/>
      <c r="R1891" s="21">
        <f>IF($N1891="","",$N1891*IF($Q1891="",1,$Q1891)*IF($P1891="",1,$P1891)*IF($O1891="",1,$O1891))</f>
        <v/>
      </c>
      <c r="S1891" s="22">
        <f>IFERROR(INDEX(CONFIGURACOES!$J$37:$J$300,MATCH($I1891,CONFIGURACOES!$B$37:$B$300,0)),"")</f>
        <v/>
      </c>
      <c r="T1891" s="22">
        <f>IF(OR($R1891="",$S1891=""),"",$R1891*$S1891)</f>
        <v/>
      </c>
      <c r="U1891" s="20" t="n"/>
      <c r="V1891" s="20" t="n"/>
      <c r="W1891" s="20" t="n"/>
      <c r="X1891">
        <f>IF($A1891="","",$A1891&amp;"|"&amp;$C1891&amp;"|"&amp;$I1891)</f>
        <v/>
      </c>
      <c r="Y1891">
        <f>IF(AND($A1891=RELATORIO_MEDICAO!$C$5,$C1891=RELATORIO_MEDICAO!$F$5,$A1891&lt;&gt;""),COUNTIFS($A$3:$A1891,RELATORIO_MEDICAO!$C$5,$C$3:$C1891,RELATORIO_MEDICAO!$F$5),"")</f>
        <v/>
      </c>
      <c r="Z1891">
        <f>IF(OR($A1891="",PESQUISA!$C$4=""),0,IF(OR(ISNUMBER(SEARCH(PESQUISA!$C$4,$G1891)),ISNUMBER(SEARCH(PESQUISA!$C$4,$K1891)),ISNUMBER(SEARCH(PESQUISA!$C$4,$L1891))),1,0))</f>
        <v/>
      </c>
      <c r="AA1891">
        <f>IF($Z1891=1,SUM($Z$3:$Z1891),"")</f>
        <v/>
      </c>
      <c r="AB1891">
        <f>IF(OR($A1891="",PESQUISA!$C$50=""),0,IF(ISNUMBER(SEARCH(PESQUISA!$C$50,$I1891)),1,0))</f>
        <v/>
      </c>
      <c r="AC1891">
        <f>IF($AB1891=1,SUM($AB$3:$AB1891),"")</f>
        <v/>
      </c>
    </row>
    <row r="1892">
      <c r="A1892" s="20" t="n"/>
      <c r="B1892" s="20" t="n"/>
      <c r="C1892" s="20" t="n"/>
      <c r="D1892" s="20" t="n"/>
      <c r="E1892" s="20" t="n"/>
      <c r="F1892" s="20" t="n"/>
      <c r="G1892" s="20" t="n"/>
      <c r="H1892" s="20" t="n"/>
      <c r="I1892" s="20" t="n"/>
      <c r="J1892" s="20">
        <f>IFERROR(INDEX(CONFIGURACOES!$G$37:$G$300,MATCH($I1892,CONFIGURACOES!$B$37:$B$300,0)),"")</f>
        <v/>
      </c>
      <c r="K1892" s="20">
        <f>IFERROR(INDEX(CONFIGURACOES!$H$37:$H$300,MATCH($I1892,CONFIGURACOES!$B$37:$B$300,0)),"")</f>
        <v/>
      </c>
      <c r="L1892" s="20" t="n"/>
      <c r="M1892" s="20">
        <f>IFERROR(INDEX(CONFIGURACOES!$I$37:$I$300,MATCH($I1892,CONFIGURACOES!$B$37:$B$300,0)),"")</f>
        <v/>
      </c>
      <c r="N1892" s="21" t="n"/>
      <c r="O1892" s="21" t="n"/>
      <c r="P1892" s="21" t="n"/>
      <c r="Q1892" s="21" t="n"/>
      <c r="R1892" s="21">
        <f>IF($N1892="","",$N1892*IF($Q1892="",1,$Q1892)*IF($P1892="",1,$P1892)*IF($O1892="",1,$O1892))</f>
        <v/>
      </c>
      <c r="S1892" s="22">
        <f>IFERROR(INDEX(CONFIGURACOES!$J$37:$J$300,MATCH($I1892,CONFIGURACOES!$B$37:$B$300,0)),"")</f>
        <v/>
      </c>
      <c r="T1892" s="22">
        <f>IF(OR($R1892="",$S1892=""),"",$R1892*$S1892)</f>
        <v/>
      </c>
      <c r="U1892" s="20" t="n"/>
      <c r="V1892" s="20" t="n"/>
      <c r="W1892" s="20" t="n"/>
      <c r="X1892">
        <f>IF($A1892="","",$A1892&amp;"|"&amp;$C1892&amp;"|"&amp;$I1892)</f>
        <v/>
      </c>
      <c r="Y1892">
        <f>IF(AND($A1892=RELATORIO_MEDICAO!$C$5,$C1892=RELATORIO_MEDICAO!$F$5,$A1892&lt;&gt;""),COUNTIFS($A$3:$A1892,RELATORIO_MEDICAO!$C$5,$C$3:$C1892,RELATORIO_MEDICAO!$F$5),"")</f>
        <v/>
      </c>
      <c r="Z1892">
        <f>IF(OR($A1892="",PESQUISA!$C$4=""),0,IF(OR(ISNUMBER(SEARCH(PESQUISA!$C$4,$G1892)),ISNUMBER(SEARCH(PESQUISA!$C$4,$K1892)),ISNUMBER(SEARCH(PESQUISA!$C$4,$L1892))),1,0))</f>
        <v/>
      </c>
      <c r="AA1892">
        <f>IF($Z1892=1,SUM($Z$3:$Z1892),"")</f>
        <v/>
      </c>
      <c r="AB1892">
        <f>IF(OR($A1892="",PESQUISA!$C$50=""),0,IF(ISNUMBER(SEARCH(PESQUISA!$C$50,$I1892)),1,0))</f>
        <v/>
      </c>
      <c r="AC1892">
        <f>IF($AB1892=1,SUM($AB$3:$AB1892),"")</f>
        <v/>
      </c>
    </row>
    <row r="1893">
      <c r="A1893" s="20" t="n"/>
      <c r="B1893" s="20" t="n"/>
      <c r="C1893" s="20" t="n"/>
      <c r="D1893" s="20" t="n"/>
      <c r="E1893" s="20" t="n"/>
      <c r="F1893" s="20" t="n"/>
      <c r="G1893" s="20" t="n"/>
      <c r="H1893" s="20" t="n"/>
      <c r="I1893" s="20" t="n"/>
      <c r="J1893" s="20">
        <f>IFERROR(INDEX(CONFIGURACOES!$G$37:$G$300,MATCH($I1893,CONFIGURACOES!$B$37:$B$300,0)),"")</f>
        <v/>
      </c>
      <c r="K1893" s="20">
        <f>IFERROR(INDEX(CONFIGURACOES!$H$37:$H$300,MATCH($I1893,CONFIGURACOES!$B$37:$B$300,0)),"")</f>
        <v/>
      </c>
      <c r="L1893" s="20" t="n"/>
      <c r="M1893" s="20">
        <f>IFERROR(INDEX(CONFIGURACOES!$I$37:$I$300,MATCH($I1893,CONFIGURACOES!$B$37:$B$300,0)),"")</f>
        <v/>
      </c>
      <c r="N1893" s="21" t="n"/>
      <c r="O1893" s="21" t="n"/>
      <c r="P1893" s="21" t="n"/>
      <c r="Q1893" s="21" t="n"/>
      <c r="R1893" s="21">
        <f>IF($N1893="","",$N1893*IF($Q1893="",1,$Q1893)*IF($P1893="",1,$P1893)*IF($O1893="",1,$O1893))</f>
        <v/>
      </c>
      <c r="S1893" s="22">
        <f>IFERROR(INDEX(CONFIGURACOES!$J$37:$J$300,MATCH($I1893,CONFIGURACOES!$B$37:$B$300,0)),"")</f>
        <v/>
      </c>
      <c r="T1893" s="22">
        <f>IF(OR($R1893="",$S1893=""),"",$R1893*$S1893)</f>
        <v/>
      </c>
      <c r="U1893" s="20" t="n"/>
      <c r="V1893" s="20" t="n"/>
      <c r="W1893" s="20" t="n"/>
      <c r="X1893">
        <f>IF($A1893="","",$A1893&amp;"|"&amp;$C1893&amp;"|"&amp;$I1893)</f>
        <v/>
      </c>
      <c r="Y1893">
        <f>IF(AND($A1893=RELATORIO_MEDICAO!$C$5,$C1893=RELATORIO_MEDICAO!$F$5,$A1893&lt;&gt;""),COUNTIFS($A$3:$A1893,RELATORIO_MEDICAO!$C$5,$C$3:$C1893,RELATORIO_MEDICAO!$F$5),"")</f>
        <v/>
      </c>
      <c r="Z1893">
        <f>IF(OR($A1893="",PESQUISA!$C$4=""),0,IF(OR(ISNUMBER(SEARCH(PESQUISA!$C$4,$G1893)),ISNUMBER(SEARCH(PESQUISA!$C$4,$K1893)),ISNUMBER(SEARCH(PESQUISA!$C$4,$L1893))),1,0))</f>
        <v/>
      </c>
      <c r="AA1893">
        <f>IF($Z1893=1,SUM($Z$3:$Z1893),"")</f>
        <v/>
      </c>
      <c r="AB1893">
        <f>IF(OR($A1893="",PESQUISA!$C$50=""),0,IF(ISNUMBER(SEARCH(PESQUISA!$C$50,$I1893)),1,0))</f>
        <v/>
      </c>
      <c r="AC1893">
        <f>IF($AB1893=1,SUM($AB$3:$AB1893),"")</f>
        <v/>
      </c>
    </row>
    <row r="1894">
      <c r="A1894" s="20" t="n"/>
      <c r="B1894" s="20" t="n"/>
      <c r="C1894" s="20" t="n"/>
      <c r="D1894" s="20" t="n"/>
      <c r="E1894" s="20" t="n"/>
      <c r="F1894" s="20" t="n"/>
      <c r="G1894" s="20" t="n"/>
      <c r="H1894" s="20" t="n"/>
      <c r="I1894" s="20" t="n"/>
      <c r="J1894" s="20">
        <f>IFERROR(INDEX(CONFIGURACOES!$G$37:$G$300,MATCH($I1894,CONFIGURACOES!$B$37:$B$300,0)),"")</f>
        <v/>
      </c>
      <c r="K1894" s="20">
        <f>IFERROR(INDEX(CONFIGURACOES!$H$37:$H$300,MATCH($I1894,CONFIGURACOES!$B$37:$B$300,0)),"")</f>
        <v/>
      </c>
      <c r="L1894" s="20" t="n"/>
      <c r="M1894" s="20">
        <f>IFERROR(INDEX(CONFIGURACOES!$I$37:$I$300,MATCH($I1894,CONFIGURACOES!$B$37:$B$300,0)),"")</f>
        <v/>
      </c>
      <c r="N1894" s="21" t="n"/>
      <c r="O1894" s="21" t="n"/>
      <c r="P1894" s="21" t="n"/>
      <c r="Q1894" s="21" t="n"/>
      <c r="R1894" s="21">
        <f>IF($N1894="","",$N1894*IF($Q1894="",1,$Q1894)*IF($P1894="",1,$P1894)*IF($O1894="",1,$O1894))</f>
        <v/>
      </c>
      <c r="S1894" s="22">
        <f>IFERROR(INDEX(CONFIGURACOES!$J$37:$J$300,MATCH($I1894,CONFIGURACOES!$B$37:$B$300,0)),"")</f>
        <v/>
      </c>
      <c r="T1894" s="22">
        <f>IF(OR($R1894="",$S1894=""),"",$R1894*$S1894)</f>
        <v/>
      </c>
      <c r="U1894" s="20" t="n"/>
      <c r="V1894" s="20" t="n"/>
      <c r="W1894" s="20" t="n"/>
      <c r="X1894">
        <f>IF($A1894="","",$A1894&amp;"|"&amp;$C1894&amp;"|"&amp;$I1894)</f>
        <v/>
      </c>
      <c r="Y1894">
        <f>IF(AND($A1894=RELATORIO_MEDICAO!$C$5,$C1894=RELATORIO_MEDICAO!$F$5,$A1894&lt;&gt;""),COUNTIFS($A$3:$A1894,RELATORIO_MEDICAO!$C$5,$C$3:$C1894,RELATORIO_MEDICAO!$F$5),"")</f>
        <v/>
      </c>
      <c r="Z1894">
        <f>IF(OR($A1894="",PESQUISA!$C$4=""),0,IF(OR(ISNUMBER(SEARCH(PESQUISA!$C$4,$G1894)),ISNUMBER(SEARCH(PESQUISA!$C$4,$K1894)),ISNUMBER(SEARCH(PESQUISA!$C$4,$L1894))),1,0))</f>
        <v/>
      </c>
      <c r="AA1894">
        <f>IF($Z1894=1,SUM($Z$3:$Z1894),"")</f>
        <v/>
      </c>
      <c r="AB1894">
        <f>IF(OR($A1894="",PESQUISA!$C$50=""),0,IF(ISNUMBER(SEARCH(PESQUISA!$C$50,$I1894)),1,0))</f>
        <v/>
      </c>
      <c r="AC1894">
        <f>IF($AB1894=1,SUM($AB$3:$AB1894),"")</f>
        <v/>
      </c>
    </row>
    <row r="1895">
      <c r="A1895" s="20" t="n"/>
      <c r="B1895" s="20" t="n"/>
      <c r="C1895" s="20" t="n"/>
      <c r="D1895" s="20" t="n"/>
      <c r="E1895" s="20" t="n"/>
      <c r="F1895" s="20" t="n"/>
      <c r="G1895" s="20" t="n"/>
      <c r="H1895" s="20" t="n"/>
      <c r="I1895" s="20" t="n"/>
      <c r="J1895" s="20">
        <f>IFERROR(INDEX(CONFIGURACOES!$G$37:$G$300,MATCH($I1895,CONFIGURACOES!$B$37:$B$300,0)),"")</f>
        <v/>
      </c>
      <c r="K1895" s="20">
        <f>IFERROR(INDEX(CONFIGURACOES!$H$37:$H$300,MATCH($I1895,CONFIGURACOES!$B$37:$B$300,0)),"")</f>
        <v/>
      </c>
      <c r="L1895" s="20" t="n"/>
      <c r="M1895" s="20">
        <f>IFERROR(INDEX(CONFIGURACOES!$I$37:$I$300,MATCH($I1895,CONFIGURACOES!$B$37:$B$300,0)),"")</f>
        <v/>
      </c>
      <c r="N1895" s="21" t="n"/>
      <c r="O1895" s="21" t="n"/>
      <c r="P1895" s="21" t="n"/>
      <c r="Q1895" s="21" t="n"/>
      <c r="R1895" s="21">
        <f>IF($N1895="","",$N1895*IF($Q1895="",1,$Q1895)*IF($P1895="",1,$P1895)*IF($O1895="",1,$O1895))</f>
        <v/>
      </c>
      <c r="S1895" s="22">
        <f>IFERROR(INDEX(CONFIGURACOES!$J$37:$J$300,MATCH($I1895,CONFIGURACOES!$B$37:$B$300,0)),"")</f>
        <v/>
      </c>
      <c r="T1895" s="22">
        <f>IF(OR($R1895="",$S1895=""),"",$R1895*$S1895)</f>
        <v/>
      </c>
      <c r="U1895" s="20" t="n"/>
      <c r="V1895" s="20" t="n"/>
      <c r="W1895" s="20" t="n"/>
      <c r="X1895">
        <f>IF($A1895="","",$A1895&amp;"|"&amp;$C1895&amp;"|"&amp;$I1895)</f>
        <v/>
      </c>
      <c r="Y1895">
        <f>IF(AND($A1895=RELATORIO_MEDICAO!$C$5,$C1895=RELATORIO_MEDICAO!$F$5,$A1895&lt;&gt;""),COUNTIFS($A$3:$A1895,RELATORIO_MEDICAO!$C$5,$C$3:$C1895,RELATORIO_MEDICAO!$F$5),"")</f>
        <v/>
      </c>
      <c r="Z1895">
        <f>IF(OR($A1895="",PESQUISA!$C$4=""),0,IF(OR(ISNUMBER(SEARCH(PESQUISA!$C$4,$G1895)),ISNUMBER(SEARCH(PESQUISA!$C$4,$K1895)),ISNUMBER(SEARCH(PESQUISA!$C$4,$L1895))),1,0))</f>
        <v/>
      </c>
      <c r="AA1895">
        <f>IF($Z1895=1,SUM($Z$3:$Z1895),"")</f>
        <v/>
      </c>
      <c r="AB1895">
        <f>IF(OR($A1895="",PESQUISA!$C$50=""),0,IF(ISNUMBER(SEARCH(PESQUISA!$C$50,$I1895)),1,0))</f>
        <v/>
      </c>
      <c r="AC1895">
        <f>IF($AB1895=1,SUM($AB$3:$AB1895),"")</f>
        <v/>
      </c>
    </row>
    <row r="1896">
      <c r="A1896" s="20" t="n"/>
      <c r="B1896" s="20" t="n"/>
      <c r="C1896" s="20" t="n"/>
      <c r="D1896" s="20" t="n"/>
      <c r="E1896" s="20" t="n"/>
      <c r="F1896" s="20" t="n"/>
      <c r="G1896" s="20" t="n"/>
      <c r="H1896" s="20" t="n"/>
      <c r="I1896" s="20" t="n"/>
      <c r="J1896" s="20">
        <f>IFERROR(INDEX(CONFIGURACOES!$G$37:$G$300,MATCH($I1896,CONFIGURACOES!$B$37:$B$300,0)),"")</f>
        <v/>
      </c>
      <c r="K1896" s="20">
        <f>IFERROR(INDEX(CONFIGURACOES!$H$37:$H$300,MATCH($I1896,CONFIGURACOES!$B$37:$B$300,0)),"")</f>
        <v/>
      </c>
      <c r="L1896" s="20" t="n"/>
      <c r="M1896" s="20">
        <f>IFERROR(INDEX(CONFIGURACOES!$I$37:$I$300,MATCH($I1896,CONFIGURACOES!$B$37:$B$300,0)),"")</f>
        <v/>
      </c>
      <c r="N1896" s="21" t="n"/>
      <c r="O1896" s="21" t="n"/>
      <c r="P1896" s="21" t="n"/>
      <c r="Q1896" s="21" t="n"/>
      <c r="R1896" s="21">
        <f>IF($N1896="","",$N1896*IF($Q1896="",1,$Q1896)*IF($P1896="",1,$P1896)*IF($O1896="",1,$O1896))</f>
        <v/>
      </c>
      <c r="S1896" s="22">
        <f>IFERROR(INDEX(CONFIGURACOES!$J$37:$J$300,MATCH($I1896,CONFIGURACOES!$B$37:$B$300,0)),"")</f>
        <v/>
      </c>
      <c r="T1896" s="22">
        <f>IF(OR($R1896="",$S1896=""),"",$R1896*$S1896)</f>
        <v/>
      </c>
      <c r="U1896" s="20" t="n"/>
      <c r="V1896" s="20" t="n"/>
      <c r="W1896" s="20" t="n"/>
      <c r="X1896">
        <f>IF($A1896="","",$A1896&amp;"|"&amp;$C1896&amp;"|"&amp;$I1896)</f>
        <v/>
      </c>
      <c r="Y1896">
        <f>IF(AND($A1896=RELATORIO_MEDICAO!$C$5,$C1896=RELATORIO_MEDICAO!$F$5,$A1896&lt;&gt;""),COUNTIFS($A$3:$A1896,RELATORIO_MEDICAO!$C$5,$C$3:$C1896,RELATORIO_MEDICAO!$F$5),"")</f>
        <v/>
      </c>
      <c r="Z1896">
        <f>IF(OR($A1896="",PESQUISA!$C$4=""),0,IF(OR(ISNUMBER(SEARCH(PESQUISA!$C$4,$G1896)),ISNUMBER(SEARCH(PESQUISA!$C$4,$K1896)),ISNUMBER(SEARCH(PESQUISA!$C$4,$L1896))),1,0))</f>
        <v/>
      </c>
      <c r="AA1896">
        <f>IF($Z1896=1,SUM($Z$3:$Z1896),"")</f>
        <v/>
      </c>
      <c r="AB1896">
        <f>IF(OR($A1896="",PESQUISA!$C$50=""),0,IF(ISNUMBER(SEARCH(PESQUISA!$C$50,$I1896)),1,0))</f>
        <v/>
      </c>
      <c r="AC1896">
        <f>IF($AB1896=1,SUM($AB$3:$AB1896),"")</f>
        <v/>
      </c>
    </row>
    <row r="1897">
      <c r="A1897" s="20" t="n"/>
      <c r="B1897" s="20" t="n"/>
      <c r="C1897" s="20" t="n"/>
      <c r="D1897" s="20" t="n"/>
      <c r="E1897" s="20" t="n"/>
      <c r="F1897" s="20" t="n"/>
      <c r="G1897" s="20" t="n"/>
      <c r="H1897" s="20" t="n"/>
      <c r="I1897" s="20" t="n"/>
      <c r="J1897" s="20">
        <f>IFERROR(INDEX(CONFIGURACOES!$G$37:$G$300,MATCH($I1897,CONFIGURACOES!$B$37:$B$300,0)),"")</f>
        <v/>
      </c>
      <c r="K1897" s="20">
        <f>IFERROR(INDEX(CONFIGURACOES!$H$37:$H$300,MATCH($I1897,CONFIGURACOES!$B$37:$B$300,0)),"")</f>
        <v/>
      </c>
      <c r="L1897" s="20" t="n"/>
      <c r="M1897" s="20">
        <f>IFERROR(INDEX(CONFIGURACOES!$I$37:$I$300,MATCH($I1897,CONFIGURACOES!$B$37:$B$300,0)),"")</f>
        <v/>
      </c>
      <c r="N1897" s="21" t="n"/>
      <c r="O1897" s="21" t="n"/>
      <c r="P1897" s="21" t="n"/>
      <c r="Q1897" s="21" t="n"/>
      <c r="R1897" s="21">
        <f>IF($N1897="","",$N1897*IF($Q1897="",1,$Q1897)*IF($P1897="",1,$P1897)*IF($O1897="",1,$O1897))</f>
        <v/>
      </c>
      <c r="S1897" s="22">
        <f>IFERROR(INDEX(CONFIGURACOES!$J$37:$J$300,MATCH($I1897,CONFIGURACOES!$B$37:$B$300,0)),"")</f>
        <v/>
      </c>
      <c r="T1897" s="22">
        <f>IF(OR($R1897="",$S1897=""),"",$R1897*$S1897)</f>
        <v/>
      </c>
      <c r="U1897" s="20" t="n"/>
      <c r="V1897" s="20" t="n"/>
      <c r="W1897" s="20" t="n"/>
      <c r="X1897">
        <f>IF($A1897="","",$A1897&amp;"|"&amp;$C1897&amp;"|"&amp;$I1897)</f>
        <v/>
      </c>
      <c r="Y1897">
        <f>IF(AND($A1897=RELATORIO_MEDICAO!$C$5,$C1897=RELATORIO_MEDICAO!$F$5,$A1897&lt;&gt;""),COUNTIFS($A$3:$A1897,RELATORIO_MEDICAO!$C$5,$C$3:$C1897,RELATORIO_MEDICAO!$F$5),"")</f>
        <v/>
      </c>
      <c r="Z1897">
        <f>IF(OR($A1897="",PESQUISA!$C$4=""),0,IF(OR(ISNUMBER(SEARCH(PESQUISA!$C$4,$G1897)),ISNUMBER(SEARCH(PESQUISA!$C$4,$K1897)),ISNUMBER(SEARCH(PESQUISA!$C$4,$L1897))),1,0))</f>
        <v/>
      </c>
      <c r="AA1897">
        <f>IF($Z1897=1,SUM($Z$3:$Z1897),"")</f>
        <v/>
      </c>
      <c r="AB1897">
        <f>IF(OR($A1897="",PESQUISA!$C$50=""),0,IF(ISNUMBER(SEARCH(PESQUISA!$C$50,$I1897)),1,0))</f>
        <v/>
      </c>
      <c r="AC1897">
        <f>IF($AB1897=1,SUM($AB$3:$AB1897),"")</f>
        <v/>
      </c>
    </row>
    <row r="1898">
      <c r="A1898" s="20" t="n"/>
      <c r="B1898" s="20" t="n"/>
      <c r="C1898" s="20" t="n"/>
      <c r="D1898" s="20" t="n"/>
      <c r="E1898" s="20" t="n"/>
      <c r="F1898" s="20" t="n"/>
      <c r="G1898" s="20" t="n"/>
      <c r="H1898" s="20" t="n"/>
      <c r="I1898" s="20" t="n"/>
      <c r="J1898" s="20">
        <f>IFERROR(INDEX(CONFIGURACOES!$G$37:$G$300,MATCH($I1898,CONFIGURACOES!$B$37:$B$300,0)),"")</f>
        <v/>
      </c>
      <c r="K1898" s="20">
        <f>IFERROR(INDEX(CONFIGURACOES!$H$37:$H$300,MATCH($I1898,CONFIGURACOES!$B$37:$B$300,0)),"")</f>
        <v/>
      </c>
      <c r="L1898" s="20" t="n"/>
      <c r="M1898" s="20">
        <f>IFERROR(INDEX(CONFIGURACOES!$I$37:$I$300,MATCH($I1898,CONFIGURACOES!$B$37:$B$300,0)),"")</f>
        <v/>
      </c>
      <c r="N1898" s="21" t="n"/>
      <c r="O1898" s="21" t="n"/>
      <c r="P1898" s="21" t="n"/>
      <c r="Q1898" s="21" t="n"/>
      <c r="R1898" s="21">
        <f>IF($N1898="","",$N1898*IF($Q1898="",1,$Q1898)*IF($P1898="",1,$P1898)*IF($O1898="",1,$O1898))</f>
        <v/>
      </c>
      <c r="S1898" s="22">
        <f>IFERROR(INDEX(CONFIGURACOES!$J$37:$J$300,MATCH($I1898,CONFIGURACOES!$B$37:$B$300,0)),"")</f>
        <v/>
      </c>
      <c r="T1898" s="22">
        <f>IF(OR($R1898="",$S1898=""),"",$R1898*$S1898)</f>
        <v/>
      </c>
      <c r="U1898" s="20" t="n"/>
      <c r="V1898" s="20" t="n"/>
      <c r="W1898" s="20" t="n"/>
      <c r="X1898">
        <f>IF($A1898="","",$A1898&amp;"|"&amp;$C1898&amp;"|"&amp;$I1898)</f>
        <v/>
      </c>
      <c r="Y1898">
        <f>IF(AND($A1898=RELATORIO_MEDICAO!$C$5,$C1898=RELATORIO_MEDICAO!$F$5,$A1898&lt;&gt;""),COUNTIFS($A$3:$A1898,RELATORIO_MEDICAO!$C$5,$C$3:$C1898,RELATORIO_MEDICAO!$F$5),"")</f>
        <v/>
      </c>
      <c r="Z1898">
        <f>IF(OR($A1898="",PESQUISA!$C$4=""),0,IF(OR(ISNUMBER(SEARCH(PESQUISA!$C$4,$G1898)),ISNUMBER(SEARCH(PESQUISA!$C$4,$K1898)),ISNUMBER(SEARCH(PESQUISA!$C$4,$L1898))),1,0))</f>
        <v/>
      </c>
      <c r="AA1898">
        <f>IF($Z1898=1,SUM($Z$3:$Z1898),"")</f>
        <v/>
      </c>
      <c r="AB1898">
        <f>IF(OR($A1898="",PESQUISA!$C$50=""),0,IF(ISNUMBER(SEARCH(PESQUISA!$C$50,$I1898)),1,0))</f>
        <v/>
      </c>
      <c r="AC1898">
        <f>IF($AB1898=1,SUM($AB$3:$AB1898),"")</f>
        <v/>
      </c>
    </row>
    <row r="1899">
      <c r="A1899" s="20" t="n"/>
      <c r="B1899" s="20" t="n"/>
      <c r="C1899" s="20" t="n"/>
      <c r="D1899" s="20" t="n"/>
      <c r="E1899" s="20" t="n"/>
      <c r="F1899" s="20" t="n"/>
      <c r="G1899" s="20" t="n"/>
      <c r="H1899" s="20" t="n"/>
      <c r="I1899" s="20" t="n"/>
      <c r="J1899" s="20">
        <f>IFERROR(INDEX(CONFIGURACOES!$G$37:$G$300,MATCH($I1899,CONFIGURACOES!$B$37:$B$300,0)),"")</f>
        <v/>
      </c>
      <c r="K1899" s="20">
        <f>IFERROR(INDEX(CONFIGURACOES!$H$37:$H$300,MATCH($I1899,CONFIGURACOES!$B$37:$B$300,0)),"")</f>
        <v/>
      </c>
      <c r="L1899" s="20" t="n"/>
      <c r="M1899" s="20">
        <f>IFERROR(INDEX(CONFIGURACOES!$I$37:$I$300,MATCH($I1899,CONFIGURACOES!$B$37:$B$300,0)),"")</f>
        <v/>
      </c>
      <c r="N1899" s="21" t="n"/>
      <c r="O1899" s="21" t="n"/>
      <c r="P1899" s="21" t="n"/>
      <c r="Q1899" s="21" t="n"/>
      <c r="R1899" s="21">
        <f>IF($N1899="","",$N1899*IF($Q1899="",1,$Q1899)*IF($P1899="",1,$P1899)*IF($O1899="",1,$O1899))</f>
        <v/>
      </c>
      <c r="S1899" s="22">
        <f>IFERROR(INDEX(CONFIGURACOES!$J$37:$J$300,MATCH($I1899,CONFIGURACOES!$B$37:$B$300,0)),"")</f>
        <v/>
      </c>
      <c r="T1899" s="22">
        <f>IF(OR($R1899="",$S1899=""),"",$R1899*$S1899)</f>
        <v/>
      </c>
      <c r="U1899" s="20" t="n"/>
      <c r="V1899" s="20" t="n"/>
      <c r="W1899" s="20" t="n"/>
      <c r="X1899">
        <f>IF($A1899="","",$A1899&amp;"|"&amp;$C1899&amp;"|"&amp;$I1899)</f>
        <v/>
      </c>
      <c r="Y1899">
        <f>IF(AND($A1899=RELATORIO_MEDICAO!$C$5,$C1899=RELATORIO_MEDICAO!$F$5,$A1899&lt;&gt;""),COUNTIFS($A$3:$A1899,RELATORIO_MEDICAO!$C$5,$C$3:$C1899,RELATORIO_MEDICAO!$F$5),"")</f>
        <v/>
      </c>
      <c r="Z1899">
        <f>IF(OR($A1899="",PESQUISA!$C$4=""),0,IF(OR(ISNUMBER(SEARCH(PESQUISA!$C$4,$G1899)),ISNUMBER(SEARCH(PESQUISA!$C$4,$K1899)),ISNUMBER(SEARCH(PESQUISA!$C$4,$L1899))),1,0))</f>
        <v/>
      </c>
      <c r="AA1899">
        <f>IF($Z1899=1,SUM($Z$3:$Z1899),"")</f>
        <v/>
      </c>
      <c r="AB1899">
        <f>IF(OR($A1899="",PESQUISA!$C$50=""),0,IF(ISNUMBER(SEARCH(PESQUISA!$C$50,$I1899)),1,0))</f>
        <v/>
      </c>
      <c r="AC1899">
        <f>IF($AB1899=1,SUM($AB$3:$AB1899),"")</f>
        <v/>
      </c>
    </row>
    <row r="1900">
      <c r="A1900" s="20" t="n"/>
      <c r="B1900" s="20" t="n"/>
      <c r="C1900" s="20" t="n"/>
      <c r="D1900" s="20" t="n"/>
      <c r="E1900" s="20" t="n"/>
      <c r="F1900" s="20" t="n"/>
      <c r="G1900" s="20" t="n"/>
      <c r="H1900" s="20" t="n"/>
      <c r="I1900" s="20" t="n"/>
      <c r="J1900" s="20">
        <f>IFERROR(INDEX(CONFIGURACOES!$G$37:$G$300,MATCH($I1900,CONFIGURACOES!$B$37:$B$300,0)),"")</f>
        <v/>
      </c>
      <c r="K1900" s="20">
        <f>IFERROR(INDEX(CONFIGURACOES!$H$37:$H$300,MATCH($I1900,CONFIGURACOES!$B$37:$B$300,0)),"")</f>
        <v/>
      </c>
      <c r="L1900" s="20" t="n"/>
      <c r="M1900" s="20">
        <f>IFERROR(INDEX(CONFIGURACOES!$I$37:$I$300,MATCH($I1900,CONFIGURACOES!$B$37:$B$300,0)),"")</f>
        <v/>
      </c>
      <c r="N1900" s="21" t="n"/>
      <c r="O1900" s="21" t="n"/>
      <c r="P1900" s="21" t="n"/>
      <c r="Q1900" s="21" t="n"/>
      <c r="R1900" s="21">
        <f>IF($N1900="","",$N1900*IF($Q1900="",1,$Q1900)*IF($P1900="",1,$P1900)*IF($O1900="",1,$O1900))</f>
        <v/>
      </c>
      <c r="S1900" s="22">
        <f>IFERROR(INDEX(CONFIGURACOES!$J$37:$J$300,MATCH($I1900,CONFIGURACOES!$B$37:$B$300,0)),"")</f>
        <v/>
      </c>
      <c r="T1900" s="22">
        <f>IF(OR($R1900="",$S1900=""),"",$R1900*$S1900)</f>
        <v/>
      </c>
      <c r="U1900" s="20" t="n"/>
      <c r="V1900" s="20" t="n"/>
      <c r="W1900" s="20" t="n"/>
      <c r="X1900">
        <f>IF($A1900="","",$A1900&amp;"|"&amp;$C1900&amp;"|"&amp;$I1900)</f>
        <v/>
      </c>
      <c r="Y1900">
        <f>IF(AND($A1900=RELATORIO_MEDICAO!$C$5,$C1900=RELATORIO_MEDICAO!$F$5,$A1900&lt;&gt;""),COUNTIFS($A$3:$A1900,RELATORIO_MEDICAO!$C$5,$C$3:$C1900,RELATORIO_MEDICAO!$F$5),"")</f>
        <v/>
      </c>
      <c r="Z1900">
        <f>IF(OR($A1900="",PESQUISA!$C$4=""),0,IF(OR(ISNUMBER(SEARCH(PESQUISA!$C$4,$G1900)),ISNUMBER(SEARCH(PESQUISA!$C$4,$K1900)),ISNUMBER(SEARCH(PESQUISA!$C$4,$L1900))),1,0))</f>
        <v/>
      </c>
      <c r="AA1900">
        <f>IF($Z1900=1,SUM($Z$3:$Z1900),"")</f>
        <v/>
      </c>
      <c r="AB1900">
        <f>IF(OR($A1900="",PESQUISA!$C$50=""),0,IF(ISNUMBER(SEARCH(PESQUISA!$C$50,$I1900)),1,0))</f>
        <v/>
      </c>
      <c r="AC1900">
        <f>IF($AB1900=1,SUM($AB$3:$AB1900),"")</f>
        <v/>
      </c>
    </row>
    <row r="1901">
      <c r="A1901" s="20" t="n"/>
      <c r="B1901" s="20" t="n"/>
      <c r="C1901" s="20" t="n"/>
      <c r="D1901" s="20" t="n"/>
      <c r="E1901" s="20" t="n"/>
      <c r="F1901" s="20" t="n"/>
      <c r="G1901" s="20" t="n"/>
      <c r="H1901" s="20" t="n"/>
      <c r="I1901" s="20" t="n"/>
      <c r="J1901" s="20">
        <f>IFERROR(INDEX(CONFIGURACOES!$G$37:$G$300,MATCH($I1901,CONFIGURACOES!$B$37:$B$300,0)),"")</f>
        <v/>
      </c>
      <c r="K1901" s="20">
        <f>IFERROR(INDEX(CONFIGURACOES!$H$37:$H$300,MATCH($I1901,CONFIGURACOES!$B$37:$B$300,0)),"")</f>
        <v/>
      </c>
      <c r="L1901" s="20" t="n"/>
      <c r="M1901" s="20">
        <f>IFERROR(INDEX(CONFIGURACOES!$I$37:$I$300,MATCH($I1901,CONFIGURACOES!$B$37:$B$300,0)),"")</f>
        <v/>
      </c>
      <c r="N1901" s="21" t="n"/>
      <c r="O1901" s="21" t="n"/>
      <c r="P1901" s="21" t="n"/>
      <c r="Q1901" s="21" t="n"/>
      <c r="R1901" s="21">
        <f>IF($N1901="","",$N1901*IF($Q1901="",1,$Q1901)*IF($P1901="",1,$P1901)*IF($O1901="",1,$O1901))</f>
        <v/>
      </c>
      <c r="S1901" s="22">
        <f>IFERROR(INDEX(CONFIGURACOES!$J$37:$J$300,MATCH($I1901,CONFIGURACOES!$B$37:$B$300,0)),"")</f>
        <v/>
      </c>
      <c r="T1901" s="22">
        <f>IF(OR($R1901="",$S1901=""),"",$R1901*$S1901)</f>
        <v/>
      </c>
      <c r="U1901" s="20" t="n"/>
      <c r="V1901" s="20" t="n"/>
      <c r="W1901" s="20" t="n"/>
      <c r="X1901">
        <f>IF($A1901="","",$A1901&amp;"|"&amp;$C1901&amp;"|"&amp;$I1901)</f>
        <v/>
      </c>
      <c r="Y1901">
        <f>IF(AND($A1901=RELATORIO_MEDICAO!$C$5,$C1901=RELATORIO_MEDICAO!$F$5,$A1901&lt;&gt;""),COUNTIFS($A$3:$A1901,RELATORIO_MEDICAO!$C$5,$C$3:$C1901,RELATORIO_MEDICAO!$F$5),"")</f>
        <v/>
      </c>
      <c r="Z1901">
        <f>IF(OR($A1901="",PESQUISA!$C$4=""),0,IF(OR(ISNUMBER(SEARCH(PESQUISA!$C$4,$G1901)),ISNUMBER(SEARCH(PESQUISA!$C$4,$K1901)),ISNUMBER(SEARCH(PESQUISA!$C$4,$L1901))),1,0))</f>
        <v/>
      </c>
      <c r="AA1901">
        <f>IF($Z1901=1,SUM($Z$3:$Z1901),"")</f>
        <v/>
      </c>
      <c r="AB1901">
        <f>IF(OR($A1901="",PESQUISA!$C$50=""),0,IF(ISNUMBER(SEARCH(PESQUISA!$C$50,$I1901)),1,0))</f>
        <v/>
      </c>
      <c r="AC1901">
        <f>IF($AB1901=1,SUM($AB$3:$AB1901),"")</f>
        <v/>
      </c>
    </row>
    <row r="1902">
      <c r="A1902" s="20" t="n"/>
      <c r="B1902" s="20" t="n"/>
      <c r="C1902" s="20" t="n"/>
      <c r="D1902" s="20" t="n"/>
      <c r="E1902" s="20" t="n"/>
      <c r="F1902" s="20" t="n"/>
      <c r="G1902" s="20" t="n"/>
      <c r="H1902" s="20" t="n"/>
      <c r="I1902" s="20" t="n"/>
      <c r="J1902" s="20">
        <f>IFERROR(INDEX(CONFIGURACOES!$G$37:$G$300,MATCH($I1902,CONFIGURACOES!$B$37:$B$300,0)),"")</f>
        <v/>
      </c>
      <c r="K1902" s="20">
        <f>IFERROR(INDEX(CONFIGURACOES!$H$37:$H$300,MATCH($I1902,CONFIGURACOES!$B$37:$B$300,0)),"")</f>
        <v/>
      </c>
      <c r="L1902" s="20" t="n"/>
      <c r="M1902" s="20">
        <f>IFERROR(INDEX(CONFIGURACOES!$I$37:$I$300,MATCH($I1902,CONFIGURACOES!$B$37:$B$300,0)),"")</f>
        <v/>
      </c>
      <c r="N1902" s="21" t="n"/>
      <c r="O1902" s="21" t="n"/>
      <c r="P1902" s="21" t="n"/>
      <c r="Q1902" s="21" t="n"/>
      <c r="R1902" s="21">
        <f>IF($N1902="","",$N1902*IF($Q1902="",1,$Q1902)*IF($P1902="",1,$P1902)*IF($O1902="",1,$O1902))</f>
        <v/>
      </c>
      <c r="S1902" s="22">
        <f>IFERROR(INDEX(CONFIGURACOES!$J$37:$J$300,MATCH($I1902,CONFIGURACOES!$B$37:$B$300,0)),"")</f>
        <v/>
      </c>
      <c r="T1902" s="22">
        <f>IF(OR($R1902="",$S1902=""),"",$R1902*$S1902)</f>
        <v/>
      </c>
      <c r="U1902" s="20" t="n"/>
      <c r="V1902" s="20" t="n"/>
      <c r="W1902" s="20" t="n"/>
      <c r="X1902">
        <f>IF($A1902="","",$A1902&amp;"|"&amp;$C1902&amp;"|"&amp;$I1902)</f>
        <v/>
      </c>
      <c r="Y1902">
        <f>IF(AND($A1902=RELATORIO_MEDICAO!$C$5,$C1902=RELATORIO_MEDICAO!$F$5,$A1902&lt;&gt;""),COUNTIFS($A$3:$A1902,RELATORIO_MEDICAO!$C$5,$C$3:$C1902,RELATORIO_MEDICAO!$F$5),"")</f>
        <v/>
      </c>
      <c r="Z1902">
        <f>IF(OR($A1902="",PESQUISA!$C$4=""),0,IF(OR(ISNUMBER(SEARCH(PESQUISA!$C$4,$G1902)),ISNUMBER(SEARCH(PESQUISA!$C$4,$K1902)),ISNUMBER(SEARCH(PESQUISA!$C$4,$L1902))),1,0))</f>
        <v/>
      </c>
      <c r="AA1902">
        <f>IF($Z1902=1,SUM($Z$3:$Z1902),"")</f>
        <v/>
      </c>
      <c r="AB1902">
        <f>IF(OR($A1902="",PESQUISA!$C$50=""),0,IF(ISNUMBER(SEARCH(PESQUISA!$C$50,$I1902)),1,0))</f>
        <v/>
      </c>
      <c r="AC1902">
        <f>IF($AB1902=1,SUM($AB$3:$AB1902),"")</f>
        <v/>
      </c>
    </row>
    <row r="1903">
      <c r="A1903" s="20" t="n"/>
      <c r="B1903" s="20" t="n"/>
      <c r="C1903" s="20" t="n"/>
      <c r="D1903" s="20" t="n"/>
      <c r="E1903" s="20" t="n"/>
      <c r="F1903" s="20" t="n"/>
      <c r="G1903" s="20" t="n"/>
      <c r="H1903" s="20" t="n"/>
      <c r="I1903" s="20" t="n"/>
      <c r="J1903" s="20">
        <f>IFERROR(INDEX(CONFIGURACOES!$G$37:$G$300,MATCH($I1903,CONFIGURACOES!$B$37:$B$300,0)),"")</f>
        <v/>
      </c>
      <c r="K1903" s="20">
        <f>IFERROR(INDEX(CONFIGURACOES!$H$37:$H$300,MATCH($I1903,CONFIGURACOES!$B$37:$B$300,0)),"")</f>
        <v/>
      </c>
      <c r="L1903" s="20" t="n"/>
      <c r="M1903" s="20">
        <f>IFERROR(INDEX(CONFIGURACOES!$I$37:$I$300,MATCH($I1903,CONFIGURACOES!$B$37:$B$300,0)),"")</f>
        <v/>
      </c>
      <c r="N1903" s="21" t="n"/>
      <c r="O1903" s="21" t="n"/>
      <c r="P1903" s="21" t="n"/>
      <c r="Q1903" s="21" t="n"/>
      <c r="R1903" s="21">
        <f>IF($N1903="","",$N1903*IF($Q1903="",1,$Q1903)*IF($P1903="",1,$P1903)*IF($O1903="",1,$O1903))</f>
        <v/>
      </c>
      <c r="S1903" s="22">
        <f>IFERROR(INDEX(CONFIGURACOES!$J$37:$J$300,MATCH($I1903,CONFIGURACOES!$B$37:$B$300,0)),"")</f>
        <v/>
      </c>
      <c r="T1903" s="22">
        <f>IF(OR($R1903="",$S1903=""),"",$R1903*$S1903)</f>
        <v/>
      </c>
      <c r="U1903" s="20" t="n"/>
      <c r="V1903" s="20" t="n"/>
      <c r="W1903" s="20" t="n"/>
      <c r="X1903">
        <f>IF($A1903="","",$A1903&amp;"|"&amp;$C1903&amp;"|"&amp;$I1903)</f>
        <v/>
      </c>
      <c r="Y1903">
        <f>IF(AND($A1903=RELATORIO_MEDICAO!$C$5,$C1903=RELATORIO_MEDICAO!$F$5,$A1903&lt;&gt;""),COUNTIFS($A$3:$A1903,RELATORIO_MEDICAO!$C$5,$C$3:$C1903,RELATORIO_MEDICAO!$F$5),"")</f>
        <v/>
      </c>
      <c r="Z1903">
        <f>IF(OR($A1903="",PESQUISA!$C$4=""),0,IF(OR(ISNUMBER(SEARCH(PESQUISA!$C$4,$G1903)),ISNUMBER(SEARCH(PESQUISA!$C$4,$K1903)),ISNUMBER(SEARCH(PESQUISA!$C$4,$L1903))),1,0))</f>
        <v/>
      </c>
      <c r="AA1903">
        <f>IF($Z1903=1,SUM($Z$3:$Z1903),"")</f>
        <v/>
      </c>
      <c r="AB1903">
        <f>IF(OR($A1903="",PESQUISA!$C$50=""),0,IF(ISNUMBER(SEARCH(PESQUISA!$C$50,$I1903)),1,0))</f>
        <v/>
      </c>
      <c r="AC1903">
        <f>IF($AB1903=1,SUM($AB$3:$AB1903),"")</f>
        <v/>
      </c>
    </row>
    <row r="1904">
      <c r="A1904" s="20" t="n"/>
      <c r="B1904" s="20" t="n"/>
      <c r="C1904" s="20" t="n"/>
      <c r="D1904" s="20" t="n"/>
      <c r="E1904" s="20" t="n"/>
      <c r="F1904" s="20" t="n"/>
      <c r="G1904" s="20" t="n"/>
      <c r="H1904" s="20" t="n"/>
      <c r="I1904" s="20" t="n"/>
      <c r="J1904" s="20">
        <f>IFERROR(INDEX(CONFIGURACOES!$G$37:$G$300,MATCH($I1904,CONFIGURACOES!$B$37:$B$300,0)),"")</f>
        <v/>
      </c>
      <c r="K1904" s="20">
        <f>IFERROR(INDEX(CONFIGURACOES!$H$37:$H$300,MATCH($I1904,CONFIGURACOES!$B$37:$B$300,0)),"")</f>
        <v/>
      </c>
      <c r="L1904" s="20" t="n"/>
      <c r="M1904" s="20">
        <f>IFERROR(INDEX(CONFIGURACOES!$I$37:$I$300,MATCH($I1904,CONFIGURACOES!$B$37:$B$300,0)),"")</f>
        <v/>
      </c>
      <c r="N1904" s="21" t="n"/>
      <c r="O1904" s="21" t="n"/>
      <c r="P1904" s="21" t="n"/>
      <c r="Q1904" s="21" t="n"/>
      <c r="R1904" s="21">
        <f>IF($N1904="","",$N1904*IF($Q1904="",1,$Q1904)*IF($P1904="",1,$P1904)*IF($O1904="",1,$O1904))</f>
        <v/>
      </c>
      <c r="S1904" s="22">
        <f>IFERROR(INDEX(CONFIGURACOES!$J$37:$J$300,MATCH($I1904,CONFIGURACOES!$B$37:$B$300,0)),"")</f>
        <v/>
      </c>
      <c r="T1904" s="22">
        <f>IF(OR($R1904="",$S1904=""),"",$R1904*$S1904)</f>
        <v/>
      </c>
      <c r="U1904" s="20" t="n"/>
      <c r="V1904" s="20" t="n"/>
      <c r="W1904" s="20" t="n"/>
      <c r="X1904">
        <f>IF($A1904="","",$A1904&amp;"|"&amp;$C1904&amp;"|"&amp;$I1904)</f>
        <v/>
      </c>
      <c r="Y1904">
        <f>IF(AND($A1904=RELATORIO_MEDICAO!$C$5,$C1904=RELATORIO_MEDICAO!$F$5,$A1904&lt;&gt;""),COUNTIFS($A$3:$A1904,RELATORIO_MEDICAO!$C$5,$C$3:$C1904,RELATORIO_MEDICAO!$F$5),"")</f>
        <v/>
      </c>
      <c r="Z1904">
        <f>IF(OR($A1904="",PESQUISA!$C$4=""),0,IF(OR(ISNUMBER(SEARCH(PESQUISA!$C$4,$G1904)),ISNUMBER(SEARCH(PESQUISA!$C$4,$K1904)),ISNUMBER(SEARCH(PESQUISA!$C$4,$L1904))),1,0))</f>
        <v/>
      </c>
      <c r="AA1904">
        <f>IF($Z1904=1,SUM($Z$3:$Z1904),"")</f>
        <v/>
      </c>
      <c r="AB1904">
        <f>IF(OR($A1904="",PESQUISA!$C$50=""),0,IF(ISNUMBER(SEARCH(PESQUISA!$C$50,$I1904)),1,0))</f>
        <v/>
      </c>
      <c r="AC1904">
        <f>IF($AB1904=1,SUM($AB$3:$AB1904),"")</f>
        <v/>
      </c>
    </row>
    <row r="1905">
      <c r="A1905" s="20" t="n"/>
      <c r="B1905" s="20" t="n"/>
      <c r="C1905" s="20" t="n"/>
      <c r="D1905" s="20" t="n"/>
      <c r="E1905" s="20" t="n"/>
      <c r="F1905" s="20" t="n"/>
      <c r="G1905" s="20" t="n"/>
      <c r="H1905" s="20" t="n"/>
      <c r="I1905" s="20" t="n"/>
      <c r="J1905" s="20">
        <f>IFERROR(INDEX(CONFIGURACOES!$G$37:$G$300,MATCH($I1905,CONFIGURACOES!$B$37:$B$300,0)),"")</f>
        <v/>
      </c>
      <c r="K1905" s="20">
        <f>IFERROR(INDEX(CONFIGURACOES!$H$37:$H$300,MATCH($I1905,CONFIGURACOES!$B$37:$B$300,0)),"")</f>
        <v/>
      </c>
      <c r="L1905" s="20" t="n"/>
      <c r="M1905" s="20">
        <f>IFERROR(INDEX(CONFIGURACOES!$I$37:$I$300,MATCH($I1905,CONFIGURACOES!$B$37:$B$300,0)),"")</f>
        <v/>
      </c>
      <c r="N1905" s="21" t="n"/>
      <c r="O1905" s="21" t="n"/>
      <c r="P1905" s="21" t="n"/>
      <c r="Q1905" s="21" t="n"/>
      <c r="R1905" s="21">
        <f>IF($N1905="","",$N1905*IF($Q1905="",1,$Q1905)*IF($P1905="",1,$P1905)*IF($O1905="",1,$O1905))</f>
        <v/>
      </c>
      <c r="S1905" s="22">
        <f>IFERROR(INDEX(CONFIGURACOES!$J$37:$J$300,MATCH($I1905,CONFIGURACOES!$B$37:$B$300,0)),"")</f>
        <v/>
      </c>
      <c r="T1905" s="22">
        <f>IF(OR($R1905="",$S1905=""),"",$R1905*$S1905)</f>
        <v/>
      </c>
      <c r="U1905" s="20" t="n"/>
      <c r="V1905" s="20" t="n"/>
      <c r="W1905" s="20" t="n"/>
      <c r="X1905">
        <f>IF($A1905="","",$A1905&amp;"|"&amp;$C1905&amp;"|"&amp;$I1905)</f>
        <v/>
      </c>
      <c r="Y1905">
        <f>IF(AND($A1905=RELATORIO_MEDICAO!$C$5,$C1905=RELATORIO_MEDICAO!$F$5,$A1905&lt;&gt;""),COUNTIFS($A$3:$A1905,RELATORIO_MEDICAO!$C$5,$C$3:$C1905,RELATORIO_MEDICAO!$F$5),"")</f>
        <v/>
      </c>
      <c r="Z1905">
        <f>IF(OR($A1905="",PESQUISA!$C$4=""),0,IF(OR(ISNUMBER(SEARCH(PESQUISA!$C$4,$G1905)),ISNUMBER(SEARCH(PESQUISA!$C$4,$K1905)),ISNUMBER(SEARCH(PESQUISA!$C$4,$L1905))),1,0))</f>
        <v/>
      </c>
      <c r="AA1905">
        <f>IF($Z1905=1,SUM($Z$3:$Z1905),"")</f>
        <v/>
      </c>
      <c r="AB1905">
        <f>IF(OR($A1905="",PESQUISA!$C$50=""),0,IF(ISNUMBER(SEARCH(PESQUISA!$C$50,$I1905)),1,0))</f>
        <v/>
      </c>
      <c r="AC1905">
        <f>IF($AB1905=1,SUM($AB$3:$AB1905),"")</f>
        <v/>
      </c>
    </row>
    <row r="1906">
      <c r="A1906" s="20" t="n"/>
      <c r="B1906" s="20" t="n"/>
      <c r="C1906" s="20" t="n"/>
      <c r="D1906" s="20" t="n"/>
      <c r="E1906" s="20" t="n"/>
      <c r="F1906" s="20" t="n"/>
      <c r="G1906" s="20" t="n"/>
      <c r="H1906" s="20" t="n"/>
      <c r="I1906" s="20" t="n"/>
      <c r="J1906" s="20">
        <f>IFERROR(INDEX(CONFIGURACOES!$G$37:$G$300,MATCH($I1906,CONFIGURACOES!$B$37:$B$300,0)),"")</f>
        <v/>
      </c>
      <c r="K1906" s="20">
        <f>IFERROR(INDEX(CONFIGURACOES!$H$37:$H$300,MATCH($I1906,CONFIGURACOES!$B$37:$B$300,0)),"")</f>
        <v/>
      </c>
      <c r="L1906" s="20" t="n"/>
      <c r="M1906" s="20">
        <f>IFERROR(INDEX(CONFIGURACOES!$I$37:$I$300,MATCH($I1906,CONFIGURACOES!$B$37:$B$300,0)),"")</f>
        <v/>
      </c>
      <c r="N1906" s="21" t="n"/>
      <c r="O1906" s="21" t="n"/>
      <c r="P1906" s="21" t="n"/>
      <c r="Q1906" s="21" t="n"/>
      <c r="R1906" s="21">
        <f>IF($N1906="","",$N1906*IF($Q1906="",1,$Q1906)*IF($P1906="",1,$P1906)*IF($O1906="",1,$O1906))</f>
        <v/>
      </c>
      <c r="S1906" s="22">
        <f>IFERROR(INDEX(CONFIGURACOES!$J$37:$J$300,MATCH($I1906,CONFIGURACOES!$B$37:$B$300,0)),"")</f>
        <v/>
      </c>
      <c r="T1906" s="22">
        <f>IF(OR($R1906="",$S1906=""),"",$R1906*$S1906)</f>
        <v/>
      </c>
      <c r="U1906" s="20" t="n"/>
      <c r="V1906" s="20" t="n"/>
      <c r="W1906" s="20" t="n"/>
      <c r="X1906">
        <f>IF($A1906="","",$A1906&amp;"|"&amp;$C1906&amp;"|"&amp;$I1906)</f>
        <v/>
      </c>
      <c r="Y1906">
        <f>IF(AND($A1906=RELATORIO_MEDICAO!$C$5,$C1906=RELATORIO_MEDICAO!$F$5,$A1906&lt;&gt;""),COUNTIFS($A$3:$A1906,RELATORIO_MEDICAO!$C$5,$C$3:$C1906,RELATORIO_MEDICAO!$F$5),"")</f>
        <v/>
      </c>
      <c r="Z1906">
        <f>IF(OR($A1906="",PESQUISA!$C$4=""),0,IF(OR(ISNUMBER(SEARCH(PESQUISA!$C$4,$G1906)),ISNUMBER(SEARCH(PESQUISA!$C$4,$K1906)),ISNUMBER(SEARCH(PESQUISA!$C$4,$L1906))),1,0))</f>
        <v/>
      </c>
      <c r="AA1906">
        <f>IF($Z1906=1,SUM($Z$3:$Z1906),"")</f>
        <v/>
      </c>
      <c r="AB1906">
        <f>IF(OR($A1906="",PESQUISA!$C$50=""),0,IF(ISNUMBER(SEARCH(PESQUISA!$C$50,$I1906)),1,0))</f>
        <v/>
      </c>
      <c r="AC1906">
        <f>IF($AB1906=1,SUM($AB$3:$AB1906),"")</f>
        <v/>
      </c>
    </row>
    <row r="1907">
      <c r="A1907" s="20" t="n"/>
      <c r="B1907" s="20" t="n"/>
      <c r="C1907" s="20" t="n"/>
      <c r="D1907" s="20" t="n"/>
      <c r="E1907" s="20" t="n"/>
      <c r="F1907" s="20" t="n"/>
      <c r="G1907" s="20" t="n"/>
      <c r="H1907" s="20" t="n"/>
      <c r="I1907" s="20" t="n"/>
      <c r="J1907" s="20">
        <f>IFERROR(INDEX(CONFIGURACOES!$G$37:$G$300,MATCH($I1907,CONFIGURACOES!$B$37:$B$300,0)),"")</f>
        <v/>
      </c>
      <c r="K1907" s="20">
        <f>IFERROR(INDEX(CONFIGURACOES!$H$37:$H$300,MATCH($I1907,CONFIGURACOES!$B$37:$B$300,0)),"")</f>
        <v/>
      </c>
      <c r="L1907" s="20" t="n"/>
      <c r="M1907" s="20">
        <f>IFERROR(INDEX(CONFIGURACOES!$I$37:$I$300,MATCH($I1907,CONFIGURACOES!$B$37:$B$300,0)),"")</f>
        <v/>
      </c>
      <c r="N1907" s="21" t="n"/>
      <c r="O1907" s="21" t="n"/>
      <c r="P1907" s="21" t="n"/>
      <c r="Q1907" s="21" t="n"/>
      <c r="R1907" s="21">
        <f>IF($N1907="","",$N1907*IF($Q1907="",1,$Q1907)*IF($P1907="",1,$P1907)*IF($O1907="",1,$O1907))</f>
        <v/>
      </c>
      <c r="S1907" s="22">
        <f>IFERROR(INDEX(CONFIGURACOES!$J$37:$J$300,MATCH($I1907,CONFIGURACOES!$B$37:$B$300,0)),"")</f>
        <v/>
      </c>
      <c r="T1907" s="22">
        <f>IF(OR($R1907="",$S1907=""),"",$R1907*$S1907)</f>
        <v/>
      </c>
      <c r="U1907" s="20" t="n"/>
      <c r="V1907" s="20" t="n"/>
      <c r="W1907" s="20" t="n"/>
      <c r="X1907">
        <f>IF($A1907="","",$A1907&amp;"|"&amp;$C1907&amp;"|"&amp;$I1907)</f>
        <v/>
      </c>
      <c r="Y1907">
        <f>IF(AND($A1907=RELATORIO_MEDICAO!$C$5,$C1907=RELATORIO_MEDICAO!$F$5,$A1907&lt;&gt;""),COUNTIFS($A$3:$A1907,RELATORIO_MEDICAO!$C$5,$C$3:$C1907,RELATORIO_MEDICAO!$F$5),"")</f>
        <v/>
      </c>
      <c r="Z1907">
        <f>IF(OR($A1907="",PESQUISA!$C$4=""),0,IF(OR(ISNUMBER(SEARCH(PESQUISA!$C$4,$G1907)),ISNUMBER(SEARCH(PESQUISA!$C$4,$K1907)),ISNUMBER(SEARCH(PESQUISA!$C$4,$L1907))),1,0))</f>
        <v/>
      </c>
      <c r="AA1907">
        <f>IF($Z1907=1,SUM($Z$3:$Z1907),"")</f>
        <v/>
      </c>
      <c r="AB1907">
        <f>IF(OR($A1907="",PESQUISA!$C$50=""),0,IF(ISNUMBER(SEARCH(PESQUISA!$C$50,$I1907)),1,0))</f>
        <v/>
      </c>
      <c r="AC1907">
        <f>IF($AB1907=1,SUM($AB$3:$AB1907),"")</f>
        <v/>
      </c>
    </row>
    <row r="1908">
      <c r="A1908" s="20" t="n"/>
      <c r="B1908" s="20" t="n"/>
      <c r="C1908" s="20" t="n"/>
      <c r="D1908" s="20" t="n"/>
      <c r="E1908" s="20" t="n"/>
      <c r="F1908" s="20" t="n"/>
      <c r="G1908" s="20" t="n"/>
      <c r="H1908" s="20" t="n"/>
      <c r="I1908" s="20" t="n"/>
      <c r="J1908" s="20">
        <f>IFERROR(INDEX(CONFIGURACOES!$G$37:$G$300,MATCH($I1908,CONFIGURACOES!$B$37:$B$300,0)),"")</f>
        <v/>
      </c>
      <c r="K1908" s="20">
        <f>IFERROR(INDEX(CONFIGURACOES!$H$37:$H$300,MATCH($I1908,CONFIGURACOES!$B$37:$B$300,0)),"")</f>
        <v/>
      </c>
      <c r="L1908" s="20" t="n"/>
      <c r="M1908" s="20">
        <f>IFERROR(INDEX(CONFIGURACOES!$I$37:$I$300,MATCH($I1908,CONFIGURACOES!$B$37:$B$300,0)),"")</f>
        <v/>
      </c>
      <c r="N1908" s="21" t="n"/>
      <c r="O1908" s="21" t="n"/>
      <c r="P1908" s="21" t="n"/>
      <c r="Q1908" s="21" t="n"/>
      <c r="R1908" s="21">
        <f>IF($N1908="","",$N1908*IF($Q1908="",1,$Q1908)*IF($P1908="",1,$P1908)*IF($O1908="",1,$O1908))</f>
        <v/>
      </c>
      <c r="S1908" s="22">
        <f>IFERROR(INDEX(CONFIGURACOES!$J$37:$J$300,MATCH($I1908,CONFIGURACOES!$B$37:$B$300,0)),"")</f>
        <v/>
      </c>
      <c r="T1908" s="22">
        <f>IF(OR($R1908="",$S1908=""),"",$R1908*$S1908)</f>
        <v/>
      </c>
      <c r="U1908" s="20" t="n"/>
      <c r="V1908" s="20" t="n"/>
      <c r="W1908" s="20" t="n"/>
      <c r="X1908">
        <f>IF($A1908="","",$A1908&amp;"|"&amp;$C1908&amp;"|"&amp;$I1908)</f>
        <v/>
      </c>
      <c r="Y1908">
        <f>IF(AND($A1908=RELATORIO_MEDICAO!$C$5,$C1908=RELATORIO_MEDICAO!$F$5,$A1908&lt;&gt;""),COUNTIFS($A$3:$A1908,RELATORIO_MEDICAO!$C$5,$C$3:$C1908,RELATORIO_MEDICAO!$F$5),"")</f>
        <v/>
      </c>
      <c r="Z1908">
        <f>IF(OR($A1908="",PESQUISA!$C$4=""),0,IF(OR(ISNUMBER(SEARCH(PESQUISA!$C$4,$G1908)),ISNUMBER(SEARCH(PESQUISA!$C$4,$K1908)),ISNUMBER(SEARCH(PESQUISA!$C$4,$L1908))),1,0))</f>
        <v/>
      </c>
      <c r="AA1908">
        <f>IF($Z1908=1,SUM($Z$3:$Z1908),"")</f>
        <v/>
      </c>
      <c r="AB1908">
        <f>IF(OR($A1908="",PESQUISA!$C$50=""),0,IF(ISNUMBER(SEARCH(PESQUISA!$C$50,$I1908)),1,0))</f>
        <v/>
      </c>
      <c r="AC1908">
        <f>IF($AB1908=1,SUM($AB$3:$AB1908),"")</f>
        <v/>
      </c>
    </row>
    <row r="1909">
      <c r="A1909" s="20" t="n"/>
      <c r="B1909" s="20" t="n"/>
      <c r="C1909" s="20" t="n"/>
      <c r="D1909" s="20" t="n"/>
      <c r="E1909" s="20" t="n"/>
      <c r="F1909" s="20" t="n"/>
      <c r="G1909" s="20" t="n"/>
      <c r="H1909" s="20" t="n"/>
      <c r="I1909" s="20" t="n"/>
      <c r="J1909" s="20">
        <f>IFERROR(INDEX(CONFIGURACOES!$G$37:$G$300,MATCH($I1909,CONFIGURACOES!$B$37:$B$300,0)),"")</f>
        <v/>
      </c>
      <c r="K1909" s="20">
        <f>IFERROR(INDEX(CONFIGURACOES!$H$37:$H$300,MATCH($I1909,CONFIGURACOES!$B$37:$B$300,0)),"")</f>
        <v/>
      </c>
      <c r="L1909" s="20" t="n"/>
      <c r="M1909" s="20">
        <f>IFERROR(INDEX(CONFIGURACOES!$I$37:$I$300,MATCH($I1909,CONFIGURACOES!$B$37:$B$300,0)),"")</f>
        <v/>
      </c>
      <c r="N1909" s="21" t="n"/>
      <c r="O1909" s="21" t="n"/>
      <c r="P1909" s="21" t="n"/>
      <c r="Q1909" s="21" t="n"/>
      <c r="R1909" s="21">
        <f>IF($N1909="","",$N1909*IF($Q1909="",1,$Q1909)*IF($P1909="",1,$P1909)*IF($O1909="",1,$O1909))</f>
        <v/>
      </c>
      <c r="S1909" s="22">
        <f>IFERROR(INDEX(CONFIGURACOES!$J$37:$J$300,MATCH($I1909,CONFIGURACOES!$B$37:$B$300,0)),"")</f>
        <v/>
      </c>
      <c r="T1909" s="22">
        <f>IF(OR($R1909="",$S1909=""),"",$R1909*$S1909)</f>
        <v/>
      </c>
      <c r="U1909" s="20" t="n"/>
      <c r="V1909" s="20" t="n"/>
      <c r="W1909" s="20" t="n"/>
      <c r="X1909">
        <f>IF($A1909="","",$A1909&amp;"|"&amp;$C1909&amp;"|"&amp;$I1909)</f>
        <v/>
      </c>
      <c r="Y1909">
        <f>IF(AND($A1909=RELATORIO_MEDICAO!$C$5,$C1909=RELATORIO_MEDICAO!$F$5,$A1909&lt;&gt;""),COUNTIFS($A$3:$A1909,RELATORIO_MEDICAO!$C$5,$C$3:$C1909,RELATORIO_MEDICAO!$F$5),"")</f>
        <v/>
      </c>
      <c r="Z1909">
        <f>IF(OR($A1909="",PESQUISA!$C$4=""),0,IF(OR(ISNUMBER(SEARCH(PESQUISA!$C$4,$G1909)),ISNUMBER(SEARCH(PESQUISA!$C$4,$K1909)),ISNUMBER(SEARCH(PESQUISA!$C$4,$L1909))),1,0))</f>
        <v/>
      </c>
      <c r="AA1909">
        <f>IF($Z1909=1,SUM($Z$3:$Z1909),"")</f>
        <v/>
      </c>
      <c r="AB1909">
        <f>IF(OR($A1909="",PESQUISA!$C$50=""),0,IF(ISNUMBER(SEARCH(PESQUISA!$C$50,$I1909)),1,0))</f>
        <v/>
      </c>
      <c r="AC1909">
        <f>IF($AB1909=1,SUM($AB$3:$AB1909),"")</f>
        <v/>
      </c>
    </row>
    <row r="1910">
      <c r="A1910" s="20" t="n"/>
      <c r="B1910" s="20" t="n"/>
      <c r="C1910" s="20" t="n"/>
      <c r="D1910" s="20" t="n"/>
      <c r="E1910" s="20" t="n"/>
      <c r="F1910" s="20" t="n"/>
      <c r="G1910" s="20" t="n"/>
      <c r="H1910" s="20" t="n"/>
      <c r="I1910" s="20" t="n"/>
      <c r="J1910" s="20">
        <f>IFERROR(INDEX(CONFIGURACOES!$G$37:$G$300,MATCH($I1910,CONFIGURACOES!$B$37:$B$300,0)),"")</f>
        <v/>
      </c>
      <c r="K1910" s="20">
        <f>IFERROR(INDEX(CONFIGURACOES!$H$37:$H$300,MATCH($I1910,CONFIGURACOES!$B$37:$B$300,0)),"")</f>
        <v/>
      </c>
      <c r="L1910" s="20" t="n"/>
      <c r="M1910" s="20">
        <f>IFERROR(INDEX(CONFIGURACOES!$I$37:$I$300,MATCH($I1910,CONFIGURACOES!$B$37:$B$300,0)),"")</f>
        <v/>
      </c>
      <c r="N1910" s="21" t="n"/>
      <c r="O1910" s="21" t="n"/>
      <c r="P1910" s="21" t="n"/>
      <c r="Q1910" s="21" t="n"/>
      <c r="R1910" s="21">
        <f>IF($N1910="","",$N1910*IF($Q1910="",1,$Q1910)*IF($P1910="",1,$P1910)*IF($O1910="",1,$O1910))</f>
        <v/>
      </c>
      <c r="S1910" s="22">
        <f>IFERROR(INDEX(CONFIGURACOES!$J$37:$J$300,MATCH($I1910,CONFIGURACOES!$B$37:$B$300,0)),"")</f>
        <v/>
      </c>
      <c r="T1910" s="22">
        <f>IF(OR($R1910="",$S1910=""),"",$R1910*$S1910)</f>
        <v/>
      </c>
      <c r="U1910" s="20" t="n"/>
      <c r="V1910" s="20" t="n"/>
      <c r="W1910" s="20" t="n"/>
      <c r="X1910">
        <f>IF($A1910="","",$A1910&amp;"|"&amp;$C1910&amp;"|"&amp;$I1910)</f>
        <v/>
      </c>
      <c r="Y1910">
        <f>IF(AND($A1910=RELATORIO_MEDICAO!$C$5,$C1910=RELATORIO_MEDICAO!$F$5,$A1910&lt;&gt;""),COUNTIFS($A$3:$A1910,RELATORIO_MEDICAO!$C$5,$C$3:$C1910,RELATORIO_MEDICAO!$F$5),"")</f>
        <v/>
      </c>
      <c r="Z1910">
        <f>IF(OR($A1910="",PESQUISA!$C$4=""),0,IF(OR(ISNUMBER(SEARCH(PESQUISA!$C$4,$G1910)),ISNUMBER(SEARCH(PESQUISA!$C$4,$K1910)),ISNUMBER(SEARCH(PESQUISA!$C$4,$L1910))),1,0))</f>
        <v/>
      </c>
      <c r="AA1910">
        <f>IF($Z1910=1,SUM($Z$3:$Z1910),"")</f>
        <v/>
      </c>
      <c r="AB1910">
        <f>IF(OR($A1910="",PESQUISA!$C$50=""),0,IF(ISNUMBER(SEARCH(PESQUISA!$C$50,$I1910)),1,0))</f>
        <v/>
      </c>
      <c r="AC1910">
        <f>IF($AB1910=1,SUM($AB$3:$AB1910),"")</f>
        <v/>
      </c>
    </row>
    <row r="1911">
      <c r="A1911" s="20" t="n"/>
      <c r="B1911" s="20" t="n"/>
      <c r="C1911" s="20" t="n"/>
      <c r="D1911" s="20" t="n"/>
      <c r="E1911" s="20" t="n"/>
      <c r="F1911" s="20" t="n"/>
      <c r="G1911" s="20" t="n"/>
      <c r="H1911" s="20" t="n"/>
      <c r="I1911" s="20" t="n"/>
      <c r="J1911" s="20">
        <f>IFERROR(INDEX(CONFIGURACOES!$G$37:$G$300,MATCH($I1911,CONFIGURACOES!$B$37:$B$300,0)),"")</f>
        <v/>
      </c>
      <c r="K1911" s="20">
        <f>IFERROR(INDEX(CONFIGURACOES!$H$37:$H$300,MATCH($I1911,CONFIGURACOES!$B$37:$B$300,0)),"")</f>
        <v/>
      </c>
      <c r="L1911" s="20" t="n"/>
      <c r="M1911" s="20">
        <f>IFERROR(INDEX(CONFIGURACOES!$I$37:$I$300,MATCH($I1911,CONFIGURACOES!$B$37:$B$300,0)),"")</f>
        <v/>
      </c>
      <c r="N1911" s="21" t="n"/>
      <c r="O1911" s="21" t="n"/>
      <c r="P1911" s="21" t="n"/>
      <c r="Q1911" s="21" t="n"/>
      <c r="R1911" s="21">
        <f>IF($N1911="","",$N1911*IF($Q1911="",1,$Q1911)*IF($P1911="",1,$P1911)*IF($O1911="",1,$O1911))</f>
        <v/>
      </c>
      <c r="S1911" s="22">
        <f>IFERROR(INDEX(CONFIGURACOES!$J$37:$J$300,MATCH($I1911,CONFIGURACOES!$B$37:$B$300,0)),"")</f>
        <v/>
      </c>
      <c r="T1911" s="22">
        <f>IF(OR($R1911="",$S1911=""),"",$R1911*$S1911)</f>
        <v/>
      </c>
      <c r="U1911" s="20" t="n"/>
      <c r="V1911" s="20" t="n"/>
      <c r="W1911" s="20" t="n"/>
      <c r="X1911">
        <f>IF($A1911="","",$A1911&amp;"|"&amp;$C1911&amp;"|"&amp;$I1911)</f>
        <v/>
      </c>
      <c r="Y1911">
        <f>IF(AND($A1911=RELATORIO_MEDICAO!$C$5,$C1911=RELATORIO_MEDICAO!$F$5,$A1911&lt;&gt;""),COUNTIFS($A$3:$A1911,RELATORIO_MEDICAO!$C$5,$C$3:$C1911,RELATORIO_MEDICAO!$F$5),"")</f>
        <v/>
      </c>
      <c r="Z1911">
        <f>IF(OR($A1911="",PESQUISA!$C$4=""),0,IF(OR(ISNUMBER(SEARCH(PESQUISA!$C$4,$G1911)),ISNUMBER(SEARCH(PESQUISA!$C$4,$K1911)),ISNUMBER(SEARCH(PESQUISA!$C$4,$L1911))),1,0))</f>
        <v/>
      </c>
      <c r="AA1911">
        <f>IF($Z1911=1,SUM($Z$3:$Z1911),"")</f>
        <v/>
      </c>
      <c r="AB1911">
        <f>IF(OR($A1911="",PESQUISA!$C$50=""),0,IF(ISNUMBER(SEARCH(PESQUISA!$C$50,$I1911)),1,0))</f>
        <v/>
      </c>
      <c r="AC1911">
        <f>IF($AB1911=1,SUM($AB$3:$AB1911),"")</f>
        <v/>
      </c>
    </row>
    <row r="1912">
      <c r="A1912" s="20" t="n"/>
      <c r="B1912" s="20" t="n"/>
      <c r="C1912" s="20" t="n"/>
      <c r="D1912" s="20" t="n"/>
      <c r="E1912" s="20" t="n"/>
      <c r="F1912" s="20" t="n"/>
      <c r="G1912" s="20" t="n"/>
      <c r="H1912" s="20" t="n"/>
      <c r="I1912" s="20" t="n"/>
      <c r="J1912" s="20">
        <f>IFERROR(INDEX(CONFIGURACOES!$G$37:$G$300,MATCH($I1912,CONFIGURACOES!$B$37:$B$300,0)),"")</f>
        <v/>
      </c>
      <c r="K1912" s="20">
        <f>IFERROR(INDEX(CONFIGURACOES!$H$37:$H$300,MATCH($I1912,CONFIGURACOES!$B$37:$B$300,0)),"")</f>
        <v/>
      </c>
      <c r="L1912" s="20" t="n"/>
      <c r="M1912" s="20">
        <f>IFERROR(INDEX(CONFIGURACOES!$I$37:$I$300,MATCH($I1912,CONFIGURACOES!$B$37:$B$300,0)),"")</f>
        <v/>
      </c>
      <c r="N1912" s="21" t="n"/>
      <c r="O1912" s="21" t="n"/>
      <c r="P1912" s="21" t="n"/>
      <c r="Q1912" s="21" t="n"/>
      <c r="R1912" s="21">
        <f>IF($N1912="","",$N1912*IF($Q1912="",1,$Q1912)*IF($P1912="",1,$P1912)*IF($O1912="",1,$O1912))</f>
        <v/>
      </c>
      <c r="S1912" s="22">
        <f>IFERROR(INDEX(CONFIGURACOES!$J$37:$J$300,MATCH($I1912,CONFIGURACOES!$B$37:$B$300,0)),"")</f>
        <v/>
      </c>
      <c r="T1912" s="22">
        <f>IF(OR($R1912="",$S1912=""),"",$R1912*$S1912)</f>
        <v/>
      </c>
      <c r="U1912" s="20" t="n"/>
      <c r="V1912" s="20" t="n"/>
      <c r="W1912" s="20" t="n"/>
      <c r="X1912">
        <f>IF($A1912="","",$A1912&amp;"|"&amp;$C1912&amp;"|"&amp;$I1912)</f>
        <v/>
      </c>
      <c r="Y1912">
        <f>IF(AND($A1912=RELATORIO_MEDICAO!$C$5,$C1912=RELATORIO_MEDICAO!$F$5,$A1912&lt;&gt;""),COUNTIFS($A$3:$A1912,RELATORIO_MEDICAO!$C$5,$C$3:$C1912,RELATORIO_MEDICAO!$F$5),"")</f>
        <v/>
      </c>
      <c r="Z1912">
        <f>IF(OR($A1912="",PESQUISA!$C$4=""),0,IF(OR(ISNUMBER(SEARCH(PESQUISA!$C$4,$G1912)),ISNUMBER(SEARCH(PESQUISA!$C$4,$K1912)),ISNUMBER(SEARCH(PESQUISA!$C$4,$L1912))),1,0))</f>
        <v/>
      </c>
      <c r="AA1912">
        <f>IF($Z1912=1,SUM($Z$3:$Z1912),"")</f>
        <v/>
      </c>
      <c r="AB1912">
        <f>IF(OR($A1912="",PESQUISA!$C$50=""),0,IF(ISNUMBER(SEARCH(PESQUISA!$C$50,$I1912)),1,0))</f>
        <v/>
      </c>
      <c r="AC1912">
        <f>IF($AB1912=1,SUM($AB$3:$AB1912),"")</f>
        <v/>
      </c>
    </row>
    <row r="1913">
      <c r="A1913" s="20" t="n"/>
      <c r="B1913" s="20" t="n"/>
      <c r="C1913" s="20" t="n"/>
      <c r="D1913" s="20" t="n"/>
      <c r="E1913" s="20" t="n"/>
      <c r="F1913" s="20" t="n"/>
      <c r="G1913" s="20" t="n"/>
      <c r="H1913" s="20" t="n"/>
      <c r="I1913" s="20" t="n"/>
      <c r="J1913" s="20">
        <f>IFERROR(INDEX(CONFIGURACOES!$G$37:$G$300,MATCH($I1913,CONFIGURACOES!$B$37:$B$300,0)),"")</f>
        <v/>
      </c>
      <c r="K1913" s="20">
        <f>IFERROR(INDEX(CONFIGURACOES!$H$37:$H$300,MATCH($I1913,CONFIGURACOES!$B$37:$B$300,0)),"")</f>
        <v/>
      </c>
      <c r="L1913" s="20" t="n"/>
      <c r="M1913" s="20">
        <f>IFERROR(INDEX(CONFIGURACOES!$I$37:$I$300,MATCH($I1913,CONFIGURACOES!$B$37:$B$300,0)),"")</f>
        <v/>
      </c>
      <c r="N1913" s="21" t="n"/>
      <c r="O1913" s="21" t="n"/>
      <c r="P1913" s="21" t="n"/>
      <c r="Q1913" s="21" t="n"/>
      <c r="R1913" s="21">
        <f>IF($N1913="","",$N1913*IF($Q1913="",1,$Q1913)*IF($P1913="",1,$P1913)*IF($O1913="",1,$O1913))</f>
        <v/>
      </c>
      <c r="S1913" s="22">
        <f>IFERROR(INDEX(CONFIGURACOES!$J$37:$J$300,MATCH($I1913,CONFIGURACOES!$B$37:$B$300,0)),"")</f>
        <v/>
      </c>
      <c r="T1913" s="22">
        <f>IF(OR($R1913="",$S1913=""),"",$R1913*$S1913)</f>
        <v/>
      </c>
      <c r="U1913" s="20" t="n"/>
      <c r="V1913" s="20" t="n"/>
      <c r="W1913" s="20" t="n"/>
      <c r="X1913">
        <f>IF($A1913="","",$A1913&amp;"|"&amp;$C1913&amp;"|"&amp;$I1913)</f>
        <v/>
      </c>
      <c r="Y1913">
        <f>IF(AND($A1913=RELATORIO_MEDICAO!$C$5,$C1913=RELATORIO_MEDICAO!$F$5,$A1913&lt;&gt;""),COUNTIFS($A$3:$A1913,RELATORIO_MEDICAO!$C$5,$C$3:$C1913,RELATORIO_MEDICAO!$F$5),"")</f>
        <v/>
      </c>
      <c r="Z1913">
        <f>IF(OR($A1913="",PESQUISA!$C$4=""),0,IF(OR(ISNUMBER(SEARCH(PESQUISA!$C$4,$G1913)),ISNUMBER(SEARCH(PESQUISA!$C$4,$K1913)),ISNUMBER(SEARCH(PESQUISA!$C$4,$L1913))),1,0))</f>
        <v/>
      </c>
      <c r="AA1913">
        <f>IF($Z1913=1,SUM($Z$3:$Z1913),"")</f>
        <v/>
      </c>
      <c r="AB1913">
        <f>IF(OR($A1913="",PESQUISA!$C$50=""),0,IF(ISNUMBER(SEARCH(PESQUISA!$C$50,$I1913)),1,0))</f>
        <v/>
      </c>
      <c r="AC1913">
        <f>IF($AB1913=1,SUM($AB$3:$AB1913),"")</f>
        <v/>
      </c>
    </row>
    <row r="1914">
      <c r="A1914" s="20" t="n"/>
      <c r="B1914" s="20" t="n"/>
      <c r="C1914" s="20" t="n"/>
      <c r="D1914" s="20" t="n"/>
      <c r="E1914" s="20" t="n"/>
      <c r="F1914" s="20" t="n"/>
      <c r="G1914" s="20" t="n"/>
      <c r="H1914" s="20" t="n"/>
      <c r="I1914" s="20" t="n"/>
      <c r="J1914" s="20">
        <f>IFERROR(INDEX(CONFIGURACOES!$G$37:$G$300,MATCH($I1914,CONFIGURACOES!$B$37:$B$300,0)),"")</f>
        <v/>
      </c>
      <c r="K1914" s="20">
        <f>IFERROR(INDEX(CONFIGURACOES!$H$37:$H$300,MATCH($I1914,CONFIGURACOES!$B$37:$B$300,0)),"")</f>
        <v/>
      </c>
      <c r="L1914" s="20" t="n"/>
      <c r="M1914" s="20">
        <f>IFERROR(INDEX(CONFIGURACOES!$I$37:$I$300,MATCH($I1914,CONFIGURACOES!$B$37:$B$300,0)),"")</f>
        <v/>
      </c>
      <c r="N1914" s="21" t="n"/>
      <c r="O1914" s="21" t="n"/>
      <c r="P1914" s="21" t="n"/>
      <c r="Q1914" s="21" t="n"/>
      <c r="R1914" s="21">
        <f>IF($N1914="","",$N1914*IF($Q1914="",1,$Q1914)*IF($P1914="",1,$P1914)*IF($O1914="",1,$O1914))</f>
        <v/>
      </c>
      <c r="S1914" s="22">
        <f>IFERROR(INDEX(CONFIGURACOES!$J$37:$J$300,MATCH($I1914,CONFIGURACOES!$B$37:$B$300,0)),"")</f>
        <v/>
      </c>
      <c r="T1914" s="22">
        <f>IF(OR($R1914="",$S1914=""),"",$R1914*$S1914)</f>
        <v/>
      </c>
      <c r="U1914" s="20" t="n"/>
      <c r="V1914" s="20" t="n"/>
      <c r="W1914" s="20" t="n"/>
      <c r="X1914">
        <f>IF($A1914="","",$A1914&amp;"|"&amp;$C1914&amp;"|"&amp;$I1914)</f>
        <v/>
      </c>
      <c r="Y1914">
        <f>IF(AND($A1914=RELATORIO_MEDICAO!$C$5,$C1914=RELATORIO_MEDICAO!$F$5,$A1914&lt;&gt;""),COUNTIFS($A$3:$A1914,RELATORIO_MEDICAO!$C$5,$C$3:$C1914,RELATORIO_MEDICAO!$F$5),"")</f>
        <v/>
      </c>
      <c r="Z1914">
        <f>IF(OR($A1914="",PESQUISA!$C$4=""),0,IF(OR(ISNUMBER(SEARCH(PESQUISA!$C$4,$G1914)),ISNUMBER(SEARCH(PESQUISA!$C$4,$K1914)),ISNUMBER(SEARCH(PESQUISA!$C$4,$L1914))),1,0))</f>
        <v/>
      </c>
      <c r="AA1914">
        <f>IF($Z1914=1,SUM($Z$3:$Z1914),"")</f>
        <v/>
      </c>
      <c r="AB1914">
        <f>IF(OR($A1914="",PESQUISA!$C$50=""),0,IF(ISNUMBER(SEARCH(PESQUISA!$C$50,$I1914)),1,0))</f>
        <v/>
      </c>
      <c r="AC1914">
        <f>IF($AB1914=1,SUM($AB$3:$AB1914),"")</f>
        <v/>
      </c>
    </row>
    <row r="1915">
      <c r="A1915" s="20" t="n"/>
      <c r="B1915" s="20" t="n"/>
      <c r="C1915" s="20" t="n"/>
      <c r="D1915" s="20" t="n"/>
      <c r="E1915" s="20" t="n"/>
      <c r="F1915" s="20" t="n"/>
      <c r="G1915" s="20" t="n"/>
      <c r="H1915" s="20" t="n"/>
      <c r="I1915" s="20" t="n"/>
      <c r="J1915" s="20">
        <f>IFERROR(INDEX(CONFIGURACOES!$G$37:$G$300,MATCH($I1915,CONFIGURACOES!$B$37:$B$300,0)),"")</f>
        <v/>
      </c>
      <c r="K1915" s="20">
        <f>IFERROR(INDEX(CONFIGURACOES!$H$37:$H$300,MATCH($I1915,CONFIGURACOES!$B$37:$B$300,0)),"")</f>
        <v/>
      </c>
      <c r="L1915" s="20" t="n"/>
      <c r="M1915" s="20">
        <f>IFERROR(INDEX(CONFIGURACOES!$I$37:$I$300,MATCH($I1915,CONFIGURACOES!$B$37:$B$300,0)),"")</f>
        <v/>
      </c>
      <c r="N1915" s="21" t="n"/>
      <c r="O1915" s="21" t="n"/>
      <c r="P1915" s="21" t="n"/>
      <c r="Q1915" s="21" t="n"/>
      <c r="R1915" s="21">
        <f>IF($N1915="","",$N1915*IF($Q1915="",1,$Q1915)*IF($P1915="",1,$P1915)*IF($O1915="",1,$O1915))</f>
        <v/>
      </c>
      <c r="S1915" s="22">
        <f>IFERROR(INDEX(CONFIGURACOES!$J$37:$J$300,MATCH($I1915,CONFIGURACOES!$B$37:$B$300,0)),"")</f>
        <v/>
      </c>
      <c r="T1915" s="22">
        <f>IF(OR($R1915="",$S1915=""),"",$R1915*$S1915)</f>
        <v/>
      </c>
      <c r="U1915" s="20" t="n"/>
      <c r="V1915" s="20" t="n"/>
      <c r="W1915" s="20" t="n"/>
      <c r="X1915">
        <f>IF($A1915="","",$A1915&amp;"|"&amp;$C1915&amp;"|"&amp;$I1915)</f>
        <v/>
      </c>
      <c r="Y1915">
        <f>IF(AND($A1915=RELATORIO_MEDICAO!$C$5,$C1915=RELATORIO_MEDICAO!$F$5,$A1915&lt;&gt;""),COUNTIFS($A$3:$A1915,RELATORIO_MEDICAO!$C$5,$C$3:$C1915,RELATORIO_MEDICAO!$F$5),"")</f>
        <v/>
      </c>
      <c r="Z1915">
        <f>IF(OR($A1915="",PESQUISA!$C$4=""),0,IF(OR(ISNUMBER(SEARCH(PESQUISA!$C$4,$G1915)),ISNUMBER(SEARCH(PESQUISA!$C$4,$K1915)),ISNUMBER(SEARCH(PESQUISA!$C$4,$L1915))),1,0))</f>
        <v/>
      </c>
      <c r="AA1915">
        <f>IF($Z1915=1,SUM($Z$3:$Z1915),"")</f>
        <v/>
      </c>
      <c r="AB1915">
        <f>IF(OR($A1915="",PESQUISA!$C$50=""),0,IF(ISNUMBER(SEARCH(PESQUISA!$C$50,$I1915)),1,0))</f>
        <v/>
      </c>
      <c r="AC1915">
        <f>IF($AB1915=1,SUM($AB$3:$AB1915),"")</f>
        <v/>
      </c>
    </row>
    <row r="1916">
      <c r="A1916" s="20" t="n"/>
      <c r="B1916" s="20" t="n"/>
      <c r="C1916" s="20" t="n"/>
      <c r="D1916" s="20" t="n"/>
      <c r="E1916" s="20" t="n"/>
      <c r="F1916" s="20" t="n"/>
      <c r="G1916" s="20" t="n"/>
      <c r="H1916" s="20" t="n"/>
      <c r="I1916" s="20" t="n"/>
      <c r="J1916" s="20">
        <f>IFERROR(INDEX(CONFIGURACOES!$G$37:$G$300,MATCH($I1916,CONFIGURACOES!$B$37:$B$300,0)),"")</f>
        <v/>
      </c>
      <c r="K1916" s="20">
        <f>IFERROR(INDEX(CONFIGURACOES!$H$37:$H$300,MATCH($I1916,CONFIGURACOES!$B$37:$B$300,0)),"")</f>
        <v/>
      </c>
      <c r="L1916" s="20" t="n"/>
      <c r="M1916" s="20">
        <f>IFERROR(INDEX(CONFIGURACOES!$I$37:$I$300,MATCH($I1916,CONFIGURACOES!$B$37:$B$300,0)),"")</f>
        <v/>
      </c>
      <c r="N1916" s="21" t="n"/>
      <c r="O1916" s="21" t="n"/>
      <c r="P1916" s="21" t="n"/>
      <c r="Q1916" s="21" t="n"/>
      <c r="R1916" s="21">
        <f>IF($N1916="","",$N1916*IF($Q1916="",1,$Q1916)*IF($P1916="",1,$P1916)*IF($O1916="",1,$O1916))</f>
        <v/>
      </c>
      <c r="S1916" s="22">
        <f>IFERROR(INDEX(CONFIGURACOES!$J$37:$J$300,MATCH($I1916,CONFIGURACOES!$B$37:$B$300,0)),"")</f>
        <v/>
      </c>
      <c r="T1916" s="22">
        <f>IF(OR($R1916="",$S1916=""),"",$R1916*$S1916)</f>
        <v/>
      </c>
      <c r="U1916" s="20" t="n"/>
      <c r="V1916" s="20" t="n"/>
      <c r="W1916" s="20" t="n"/>
      <c r="X1916">
        <f>IF($A1916="","",$A1916&amp;"|"&amp;$C1916&amp;"|"&amp;$I1916)</f>
        <v/>
      </c>
      <c r="Y1916">
        <f>IF(AND($A1916=RELATORIO_MEDICAO!$C$5,$C1916=RELATORIO_MEDICAO!$F$5,$A1916&lt;&gt;""),COUNTIFS($A$3:$A1916,RELATORIO_MEDICAO!$C$5,$C$3:$C1916,RELATORIO_MEDICAO!$F$5),"")</f>
        <v/>
      </c>
      <c r="Z1916">
        <f>IF(OR($A1916="",PESQUISA!$C$4=""),0,IF(OR(ISNUMBER(SEARCH(PESQUISA!$C$4,$G1916)),ISNUMBER(SEARCH(PESQUISA!$C$4,$K1916)),ISNUMBER(SEARCH(PESQUISA!$C$4,$L1916))),1,0))</f>
        <v/>
      </c>
      <c r="AA1916">
        <f>IF($Z1916=1,SUM($Z$3:$Z1916),"")</f>
        <v/>
      </c>
      <c r="AB1916">
        <f>IF(OR($A1916="",PESQUISA!$C$50=""),0,IF(ISNUMBER(SEARCH(PESQUISA!$C$50,$I1916)),1,0))</f>
        <v/>
      </c>
      <c r="AC1916">
        <f>IF($AB1916=1,SUM($AB$3:$AB1916),"")</f>
        <v/>
      </c>
    </row>
    <row r="1917">
      <c r="A1917" s="20" t="n"/>
      <c r="B1917" s="20" t="n"/>
      <c r="C1917" s="20" t="n"/>
      <c r="D1917" s="20" t="n"/>
      <c r="E1917" s="20" t="n"/>
      <c r="F1917" s="20" t="n"/>
      <c r="G1917" s="20" t="n"/>
      <c r="H1917" s="20" t="n"/>
      <c r="I1917" s="20" t="n"/>
      <c r="J1917" s="20">
        <f>IFERROR(INDEX(CONFIGURACOES!$G$37:$G$300,MATCH($I1917,CONFIGURACOES!$B$37:$B$300,0)),"")</f>
        <v/>
      </c>
      <c r="K1917" s="20">
        <f>IFERROR(INDEX(CONFIGURACOES!$H$37:$H$300,MATCH($I1917,CONFIGURACOES!$B$37:$B$300,0)),"")</f>
        <v/>
      </c>
      <c r="L1917" s="20" t="n"/>
      <c r="M1917" s="20">
        <f>IFERROR(INDEX(CONFIGURACOES!$I$37:$I$300,MATCH($I1917,CONFIGURACOES!$B$37:$B$300,0)),"")</f>
        <v/>
      </c>
      <c r="N1917" s="21" t="n"/>
      <c r="O1917" s="21" t="n"/>
      <c r="P1917" s="21" t="n"/>
      <c r="Q1917" s="21" t="n"/>
      <c r="R1917" s="21">
        <f>IF($N1917="","",$N1917*IF($Q1917="",1,$Q1917)*IF($P1917="",1,$P1917)*IF($O1917="",1,$O1917))</f>
        <v/>
      </c>
      <c r="S1917" s="22">
        <f>IFERROR(INDEX(CONFIGURACOES!$J$37:$J$300,MATCH($I1917,CONFIGURACOES!$B$37:$B$300,0)),"")</f>
        <v/>
      </c>
      <c r="T1917" s="22">
        <f>IF(OR($R1917="",$S1917=""),"",$R1917*$S1917)</f>
        <v/>
      </c>
      <c r="U1917" s="20" t="n"/>
      <c r="V1917" s="20" t="n"/>
      <c r="W1917" s="20" t="n"/>
      <c r="X1917">
        <f>IF($A1917="","",$A1917&amp;"|"&amp;$C1917&amp;"|"&amp;$I1917)</f>
        <v/>
      </c>
      <c r="Y1917">
        <f>IF(AND($A1917=RELATORIO_MEDICAO!$C$5,$C1917=RELATORIO_MEDICAO!$F$5,$A1917&lt;&gt;""),COUNTIFS($A$3:$A1917,RELATORIO_MEDICAO!$C$5,$C$3:$C1917,RELATORIO_MEDICAO!$F$5),"")</f>
        <v/>
      </c>
      <c r="Z1917">
        <f>IF(OR($A1917="",PESQUISA!$C$4=""),0,IF(OR(ISNUMBER(SEARCH(PESQUISA!$C$4,$G1917)),ISNUMBER(SEARCH(PESQUISA!$C$4,$K1917)),ISNUMBER(SEARCH(PESQUISA!$C$4,$L1917))),1,0))</f>
        <v/>
      </c>
      <c r="AA1917">
        <f>IF($Z1917=1,SUM($Z$3:$Z1917),"")</f>
        <v/>
      </c>
      <c r="AB1917">
        <f>IF(OR($A1917="",PESQUISA!$C$50=""),0,IF(ISNUMBER(SEARCH(PESQUISA!$C$50,$I1917)),1,0))</f>
        <v/>
      </c>
      <c r="AC1917">
        <f>IF($AB1917=1,SUM($AB$3:$AB1917),"")</f>
        <v/>
      </c>
    </row>
    <row r="1918">
      <c r="A1918" s="20" t="n"/>
      <c r="B1918" s="20" t="n"/>
      <c r="C1918" s="20" t="n"/>
      <c r="D1918" s="20" t="n"/>
      <c r="E1918" s="20" t="n"/>
      <c r="F1918" s="20" t="n"/>
      <c r="G1918" s="20" t="n"/>
      <c r="H1918" s="20" t="n"/>
      <c r="I1918" s="20" t="n"/>
      <c r="J1918" s="20">
        <f>IFERROR(INDEX(CONFIGURACOES!$G$37:$G$300,MATCH($I1918,CONFIGURACOES!$B$37:$B$300,0)),"")</f>
        <v/>
      </c>
      <c r="K1918" s="20">
        <f>IFERROR(INDEX(CONFIGURACOES!$H$37:$H$300,MATCH($I1918,CONFIGURACOES!$B$37:$B$300,0)),"")</f>
        <v/>
      </c>
      <c r="L1918" s="20" t="n"/>
      <c r="M1918" s="20">
        <f>IFERROR(INDEX(CONFIGURACOES!$I$37:$I$300,MATCH($I1918,CONFIGURACOES!$B$37:$B$300,0)),"")</f>
        <v/>
      </c>
      <c r="N1918" s="21" t="n"/>
      <c r="O1918" s="21" t="n"/>
      <c r="P1918" s="21" t="n"/>
      <c r="Q1918" s="21" t="n"/>
      <c r="R1918" s="21">
        <f>IF($N1918="","",$N1918*IF($Q1918="",1,$Q1918)*IF($P1918="",1,$P1918)*IF($O1918="",1,$O1918))</f>
        <v/>
      </c>
      <c r="S1918" s="22">
        <f>IFERROR(INDEX(CONFIGURACOES!$J$37:$J$300,MATCH($I1918,CONFIGURACOES!$B$37:$B$300,0)),"")</f>
        <v/>
      </c>
      <c r="T1918" s="22">
        <f>IF(OR($R1918="",$S1918=""),"",$R1918*$S1918)</f>
        <v/>
      </c>
      <c r="U1918" s="20" t="n"/>
      <c r="V1918" s="20" t="n"/>
      <c r="W1918" s="20" t="n"/>
      <c r="X1918">
        <f>IF($A1918="","",$A1918&amp;"|"&amp;$C1918&amp;"|"&amp;$I1918)</f>
        <v/>
      </c>
      <c r="Y1918">
        <f>IF(AND($A1918=RELATORIO_MEDICAO!$C$5,$C1918=RELATORIO_MEDICAO!$F$5,$A1918&lt;&gt;""),COUNTIFS($A$3:$A1918,RELATORIO_MEDICAO!$C$5,$C$3:$C1918,RELATORIO_MEDICAO!$F$5),"")</f>
        <v/>
      </c>
      <c r="Z1918">
        <f>IF(OR($A1918="",PESQUISA!$C$4=""),0,IF(OR(ISNUMBER(SEARCH(PESQUISA!$C$4,$G1918)),ISNUMBER(SEARCH(PESQUISA!$C$4,$K1918)),ISNUMBER(SEARCH(PESQUISA!$C$4,$L1918))),1,0))</f>
        <v/>
      </c>
      <c r="AA1918">
        <f>IF($Z1918=1,SUM($Z$3:$Z1918),"")</f>
        <v/>
      </c>
      <c r="AB1918">
        <f>IF(OR($A1918="",PESQUISA!$C$50=""),0,IF(ISNUMBER(SEARCH(PESQUISA!$C$50,$I1918)),1,0))</f>
        <v/>
      </c>
      <c r="AC1918">
        <f>IF($AB1918=1,SUM($AB$3:$AB1918),"")</f>
        <v/>
      </c>
    </row>
    <row r="1919">
      <c r="A1919" s="20" t="n"/>
      <c r="B1919" s="20" t="n"/>
      <c r="C1919" s="20" t="n"/>
      <c r="D1919" s="20" t="n"/>
      <c r="E1919" s="20" t="n"/>
      <c r="F1919" s="20" t="n"/>
      <c r="G1919" s="20" t="n"/>
      <c r="H1919" s="20" t="n"/>
      <c r="I1919" s="20" t="n"/>
      <c r="J1919" s="20">
        <f>IFERROR(INDEX(CONFIGURACOES!$G$37:$G$300,MATCH($I1919,CONFIGURACOES!$B$37:$B$300,0)),"")</f>
        <v/>
      </c>
      <c r="K1919" s="20">
        <f>IFERROR(INDEX(CONFIGURACOES!$H$37:$H$300,MATCH($I1919,CONFIGURACOES!$B$37:$B$300,0)),"")</f>
        <v/>
      </c>
      <c r="L1919" s="20" t="n"/>
      <c r="M1919" s="20">
        <f>IFERROR(INDEX(CONFIGURACOES!$I$37:$I$300,MATCH($I1919,CONFIGURACOES!$B$37:$B$300,0)),"")</f>
        <v/>
      </c>
      <c r="N1919" s="21" t="n"/>
      <c r="O1919" s="21" t="n"/>
      <c r="P1919" s="21" t="n"/>
      <c r="Q1919" s="21" t="n"/>
      <c r="R1919" s="21">
        <f>IF($N1919="","",$N1919*IF($Q1919="",1,$Q1919)*IF($P1919="",1,$P1919)*IF($O1919="",1,$O1919))</f>
        <v/>
      </c>
      <c r="S1919" s="22">
        <f>IFERROR(INDEX(CONFIGURACOES!$J$37:$J$300,MATCH($I1919,CONFIGURACOES!$B$37:$B$300,0)),"")</f>
        <v/>
      </c>
      <c r="T1919" s="22">
        <f>IF(OR($R1919="",$S1919=""),"",$R1919*$S1919)</f>
        <v/>
      </c>
      <c r="U1919" s="20" t="n"/>
      <c r="V1919" s="20" t="n"/>
      <c r="W1919" s="20" t="n"/>
      <c r="X1919">
        <f>IF($A1919="","",$A1919&amp;"|"&amp;$C1919&amp;"|"&amp;$I1919)</f>
        <v/>
      </c>
      <c r="Y1919">
        <f>IF(AND($A1919=RELATORIO_MEDICAO!$C$5,$C1919=RELATORIO_MEDICAO!$F$5,$A1919&lt;&gt;""),COUNTIFS($A$3:$A1919,RELATORIO_MEDICAO!$C$5,$C$3:$C1919,RELATORIO_MEDICAO!$F$5),"")</f>
        <v/>
      </c>
      <c r="Z1919">
        <f>IF(OR($A1919="",PESQUISA!$C$4=""),0,IF(OR(ISNUMBER(SEARCH(PESQUISA!$C$4,$G1919)),ISNUMBER(SEARCH(PESQUISA!$C$4,$K1919)),ISNUMBER(SEARCH(PESQUISA!$C$4,$L1919))),1,0))</f>
        <v/>
      </c>
      <c r="AA1919">
        <f>IF($Z1919=1,SUM($Z$3:$Z1919),"")</f>
        <v/>
      </c>
      <c r="AB1919">
        <f>IF(OR($A1919="",PESQUISA!$C$50=""),0,IF(ISNUMBER(SEARCH(PESQUISA!$C$50,$I1919)),1,0))</f>
        <v/>
      </c>
      <c r="AC1919">
        <f>IF($AB1919=1,SUM($AB$3:$AB1919),"")</f>
        <v/>
      </c>
    </row>
    <row r="1920">
      <c r="A1920" s="20" t="n"/>
      <c r="B1920" s="20" t="n"/>
      <c r="C1920" s="20" t="n"/>
      <c r="D1920" s="20" t="n"/>
      <c r="E1920" s="20" t="n"/>
      <c r="F1920" s="20" t="n"/>
      <c r="G1920" s="20" t="n"/>
      <c r="H1920" s="20" t="n"/>
      <c r="I1920" s="20" t="n"/>
      <c r="J1920" s="20">
        <f>IFERROR(INDEX(CONFIGURACOES!$G$37:$G$300,MATCH($I1920,CONFIGURACOES!$B$37:$B$300,0)),"")</f>
        <v/>
      </c>
      <c r="K1920" s="20">
        <f>IFERROR(INDEX(CONFIGURACOES!$H$37:$H$300,MATCH($I1920,CONFIGURACOES!$B$37:$B$300,0)),"")</f>
        <v/>
      </c>
      <c r="L1920" s="20" t="n"/>
      <c r="M1920" s="20">
        <f>IFERROR(INDEX(CONFIGURACOES!$I$37:$I$300,MATCH($I1920,CONFIGURACOES!$B$37:$B$300,0)),"")</f>
        <v/>
      </c>
      <c r="N1920" s="21" t="n"/>
      <c r="O1920" s="21" t="n"/>
      <c r="P1920" s="21" t="n"/>
      <c r="Q1920" s="21" t="n"/>
      <c r="R1920" s="21">
        <f>IF($N1920="","",$N1920*IF($Q1920="",1,$Q1920)*IF($P1920="",1,$P1920)*IF($O1920="",1,$O1920))</f>
        <v/>
      </c>
      <c r="S1920" s="22">
        <f>IFERROR(INDEX(CONFIGURACOES!$J$37:$J$300,MATCH($I1920,CONFIGURACOES!$B$37:$B$300,0)),"")</f>
        <v/>
      </c>
      <c r="T1920" s="22">
        <f>IF(OR($R1920="",$S1920=""),"",$R1920*$S1920)</f>
        <v/>
      </c>
      <c r="U1920" s="20" t="n"/>
      <c r="V1920" s="20" t="n"/>
      <c r="W1920" s="20" t="n"/>
      <c r="X1920">
        <f>IF($A1920="","",$A1920&amp;"|"&amp;$C1920&amp;"|"&amp;$I1920)</f>
        <v/>
      </c>
      <c r="Y1920">
        <f>IF(AND($A1920=RELATORIO_MEDICAO!$C$5,$C1920=RELATORIO_MEDICAO!$F$5,$A1920&lt;&gt;""),COUNTIFS($A$3:$A1920,RELATORIO_MEDICAO!$C$5,$C$3:$C1920,RELATORIO_MEDICAO!$F$5),"")</f>
        <v/>
      </c>
      <c r="Z1920">
        <f>IF(OR($A1920="",PESQUISA!$C$4=""),0,IF(OR(ISNUMBER(SEARCH(PESQUISA!$C$4,$G1920)),ISNUMBER(SEARCH(PESQUISA!$C$4,$K1920)),ISNUMBER(SEARCH(PESQUISA!$C$4,$L1920))),1,0))</f>
        <v/>
      </c>
      <c r="AA1920">
        <f>IF($Z1920=1,SUM($Z$3:$Z1920),"")</f>
        <v/>
      </c>
      <c r="AB1920">
        <f>IF(OR($A1920="",PESQUISA!$C$50=""),0,IF(ISNUMBER(SEARCH(PESQUISA!$C$50,$I1920)),1,0))</f>
        <v/>
      </c>
      <c r="AC1920">
        <f>IF($AB1920=1,SUM($AB$3:$AB1920),"")</f>
        <v/>
      </c>
    </row>
    <row r="1921">
      <c r="A1921" s="20" t="n"/>
      <c r="B1921" s="20" t="n"/>
      <c r="C1921" s="20" t="n"/>
      <c r="D1921" s="20" t="n"/>
      <c r="E1921" s="20" t="n"/>
      <c r="F1921" s="20" t="n"/>
      <c r="G1921" s="20" t="n"/>
      <c r="H1921" s="20" t="n"/>
      <c r="I1921" s="20" t="n"/>
      <c r="J1921" s="20">
        <f>IFERROR(INDEX(CONFIGURACOES!$G$37:$G$300,MATCH($I1921,CONFIGURACOES!$B$37:$B$300,0)),"")</f>
        <v/>
      </c>
      <c r="K1921" s="20">
        <f>IFERROR(INDEX(CONFIGURACOES!$H$37:$H$300,MATCH($I1921,CONFIGURACOES!$B$37:$B$300,0)),"")</f>
        <v/>
      </c>
      <c r="L1921" s="20" t="n"/>
      <c r="M1921" s="20">
        <f>IFERROR(INDEX(CONFIGURACOES!$I$37:$I$300,MATCH($I1921,CONFIGURACOES!$B$37:$B$300,0)),"")</f>
        <v/>
      </c>
      <c r="N1921" s="21" t="n"/>
      <c r="O1921" s="21" t="n"/>
      <c r="P1921" s="21" t="n"/>
      <c r="Q1921" s="21" t="n"/>
      <c r="R1921" s="21">
        <f>IF($N1921="","",$N1921*IF($Q1921="",1,$Q1921)*IF($P1921="",1,$P1921)*IF($O1921="",1,$O1921))</f>
        <v/>
      </c>
      <c r="S1921" s="22">
        <f>IFERROR(INDEX(CONFIGURACOES!$J$37:$J$300,MATCH($I1921,CONFIGURACOES!$B$37:$B$300,0)),"")</f>
        <v/>
      </c>
      <c r="T1921" s="22">
        <f>IF(OR($R1921="",$S1921=""),"",$R1921*$S1921)</f>
        <v/>
      </c>
      <c r="U1921" s="20" t="n"/>
      <c r="V1921" s="20" t="n"/>
      <c r="W1921" s="20" t="n"/>
      <c r="X1921">
        <f>IF($A1921="","",$A1921&amp;"|"&amp;$C1921&amp;"|"&amp;$I1921)</f>
        <v/>
      </c>
      <c r="Y1921">
        <f>IF(AND($A1921=RELATORIO_MEDICAO!$C$5,$C1921=RELATORIO_MEDICAO!$F$5,$A1921&lt;&gt;""),COUNTIFS($A$3:$A1921,RELATORIO_MEDICAO!$C$5,$C$3:$C1921,RELATORIO_MEDICAO!$F$5),"")</f>
        <v/>
      </c>
      <c r="Z1921">
        <f>IF(OR($A1921="",PESQUISA!$C$4=""),0,IF(OR(ISNUMBER(SEARCH(PESQUISA!$C$4,$G1921)),ISNUMBER(SEARCH(PESQUISA!$C$4,$K1921)),ISNUMBER(SEARCH(PESQUISA!$C$4,$L1921))),1,0))</f>
        <v/>
      </c>
      <c r="AA1921">
        <f>IF($Z1921=1,SUM($Z$3:$Z1921),"")</f>
        <v/>
      </c>
      <c r="AB1921">
        <f>IF(OR($A1921="",PESQUISA!$C$50=""),0,IF(ISNUMBER(SEARCH(PESQUISA!$C$50,$I1921)),1,0))</f>
        <v/>
      </c>
      <c r="AC1921">
        <f>IF($AB1921=1,SUM($AB$3:$AB1921),"")</f>
        <v/>
      </c>
    </row>
    <row r="1922">
      <c r="A1922" s="20" t="n"/>
      <c r="B1922" s="20" t="n"/>
      <c r="C1922" s="20" t="n"/>
      <c r="D1922" s="20" t="n"/>
      <c r="E1922" s="20" t="n"/>
      <c r="F1922" s="20" t="n"/>
      <c r="G1922" s="20" t="n"/>
      <c r="H1922" s="20" t="n"/>
      <c r="I1922" s="20" t="n"/>
      <c r="J1922" s="20">
        <f>IFERROR(INDEX(CONFIGURACOES!$G$37:$G$300,MATCH($I1922,CONFIGURACOES!$B$37:$B$300,0)),"")</f>
        <v/>
      </c>
      <c r="K1922" s="20">
        <f>IFERROR(INDEX(CONFIGURACOES!$H$37:$H$300,MATCH($I1922,CONFIGURACOES!$B$37:$B$300,0)),"")</f>
        <v/>
      </c>
      <c r="L1922" s="20" t="n"/>
      <c r="M1922" s="20">
        <f>IFERROR(INDEX(CONFIGURACOES!$I$37:$I$300,MATCH($I1922,CONFIGURACOES!$B$37:$B$300,0)),"")</f>
        <v/>
      </c>
      <c r="N1922" s="21" t="n"/>
      <c r="O1922" s="21" t="n"/>
      <c r="P1922" s="21" t="n"/>
      <c r="Q1922" s="21" t="n"/>
      <c r="R1922" s="21">
        <f>IF($N1922="","",$N1922*IF($Q1922="",1,$Q1922)*IF($P1922="",1,$P1922)*IF($O1922="",1,$O1922))</f>
        <v/>
      </c>
      <c r="S1922" s="22">
        <f>IFERROR(INDEX(CONFIGURACOES!$J$37:$J$300,MATCH($I1922,CONFIGURACOES!$B$37:$B$300,0)),"")</f>
        <v/>
      </c>
      <c r="T1922" s="22">
        <f>IF(OR($R1922="",$S1922=""),"",$R1922*$S1922)</f>
        <v/>
      </c>
      <c r="U1922" s="20" t="n"/>
      <c r="V1922" s="20" t="n"/>
      <c r="W1922" s="20" t="n"/>
      <c r="X1922">
        <f>IF($A1922="","",$A1922&amp;"|"&amp;$C1922&amp;"|"&amp;$I1922)</f>
        <v/>
      </c>
      <c r="Y1922">
        <f>IF(AND($A1922=RELATORIO_MEDICAO!$C$5,$C1922=RELATORIO_MEDICAO!$F$5,$A1922&lt;&gt;""),COUNTIFS($A$3:$A1922,RELATORIO_MEDICAO!$C$5,$C$3:$C1922,RELATORIO_MEDICAO!$F$5),"")</f>
        <v/>
      </c>
      <c r="Z1922">
        <f>IF(OR($A1922="",PESQUISA!$C$4=""),0,IF(OR(ISNUMBER(SEARCH(PESQUISA!$C$4,$G1922)),ISNUMBER(SEARCH(PESQUISA!$C$4,$K1922)),ISNUMBER(SEARCH(PESQUISA!$C$4,$L1922))),1,0))</f>
        <v/>
      </c>
      <c r="AA1922">
        <f>IF($Z1922=1,SUM($Z$3:$Z1922),"")</f>
        <v/>
      </c>
      <c r="AB1922">
        <f>IF(OR($A1922="",PESQUISA!$C$50=""),0,IF(ISNUMBER(SEARCH(PESQUISA!$C$50,$I1922)),1,0))</f>
        <v/>
      </c>
      <c r="AC1922">
        <f>IF($AB1922=1,SUM($AB$3:$AB1922),"")</f>
        <v/>
      </c>
    </row>
    <row r="1923">
      <c r="A1923" s="20" t="n"/>
      <c r="B1923" s="20" t="n"/>
      <c r="C1923" s="20" t="n"/>
      <c r="D1923" s="20" t="n"/>
      <c r="E1923" s="20" t="n"/>
      <c r="F1923" s="20" t="n"/>
      <c r="G1923" s="20" t="n"/>
      <c r="H1923" s="20" t="n"/>
      <c r="I1923" s="20" t="n"/>
      <c r="J1923" s="20">
        <f>IFERROR(INDEX(CONFIGURACOES!$G$37:$G$300,MATCH($I1923,CONFIGURACOES!$B$37:$B$300,0)),"")</f>
        <v/>
      </c>
      <c r="K1923" s="20">
        <f>IFERROR(INDEX(CONFIGURACOES!$H$37:$H$300,MATCH($I1923,CONFIGURACOES!$B$37:$B$300,0)),"")</f>
        <v/>
      </c>
      <c r="L1923" s="20" t="n"/>
      <c r="M1923" s="20">
        <f>IFERROR(INDEX(CONFIGURACOES!$I$37:$I$300,MATCH($I1923,CONFIGURACOES!$B$37:$B$300,0)),"")</f>
        <v/>
      </c>
      <c r="N1923" s="21" t="n"/>
      <c r="O1923" s="21" t="n"/>
      <c r="P1923" s="21" t="n"/>
      <c r="Q1923" s="21" t="n"/>
      <c r="R1923" s="21">
        <f>IF($N1923="","",$N1923*IF($Q1923="",1,$Q1923)*IF($P1923="",1,$P1923)*IF($O1923="",1,$O1923))</f>
        <v/>
      </c>
      <c r="S1923" s="22">
        <f>IFERROR(INDEX(CONFIGURACOES!$J$37:$J$300,MATCH($I1923,CONFIGURACOES!$B$37:$B$300,0)),"")</f>
        <v/>
      </c>
      <c r="T1923" s="22">
        <f>IF(OR($R1923="",$S1923=""),"",$R1923*$S1923)</f>
        <v/>
      </c>
      <c r="U1923" s="20" t="n"/>
      <c r="V1923" s="20" t="n"/>
      <c r="W1923" s="20" t="n"/>
      <c r="X1923">
        <f>IF($A1923="","",$A1923&amp;"|"&amp;$C1923&amp;"|"&amp;$I1923)</f>
        <v/>
      </c>
      <c r="Y1923">
        <f>IF(AND($A1923=RELATORIO_MEDICAO!$C$5,$C1923=RELATORIO_MEDICAO!$F$5,$A1923&lt;&gt;""),COUNTIFS($A$3:$A1923,RELATORIO_MEDICAO!$C$5,$C$3:$C1923,RELATORIO_MEDICAO!$F$5),"")</f>
        <v/>
      </c>
      <c r="Z1923">
        <f>IF(OR($A1923="",PESQUISA!$C$4=""),0,IF(OR(ISNUMBER(SEARCH(PESQUISA!$C$4,$G1923)),ISNUMBER(SEARCH(PESQUISA!$C$4,$K1923)),ISNUMBER(SEARCH(PESQUISA!$C$4,$L1923))),1,0))</f>
        <v/>
      </c>
      <c r="AA1923">
        <f>IF($Z1923=1,SUM($Z$3:$Z1923),"")</f>
        <v/>
      </c>
      <c r="AB1923">
        <f>IF(OR($A1923="",PESQUISA!$C$50=""),0,IF(ISNUMBER(SEARCH(PESQUISA!$C$50,$I1923)),1,0))</f>
        <v/>
      </c>
      <c r="AC1923">
        <f>IF($AB1923=1,SUM($AB$3:$AB1923),"")</f>
        <v/>
      </c>
    </row>
    <row r="1924">
      <c r="A1924" s="20" t="n"/>
      <c r="B1924" s="20" t="n"/>
      <c r="C1924" s="20" t="n"/>
      <c r="D1924" s="20" t="n"/>
      <c r="E1924" s="20" t="n"/>
      <c r="F1924" s="20" t="n"/>
      <c r="G1924" s="20" t="n"/>
      <c r="H1924" s="20" t="n"/>
      <c r="I1924" s="20" t="n"/>
      <c r="J1924" s="20">
        <f>IFERROR(INDEX(CONFIGURACOES!$G$37:$G$300,MATCH($I1924,CONFIGURACOES!$B$37:$B$300,0)),"")</f>
        <v/>
      </c>
      <c r="K1924" s="20">
        <f>IFERROR(INDEX(CONFIGURACOES!$H$37:$H$300,MATCH($I1924,CONFIGURACOES!$B$37:$B$300,0)),"")</f>
        <v/>
      </c>
      <c r="L1924" s="20" t="n"/>
      <c r="M1924" s="20">
        <f>IFERROR(INDEX(CONFIGURACOES!$I$37:$I$300,MATCH($I1924,CONFIGURACOES!$B$37:$B$300,0)),"")</f>
        <v/>
      </c>
      <c r="N1924" s="21" t="n"/>
      <c r="O1924" s="21" t="n"/>
      <c r="P1924" s="21" t="n"/>
      <c r="Q1924" s="21" t="n"/>
      <c r="R1924" s="21">
        <f>IF($N1924="","",$N1924*IF($Q1924="",1,$Q1924)*IF($P1924="",1,$P1924)*IF($O1924="",1,$O1924))</f>
        <v/>
      </c>
      <c r="S1924" s="22">
        <f>IFERROR(INDEX(CONFIGURACOES!$J$37:$J$300,MATCH($I1924,CONFIGURACOES!$B$37:$B$300,0)),"")</f>
        <v/>
      </c>
      <c r="T1924" s="22">
        <f>IF(OR($R1924="",$S1924=""),"",$R1924*$S1924)</f>
        <v/>
      </c>
      <c r="U1924" s="20" t="n"/>
      <c r="V1924" s="20" t="n"/>
      <c r="W1924" s="20" t="n"/>
      <c r="X1924">
        <f>IF($A1924="","",$A1924&amp;"|"&amp;$C1924&amp;"|"&amp;$I1924)</f>
        <v/>
      </c>
      <c r="Y1924">
        <f>IF(AND($A1924=RELATORIO_MEDICAO!$C$5,$C1924=RELATORIO_MEDICAO!$F$5,$A1924&lt;&gt;""),COUNTIFS($A$3:$A1924,RELATORIO_MEDICAO!$C$5,$C$3:$C1924,RELATORIO_MEDICAO!$F$5),"")</f>
        <v/>
      </c>
      <c r="Z1924">
        <f>IF(OR($A1924="",PESQUISA!$C$4=""),0,IF(OR(ISNUMBER(SEARCH(PESQUISA!$C$4,$G1924)),ISNUMBER(SEARCH(PESQUISA!$C$4,$K1924)),ISNUMBER(SEARCH(PESQUISA!$C$4,$L1924))),1,0))</f>
        <v/>
      </c>
      <c r="AA1924">
        <f>IF($Z1924=1,SUM($Z$3:$Z1924),"")</f>
        <v/>
      </c>
      <c r="AB1924">
        <f>IF(OR($A1924="",PESQUISA!$C$50=""),0,IF(ISNUMBER(SEARCH(PESQUISA!$C$50,$I1924)),1,0))</f>
        <v/>
      </c>
      <c r="AC1924">
        <f>IF($AB1924=1,SUM($AB$3:$AB1924),"")</f>
        <v/>
      </c>
    </row>
    <row r="1925">
      <c r="A1925" s="20" t="n"/>
      <c r="B1925" s="20" t="n"/>
      <c r="C1925" s="20" t="n"/>
      <c r="D1925" s="20" t="n"/>
      <c r="E1925" s="20" t="n"/>
      <c r="F1925" s="20" t="n"/>
      <c r="G1925" s="20" t="n"/>
      <c r="H1925" s="20" t="n"/>
      <c r="I1925" s="20" t="n"/>
      <c r="J1925" s="20">
        <f>IFERROR(INDEX(CONFIGURACOES!$G$37:$G$300,MATCH($I1925,CONFIGURACOES!$B$37:$B$300,0)),"")</f>
        <v/>
      </c>
      <c r="K1925" s="20">
        <f>IFERROR(INDEX(CONFIGURACOES!$H$37:$H$300,MATCH($I1925,CONFIGURACOES!$B$37:$B$300,0)),"")</f>
        <v/>
      </c>
      <c r="L1925" s="20" t="n"/>
      <c r="M1925" s="20">
        <f>IFERROR(INDEX(CONFIGURACOES!$I$37:$I$300,MATCH($I1925,CONFIGURACOES!$B$37:$B$300,0)),"")</f>
        <v/>
      </c>
      <c r="N1925" s="21" t="n"/>
      <c r="O1925" s="21" t="n"/>
      <c r="P1925" s="21" t="n"/>
      <c r="Q1925" s="21" t="n"/>
      <c r="R1925" s="21">
        <f>IF($N1925="","",$N1925*IF($Q1925="",1,$Q1925)*IF($P1925="",1,$P1925)*IF($O1925="",1,$O1925))</f>
        <v/>
      </c>
      <c r="S1925" s="22">
        <f>IFERROR(INDEX(CONFIGURACOES!$J$37:$J$300,MATCH($I1925,CONFIGURACOES!$B$37:$B$300,0)),"")</f>
        <v/>
      </c>
      <c r="T1925" s="22">
        <f>IF(OR($R1925="",$S1925=""),"",$R1925*$S1925)</f>
        <v/>
      </c>
      <c r="U1925" s="20" t="n"/>
      <c r="V1925" s="20" t="n"/>
      <c r="W1925" s="20" t="n"/>
      <c r="X1925">
        <f>IF($A1925="","",$A1925&amp;"|"&amp;$C1925&amp;"|"&amp;$I1925)</f>
        <v/>
      </c>
      <c r="Y1925">
        <f>IF(AND($A1925=RELATORIO_MEDICAO!$C$5,$C1925=RELATORIO_MEDICAO!$F$5,$A1925&lt;&gt;""),COUNTIFS($A$3:$A1925,RELATORIO_MEDICAO!$C$5,$C$3:$C1925,RELATORIO_MEDICAO!$F$5),"")</f>
        <v/>
      </c>
      <c r="Z1925">
        <f>IF(OR($A1925="",PESQUISA!$C$4=""),0,IF(OR(ISNUMBER(SEARCH(PESQUISA!$C$4,$G1925)),ISNUMBER(SEARCH(PESQUISA!$C$4,$K1925)),ISNUMBER(SEARCH(PESQUISA!$C$4,$L1925))),1,0))</f>
        <v/>
      </c>
      <c r="AA1925">
        <f>IF($Z1925=1,SUM($Z$3:$Z1925),"")</f>
        <v/>
      </c>
      <c r="AB1925">
        <f>IF(OR($A1925="",PESQUISA!$C$50=""),0,IF(ISNUMBER(SEARCH(PESQUISA!$C$50,$I1925)),1,0))</f>
        <v/>
      </c>
      <c r="AC1925">
        <f>IF($AB1925=1,SUM($AB$3:$AB1925),"")</f>
        <v/>
      </c>
    </row>
    <row r="1926">
      <c r="A1926" s="20" t="n"/>
      <c r="B1926" s="20" t="n"/>
      <c r="C1926" s="20" t="n"/>
      <c r="D1926" s="20" t="n"/>
      <c r="E1926" s="20" t="n"/>
      <c r="F1926" s="20" t="n"/>
      <c r="G1926" s="20" t="n"/>
      <c r="H1926" s="20" t="n"/>
      <c r="I1926" s="20" t="n"/>
      <c r="J1926" s="20">
        <f>IFERROR(INDEX(CONFIGURACOES!$G$37:$G$300,MATCH($I1926,CONFIGURACOES!$B$37:$B$300,0)),"")</f>
        <v/>
      </c>
      <c r="K1926" s="20">
        <f>IFERROR(INDEX(CONFIGURACOES!$H$37:$H$300,MATCH($I1926,CONFIGURACOES!$B$37:$B$300,0)),"")</f>
        <v/>
      </c>
      <c r="L1926" s="20" t="n"/>
      <c r="M1926" s="20">
        <f>IFERROR(INDEX(CONFIGURACOES!$I$37:$I$300,MATCH($I1926,CONFIGURACOES!$B$37:$B$300,0)),"")</f>
        <v/>
      </c>
      <c r="N1926" s="21" t="n"/>
      <c r="O1926" s="21" t="n"/>
      <c r="P1926" s="21" t="n"/>
      <c r="Q1926" s="21" t="n"/>
      <c r="R1926" s="21">
        <f>IF($N1926="","",$N1926*IF($Q1926="",1,$Q1926)*IF($P1926="",1,$P1926)*IF($O1926="",1,$O1926))</f>
        <v/>
      </c>
      <c r="S1926" s="22">
        <f>IFERROR(INDEX(CONFIGURACOES!$J$37:$J$300,MATCH($I1926,CONFIGURACOES!$B$37:$B$300,0)),"")</f>
        <v/>
      </c>
      <c r="T1926" s="22">
        <f>IF(OR($R1926="",$S1926=""),"",$R1926*$S1926)</f>
        <v/>
      </c>
      <c r="U1926" s="20" t="n"/>
      <c r="V1926" s="20" t="n"/>
      <c r="W1926" s="20" t="n"/>
      <c r="X1926">
        <f>IF($A1926="","",$A1926&amp;"|"&amp;$C1926&amp;"|"&amp;$I1926)</f>
        <v/>
      </c>
      <c r="Y1926">
        <f>IF(AND($A1926=RELATORIO_MEDICAO!$C$5,$C1926=RELATORIO_MEDICAO!$F$5,$A1926&lt;&gt;""),COUNTIFS($A$3:$A1926,RELATORIO_MEDICAO!$C$5,$C$3:$C1926,RELATORIO_MEDICAO!$F$5),"")</f>
        <v/>
      </c>
      <c r="Z1926">
        <f>IF(OR($A1926="",PESQUISA!$C$4=""),0,IF(OR(ISNUMBER(SEARCH(PESQUISA!$C$4,$G1926)),ISNUMBER(SEARCH(PESQUISA!$C$4,$K1926)),ISNUMBER(SEARCH(PESQUISA!$C$4,$L1926))),1,0))</f>
        <v/>
      </c>
      <c r="AA1926">
        <f>IF($Z1926=1,SUM($Z$3:$Z1926),"")</f>
        <v/>
      </c>
      <c r="AB1926">
        <f>IF(OR($A1926="",PESQUISA!$C$50=""),0,IF(ISNUMBER(SEARCH(PESQUISA!$C$50,$I1926)),1,0))</f>
        <v/>
      </c>
      <c r="AC1926">
        <f>IF($AB1926=1,SUM($AB$3:$AB1926),"")</f>
        <v/>
      </c>
    </row>
    <row r="1927">
      <c r="A1927" s="20" t="n"/>
      <c r="B1927" s="20" t="n"/>
      <c r="C1927" s="20" t="n"/>
      <c r="D1927" s="20" t="n"/>
      <c r="E1927" s="20" t="n"/>
      <c r="F1927" s="20" t="n"/>
      <c r="G1927" s="20" t="n"/>
      <c r="H1927" s="20" t="n"/>
      <c r="I1927" s="20" t="n"/>
      <c r="J1927" s="20">
        <f>IFERROR(INDEX(CONFIGURACOES!$G$37:$G$300,MATCH($I1927,CONFIGURACOES!$B$37:$B$300,0)),"")</f>
        <v/>
      </c>
      <c r="K1927" s="20">
        <f>IFERROR(INDEX(CONFIGURACOES!$H$37:$H$300,MATCH($I1927,CONFIGURACOES!$B$37:$B$300,0)),"")</f>
        <v/>
      </c>
      <c r="L1927" s="20" t="n"/>
      <c r="M1927" s="20">
        <f>IFERROR(INDEX(CONFIGURACOES!$I$37:$I$300,MATCH($I1927,CONFIGURACOES!$B$37:$B$300,0)),"")</f>
        <v/>
      </c>
      <c r="N1927" s="21" t="n"/>
      <c r="O1927" s="21" t="n"/>
      <c r="P1927" s="21" t="n"/>
      <c r="Q1927" s="21" t="n"/>
      <c r="R1927" s="21">
        <f>IF($N1927="","",$N1927*IF($Q1927="",1,$Q1927)*IF($P1927="",1,$P1927)*IF($O1927="",1,$O1927))</f>
        <v/>
      </c>
      <c r="S1927" s="22">
        <f>IFERROR(INDEX(CONFIGURACOES!$J$37:$J$300,MATCH($I1927,CONFIGURACOES!$B$37:$B$300,0)),"")</f>
        <v/>
      </c>
      <c r="T1927" s="22">
        <f>IF(OR($R1927="",$S1927=""),"",$R1927*$S1927)</f>
        <v/>
      </c>
      <c r="U1927" s="20" t="n"/>
      <c r="V1927" s="20" t="n"/>
      <c r="W1927" s="20" t="n"/>
      <c r="X1927">
        <f>IF($A1927="","",$A1927&amp;"|"&amp;$C1927&amp;"|"&amp;$I1927)</f>
        <v/>
      </c>
      <c r="Y1927">
        <f>IF(AND($A1927=RELATORIO_MEDICAO!$C$5,$C1927=RELATORIO_MEDICAO!$F$5,$A1927&lt;&gt;""),COUNTIFS($A$3:$A1927,RELATORIO_MEDICAO!$C$5,$C$3:$C1927,RELATORIO_MEDICAO!$F$5),"")</f>
        <v/>
      </c>
      <c r="Z1927">
        <f>IF(OR($A1927="",PESQUISA!$C$4=""),0,IF(OR(ISNUMBER(SEARCH(PESQUISA!$C$4,$G1927)),ISNUMBER(SEARCH(PESQUISA!$C$4,$K1927)),ISNUMBER(SEARCH(PESQUISA!$C$4,$L1927))),1,0))</f>
        <v/>
      </c>
      <c r="AA1927">
        <f>IF($Z1927=1,SUM($Z$3:$Z1927),"")</f>
        <v/>
      </c>
      <c r="AB1927">
        <f>IF(OR($A1927="",PESQUISA!$C$50=""),0,IF(ISNUMBER(SEARCH(PESQUISA!$C$50,$I1927)),1,0))</f>
        <v/>
      </c>
      <c r="AC1927">
        <f>IF($AB1927=1,SUM($AB$3:$AB1927),"")</f>
        <v/>
      </c>
    </row>
    <row r="1928">
      <c r="A1928" s="20" t="n"/>
      <c r="B1928" s="20" t="n"/>
      <c r="C1928" s="20" t="n"/>
      <c r="D1928" s="20" t="n"/>
      <c r="E1928" s="20" t="n"/>
      <c r="F1928" s="20" t="n"/>
      <c r="G1928" s="20" t="n"/>
      <c r="H1928" s="20" t="n"/>
      <c r="I1928" s="20" t="n"/>
      <c r="J1928" s="20">
        <f>IFERROR(INDEX(CONFIGURACOES!$G$37:$G$300,MATCH($I1928,CONFIGURACOES!$B$37:$B$300,0)),"")</f>
        <v/>
      </c>
      <c r="K1928" s="20">
        <f>IFERROR(INDEX(CONFIGURACOES!$H$37:$H$300,MATCH($I1928,CONFIGURACOES!$B$37:$B$300,0)),"")</f>
        <v/>
      </c>
      <c r="L1928" s="20" t="n"/>
      <c r="M1928" s="20">
        <f>IFERROR(INDEX(CONFIGURACOES!$I$37:$I$300,MATCH($I1928,CONFIGURACOES!$B$37:$B$300,0)),"")</f>
        <v/>
      </c>
      <c r="N1928" s="21" t="n"/>
      <c r="O1928" s="21" t="n"/>
      <c r="P1928" s="21" t="n"/>
      <c r="Q1928" s="21" t="n"/>
      <c r="R1928" s="21">
        <f>IF($N1928="","",$N1928*IF($Q1928="",1,$Q1928)*IF($P1928="",1,$P1928)*IF($O1928="",1,$O1928))</f>
        <v/>
      </c>
      <c r="S1928" s="22">
        <f>IFERROR(INDEX(CONFIGURACOES!$J$37:$J$300,MATCH($I1928,CONFIGURACOES!$B$37:$B$300,0)),"")</f>
        <v/>
      </c>
      <c r="T1928" s="22">
        <f>IF(OR($R1928="",$S1928=""),"",$R1928*$S1928)</f>
        <v/>
      </c>
      <c r="U1928" s="20" t="n"/>
      <c r="V1928" s="20" t="n"/>
      <c r="W1928" s="20" t="n"/>
      <c r="X1928">
        <f>IF($A1928="","",$A1928&amp;"|"&amp;$C1928&amp;"|"&amp;$I1928)</f>
        <v/>
      </c>
      <c r="Y1928">
        <f>IF(AND($A1928=RELATORIO_MEDICAO!$C$5,$C1928=RELATORIO_MEDICAO!$F$5,$A1928&lt;&gt;""),COUNTIFS($A$3:$A1928,RELATORIO_MEDICAO!$C$5,$C$3:$C1928,RELATORIO_MEDICAO!$F$5),"")</f>
        <v/>
      </c>
      <c r="Z1928">
        <f>IF(OR($A1928="",PESQUISA!$C$4=""),0,IF(OR(ISNUMBER(SEARCH(PESQUISA!$C$4,$G1928)),ISNUMBER(SEARCH(PESQUISA!$C$4,$K1928)),ISNUMBER(SEARCH(PESQUISA!$C$4,$L1928))),1,0))</f>
        <v/>
      </c>
      <c r="AA1928">
        <f>IF($Z1928=1,SUM($Z$3:$Z1928),"")</f>
        <v/>
      </c>
      <c r="AB1928">
        <f>IF(OR($A1928="",PESQUISA!$C$50=""),0,IF(ISNUMBER(SEARCH(PESQUISA!$C$50,$I1928)),1,0))</f>
        <v/>
      </c>
      <c r="AC1928">
        <f>IF($AB1928=1,SUM($AB$3:$AB1928),"")</f>
        <v/>
      </c>
    </row>
    <row r="1929">
      <c r="A1929" s="20" t="n"/>
      <c r="B1929" s="20" t="n"/>
      <c r="C1929" s="20" t="n"/>
      <c r="D1929" s="20" t="n"/>
      <c r="E1929" s="20" t="n"/>
      <c r="F1929" s="20" t="n"/>
      <c r="G1929" s="20" t="n"/>
      <c r="H1929" s="20" t="n"/>
      <c r="I1929" s="20" t="n"/>
      <c r="J1929" s="20">
        <f>IFERROR(INDEX(CONFIGURACOES!$G$37:$G$300,MATCH($I1929,CONFIGURACOES!$B$37:$B$300,0)),"")</f>
        <v/>
      </c>
      <c r="K1929" s="20">
        <f>IFERROR(INDEX(CONFIGURACOES!$H$37:$H$300,MATCH($I1929,CONFIGURACOES!$B$37:$B$300,0)),"")</f>
        <v/>
      </c>
      <c r="L1929" s="20" t="n"/>
      <c r="M1929" s="20">
        <f>IFERROR(INDEX(CONFIGURACOES!$I$37:$I$300,MATCH($I1929,CONFIGURACOES!$B$37:$B$300,0)),"")</f>
        <v/>
      </c>
      <c r="N1929" s="21" t="n"/>
      <c r="O1929" s="21" t="n"/>
      <c r="P1929" s="21" t="n"/>
      <c r="Q1929" s="21" t="n"/>
      <c r="R1929" s="21">
        <f>IF($N1929="","",$N1929*IF($Q1929="",1,$Q1929)*IF($P1929="",1,$P1929)*IF($O1929="",1,$O1929))</f>
        <v/>
      </c>
      <c r="S1929" s="22">
        <f>IFERROR(INDEX(CONFIGURACOES!$J$37:$J$300,MATCH($I1929,CONFIGURACOES!$B$37:$B$300,0)),"")</f>
        <v/>
      </c>
      <c r="T1929" s="22">
        <f>IF(OR($R1929="",$S1929=""),"",$R1929*$S1929)</f>
        <v/>
      </c>
      <c r="U1929" s="20" t="n"/>
      <c r="V1929" s="20" t="n"/>
      <c r="W1929" s="20" t="n"/>
      <c r="X1929">
        <f>IF($A1929="","",$A1929&amp;"|"&amp;$C1929&amp;"|"&amp;$I1929)</f>
        <v/>
      </c>
      <c r="Y1929">
        <f>IF(AND($A1929=RELATORIO_MEDICAO!$C$5,$C1929=RELATORIO_MEDICAO!$F$5,$A1929&lt;&gt;""),COUNTIFS($A$3:$A1929,RELATORIO_MEDICAO!$C$5,$C$3:$C1929,RELATORIO_MEDICAO!$F$5),"")</f>
        <v/>
      </c>
      <c r="Z1929">
        <f>IF(OR($A1929="",PESQUISA!$C$4=""),0,IF(OR(ISNUMBER(SEARCH(PESQUISA!$C$4,$G1929)),ISNUMBER(SEARCH(PESQUISA!$C$4,$K1929)),ISNUMBER(SEARCH(PESQUISA!$C$4,$L1929))),1,0))</f>
        <v/>
      </c>
      <c r="AA1929">
        <f>IF($Z1929=1,SUM($Z$3:$Z1929),"")</f>
        <v/>
      </c>
      <c r="AB1929">
        <f>IF(OR($A1929="",PESQUISA!$C$50=""),0,IF(ISNUMBER(SEARCH(PESQUISA!$C$50,$I1929)),1,0))</f>
        <v/>
      </c>
      <c r="AC1929">
        <f>IF($AB1929=1,SUM($AB$3:$AB1929),"")</f>
        <v/>
      </c>
    </row>
    <row r="1930">
      <c r="A1930" s="20" t="n"/>
      <c r="B1930" s="20" t="n"/>
      <c r="C1930" s="20" t="n"/>
      <c r="D1930" s="20" t="n"/>
      <c r="E1930" s="20" t="n"/>
      <c r="F1930" s="20" t="n"/>
      <c r="G1930" s="20" t="n"/>
      <c r="H1930" s="20" t="n"/>
      <c r="I1930" s="20" t="n"/>
      <c r="J1930" s="20">
        <f>IFERROR(INDEX(CONFIGURACOES!$G$37:$G$300,MATCH($I1930,CONFIGURACOES!$B$37:$B$300,0)),"")</f>
        <v/>
      </c>
      <c r="K1930" s="20">
        <f>IFERROR(INDEX(CONFIGURACOES!$H$37:$H$300,MATCH($I1930,CONFIGURACOES!$B$37:$B$300,0)),"")</f>
        <v/>
      </c>
      <c r="L1930" s="20" t="n"/>
      <c r="M1930" s="20">
        <f>IFERROR(INDEX(CONFIGURACOES!$I$37:$I$300,MATCH($I1930,CONFIGURACOES!$B$37:$B$300,0)),"")</f>
        <v/>
      </c>
      <c r="N1930" s="21" t="n"/>
      <c r="O1930" s="21" t="n"/>
      <c r="P1930" s="21" t="n"/>
      <c r="Q1930" s="21" t="n"/>
      <c r="R1930" s="21">
        <f>IF($N1930="","",$N1930*IF($Q1930="",1,$Q1930)*IF($P1930="",1,$P1930)*IF($O1930="",1,$O1930))</f>
        <v/>
      </c>
      <c r="S1930" s="22">
        <f>IFERROR(INDEX(CONFIGURACOES!$J$37:$J$300,MATCH($I1930,CONFIGURACOES!$B$37:$B$300,0)),"")</f>
        <v/>
      </c>
      <c r="T1930" s="22">
        <f>IF(OR($R1930="",$S1930=""),"",$R1930*$S1930)</f>
        <v/>
      </c>
      <c r="U1930" s="20" t="n"/>
      <c r="V1930" s="20" t="n"/>
      <c r="W1930" s="20" t="n"/>
      <c r="X1930">
        <f>IF($A1930="","",$A1930&amp;"|"&amp;$C1930&amp;"|"&amp;$I1930)</f>
        <v/>
      </c>
      <c r="Y1930">
        <f>IF(AND($A1930=RELATORIO_MEDICAO!$C$5,$C1930=RELATORIO_MEDICAO!$F$5,$A1930&lt;&gt;""),COUNTIFS($A$3:$A1930,RELATORIO_MEDICAO!$C$5,$C$3:$C1930,RELATORIO_MEDICAO!$F$5),"")</f>
        <v/>
      </c>
      <c r="Z1930">
        <f>IF(OR($A1930="",PESQUISA!$C$4=""),0,IF(OR(ISNUMBER(SEARCH(PESQUISA!$C$4,$G1930)),ISNUMBER(SEARCH(PESQUISA!$C$4,$K1930)),ISNUMBER(SEARCH(PESQUISA!$C$4,$L1930))),1,0))</f>
        <v/>
      </c>
      <c r="AA1930">
        <f>IF($Z1930=1,SUM($Z$3:$Z1930),"")</f>
        <v/>
      </c>
      <c r="AB1930">
        <f>IF(OR($A1930="",PESQUISA!$C$50=""),0,IF(ISNUMBER(SEARCH(PESQUISA!$C$50,$I1930)),1,0))</f>
        <v/>
      </c>
      <c r="AC1930">
        <f>IF($AB1930=1,SUM($AB$3:$AB1930),"")</f>
        <v/>
      </c>
    </row>
    <row r="1931">
      <c r="A1931" s="20" t="n"/>
      <c r="B1931" s="20" t="n"/>
      <c r="C1931" s="20" t="n"/>
      <c r="D1931" s="20" t="n"/>
      <c r="E1931" s="20" t="n"/>
      <c r="F1931" s="20" t="n"/>
      <c r="G1931" s="20" t="n"/>
      <c r="H1931" s="20" t="n"/>
      <c r="I1931" s="20" t="n"/>
      <c r="J1931" s="20">
        <f>IFERROR(INDEX(CONFIGURACOES!$G$37:$G$300,MATCH($I1931,CONFIGURACOES!$B$37:$B$300,0)),"")</f>
        <v/>
      </c>
      <c r="K1931" s="20">
        <f>IFERROR(INDEX(CONFIGURACOES!$H$37:$H$300,MATCH($I1931,CONFIGURACOES!$B$37:$B$300,0)),"")</f>
        <v/>
      </c>
      <c r="L1931" s="20" t="n"/>
      <c r="M1931" s="20">
        <f>IFERROR(INDEX(CONFIGURACOES!$I$37:$I$300,MATCH($I1931,CONFIGURACOES!$B$37:$B$300,0)),"")</f>
        <v/>
      </c>
      <c r="N1931" s="21" t="n"/>
      <c r="O1931" s="21" t="n"/>
      <c r="P1931" s="21" t="n"/>
      <c r="Q1931" s="21" t="n"/>
      <c r="R1931" s="21">
        <f>IF($N1931="","",$N1931*IF($Q1931="",1,$Q1931)*IF($P1931="",1,$P1931)*IF($O1931="",1,$O1931))</f>
        <v/>
      </c>
      <c r="S1931" s="22">
        <f>IFERROR(INDEX(CONFIGURACOES!$J$37:$J$300,MATCH($I1931,CONFIGURACOES!$B$37:$B$300,0)),"")</f>
        <v/>
      </c>
      <c r="T1931" s="22">
        <f>IF(OR($R1931="",$S1931=""),"",$R1931*$S1931)</f>
        <v/>
      </c>
      <c r="U1931" s="20" t="n"/>
      <c r="V1931" s="20" t="n"/>
      <c r="W1931" s="20" t="n"/>
      <c r="X1931">
        <f>IF($A1931="","",$A1931&amp;"|"&amp;$C1931&amp;"|"&amp;$I1931)</f>
        <v/>
      </c>
      <c r="Y1931">
        <f>IF(AND($A1931=RELATORIO_MEDICAO!$C$5,$C1931=RELATORIO_MEDICAO!$F$5,$A1931&lt;&gt;""),COUNTIFS($A$3:$A1931,RELATORIO_MEDICAO!$C$5,$C$3:$C1931,RELATORIO_MEDICAO!$F$5),"")</f>
        <v/>
      </c>
      <c r="Z1931">
        <f>IF(OR($A1931="",PESQUISA!$C$4=""),0,IF(OR(ISNUMBER(SEARCH(PESQUISA!$C$4,$G1931)),ISNUMBER(SEARCH(PESQUISA!$C$4,$K1931)),ISNUMBER(SEARCH(PESQUISA!$C$4,$L1931))),1,0))</f>
        <v/>
      </c>
      <c r="AA1931">
        <f>IF($Z1931=1,SUM($Z$3:$Z1931),"")</f>
        <v/>
      </c>
      <c r="AB1931">
        <f>IF(OR($A1931="",PESQUISA!$C$50=""),0,IF(ISNUMBER(SEARCH(PESQUISA!$C$50,$I1931)),1,0))</f>
        <v/>
      </c>
      <c r="AC1931">
        <f>IF($AB1931=1,SUM($AB$3:$AB1931),"")</f>
        <v/>
      </c>
    </row>
    <row r="1932">
      <c r="A1932" s="20" t="n"/>
      <c r="B1932" s="20" t="n"/>
      <c r="C1932" s="20" t="n"/>
      <c r="D1932" s="20" t="n"/>
      <c r="E1932" s="20" t="n"/>
      <c r="F1932" s="20" t="n"/>
      <c r="G1932" s="20" t="n"/>
      <c r="H1932" s="20" t="n"/>
      <c r="I1932" s="20" t="n"/>
      <c r="J1932" s="20">
        <f>IFERROR(INDEX(CONFIGURACOES!$G$37:$G$300,MATCH($I1932,CONFIGURACOES!$B$37:$B$300,0)),"")</f>
        <v/>
      </c>
      <c r="K1932" s="20">
        <f>IFERROR(INDEX(CONFIGURACOES!$H$37:$H$300,MATCH($I1932,CONFIGURACOES!$B$37:$B$300,0)),"")</f>
        <v/>
      </c>
      <c r="L1932" s="20" t="n"/>
      <c r="M1932" s="20">
        <f>IFERROR(INDEX(CONFIGURACOES!$I$37:$I$300,MATCH($I1932,CONFIGURACOES!$B$37:$B$300,0)),"")</f>
        <v/>
      </c>
      <c r="N1932" s="21" t="n"/>
      <c r="O1932" s="21" t="n"/>
      <c r="P1932" s="21" t="n"/>
      <c r="Q1932" s="21" t="n"/>
      <c r="R1932" s="21">
        <f>IF($N1932="","",$N1932*IF($Q1932="",1,$Q1932)*IF($P1932="",1,$P1932)*IF($O1932="",1,$O1932))</f>
        <v/>
      </c>
      <c r="S1932" s="22">
        <f>IFERROR(INDEX(CONFIGURACOES!$J$37:$J$300,MATCH($I1932,CONFIGURACOES!$B$37:$B$300,0)),"")</f>
        <v/>
      </c>
      <c r="T1932" s="22">
        <f>IF(OR($R1932="",$S1932=""),"",$R1932*$S1932)</f>
        <v/>
      </c>
      <c r="U1932" s="20" t="n"/>
      <c r="V1932" s="20" t="n"/>
      <c r="W1932" s="20" t="n"/>
      <c r="X1932">
        <f>IF($A1932="","",$A1932&amp;"|"&amp;$C1932&amp;"|"&amp;$I1932)</f>
        <v/>
      </c>
      <c r="Y1932">
        <f>IF(AND($A1932=RELATORIO_MEDICAO!$C$5,$C1932=RELATORIO_MEDICAO!$F$5,$A1932&lt;&gt;""),COUNTIFS($A$3:$A1932,RELATORIO_MEDICAO!$C$5,$C$3:$C1932,RELATORIO_MEDICAO!$F$5),"")</f>
        <v/>
      </c>
      <c r="Z1932">
        <f>IF(OR($A1932="",PESQUISA!$C$4=""),0,IF(OR(ISNUMBER(SEARCH(PESQUISA!$C$4,$G1932)),ISNUMBER(SEARCH(PESQUISA!$C$4,$K1932)),ISNUMBER(SEARCH(PESQUISA!$C$4,$L1932))),1,0))</f>
        <v/>
      </c>
      <c r="AA1932">
        <f>IF($Z1932=1,SUM($Z$3:$Z1932),"")</f>
        <v/>
      </c>
      <c r="AB1932">
        <f>IF(OR($A1932="",PESQUISA!$C$50=""),0,IF(ISNUMBER(SEARCH(PESQUISA!$C$50,$I1932)),1,0))</f>
        <v/>
      </c>
      <c r="AC1932">
        <f>IF($AB1932=1,SUM($AB$3:$AB1932),"")</f>
        <v/>
      </c>
    </row>
    <row r="1933">
      <c r="A1933" s="20" t="n"/>
      <c r="B1933" s="20" t="n"/>
      <c r="C1933" s="20" t="n"/>
      <c r="D1933" s="20" t="n"/>
      <c r="E1933" s="20" t="n"/>
      <c r="F1933" s="20" t="n"/>
      <c r="G1933" s="20" t="n"/>
      <c r="H1933" s="20" t="n"/>
      <c r="I1933" s="20" t="n"/>
      <c r="J1933" s="20">
        <f>IFERROR(INDEX(CONFIGURACOES!$G$37:$G$300,MATCH($I1933,CONFIGURACOES!$B$37:$B$300,0)),"")</f>
        <v/>
      </c>
      <c r="K1933" s="20">
        <f>IFERROR(INDEX(CONFIGURACOES!$H$37:$H$300,MATCH($I1933,CONFIGURACOES!$B$37:$B$300,0)),"")</f>
        <v/>
      </c>
      <c r="L1933" s="20" t="n"/>
      <c r="M1933" s="20">
        <f>IFERROR(INDEX(CONFIGURACOES!$I$37:$I$300,MATCH($I1933,CONFIGURACOES!$B$37:$B$300,0)),"")</f>
        <v/>
      </c>
      <c r="N1933" s="21" t="n"/>
      <c r="O1933" s="21" t="n"/>
      <c r="P1933" s="21" t="n"/>
      <c r="Q1933" s="21" t="n"/>
      <c r="R1933" s="21">
        <f>IF($N1933="","",$N1933*IF($Q1933="",1,$Q1933)*IF($P1933="",1,$P1933)*IF($O1933="",1,$O1933))</f>
        <v/>
      </c>
      <c r="S1933" s="22">
        <f>IFERROR(INDEX(CONFIGURACOES!$J$37:$J$300,MATCH($I1933,CONFIGURACOES!$B$37:$B$300,0)),"")</f>
        <v/>
      </c>
      <c r="T1933" s="22">
        <f>IF(OR($R1933="",$S1933=""),"",$R1933*$S1933)</f>
        <v/>
      </c>
      <c r="U1933" s="20" t="n"/>
      <c r="V1933" s="20" t="n"/>
      <c r="W1933" s="20" t="n"/>
      <c r="X1933">
        <f>IF($A1933="","",$A1933&amp;"|"&amp;$C1933&amp;"|"&amp;$I1933)</f>
        <v/>
      </c>
      <c r="Y1933">
        <f>IF(AND($A1933=RELATORIO_MEDICAO!$C$5,$C1933=RELATORIO_MEDICAO!$F$5,$A1933&lt;&gt;""),COUNTIFS($A$3:$A1933,RELATORIO_MEDICAO!$C$5,$C$3:$C1933,RELATORIO_MEDICAO!$F$5),"")</f>
        <v/>
      </c>
      <c r="Z1933">
        <f>IF(OR($A1933="",PESQUISA!$C$4=""),0,IF(OR(ISNUMBER(SEARCH(PESQUISA!$C$4,$G1933)),ISNUMBER(SEARCH(PESQUISA!$C$4,$K1933)),ISNUMBER(SEARCH(PESQUISA!$C$4,$L1933))),1,0))</f>
        <v/>
      </c>
      <c r="AA1933">
        <f>IF($Z1933=1,SUM($Z$3:$Z1933),"")</f>
        <v/>
      </c>
      <c r="AB1933">
        <f>IF(OR($A1933="",PESQUISA!$C$50=""),0,IF(ISNUMBER(SEARCH(PESQUISA!$C$50,$I1933)),1,0))</f>
        <v/>
      </c>
      <c r="AC1933">
        <f>IF($AB1933=1,SUM($AB$3:$AB1933),"")</f>
        <v/>
      </c>
    </row>
    <row r="1934">
      <c r="A1934" s="20" t="n"/>
      <c r="B1934" s="20" t="n"/>
      <c r="C1934" s="20" t="n"/>
      <c r="D1934" s="20" t="n"/>
      <c r="E1934" s="20" t="n"/>
      <c r="F1934" s="20" t="n"/>
      <c r="G1934" s="20" t="n"/>
      <c r="H1934" s="20" t="n"/>
      <c r="I1934" s="20" t="n"/>
      <c r="J1934" s="20">
        <f>IFERROR(INDEX(CONFIGURACOES!$G$37:$G$300,MATCH($I1934,CONFIGURACOES!$B$37:$B$300,0)),"")</f>
        <v/>
      </c>
      <c r="K1934" s="20">
        <f>IFERROR(INDEX(CONFIGURACOES!$H$37:$H$300,MATCH($I1934,CONFIGURACOES!$B$37:$B$300,0)),"")</f>
        <v/>
      </c>
      <c r="L1934" s="20" t="n"/>
      <c r="M1934" s="20">
        <f>IFERROR(INDEX(CONFIGURACOES!$I$37:$I$300,MATCH($I1934,CONFIGURACOES!$B$37:$B$300,0)),"")</f>
        <v/>
      </c>
      <c r="N1934" s="21" t="n"/>
      <c r="O1934" s="21" t="n"/>
      <c r="P1934" s="21" t="n"/>
      <c r="Q1934" s="21" t="n"/>
      <c r="R1934" s="21">
        <f>IF($N1934="","",$N1934*IF($Q1934="",1,$Q1934)*IF($P1934="",1,$P1934)*IF($O1934="",1,$O1934))</f>
        <v/>
      </c>
      <c r="S1934" s="22">
        <f>IFERROR(INDEX(CONFIGURACOES!$J$37:$J$300,MATCH($I1934,CONFIGURACOES!$B$37:$B$300,0)),"")</f>
        <v/>
      </c>
      <c r="T1934" s="22">
        <f>IF(OR($R1934="",$S1934=""),"",$R1934*$S1934)</f>
        <v/>
      </c>
      <c r="U1934" s="20" t="n"/>
      <c r="V1934" s="20" t="n"/>
      <c r="W1934" s="20" t="n"/>
      <c r="X1934">
        <f>IF($A1934="","",$A1934&amp;"|"&amp;$C1934&amp;"|"&amp;$I1934)</f>
        <v/>
      </c>
      <c r="Y1934">
        <f>IF(AND($A1934=RELATORIO_MEDICAO!$C$5,$C1934=RELATORIO_MEDICAO!$F$5,$A1934&lt;&gt;""),COUNTIFS($A$3:$A1934,RELATORIO_MEDICAO!$C$5,$C$3:$C1934,RELATORIO_MEDICAO!$F$5),"")</f>
        <v/>
      </c>
      <c r="Z1934">
        <f>IF(OR($A1934="",PESQUISA!$C$4=""),0,IF(OR(ISNUMBER(SEARCH(PESQUISA!$C$4,$G1934)),ISNUMBER(SEARCH(PESQUISA!$C$4,$K1934)),ISNUMBER(SEARCH(PESQUISA!$C$4,$L1934))),1,0))</f>
        <v/>
      </c>
      <c r="AA1934">
        <f>IF($Z1934=1,SUM($Z$3:$Z1934),"")</f>
        <v/>
      </c>
      <c r="AB1934">
        <f>IF(OR($A1934="",PESQUISA!$C$50=""),0,IF(ISNUMBER(SEARCH(PESQUISA!$C$50,$I1934)),1,0))</f>
        <v/>
      </c>
      <c r="AC1934">
        <f>IF($AB1934=1,SUM($AB$3:$AB1934),"")</f>
        <v/>
      </c>
    </row>
    <row r="1935">
      <c r="A1935" s="20" t="n"/>
      <c r="B1935" s="20" t="n"/>
      <c r="C1935" s="20" t="n"/>
      <c r="D1935" s="20" t="n"/>
      <c r="E1935" s="20" t="n"/>
      <c r="F1935" s="20" t="n"/>
      <c r="G1935" s="20" t="n"/>
      <c r="H1935" s="20" t="n"/>
      <c r="I1935" s="20" t="n"/>
      <c r="J1935" s="20">
        <f>IFERROR(INDEX(CONFIGURACOES!$G$37:$G$300,MATCH($I1935,CONFIGURACOES!$B$37:$B$300,0)),"")</f>
        <v/>
      </c>
      <c r="K1935" s="20">
        <f>IFERROR(INDEX(CONFIGURACOES!$H$37:$H$300,MATCH($I1935,CONFIGURACOES!$B$37:$B$300,0)),"")</f>
        <v/>
      </c>
      <c r="L1935" s="20" t="n"/>
      <c r="M1935" s="20">
        <f>IFERROR(INDEX(CONFIGURACOES!$I$37:$I$300,MATCH($I1935,CONFIGURACOES!$B$37:$B$300,0)),"")</f>
        <v/>
      </c>
      <c r="N1935" s="21" t="n"/>
      <c r="O1935" s="21" t="n"/>
      <c r="P1935" s="21" t="n"/>
      <c r="Q1935" s="21" t="n"/>
      <c r="R1935" s="21">
        <f>IF($N1935="","",$N1935*IF($Q1935="",1,$Q1935)*IF($P1935="",1,$P1935)*IF($O1935="",1,$O1935))</f>
        <v/>
      </c>
      <c r="S1935" s="22">
        <f>IFERROR(INDEX(CONFIGURACOES!$J$37:$J$300,MATCH($I1935,CONFIGURACOES!$B$37:$B$300,0)),"")</f>
        <v/>
      </c>
      <c r="T1935" s="22">
        <f>IF(OR($R1935="",$S1935=""),"",$R1935*$S1935)</f>
        <v/>
      </c>
      <c r="U1935" s="20" t="n"/>
      <c r="V1935" s="20" t="n"/>
      <c r="W1935" s="20" t="n"/>
      <c r="X1935">
        <f>IF($A1935="","",$A1935&amp;"|"&amp;$C1935&amp;"|"&amp;$I1935)</f>
        <v/>
      </c>
      <c r="Y1935">
        <f>IF(AND($A1935=RELATORIO_MEDICAO!$C$5,$C1935=RELATORIO_MEDICAO!$F$5,$A1935&lt;&gt;""),COUNTIFS($A$3:$A1935,RELATORIO_MEDICAO!$C$5,$C$3:$C1935,RELATORIO_MEDICAO!$F$5),"")</f>
        <v/>
      </c>
      <c r="Z1935">
        <f>IF(OR($A1935="",PESQUISA!$C$4=""),0,IF(OR(ISNUMBER(SEARCH(PESQUISA!$C$4,$G1935)),ISNUMBER(SEARCH(PESQUISA!$C$4,$K1935)),ISNUMBER(SEARCH(PESQUISA!$C$4,$L1935))),1,0))</f>
        <v/>
      </c>
      <c r="AA1935">
        <f>IF($Z1935=1,SUM($Z$3:$Z1935),"")</f>
        <v/>
      </c>
      <c r="AB1935">
        <f>IF(OR($A1935="",PESQUISA!$C$50=""),0,IF(ISNUMBER(SEARCH(PESQUISA!$C$50,$I1935)),1,0))</f>
        <v/>
      </c>
      <c r="AC1935">
        <f>IF($AB1935=1,SUM($AB$3:$AB1935),"")</f>
        <v/>
      </c>
    </row>
    <row r="1936">
      <c r="A1936" s="20" t="n"/>
      <c r="B1936" s="20" t="n"/>
      <c r="C1936" s="20" t="n"/>
      <c r="D1936" s="20" t="n"/>
      <c r="E1936" s="20" t="n"/>
      <c r="F1936" s="20" t="n"/>
      <c r="G1936" s="20" t="n"/>
      <c r="H1936" s="20" t="n"/>
      <c r="I1936" s="20" t="n"/>
      <c r="J1936" s="20">
        <f>IFERROR(INDEX(CONFIGURACOES!$G$37:$G$300,MATCH($I1936,CONFIGURACOES!$B$37:$B$300,0)),"")</f>
        <v/>
      </c>
      <c r="K1936" s="20">
        <f>IFERROR(INDEX(CONFIGURACOES!$H$37:$H$300,MATCH($I1936,CONFIGURACOES!$B$37:$B$300,0)),"")</f>
        <v/>
      </c>
      <c r="L1936" s="20" t="n"/>
      <c r="M1936" s="20">
        <f>IFERROR(INDEX(CONFIGURACOES!$I$37:$I$300,MATCH($I1936,CONFIGURACOES!$B$37:$B$300,0)),"")</f>
        <v/>
      </c>
      <c r="N1936" s="21" t="n"/>
      <c r="O1936" s="21" t="n"/>
      <c r="P1936" s="21" t="n"/>
      <c r="Q1936" s="21" t="n"/>
      <c r="R1936" s="21">
        <f>IF($N1936="","",$N1936*IF($Q1936="",1,$Q1936)*IF($P1936="",1,$P1936)*IF($O1936="",1,$O1936))</f>
        <v/>
      </c>
      <c r="S1936" s="22">
        <f>IFERROR(INDEX(CONFIGURACOES!$J$37:$J$300,MATCH($I1936,CONFIGURACOES!$B$37:$B$300,0)),"")</f>
        <v/>
      </c>
      <c r="T1936" s="22">
        <f>IF(OR($R1936="",$S1936=""),"",$R1936*$S1936)</f>
        <v/>
      </c>
      <c r="U1936" s="20" t="n"/>
      <c r="V1936" s="20" t="n"/>
      <c r="W1936" s="20" t="n"/>
      <c r="X1936">
        <f>IF($A1936="","",$A1936&amp;"|"&amp;$C1936&amp;"|"&amp;$I1936)</f>
        <v/>
      </c>
      <c r="Y1936">
        <f>IF(AND($A1936=RELATORIO_MEDICAO!$C$5,$C1936=RELATORIO_MEDICAO!$F$5,$A1936&lt;&gt;""),COUNTIFS($A$3:$A1936,RELATORIO_MEDICAO!$C$5,$C$3:$C1936,RELATORIO_MEDICAO!$F$5),"")</f>
        <v/>
      </c>
      <c r="Z1936">
        <f>IF(OR($A1936="",PESQUISA!$C$4=""),0,IF(OR(ISNUMBER(SEARCH(PESQUISA!$C$4,$G1936)),ISNUMBER(SEARCH(PESQUISA!$C$4,$K1936)),ISNUMBER(SEARCH(PESQUISA!$C$4,$L1936))),1,0))</f>
        <v/>
      </c>
      <c r="AA1936">
        <f>IF($Z1936=1,SUM($Z$3:$Z1936),"")</f>
        <v/>
      </c>
      <c r="AB1936">
        <f>IF(OR($A1936="",PESQUISA!$C$50=""),0,IF(ISNUMBER(SEARCH(PESQUISA!$C$50,$I1936)),1,0))</f>
        <v/>
      </c>
      <c r="AC1936">
        <f>IF($AB1936=1,SUM($AB$3:$AB1936),"")</f>
        <v/>
      </c>
    </row>
    <row r="1937">
      <c r="A1937" s="20" t="n"/>
      <c r="B1937" s="20" t="n"/>
      <c r="C1937" s="20" t="n"/>
      <c r="D1937" s="20" t="n"/>
      <c r="E1937" s="20" t="n"/>
      <c r="F1937" s="20" t="n"/>
      <c r="G1937" s="20" t="n"/>
      <c r="H1937" s="20" t="n"/>
      <c r="I1937" s="20" t="n"/>
      <c r="J1937" s="20">
        <f>IFERROR(INDEX(CONFIGURACOES!$G$37:$G$300,MATCH($I1937,CONFIGURACOES!$B$37:$B$300,0)),"")</f>
        <v/>
      </c>
      <c r="K1937" s="20">
        <f>IFERROR(INDEX(CONFIGURACOES!$H$37:$H$300,MATCH($I1937,CONFIGURACOES!$B$37:$B$300,0)),"")</f>
        <v/>
      </c>
      <c r="L1937" s="20" t="n"/>
      <c r="M1937" s="20">
        <f>IFERROR(INDEX(CONFIGURACOES!$I$37:$I$300,MATCH($I1937,CONFIGURACOES!$B$37:$B$300,0)),"")</f>
        <v/>
      </c>
      <c r="N1937" s="21" t="n"/>
      <c r="O1937" s="21" t="n"/>
      <c r="P1937" s="21" t="n"/>
      <c r="Q1937" s="21" t="n"/>
      <c r="R1937" s="21">
        <f>IF($N1937="","",$N1937*IF($Q1937="",1,$Q1937)*IF($P1937="",1,$P1937)*IF($O1937="",1,$O1937))</f>
        <v/>
      </c>
      <c r="S1937" s="22">
        <f>IFERROR(INDEX(CONFIGURACOES!$J$37:$J$300,MATCH($I1937,CONFIGURACOES!$B$37:$B$300,0)),"")</f>
        <v/>
      </c>
      <c r="T1937" s="22">
        <f>IF(OR($R1937="",$S1937=""),"",$R1937*$S1937)</f>
        <v/>
      </c>
      <c r="U1937" s="20" t="n"/>
      <c r="V1937" s="20" t="n"/>
      <c r="W1937" s="20" t="n"/>
      <c r="X1937">
        <f>IF($A1937="","",$A1937&amp;"|"&amp;$C1937&amp;"|"&amp;$I1937)</f>
        <v/>
      </c>
      <c r="Y1937">
        <f>IF(AND($A1937=RELATORIO_MEDICAO!$C$5,$C1937=RELATORIO_MEDICAO!$F$5,$A1937&lt;&gt;""),COUNTIFS($A$3:$A1937,RELATORIO_MEDICAO!$C$5,$C$3:$C1937,RELATORIO_MEDICAO!$F$5),"")</f>
        <v/>
      </c>
      <c r="Z1937">
        <f>IF(OR($A1937="",PESQUISA!$C$4=""),0,IF(OR(ISNUMBER(SEARCH(PESQUISA!$C$4,$G1937)),ISNUMBER(SEARCH(PESQUISA!$C$4,$K1937)),ISNUMBER(SEARCH(PESQUISA!$C$4,$L1937))),1,0))</f>
        <v/>
      </c>
      <c r="AA1937">
        <f>IF($Z1937=1,SUM($Z$3:$Z1937),"")</f>
        <v/>
      </c>
      <c r="AB1937">
        <f>IF(OR($A1937="",PESQUISA!$C$50=""),0,IF(ISNUMBER(SEARCH(PESQUISA!$C$50,$I1937)),1,0))</f>
        <v/>
      </c>
      <c r="AC1937">
        <f>IF($AB1937=1,SUM($AB$3:$AB1937),"")</f>
        <v/>
      </c>
    </row>
    <row r="1938">
      <c r="A1938" s="20" t="n"/>
      <c r="B1938" s="20" t="n"/>
      <c r="C1938" s="20" t="n"/>
      <c r="D1938" s="20" t="n"/>
      <c r="E1938" s="20" t="n"/>
      <c r="F1938" s="20" t="n"/>
      <c r="G1938" s="20" t="n"/>
      <c r="H1938" s="20" t="n"/>
      <c r="I1938" s="20" t="n"/>
      <c r="J1938" s="20">
        <f>IFERROR(INDEX(CONFIGURACOES!$G$37:$G$300,MATCH($I1938,CONFIGURACOES!$B$37:$B$300,0)),"")</f>
        <v/>
      </c>
      <c r="K1938" s="20">
        <f>IFERROR(INDEX(CONFIGURACOES!$H$37:$H$300,MATCH($I1938,CONFIGURACOES!$B$37:$B$300,0)),"")</f>
        <v/>
      </c>
      <c r="L1938" s="20" t="n"/>
      <c r="M1938" s="20">
        <f>IFERROR(INDEX(CONFIGURACOES!$I$37:$I$300,MATCH($I1938,CONFIGURACOES!$B$37:$B$300,0)),"")</f>
        <v/>
      </c>
      <c r="N1938" s="21" t="n"/>
      <c r="O1938" s="21" t="n"/>
      <c r="P1938" s="21" t="n"/>
      <c r="Q1938" s="21" t="n"/>
      <c r="R1938" s="21">
        <f>IF($N1938="","",$N1938*IF($Q1938="",1,$Q1938)*IF($P1938="",1,$P1938)*IF($O1938="",1,$O1938))</f>
        <v/>
      </c>
      <c r="S1938" s="22">
        <f>IFERROR(INDEX(CONFIGURACOES!$J$37:$J$300,MATCH($I1938,CONFIGURACOES!$B$37:$B$300,0)),"")</f>
        <v/>
      </c>
      <c r="T1938" s="22">
        <f>IF(OR($R1938="",$S1938=""),"",$R1938*$S1938)</f>
        <v/>
      </c>
      <c r="U1938" s="20" t="n"/>
      <c r="V1938" s="20" t="n"/>
      <c r="W1938" s="20" t="n"/>
      <c r="X1938">
        <f>IF($A1938="","",$A1938&amp;"|"&amp;$C1938&amp;"|"&amp;$I1938)</f>
        <v/>
      </c>
      <c r="Y1938">
        <f>IF(AND($A1938=RELATORIO_MEDICAO!$C$5,$C1938=RELATORIO_MEDICAO!$F$5,$A1938&lt;&gt;""),COUNTIFS($A$3:$A1938,RELATORIO_MEDICAO!$C$5,$C$3:$C1938,RELATORIO_MEDICAO!$F$5),"")</f>
        <v/>
      </c>
      <c r="Z1938">
        <f>IF(OR($A1938="",PESQUISA!$C$4=""),0,IF(OR(ISNUMBER(SEARCH(PESQUISA!$C$4,$G1938)),ISNUMBER(SEARCH(PESQUISA!$C$4,$K1938)),ISNUMBER(SEARCH(PESQUISA!$C$4,$L1938))),1,0))</f>
        <v/>
      </c>
      <c r="AA1938">
        <f>IF($Z1938=1,SUM($Z$3:$Z1938),"")</f>
        <v/>
      </c>
      <c r="AB1938">
        <f>IF(OR($A1938="",PESQUISA!$C$50=""),0,IF(ISNUMBER(SEARCH(PESQUISA!$C$50,$I1938)),1,0))</f>
        <v/>
      </c>
      <c r="AC1938">
        <f>IF($AB1938=1,SUM($AB$3:$AB1938),"")</f>
        <v/>
      </c>
    </row>
    <row r="1939">
      <c r="A1939" s="20" t="n"/>
      <c r="B1939" s="20" t="n"/>
      <c r="C1939" s="20" t="n"/>
      <c r="D1939" s="20" t="n"/>
      <c r="E1939" s="20" t="n"/>
      <c r="F1939" s="20" t="n"/>
      <c r="G1939" s="20" t="n"/>
      <c r="H1939" s="20" t="n"/>
      <c r="I1939" s="20" t="n"/>
      <c r="J1939" s="20">
        <f>IFERROR(INDEX(CONFIGURACOES!$G$37:$G$300,MATCH($I1939,CONFIGURACOES!$B$37:$B$300,0)),"")</f>
        <v/>
      </c>
      <c r="K1939" s="20">
        <f>IFERROR(INDEX(CONFIGURACOES!$H$37:$H$300,MATCH($I1939,CONFIGURACOES!$B$37:$B$300,0)),"")</f>
        <v/>
      </c>
      <c r="L1939" s="20" t="n"/>
      <c r="M1939" s="20">
        <f>IFERROR(INDEX(CONFIGURACOES!$I$37:$I$300,MATCH($I1939,CONFIGURACOES!$B$37:$B$300,0)),"")</f>
        <v/>
      </c>
      <c r="N1939" s="21" t="n"/>
      <c r="O1939" s="21" t="n"/>
      <c r="P1939" s="21" t="n"/>
      <c r="Q1939" s="21" t="n"/>
      <c r="R1939" s="21">
        <f>IF($N1939="","",$N1939*IF($Q1939="",1,$Q1939)*IF($P1939="",1,$P1939)*IF($O1939="",1,$O1939))</f>
        <v/>
      </c>
      <c r="S1939" s="22">
        <f>IFERROR(INDEX(CONFIGURACOES!$J$37:$J$300,MATCH($I1939,CONFIGURACOES!$B$37:$B$300,0)),"")</f>
        <v/>
      </c>
      <c r="T1939" s="22">
        <f>IF(OR($R1939="",$S1939=""),"",$R1939*$S1939)</f>
        <v/>
      </c>
      <c r="U1939" s="20" t="n"/>
      <c r="V1939" s="20" t="n"/>
      <c r="W1939" s="20" t="n"/>
      <c r="X1939">
        <f>IF($A1939="","",$A1939&amp;"|"&amp;$C1939&amp;"|"&amp;$I1939)</f>
        <v/>
      </c>
      <c r="Y1939">
        <f>IF(AND($A1939=RELATORIO_MEDICAO!$C$5,$C1939=RELATORIO_MEDICAO!$F$5,$A1939&lt;&gt;""),COUNTIFS($A$3:$A1939,RELATORIO_MEDICAO!$C$5,$C$3:$C1939,RELATORIO_MEDICAO!$F$5),"")</f>
        <v/>
      </c>
      <c r="Z1939">
        <f>IF(OR($A1939="",PESQUISA!$C$4=""),0,IF(OR(ISNUMBER(SEARCH(PESQUISA!$C$4,$G1939)),ISNUMBER(SEARCH(PESQUISA!$C$4,$K1939)),ISNUMBER(SEARCH(PESQUISA!$C$4,$L1939))),1,0))</f>
        <v/>
      </c>
      <c r="AA1939">
        <f>IF($Z1939=1,SUM($Z$3:$Z1939),"")</f>
        <v/>
      </c>
      <c r="AB1939">
        <f>IF(OR($A1939="",PESQUISA!$C$50=""),0,IF(ISNUMBER(SEARCH(PESQUISA!$C$50,$I1939)),1,0))</f>
        <v/>
      </c>
      <c r="AC1939">
        <f>IF($AB1939=1,SUM($AB$3:$AB1939),"")</f>
        <v/>
      </c>
    </row>
    <row r="1940">
      <c r="A1940" s="20" t="n"/>
      <c r="B1940" s="20" t="n"/>
      <c r="C1940" s="20" t="n"/>
      <c r="D1940" s="20" t="n"/>
      <c r="E1940" s="20" t="n"/>
      <c r="F1940" s="20" t="n"/>
      <c r="G1940" s="20" t="n"/>
      <c r="H1940" s="20" t="n"/>
      <c r="I1940" s="20" t="n"/>
      <c r="J1940" s="20">
        <f>IFERROR(INDEX(CONFIGURACOES!$G$37:$G$300,MATCH($I1940,CONFIGURACOES!$B$37:$B$300,0)),"")</f>
        <v/>
      </c>
      <c r="K1940" s="20">
        <f>IFERROR(INDEX(CONFIGURACOES!$H$37:$H$300,MATCH($I1940,CONFIGURACOES!$B$37:$B$300,0)),"")</f>
        <v/>
      </c>
      <c r="L1940" s="20" t="n"/>
      <c r="M1940" s="20">
        <f>IFERROR(INDEX(CONFIGURACOES!$I$37:$I$300,MATCH($I1940,CONFIGURACOES!$B$37:$B$300,0)),"")</f>
        <v/>
      </c>
      <c r="N1940" s="21" t="n"/>
      <c r="O1940" s="21" t="n"/>
      <c r="P1940" s="21" t="n"/>
      <c r="Q1940" s="21" t="n"/>
      <c r="R1940" s="21">
        <f>IF($N1940="","",$N1940*IF($Q1940="",1,$Q1940)*IF($P1940="",1,$P1940)*IF($O1940="",1,$O1940))</f>
        <v/>
      </c>
      <c r="S1940" s="22">
        <f>IFERROR(INDEX(CONFIGURACOES!$J$37:$J$300,MATCH($I1940,CONFIGURACOES!$B$37:$B$300,0)),"")</f>
        <v/>
      </c>
      <c r="T1940" s="22">
        <f>IF(OR($R1940="",$S1940=""),"",$R1940*$S1940)</f>
        <v/>
      </c>
      <c r="U1940" s="20" t="n"/>
      <c r="V1940" s="20" t="n"/>
      <c r="W1940" s="20" t="n"/>
      <c r="X1940">
        <f>IF($A1940="","",$A1940&amp;"|"&amp;$C1940&amp;"|"&amp;$I1940)</f>
        <v/>
      </c>
      <c r="Y1940">
        <f>IF(AND($A1940=RELATORIO_MEDICAO!$C$5,$C1940=RELATORIO_MEDICAO!$F$5,$A1940&lt;&gt;""),COUNTIFS($A$3:$A1940,RELATORIO_MEDICAO!$C$5,$C$3:$C1940,RELATORIO_MEDICAO!$F$5),"")</f>
        <v/>
      </c>
      <c r="Z1940">
        <f>IF(OR($A1940="",PESQUISA!$C$4=""),0,IF(OR(ISNUMBER(SEARCH(PESQUISA!$C$4,$G1940)),ISNUMBER(SEARCH(PESQUISA!$C$4,$K1940)),ISNUMBER(SEARCH(PESQUISA!$C$4,$L1940))),1,0))</f>
        <v/>
      </c>
      <c r="AA1940">
        <f>IF($Z1940=1,SUM($Z$3:$Z1940),"")</f>
        <v/>
      </c>
      <c r="AB1940">
        <f>IF(OR($A1940="",PESQUISA!$C$50=""),0,IF(ISNUMBER(SEARCH(PESQUISA!$C$50,$I1940)),1,0))</f>
        <v/>
      </c>
      <c r="AC1940">
        <f>IF($AB1940=1,SUM($AB$3:$AB1940),"")</f>
        <v/>
      </c>
    </row>
    <row r="1941">
      <c r="A1941" s="20" t="n"/>
      <c r="B1941" s="20" t="n"/>
      <c r="C1941" s="20" t="n"/>
      <c r="D1941" s="20" t="n"/>
      <c r="E1941" s="20" t="n"/>
      <c r="F1941" s="20" t="n"/>
      <c r="G1941" s="20" t="n"/>
      <c r="H1941" s="20" t="n"/>
      <c r="I1941" s="20" t="n"/>
      <c r="J1941" s="20">
        <f>IFERROR(INDEX(CONFIGURACOES!$G$37:$G$300,MATCH($I1941,CONFIGURACOES!$B$37:$B$300,0)),"")</f>
        <v/>
      </c>
      <c r="K1941" s="20">
        <f>IFERROR(INDEX(CONFIGURACOES!$H$37:$H$300,MATCH($I1941,CONFIGURACOES!$B$37:$B$300,0)),"")</f>
        <v/>
      </c>
      <c r="L1941" s="20" t="n"/>
      <c r="M1941" s="20">
        <f>IFERROR(INDEX(CONFIGURACOES!$I$37:$I$300,MATCH($I1941,CONFIGURACOES!$B$37:$B$300,0)),"")</f>
        <v/>
      </c>
      <c r="N1941" s="21" t="n"/>
      <c r="O1941" s="21" t="n"/>
      <c r="P1941" s="21" t="n"/>
      <c r="Q1941" s="21" t="n"/>
      <c r="R1941" s="21">
        <f>IF($N1941="","",$N1941*IF($Q1941="",1,$Q1941)*IF($P1941="",1,$P1941)*IF($O1941="",1,$O1941))</f>
        <v/>
      </c>
      <c r="S1941" s="22">
        <f>IFERROR(INDEX(CONFIGURACOES!$J$37:$J$300,MATCH($I1941,CONFIGURACOES!$B$37:$B$300,0)),"")</f>
        <v/>
      </c>
      <c r="T1941" s="22">
        <f>IF(OR($R1941="",$S1941=""),"",$R1941*$S1941)</f>
        <v/>
      </c>
      <c r="U1941" s="20" t="n"/>
      <c r="V1941" s="20" t="n"/>
      <c r="W1941" s="20" t="n"/>
      <c r="X1941">
        <f>IF($A1941="","",$A1941&amp;"|"&amp;$C1941&amp;"|"&amp;$I1941)</f>
        <v/>
      </c>
      <c r="Y1941">
        <f>IF(AND($A1941=RELATORIO_MEDICAO!$C$5,$C1941=RELATORIO_MEDICAO!$F$5,$A1941&lt;&gt;""),COUNTIFS($A$3:$A1941,RELATORIO_MEDICAO!$C$5,$C$3:$C1941,RELATORIO_MEDICAO!$F$5),"")</f>
        <v/>
      </c>
      <c r="Z1941">
        <f>IF(OR($A1941="",PESQUISA!$C$4=""),0,IF(OR(ISNUMBER(SEARCH(PESQUISA!$C$4,$G1941)),ISNUMBER(SEARCH(PESQUISA!$C$4,$K1941)),ISNUMBER(SEARCH(PESQUISA!$C$4,$L1941))),1,0))</f>
        <v/>
      </c>
      <c r="AA1941">
        <f>IF($Z1941=1,SUM($Z$3:$Z1941),"")</f>
        <v/>
      </c>
      <c r="AB1941">
        <f>IF(OR($A1941="",PESQUISA!$C$50=""),0,IF(ISNUMBER(SEARCH(PESQUISA!$C$50,$I1941)),1,0))</f>
        <v/>
      </c>
      <c r="AC1941">
        <f>IF($AB1941=1,SUM($AB$3:$AB1941),"")</f>
        <v/>
      </c>
    </row>
    <row r="1942">
      <c r="A1942" s="20" t="n"/>
      <c r="B1942" s="20" t="n"/>
      <c r="C1942" s="20" t="n"/>
      <c r="D1942" s="20" t="n"/>
      <c r="E1942" s="20" t="n"/>
      <c r="F1942" s="20" t="n"/>
      <c r="G1942" s="20" t="n"/>
      <c r="H1942" s="20" t="n"/>
      <c r="I1942" s="20" t="n"/>
      <c r="J1942" s="20">
        <f>IFERROR(INDEX(CONFIGURACOES!$G$37:$G$300,MATCH($I1942,CONFIGURACOES!$B$37:$B$300,0)),"")</f>
        <v/>
      </c>
      <c r="K1942" s="20">
        <f>IFERROR(INDEX(CONFIGURACOES!$H$37:$H$300,MATCH($I1942,CONFIGURACOES!$B$37:$B$300,0)),"")</f>
        <v/>
      </c>
      <c r="L1942" s="20" t="n"/>
      <c r="M1942" s="20">
        <f>IFERROR(INDEX(CONFIGURACOES!$I$37:$I$300,MATCH($I1942,CONFIGURACOES!$B$37:$B$300,0)),"")</f>
        <v/>
      </c>
      <c r="N1942" s="21" t="n"/>
      <c r="O1942" s="21" t="n"/>
      <c r="P1942" s="21" t="n"/>
      <c r="Q1942" s="21" t="n"/>
      <c r="R1942" s="21">
        <f>IF($N1942="","",$N1942*IF($Q1942="",1,$Q1942)*IF($P1942="",1,$P1942)*IF($O1942="",1,$O1942))</f>
        <v/>
      </c>
      <c r="S1942" s="22">
        <f>IFERROR(INDEX(CONFIGURACOES!$J$37:$J$300,MATCH($I1942,CONFIGURACOES!$B$37:$B$300,0)),"")</f>
        <v/>
      </c>
      <c r="T1942" s="22">
        <f>IF(OR($R1942="",$S1942=""),"",$R1942*$S1942)</f>
        <v/>
      </c>
      <c r="U1942" s="20" t="n"/>
      <c r="V1942" s="20" t="n"/>
      <c r="W1942" s="20" t="n"/>
      <c r="X1942">
        <f>IF($A1942="","",$A1942&amp;"|"&amp;$C1942&amp;"|"&amp;$I1942)</f>
        <v/>
      </c>
      <c r="Y1942">
        <f>IF(AND($A1942=RELATORIO_MEDICAO!$C$5,$C1942=RELATORIO_MEDICAO!$F$5,$A1942&lt;&gt;""),COUNTIFS($A$3:$A1942,RELATORIO_MEDICAO!$C$5,$C$3:$C1942,RELATORIO_MEDICAO!$F$5),"")</f>
        <v/>
      </c>
      <c r="Z1942">
        <f>IF(OR($A1942="",PESQUISA!$C$4=""),0,IF(OR(ISNUMBER(SEARCH(PESQUISA!$C$4,$G1942)),ISNUMBER(SEARCH(PESQUISA!$C$4,$K1942)),ISNUMBER(SEARCH(PESQUISA!$C$4,$L1942))),1,0))</f>
        <v/>
      </c>
      <c r="AA1942">
        <f>IF($Z1942=1,SUM($Z$3:$Z1942),"")</f>
        <v/>
      </c>
      <c r="AB1942">
        <f>IF(OR($A1942="",PESQUISA!$C$50=""),0,IF(ISNUMBER(SEARCH(PESQUISA!$C$50,$I1942)),1,0))</f>
        <v/>
      </c>
      <c r="AC1942">
        <f>IF($AB1942=1,SUM($AB$3:$AB1942),"")</f>
        <v/>
      </c>
    </row>
    <row r="1943">
      <c r="A1943" s="20" t="n"/>
      <c r="B1943" s="20" t="n"/>
      <c r="C1943" s="20" t="n"/>
      <c r="D1943" s="20" t="n"/>
      <c r="E1943" s="20" t="n"/>
      <c r="F1943" s="20" t="n"/>
      <c r="G1943" s="20" t="n"/>
      <c r="H1943" s="20" t="n"/>
      <c r="I1943" s="20" t="n"/>
      <c r="J1943" s="20">
        <f>IFERROR(INDEX(CONFIGURACOES!$G$37:$G$300,MATCH($I1943,CONFIGURACOES!$B$37:$B$300,0)),"")</f>
        <v/>
      </c>
      <c r="K1943" s="20">
        <f>IFERROR(INDEX(CONFIGURACOES!$H$37:$H$300,MATCH($I1943,CONFIGURACOES!$B$37:$B$300,0)),"")</f>
        <v/>
      </c>
      <c r="L1943" s="20" t="n"/>
      <c r="M1943" s="20">
        <f>IFERROR(INDEX(CONFIGURACOES!$I$37:$I$300,MATCH($I1943,CONFIGURACOES!$B$37:$B$300,0)),"")</f>
        <v/>
      </c>
      <c r="N1943" s="21" t="n"/>
      <c r="O1943" s="21" t="n"/>
      <c r="P1943" s="21" t="n"/>
      <c r="Q1943" s="21" t="n"/>
      <c r="R1943" s="21">
        <f>IF($N1943="","",$N1943*IF($Q1943="",1,$Q1943)*IF($P1943="",1,$P1943)*IF($O1943="",1,$O1943))</f>
        <v/>
      </c>
      <c r="S1943" s="22">
        <f>IFERROR(INDEX(CONFIGURACOES!$J$37:$J$300,MATCH($I1943,CONFIGURACOES!$B$37:$B$300,0)),"")</f>
        <v/>
      </c>
      <c r="T1943" s="22">
        <f>IF(OR($R1943="",$S1943=""),"",$R1943*$S1943)</f>
        <v/>
      </c>
      <c r="U1943" s="20" t="n"/>
      <c r="V1943" s="20" t="n"/>
      <c r="W1943" s="20" t="n"/>
      <c r="X1943">
        <f>IF($A1943="","",$A1943&amp;"|"&amp;$C1943&amp;"|"&amp;$I1943)</f>
        <v/>
      </c>
      <c r="Y1943">
        <f>IF(AND($A1943=RELATORIO_MEDICAO!$C$5,$C1943=RELATORIO_MEDICAO!$F$5,$A1943&lt;&gt;""),COUNTIFS($A$3:$A1943,RELATORIO_MEDICAO!$C$5,$C$3:$C1943,RELATORIO_MEDICAO!$F$5),"")</f>
        <v/>
      </c>
      <c r="Z1943">
        <f>IF(OR($A1943="",PESQUISA!$C$4=""),0,IF(OR(ISNUMBER(SEARCH(PESQUISA!$C$4,$G1943)),ISNUMBER(SEARCH(PESQUISA!$C$4,$K1943)),ISNUMBER(SEARCH(PESQUISA!$C$4,$L1943))),1,0))</f>
        <v/>
      </c>
      <c r="AA1943">
        <f>IF($Z1943=1,SUM($Z$3:$Z1943),"")</f>
        <v/>
      </c>
      <c r="AB1943">
        <f>IF(OR($A1943="",PESQUISA!$C$50=""),0,IF(ISNUMBER(SEARCH(PESQUISA!$C$50,$I1943)),1,0))</f>
        <v/>
      </c>
      <c r="AC1943">
        <f>IF($AB1943=1,SUM($AB$3:$AB1943),"")</f>
        <v/>
      </c>
    </row>
    <row r="1944">
      <c r="A1944" s="20" t="n"/>
      <c r="B1944" s="20" t="n"/>
      <c r="C1944" s="20" t="n"/>
      <c r="D1944" s="20" t="n"/>
      <c r="E1944" s="20" t="n"/>
      <c r="F1944" s="20" t="n"/>
      <c r="G1944" s="20" t="n"/>
      <c r="H1944" s="20" t="n"/>
      <c r="I1944" s="20" t="n"/>
      <c r="J1944" s="20">
        <f>IFERROR(INDEX(CONFIGURACOES!$G$37:$G$300,MATCH($I1944,CONFIGURACOES!$B$37:$B$300,0)),"")</f>
        <v/>
      </c>
      <c r="K1944" s="20">
        <f>IFERROR(INDEX(CONFIGURACOES!$H$37:$H$300,MATCH($I1944,CONFIGURACOES!$B$37:$B$300,0)),"")</f>
        <v/>
      </c>
      <c r="L1944" s="20" t="n"/>
      <c r="M1944" s="20">
        <f>IFERROR(INDEX(CONFIGURACOES!$I$37:$I$300,MATCH($I1944,CONFIGURACOES!$B$37:$B$300,0)),"")</f>
        <v/>
      </c>
      <c r="N1944" s="21" t="n"/>
      <c r="O1944" s="21" t="n"/>
      <c r="P1944" s="21" t="n"/>
      <c r="Q1944" s="21" t="n"/>
      <c r="R1944" s="21">
        <f>IF($N1944="","",$N1944*IF($Q1944="",1,$Q1944)*IF($P1944="",1,$P1944)*IF($O1944="",1,$O1944))</f>
        <v/>
      </c>
      <c r="S1944" s="22">
        <f>IFERROR(INDEX(CONFIGURACOES!$J$37:$J$300,MATCH($I1944,CONFIGURACOES!$B$37:$B$300,0)),"")</f>
        <v/>
      </c>
      <c r="T1944" s="22">
        <f>IF(OR($R1944="",$S1944=""),"",$R1944*$S1944)</f>
        <v/>
      </c>
      <c r="U1944" s="20" t="n"/>
      <c r="V1944" s="20" t="n"/>
      <c r="W1944" s="20" t="n"/>
      <c r="X1944">
        <f>IF($A1944="","",$A1944&amp;"|"&amp;$C1944&amp;"|"&amp;$I1944)</f>
        <v/>
      </c>
      <c r="Y1944">
        <f>IF(AND($A1944=RELATORIO_MEDICAO!$C$5,$C1944=RELATORIO_MEDICAO!$F$5,$A1944&lt;&gt;""),COUNTIFS($A$3:$A1944,RELATORIO_MEDICAO!$C$5,$C$3:$C1944,RELATORIO_MEDICAO!$F$5),"")</f>
        <v/>
      </c>
      <c r="Z1944">
        <f>IF(OR($A1944="",PESQUISA!$C$4=""),0,IF(OR(ISNUMBER(SEARCH(PESQUISA!$C$4,$G1944)),ISNUMBER(SEARCH(PESQUISA!$C$4,$K1944)),ISNUMBER(SEARCH(PESQUISA!$C$4,$L1944))),1,0))</f>
        <v/>
      </c>
      <c r="AA1944">
        <f>IF($Z1944=1,SUM($Z$3:$Z1944),"")</f>
        <v/>
      </c>
      <c r="AB1944">
        <f>IF(OR($A1944="",PESQUISA!$C$50=""),0,IF(ISNUMBER(SEARCH(PESQUISA!$C$50,$I1944)),1,0))</f>
        <v/>
      </c>
      <c r="AC1944">
        <f>IF($AB1944=1,SUM($AB$3:$AB1944),"")</f>
        <v/>
      </c>
    </row>
    <row r="1945">
      <c r="A1945" s="20" t="n"/>
      <c r="B1945" s="20" t="n"/>
      <c r="C1945" s="20" t="n"/>
      <c r="D1945" s="20" t="n"/>
      <c r="E1945" s="20" t="n"/>
      <c r="F1945" s="20" t="n"/>
      <c r="G1945" s="20" t="n"/>
      <c r="H1945" s="20" t="n"/>
      <c r="I1945" s="20" t="n"/>
      <c r="J1945" s="20">
        <f>IFERROR(INDEX(CONFIGURACOES!$G$37:$G$300,MATCH($I1945,CONFIGURACOES!$B$37:$B$300,0)),"")</f>
        <v/>
      </c>
      <c r="K1945" s="20">
        <f>IFERROR(INDEX(CONFIGURACOES!$H$37:$H$300,MATCH($I1945,CONFIGURACOES!$B$37:$B$300,0)),"")</f>
        <v/>
      </c>
      <c r="L1945" s="20" t="n"/>
      <c r="M1945" s="20">
        <f>IFERROR(INDEX(CONFIGURACOES!$I$37:$I$300,MATCH($I1945,CONFIGURACOES!$B$37:$B$300,0)),"")</f>
        <v/>
      </c>
      <c r="N1945" s="21" t="n"/>
      <c r="O1945" s="21" t="n"/>
      <c r="P1945" s="21" t="n"/>
      <c r="Q1945" s="21" t="n"/>
      <c r="R1945" s="21">
        <f>IF($N1945="","",$N1945*IF($Q1945="",1,$Q1945)*IF($P1945="",1,$P1945)*IF($O1945="",1,$O1945))</f>
        <v/>
      </c>
      <c r="S1945" s="22">
        <f>IFERROR(INDEX(CONFIGURACOES!$J$37:$J$300,MATCH($I1945,CONFIGURACOES!$B$37:$B$300,0)),"")</f>
        <v/>
      </c>
      <c r="T1945" s="22">
        <f>IF(OR($R1945="",$S1945=""),"",$R1945*$S1945)</f>
        <v/>
      </c>
      <c r="U1945" s="20" t="n"/>
      <c r="V1945" s="20" t="n"/>
      <c r="W1945" s="20" t="n"/>
      <c r="X1945">
        <f>IF($A1945="","",$A1945&amp;"|"&amp;$C1945&amp;"|"&amp;$I1945)</f>
        <v/>
      </c>
      <c r="Y1945">
        <f>IF(AND($A1945=RELATORIO_MEDICAO!$C$5,$C1945=RELATORIO_MEDICAO!$F$5,$A1945&lt;&gt;""),COUNTIFS($A$3:$A1945,RELATORIO_MEDICAO!$C$5,$C$3:$C1945,RELATORIO_MEDICAO!$F$5),"")</f>
        <v/>
      </c>
      <c r="Z1945">
        <f>IF(OR($A1945="",PESQUISA!$C$4=""),0,IF(OR(ISNUMBER(SEARCH(PESQUISA!$C$4,$G1945)),ISNUMBER(SEARCH(PESQUISA!$C$4,$K1945)),ISNUMBER(SEARCH(PESQUISA!$C$4,$L1945))),1,0))</f>
        <v/>
      </c>
      <c r="AA1945">
        <f>IF($Z1945=1,SUM($Z$3:$Z1945),"")</f>
        <v/>
      </c>
      <c r="AB1945">
        <f>IF(OR($A1945="",PESQUISA!$C$50=""),0,IF(ISNUMBER(SEARCH(PESQUISA!$C$50,$I1945)),1,0))</f>
        <v/>
      </c>
      <c r="AC1945">
        <f>IF($AB1945=1,SUM($AB$3:$AB1945),"")</f>
        <v/>
      </c>
    </row>
    <row r="1946">
      <c r="A1946" s="20" t="n"/>
      <c r="B1946" s="20" t="n"/>
      <c r="C1946" s="20" t="n"/>
      <c r="D1946" s="20" t="n"/>
      <c r="E1946" s="20" t="n"/>
      <c r="F1946" s="20" t="n"/>
      <c r="G1946" s="20" t="n"/>
      <c r="H1946" s="20" t="n"/>
      <c r="I1946" s="20" t="n"/>
      <c r="J1946" s="20">
        <f>IFERROR(INDEX(CONFIGURACOES!$G$37:$G$300,MATCH($I1946,CONFIGURACOES!$B$37:$B$300,0)),"")</f>
        <v/>
      </c>
      <c r="K1946" s="20">
        <f>IFERROR(INDEX(CONFIGURACOES!$H$37:$H$300,MATCH($I1946,CONFIGURACOES!$B$37:$B$300,0)),"")</f>
        <v/>
      </c>
      <c r="L1946" s="20" t="n"/>
      <c r="M1946" s="20">
        <f>IFERROR(INDEX(CONFIGURACOES!$I$37:$I$300,MATCH($I1946,CONFIGURACOES!$B$37:$B$300,0)),"")</f>
        <v/>
      </c>
      <c r="N1946" s="21" t="n"/>
      <c r="O1946" s="21" t="n"/>
      <c r="P1946" s="21" t="n"/>
      <c r="Q1946" s="21" t="n"/>
      <c r="R1946" s="21">
        <f>IF($N1946="","",$N1946*IF($Q1946="",1,$Q1946)*IF($P1946="",1,$P1946)*IF($O1946="",1,$O1946))</f>
        <v/>
      </c>
      <c r="S1946" s="22">
        <f>IFERROR(INDEX(CONFIGURACOES!$J$37:$J$300,MATCH($I1946,CONFIGURACOES!$B$37:$B$300,0)),"")</f>
        <v/>
      </c>
      <c r="T1946" s="22">
        <f>IF(OR($R1946="",$S1946=""),"",$R1946*$S1946)</f>
        <v/>
      </c>
      <c r="U1946" s="20" t="n"/>
      <c r="V1946" s="20" t="n"/>
      <c r="W1946" s="20" t="n"/>
      <c r="X1946">
        <f>IF($A1946="","",$A1946&amp;"|"&amp;$C1946&amp;"|"&amp;$I1946)</f>
        <v/>
      </c>
      <c r="Y1946">
        <f>IF(AND($A1946=RELATORIO_MEDICAO!$C$5,$C1946=RELATORIO_MEDICAO!$F$5,$A1946&lt;&gt;""),COUNTIFS($A$3:$A1946,RELATORIO_MEDICAO!$C$5,$C$3:$C1946,RELATORIO_MEDICAO!$F$5),"")</f>
        <v/>
      </c>
      <c r="Z1946">
        <f>IF(OR($A1946="",PESQUISA!$C$4=""),0,IF(OR(ISNUMBER(SEARCH(PESQUISA!$C$4,$G1946)),ISNUMBER(SEARCH(PESQUISA!$C$4,$K1946)),ISNUMBER(SEARCH(PESQUISA!$C$4,$L1946))),1,0))</f>
        <v/>
      </c>
      <c r="AA1946">
        <f>IF($Z1946=1,SUM($Z$3:$Z1946),"")</f>
        <v/>
      </c>
      <c r="AB1946">
        <f>IF(OR($A1946="",PESQUISA!$C$50=""),0,IF(ISNUMBER(SEARCH(PESQUISA!$C$50,$I1946)),1,0))</f>
        <v/>
      </c>
      <c r="AC1946">
        <f>IF($AB1946=1,SUM($AB$3:$AB1946),"")</f>
        <v/>
      </c>
    </row>
    <row r="1947">
      <c r="A1947" s="20" t="n"/>
      <c r="B1947" s="20" t="n"/>
      <c r="C1947" s="20" t="n"/>
      <c r="D1947" s="20" t="n"/>
      <c r="E1947" s="20" t="n"/>
      <c r="F1947" s="20" t="n"/>
      <c r="G1947" s="20" t="n"/>
      <c r="H1947" s="20" t="n"/>
      <c r="I1947" s="20" t="n"/>
      <c r="J1947" s="20">
        <f>IFERROR(INDEX(CONFIGURACOES!$G$37:$G$300,MATCH($I1947,CONFIGURACOES!$B$37:$B$300,0)),"")</f>
        <v/>
      </c>
      <c r="K1947" s="20">
        <f>IFERROR(INDEX(CONFIGURACOES!$H$37:$H$300,MATCH($I1947,CONFIGURACOES!$B$37:$B$300,0)),"")</f>
        <v/>
      </c>
      <c r="L1947" s="20" t="n"/>
      <c r="M1947" s="20">
        <f>IFERROR(INDEX(CONFIGURACOES!$I$37:$I$300,MATCH($I1947,CONFIGURACOES!$B$37:$B$300,0)),"")</f>
        <v/>
      </c>
      <c r="N1947" s="21" t="n"/>
      <c r="O1947" s="21" t="n"/>
      <c r="P1947" s="21" t="n"/>
      <c r="Q1947" s="21" t="n"/>
      <c r="R1947" s="21">
        <f>IF($N1947="","",$N1947*IF($Q1947="",1,$Q1947)*IF($P1947="",1,$P1947)*IF($O1947="",1,$O1947))</f>
        <v/>
      </c>
      <c r="S1947" s="22">
        <f>IFERROR(INDEX(CONFIGURACOES!$J$37:$J$300,MATCH($I1947,CONFIGURACOES!$B$37:$B$300,0)),"")</f>
        <v/>
      </c>
      <c r="T1947" s="22">
        <f>IF(OR($R1947="",$S1947=""),"",$R1947*$S1947)</f>
        <v/>
      </c>
      <c r="U1947" s="20" t="n"/>
      <c r="V1947" s="20" t="n"/>
      <c r="W1947" s="20" t="n"/>
      <c r="X1947">
        <f>IF($A1947="","",$A1947&amp;"|"&amp;$C1947&amp;"|"&amp;$I1947)</f>
        <v/>
      </c>
      <c r="Y1947">
        <f>IF(AND($A1947=RELATORIO_MEDICAO!$C$5,$C1947=RELATORIO_MEDICAO!$F$5,$A1947&lt;&gt;""),COUNTIFS($A$3:$A1947,RELATORIO_MEDICAO!$C$5,$C$3:$C1947,RELATORIO_MEDICAO!$F$5),"")</f>
        <v/>
      </c>
      <c r="Z1947">
        <f>IF(OR($A1947="",PESQUISA!$C$4=""),0,IF(OR(ISNUMBER(SEARCH(PESQUISA!$C$4,$G1947)),ISNUMBER(SEARCH(PESQUISA!$C$4,$K1947)),ISNUMBER(SEARCH(PESQUISA!$C$4,$L1947))),1,0))</f>
        <v/>
      </c>
      <c r="AA1947">
        <f>IF($Z1947=1,SUM($Z$3:$Z1947),"")</f>
        <v/>
      </c>
      <c r="AB1947">
        <f>IF(OR($A1947="",PESQUISA!$C$50=""),0,IF(ISNUMBER(SEARCH(PESQUISA!$C$50,$I1947)),1,0))</f>
        <v/>
      </c>
      <c r="AC1947">
        <f>IF($AB1947=1,SUM($AB$3:$AB1947),"")</f>
        <v/>
      </c>
    </row>
    <row r="1948">
      <c r="A1948" s="20" t="n"/>
      <c r="B1948" s="20" t="n"/>
      <c r="C1948" s="20" t="n"/>
      <c r="D1948" s="20" t="n"/>
      <c r="E1948" s="20" t="n"/>
      <c r="F1948" s="20" t="n"/>
      <c r="G1948" s="20" t="n"/>
      <c r="H1948" s="20" t="n"/>
      <c r="I1948" s="20" t="n"/>
      <c r="J1948" s="20">
        <f>IFERROR(INDEX(CONFIGURACOES!$G$37:$G$300,MATCH($I1948,CONFIGURACOES!$B$37:$B$300,0)),"")</f>
        <v/>
      </c>
      <c r="K1948" s="20">
        <f>IFERROR(INDEX(CONFIGURACOES!$H$37:$H$300,MATCH($I1948,CONFIGURACOES!$B$37:$B$300,0)),"")</f>
        <v/>
      </c>
      <c r="L1948" s="20" t="n"/>
      <c r="M1948" s="20">
        <f>IFERROR(INDEX(CONFIGURACOES!$I$37:$I$300,MATCH($I1948,CONFIGURACOES!$B$37:$B$300,0)),"")</f>
        <v/>
      </c>
      <c r="N1948" s="21" t="n"/>
      <c r="O1948" s="21" t="n"/>
      <c r="P1948" s="21" t="n"/>
      <c r="Q1948" s="21" t="n"/>
      <c r="R1948" s="21">
        <f>IF($N1948="","",$N1948*IF($Q1948="",1,$Q1948)*IF($P1948="",1,$P1948)*IF($O1948="",1,$O1948))</f>
        <v/>
      </c>
      <c r="S1948" s="22">
        <f>IFERROR(INDEX(CONFIGURACOES!$J$37:$J$300,MATCH($I1948,CONFIGURACOES!$B$37:$B$300,0)),"")</f>
        <v/>
      </c>
      <c r="T1948" s="22">
        <f>IF(OR($R1948="",$S1948=""),"",$R1948*$S1948)</f>
        <v/>
      </c>
      <c r="U1948" s="20" t="n"/>
      <c r="V1948" s="20" t="n"/>
      <c r="W1948" s="20" t="n"/>
      <c r="X1948">
        <f>IF($A1948="","",$A1948&amp;"|"&amp;$C1948&amp;"|"&amp;$I1948)</f>
        <v/>
      </c>
      <c r="Y1948">
        <f>IF(AND($A1948=RELATORIO_MEDICAO!$C$5,$C1948=RELATORIO_MEDICAO!$F$5,$A1948&lt;&gt;""),COUNTIFS($A$3:$A1948,RELATORIO_MEDICAO!$C$5,$C$3:$C1948,RELATORIO_MEDICAO!$F$5),"")</f>
        <v/>
      </c>
      <c r="Z1948">
        <f>IF(OR($A1948="",PESQUISA!$C$4=""),0,IF(OR(ISNUMBER(SEARCH(PESQUISA!$C$4,$G1948)),ISNUMBER(SEARCH(PESQUISA!$C$4,$K1948)),ISNUMBER(SEARCH(PESQUISA!$C$4,$L1948))),1,0))</f>
        <v/>
      </c>
      <c r="AA1948">
        <f>IF($Z1948=1,SUM($Z$3:$Z1948),"")</f>
        <v/>
      </c>
      <c r="AB1948">
        <f>IF(OR($A1948="",PESQUISA!$C$50=""),0,IF(ISNUMBER(SEARCH(PESQUISA!$C$50,$I1948)),1,0))</f>
        <v/>
      </c>
      <c r="AC1948">
        <f>IF($AB1948=1,SUM($AB$3:$AB1948),"")</f>
        <v/>
      </c>
    </row>
    <row r="1949">
      <c r="A1949" s="20" t="n"/>
      <c r="B1949" s="20" t="n"/>
      <c r="C1949" s="20" t="n"/>
      <c r="D1949" s="20" t="n"/>
      <c r="E1949" s="20" t="n"/>
      <c r="F1949" s="20" t="n"/>
      <c r="G1949" s="20" t="n"/>
      <c r="H1949" s="20" t="n"/>
      <c r="I1949" s="20" t="n"/>
      <c r="J1949" s="20">
        <f>IFERROR(INDEX(CONFIGURACOES!$G$37:$G$300,MATCH($I1949,CONFIGURACOES!$B$37:$B$300,0)),"")</f>
        <v/>
      </c>
      <c r="K1949" s="20">
        <f>IFERROR(INDEX(CONFIGURACOES!$H$37:$H$300,MATCH($I1949,CONFIGURACOES!$B$37:$B$300,0)),"")</f>
        <v/>
      </c>
      <c r="L1949" s="20" t="n"/>
      <c r="M1949" s="20">
        <f>IFERROR(INDEX(CONFIGURACOES!$I$37:$I$300,MATCH($I1949,CONFIGURACOES!$B$37:$B$300,0)),"")</f>
        <v/>
      </c>
      <c r="N1949" s="21" t="n"/>
      <c r="O1949" s="21" t="n"/>
      <c r="P1949" s="21" t="n"/>
      <c r="Q1949" s="21" t="n"/>
      <c r="R1949" s="21">
        <f>IF($N1949="","",$N1949*IF($Q1949="",1,$Q1949)*IF($P1949="",1,$P1949)*IF($O1949="",1,$O1949))</f>
        <v/>
      </c>
      <c r="S1949" s="22">
        <f>IFERROR(INDEX(CONFIGURACOES!$J$37:$J$300,MATCH($I1949,CONFIGURACOES!$B$37:$B$300,0)),"")</f>
        <v/>
      </c>
      <c r="T1949" s="22">
        <f>IF(OR($R1949="",$S1949=""),"",$R1949*$S1949)</f>
        <v/>
      </c>
      <c r="U1949" s="20" t="n"/>
      <c r="V1949" s="20" t="n"/>
      <c r="W1949" s="20" t="n"/>
      <c r="X1949">
        <f>IF($A1949="","",$A1949&amp;"|"&amp;$C1949&amp;"|"&amp;$I1949)</f>
        <v/>
      </c>
      <c r="Y1949">
        <f>IF(AND($A1949=RELATORIO_MEDICAO!$C$5,$C1949=RELATORIO_MEDICAO!$F$5,$A1949&lt;&gt;""),COUNTIFS($A$3:$A1949,RELATORIO_MEDICAO!$C$5,$C$3:$C1949,RELATORIO_MEDICAO!$F$5),"")</f>
        <v/>
      </c>
      <c r="Z1949">
        <f>IF(OR($A1949="",PESQUISA!$C$4=""),0,IF(OR(ISNUMBER(SEARCH(PESQUISA!$C$4,$G1949)),ISNUMBER(SEARCH(PESQUISA!$C$4,$K1949)),ISNUMBER(SEARCH(PESQUISA!$C$4,$L1949))),1,0))</f>
        <v/>
      </c>
      <c r="AA1949">
        <f>IF($Z1949=1,SUM($Z$3:$Z1949),"")</f>
        <v/>
      </c>
      <c r="AB1949">
        <f>IF(OR($A1949="",PESQUISA!$C$50=""),0,IF(ISNUMBER(SEARCH(PESQUISA!$C$50,$I1949)),1,0))</f>
        <v/>
      </c>
      <c r="AC1949">
        <f>IF($AB1949=1,SUM($AB$3:$AB1949),"")</f>
        <v/>
      </c>
    </row>
    <row r="1950">
      <c r="A1950" s="20" t="n"/>
      <c r="B1950" s="20" t="n"/>
      <c r="C1950" s="20" t="n"/>
      <c r="D1950" s="20" t="n"/>
      <c r="E1950" s="20" t="n"/>
      <c r="F1950" s="20" t="n"/>
      <c r="G1950" s="20" t="n"/>
      <c r="H1950" s="20" t="n"/>
      <c r="I1950" s="20" t="n"/>
      <c r="J1950" s="20">
        <f>IFERROR(INDEX(CONFIGURACOES!$G$37:$G$300,MATCH($I1950,CONFIGURACOES!$B$37:$B$300,0)),"")</f>
        <v/>
      </c>
      <c r="K1950" s="20">
        <f>IFERROR(INDEX(CONFIGURACOES!$H$37:$H$300,MATCH($I1950,CONFIGURACOES!$B$37:$B$300,0)),"")</f>
        <v/>
      </c>
      <c r="L1950" s="20" t="n"/>
      <c r="M1950" s="20">
        <f>IFERROR(INDEX(CONFIGURACOES!$I$37:$I$300,MATCH($I1950,CONFIGURACOES!$B$37:$B$300,0)),"")</f>
        <v/>
      </c>
      <c r="N1950" s="21" t="n"/>
      <c r="O1950" s="21" t="n"/>
      <c r="P1950" s="21" t="n"/>
      <c r="Q1950" s="21" t="n"/>
      <c r="R1950" s="21">
        <f>IF($N1950="","",$N1950*IF($Q1950="",1,$Q1950)*IF($P1950="",1,$P1950)*IF($O1950="",1,$O1950))</f>
        <v/>
      </c>
      <c r="S1950" s="22">
        <f>IFERROR(INDEX(CONFIGURACOES!$J$37:$J$300,MATCH($I1950,CONFIGURACOES!$B$37:$B$300,0)),"")</f>
        <v/>
      </c>
      <c r="T1950" s="22">
        <f>IF(OR($R1950="",$S1950=""),"",$R1950*$S1950)</f>
        <v/>
      </c>
      <c r="U1950" s="20" t="n"/>
      <c r="V1950" s="20" t="n"/>
      <c r="W1950" s="20" t="n"/>
      <c r="X1950">
        <f>IF($A1950="","",$A1950&amp;"|"&amp;$C1950&amp;"|"&amp;$I1950)</f>
        <v/>
      </c>
      <c r="Y1950">
        <f>IF(AND($A1950=RELATORIO_MEDICAO!$C$5,$C1950=RELATORIO_MEDICAO!$F$5,$A1950&lt;&gt;""),COUNTIFS($A$3:$A1950,RELATORIO_MEDICAO!$C$5,$C$3:$C1950,RELATORIO_MEDICAO!$F$5),"")</f>
        <v/>
      </c>
      <c r="Z1950">
        <f>IF(OR($A1950="",PESQUISA!$C$4=""),0,IF(OR(ISNUMBER(SEARCH(PESQUISA!$C$4,$G1950)),ISNUMBER(SEARCH(PESQUISA!$C$4,$K1950)),ISNUMBER(SEARCH(PESQUISA!$C$4,$L1950))),1,0))</f>
        <v/>
      </c>
      <c r="AA1950">
        <f>IF($Z1950=1,SUM($Z$3:$Z1950),"")</f>
        <v/>
      </c>
      <c r="AB1950">
        <f>IF(OR($A1950="",PESQUISA!$C$50=""),0,IF(ISNUMBER(SEARCH(PESQUISA!$C$50,$I1950)),1,0))</f>
        <v/>
      </c>
      <c r="AC1950">
        <f>IF($AB1950=1,SUM($AB$3:$AB1950),"")</f>
        <v/>
      </c>
    </row>
    <row r="1951">
      <c r="A1951" s="20" t="n"/>
      <c r="B1951" s="20" t="n"/>
      <c r="C1951" s="20" t="n"/>
      <c r="D1951" s="20" t="n"/>
      <c r="E1951" s="20" t="n"/>
      <c r="F1951" s="20" t="n"/>
      <c r="G1951" s="20" t="n"/>
      <c r="H1951" s="20" t="n"/>
      <c r="I1951" s="20" t="n"/>
      <c r="J1951" s="20">
        <f>IFERROR(INDEX(CONFIGURACOES!$G$37:$G$300,MATCH($I1951,CONFIGURACOES!$B$37:$B$300,0)),"")</f>
        <v/>
      </c>
      <c r="K1951" s="20">
        <f>IFERROR(INDEX(CONFIGURACOES!$H$37:$H$300,MATCH($I1951,CONFIGURACOES!$B$37:$B$300,0)),"")</f>
        <v/>
      </c>
      <c r="L1951" s="20" t="n"/>
      <c r="M1951" s="20">
        <f>IFERROR(INDEX(CONFIGURACOES!$I$37:$I$300,MATCH($I1951,CONFIGURACOES!$B$37:$B$300,0)),"")</f>
        <v/>
      </c>
      <c r="N1951" s="21" t="n"/>
      <c r="O1951" s="21" t="n"/>
      <c r="P1951" s="21" t="n"/>
      <c r="Q1951" s="21" t="n"/>
      <c r="R1951" s="21">
        <f>IF($N1951="","",$N1951*IF($Q1951="",1,$Q1951)*IF($P1951="",1,$P1951)*IF($O1951="",1,$O1951))</f>
        <v/>
      </c>
      <c r="S1951" s="22">
        <f>IFERROR(INDEX(CONFIGURACOES!$J$37:$J$300,MATCH($I1951,CONFIGURACOES!$B$37:$B$300,0)),"")</f>
        <v/>
      </c>
      <c r="T1951" s="22">
        <f>IF(OR($R1951="",$S1951=""),"",$R1951*$S1951)</f>
        <v/>
      </c>
      <c r="U1951" s="20" t="n"/>
      <c r="V1951" s="20" t="n"/>
      <c r="W1951" s="20" t="n"/>
      <c r="X1951">
        <f>IF($A1951="","",$A1951&amp;"|"&amp;$C1951&amp;"|"&amp;$I1951)</f>
        <v/>
      </c>
      <c r="Y1951">
        <f>IF(AND($A1951=RELATORIO_MEDICAO!$C$5,$C1951=RELATORIO_MEDICAO!$F$5,$A1951&lt;&gt;""),COUNTIFS($A$3:$A1951,RELATORIO_MEDICAO!$C$5,$C$3:$C1951,RELATORIO_MEDICAO!$F$5),"")</f>
        <v/>
      </c>
      <c r="Z1951">
        <f>IF(OR($A1951="",PESQUISA!$C$4=""),0,IF(OR(ISNUMBER(SEARCH(PESQUISA!$C$4,$G1951)),ISNUMBER(SEARCH(PESQUISA!$C$4,$K1951)),ISNUMBER(SEARCH(PESQUISA!$C$4,$L1951))),1,0))</f>
        <v/>
      </c>
      <c r="AA1951">
        <f>IF($Z1951=1,SUM($Z$3:$Z1951),"")</f>
        <v/>
      </c>
      <c r="AB1951">
        <f>IF(OR($A1951="",PESQUISA!$C$50=""),0,IF(ISNUMBER(SEARCH(PESQUISA!$C$50,$I1951)),1,0))</f>
        <v/>
      </c>
      <c r="AC1951">
        <f>IF($AB1951=1,SUM($AB$3:$AB1951),"")</f>
        <v/>
      </c>
    </row>
    <row r="1952">
      <c r="A1952" s="20" t="n"/>
      <c r="B1952" s="20" t="n"/>
      <c r="C1952" s="20" t="n"/>
      <c r="D1952" s="20" t="n"/>
      <c r="E1952" s="20" t="n"/>
      <c r="F1952" s="20" t="n"/>
      <c r="G1952" s="20" t="n"/>
      <c r="H1952" s="20" t="n"/>
      <c r="I1952" s="20" t="n"/>
      <c r="J1952" s="20">
        <f>IFERROR(INDEX(CONFIGURACOES!$G$37:$G$300,MATCH($I1952,CONFIGURACOES!$B$37:$B$300,0)),"")</f>
        <v/>
      </c>
      <c r="K1952" s="20">
        <f>IFERROR(INDEX(CONFIGURACOES!$H$37:$H$300,MATCH($I1952,CONFIGURACOES!$B$37:$B$300,0)),"")</f>
        <v/>
      </c>
      <c r="L1952" s="20" t="n"/>
      <c r="M1952" s="20">
        <f>IFERROR(INDEX(CONFIGURACOES!$I$37:$I$300,MATCH($I1952,CONFIGURACOES!$B$37:$B$300,0)),"")</f>
        <v/>
      </c>
      <c r="N1952" s="21" t="n"/>
      <c r="O1952" s="21" t="n"/>
      <c r="P1952" s="21" t="n"/>
      <c r="Q1952" s="21" t="n"/>
      <c r="R1952" s="21">
        <f>IF($N1952="","",$N1952*IF($Q1952="",1,$Q1952)*IF($P1952="",1,$P1952)*IF($O1952="",1,$O1952))</f>
        <v/>
      </c>
      <c r="S1952" s="22">
        <f>IFERROR(INDEX(CONFIGURACOES!$J$37:$J$300,MATCH($I1952,CONFIGURACOES!$B$37:$B$300,0)),"")</f>
        <v/>
      </c>
      <c r="T1952" s="22">
        <f>IF(OR($R1952="",$S1952=""),"",$R1952*$S1952)</f>
        <v/>
      </c>
      <c r="U1952" s="20" t="n"/>
      <c r="V1952" s="20" t="n"/>
      <c r="W1952" s="20" t="n"/>
      <c r="X1952">
        <f>IF($A1952="","",$A1952&amp;"|"&amp;$C1952&amp;"|"&amp;$I1952)</f>
        <v/>
      </c>
      <c r="Y1952">
        <f>IF(AND($A1952=RELATORIO_MEDICAO!$C$5,$C1952=RELATORIO_MEDICAO!$F$5,$A1952&lt;&gt;""),COUNTIFS($A$3:$A1952,RELATORIO_MEDICAO!$C$5,$C$3:$C1952,RELATORIO_MEDICAO!$F$5),"")</f>
        <v/>
      </c>
      <c r="Z1952">
        <f>IF(OR($A1952="",PESQUISA!$C$4=""),0,IF(OR(ISNUMBER(SEARCH(PESQUISA!$C$4,$G1952)),ISNUMBER(SEARCH(PESQUISA!$C$4,$K1952)),ISNUMBER(SEARCH(PESQUISA!$C$4,$L1952))),1,0))</f>
        <v/>
      </c>
      <c r="AA1952">
        <f>IF($Z1952=1,SUM($Z$3:$Z1952),"")</f>
        <v/>
      </c>
      <c r="AB1952">
        <f>IF(OR($A1952="",PESQUISA!$C$50=""),0,IF(ISNUMBER(SEARCH(PESQUISA!$C$50,$I1952)),1,0))</f>
        <v/>
      </c>
      <c r="AC1952">
        <f>IF($AB1952=1,SUM($AB$3:$AB1952),"")</f>
        <v/>
      </c>
    </row>
    <row r="1953">
      <c r="A1953" s="20" t="n"/>
      <c r="B1953" s="20" t="n"/>
      <c r="C1953" s="20" t="n"/>
      <c r="D1953" s="20" t="n"/>
      <c r="E1953" s="20" t="n"/>
      <c r="F1953" s="20" t="n"/>
      <c r="G1953" s="20" t="n"/>
      <c r="H1953" s="20" t="n"/>
      <c r="I1953" s="20" t="n"/>
      <c r="J1953" s="20">
        <f>IFERROR(INDEX(CONFIGURACOES!$G$37:$G$300,MATCH($I1953,CONFIGURACOES!$B$37:$B$300,0)),"")</f>
        <v/>
      </c>
      <c r="K1953" s="20">
        <f>IFERROR(INDEX(CONFIGURACOES!$H$37:$H$300,MATCH($I1953,CONFIGURACOES!$B$37:$B$300,0)),"")</f>
        <v/>
      </c>
      <c r="L1953" s="20" t="n"/>
      <c r="M1953" s="20">
        <f>IFERROR(INDEX(CONFIGURACOES!$I$37:$I$300,MATCH($I1953,CONFIGURACOES!$B$37:$B$300,0)),"")</f>
        <v/>
      </c>
      <c r="N1953" s="21" t="n"/>
      <c r="O1953" s="21" t="n"/>
      <c r="P1953" s="21" t="n"/>
      <c r="Q1953" s="21" t="n"/>
      <c r="R1953" s="21">
        <f>IF($N1953="","",$N1953*IF($Q1953="",1,$Q1953)*IF($P1953="",1,$P1953)*IF($O1953="",1,$O1953))</f>
        <v/>
      </c>
      <c r="S1953" s="22">
        <f>IFERROR(INDEX(CONFIGURACOES!$J$37:$J$300,MATCH($I1953,CONFIGURACOES!$B$37:$B$300,0)),"")</f>
        <v/>
      </c>
      <c r="T1953" s="22">
        <f>IF(OR($R1953="",$S1953=""),"",$R1953*$S1953)</f>
        <v/>
      </c>
      <c r="U1953" s="20" t="n"/>
      <c r="V1953" s="20" t="n"/>
      <c r="W1953" s="20" t="n"/>
      <c r="X1953">
        <f>IF($A1953="","",$A1953&amp;"|"&amp;$C1953&amp;"|"&amp;$I1953)</f>
        <v/>
      </c>
      <c r="Y1953">
        <f>IF(AND($A1953=RELATORIO_MEDICAO!$C$5,$C1953=RELATORIO_MEDICAO!$F$5,$A1953&lt;&gt;""),COUNTIFS($A$3:$A1953,RELATORIO_MEDICAO!$C$5,$C$3:$C1953,RELATORIO_MEDICAO!$F$5),"")</f>
        <v/>
      </c>
      <c r="Z1953">
        <f>IF(OR($A1953="",PESQUISA!$C$4=""),0,IF(OR(ISNUMBER(SEARCH(PESQUISA!$C$4,$G1953)),ISNUMBER(SEARCH(PESQUISA!$C$4,$K1953)),ISNUMBER(SEARCH(PESQUISA!$C$4,$L1953))),1,0))</f>
        <v/>
      </c>
      <c r="AA1953">
        <f>IF($Z1953=1,SUM($Z$3:$Z1953),"")</f>
        <v/>
      </c>
      <c r="AB1953">
        <f>IF(OR($A1953="",PESQUISA!$C$50=""),0,IF(ISNUMBER(SEARCH(PESQUISA!$C$50,$I1953)),1,0))</f>
        <v/>
      </c>
      <c r="AC1953">
        <f>IF($AB1953=1,SUM($AB$3:$AB1953),"")</f>
        <v/>
      </c>
    </row>
    <row r="1954">
      <c r="A1954" s="20" t="n"/>
      <c r="B1954" s="20" t="n"/>
      <c r="C1954" s="20" t="n"/>
      <c r="D1954" s="20" t="n"/>
      <c r="E1954" s="20" t="n"/>
      <c r="F1954" s="20" t="n"/>
      <c r="G1954" s="20" t="n"/>
      <c r="H1954" s="20" t="n"/>
      <c r="I1954" s="20" t="n"/>
      <c r="J1954" s="20">
        <f>IFERROR(INDEX(CONFIGURACOES!$G$37:$G$300,MATCH($I1954,CONFIGURACOES!$B$37:$B$300,0)),"")</f>
        <v/>
      </c>
      <c r="K1954" s="20">
        <f>IFERROR(INDEX(CONFIGURACOES!$H$37:$H$300,MATCH($I1954,CONFIGURACOES!$B$37:$B$300,0)),"")</f>
        <v/>
      </c>
      <c r="L1954" s="20" t="n"/>
      <c r="M1954" s="20">
        <f>IFERROR(INDEX(CONFIGURACOES!$I$37:$I$300,MATCH($I1954,CONFIGURACOES!$B$37:$B$300,0)),"")</f>
        <v/>
      </c>
      <c r="N1954" s="21" t="n"/>
      <c r="O1954" s="21" t="n"/>
      <c r="P1954" s="21" t="n"/>
      <c r="Q1954" s="21" t="n"/>
      <c r="R1954" s="21">
        <f>IF($N1954="","",$N1954*IF($Q1954="",1,$Q1954)*IF($P1954="",1,$P1954)*IF($O1954="",1,$O1954))</f>
        <v/>
      </c>
      <c r="S1954" s="22">
        <f>IFERROR(INDEX(CONFIGURACOES!$J$37:$J$300,MATCH($I1954,CONFIGURACOES!$B$37:$B$300,0)),"")</f>
        <v/>
      </c>
      <c r="T1954" s="22">
        <f>IF(OR($R1954="",$S1954=""),"",$R1954*$S1954)</f>
        <v/>
      </c>
      <c r="U1954" s="20" t="n"/>
      <c r="V1954" s="20" t="n"/>
      <c r="W1954" s="20" t="n"/>
      <c r="X1954">
        <f>IF($A1954="","",$A1954&amp;"|"&amp;$C1954&amp;"|"&amp;$I1954)</f>
        <v/>
      </c>
      <c r="Y1954">
        <f>IF(AND($A1954=RELATORIO_MEDICAO!$C$5,$C1954=RELATORIO_MEDICAO!$F$5,$A1954&lt;&gt;""),COUNTIFS($A$3:$A1954,RELATORIO_MEDICAO!$C$5,$C$3:$C1954,RELATORIO_MEDICAO!$F$5),"")</f>
        <v/>
      </c>
      <c r="Z1954">
        <f>IF(OR($A1954="",PESQUISA!$C$4=""),0,IF(OR(ISNUMBER(SEARCH(PESQUISA!$C$4,$G1954)),ISNUMBER(SEARCH(PESQUISA!$C$4,$K1954)),ISNUMBER(SEARCH(PESQUISA!$C$4,$L1954))),1,0))</f>
        <v/>
      </c>
      <c r="AA1954">
        <f>IF($Z1954=1,SUM($Z$3:$Z1954),"")</f>
        <v/>
      </c>
      <c r="AB1954">
        <f>IF(OR($A1954="",PESQUISA!$C$50=""),0,IF(ISNUMBER(SEARCH(PESQUISA!$C$50,$I1954)),1,0))</f>
        <v/>
      </c>
      <c r="AC1954">
        <f>IF($AB1954=1,SUM($AB$3:$AB1954),"")</f>
        <v/>
      </c>
    </row>
    <row r="1955">
      <c r="A1955" s="20" t="n"/>
      <c r="B1955" s="20" t="n"/>
      <c r="C1955" s="20" t="n"/>
      <c r="D1955" s="20" t="n"/>
      <c r="E1955" s="20" t="n"/>
      <c r="F1955" s="20" t="n"/>
      <c r="G1955" s="20" t="n"/>
      <c r="H1955" s="20" t="n"/>
      <c r="I1955" s="20" t="n"/>
      <c r="J1955" s="20">
        <f>IFERROR(INDEX(CONFIGURACOES!$G$37:$G$300,MATCH($I1955,CONFIGURACOES!$B$37:$B$300,0)),"")</f>
        <v/>
      </c>
      <c r="K1955" s="20">
        <f>IFERROR(INDEX(CONFIGURACOES!$H$37:$H$300,MATCH($I1955,CONFIGURACOES!$B$37:$B$300,0)),"")</f>
        <v/>
      </c>
      <c r="L1955" s="20" t="n"/>
      <c r="M1955" s="20">
        <f>IFERROR(INDEX(CONFIGURACOES!$I$37:$I$300,MATCH($I1955,CONFIGURACOES!$B$37:$B$300,0)),"")</f>
        <v/>
      </c>
      <c r="N1955" s="21" t="n"/>
      <c r="O1955" s="21" t="n"/>
      <c r="P1955" s="21" t="n"/>
      <c r="Q1955" s="21" t="n"/>
      <c r="R1955" s="21">
        <f>IF($N1955="","",$N1955*IF($Q1955="",1,$Q1955)*IF($P1955="",1,$P1955)*IF($O1955="",1,$O1955))</f>
        <v/>
      </c>
      <c r="S1955" s="22">
        <f>IFERROR(INDEX(CONFIGURACOES!$J$37:$J$300,MATCH($I1955,CONFIGURACOES!$B$37:$B$300,0)),"")</f>
        <v/>
      </c>
      <c r="T1955" s="22">
        <f>IF(OR($R1955="",$S1955=""),"",$R1955*$S1955)</f>
        <v/>
      </c>
      <c r="U1955" s="20" t="n"/>
      <c r="V1955" s="20" t="n"/>
      <c r="W1955" s="20" t="n"/>
      <c r="X1955">
        <f>IF($A1955="","",$A1955&amp;"|"&amp;$C1955&amp;"|"&amp;$I1955)</f>
        <v/>
      </c>
      <c r="Y1955">
        <f>IF(AND($A1955=RELATORIO_MEDICAO!$C$5,$C1955=RELATORIO_MEDICAO!$F$5,$A1955&lt;&gt;""),COUNTIFS($A$3:$A1955,RELATORIO_MEDICAO!$C$5,$C$3:$C1955,RELATORIO_MEDICAO!$F$5),"")</f>
        <v/>
      </c>
      <c r="Z1955">
        <f>IF(OR($A1955="",PESQUISA!$C$4=""),0,IF(OR(ISNUMBER(SEARCH(PESQUISA!$C$4,$G1955)),ISNUMBER(SEARCH(PESQUISA!$C$4,$K1955)),ISNUMBER(SEARCH(PESQUISA!$C$4,$L1955))),1,0))</f>
        <v/>
      </c>
      <c r="AA1955">
        <f>IF($Z1955=1,SUM($Z$3:$Z1955),"")</f>
        <v/>
      </c>
      <c r="AB1955">
        <f>IF(OR($A1955="",PESQUISA!$C$50=""),0,IF(ISNUMBER(SEARCH(PESQUISA!$C$50,$I1955)),1,0))</f>
        <v/>
      </c>
      <c r="AC1955">
        <f>IF($AB1955=1,SUM($AB$3:$AB1955),"")</f>
        <v/>
      </c>
    </row>
    <row r="1956">
      <c r="A1956" s="20" t="n"/>
      <c r="B1956" s="20" t="n"/>
      <c r="C1956" s="20" t="n"/>
      <c r="D1956" s="20" t="n"/>
      <c r="E1956" s="20" t="n"/>
      <c r="F1956" s="20" t="n"/>
      <c r="G1956" s="20" t="n"/>
      <c r="H1956" s="20" t="n"/>
      <c r="I1956" s="20" t="n"/>
      <c r="J1956" s="20">
        <f>IFERROR(INDEX(CONFIGURACOES!$G$37:$G$300,MATCH($I1956,CONFIGURACOES!$B$37:$B$300,0)),"")</f>
        <v/>
      </c>
      <c r="K1956" s="20">
        <f>IFERROR(INDEX(CONFIGURACOES!$H$37:$H$300,MATCH($I1956,CONFIGURACOES!$B$37:$B$300,0)),"")</f>
        <v/>
      </c>
      <c r="L1956" s="20" t="n"/>
      <c r="M1956" s="20">
        <f>IFERROR(INDEX(CONFIGURACOES!$I$37:$I$300,MATCH($I1956,CONFIGURACOES!$B$37:$B$300,0)),"")</f>
        <v/>
      </c>
      <c r="N1956" s="21" t="n"/>
      <c r="O1956" s="21" t="n"/>
      <c r="P1956" s="21" t="n"/>
      <c r="Q1956" s="21" t="n"/>
      <c r="R1956" s="21">
        <f>IF($N1956="","",$N1956*IF($Q1956="",1,$Q1956)*IF($P1956="",1,$P1956)*IF($O1956="",1,$O1956))</f>
        <v/>
      </c>
      <c r="S1956" s="22">
        <f>IFERROR(INDEX(CONFIGURACOES!$J$37:$J$300,MATCH($I1956,CONFIGURACOES!$B$37:$B$300,0)),"")</f>
        <v/>
      </c>
      <c r="T1956" s="22">
        <f>IF(OR($R1956="",$S1956=""),"",$R1956*$S1956)</f>
        <v/>
      </c>
      <c r="U1956" s="20" t="n"/>
      <c r="V1956" s="20" t="n"/>
      <c r="W1956" s="20" t="n"/>
      <c r="X1956">
        <f>IF($A1956="","",$A1956&amp;"|"&amp;$C1956&amp;"|"&amp;$I1956)</f>
        <v/>
      </c>
      <c r="Y1956">
        <f>IF(AND($A1956=RELATORIO_MEDICAO!$C$5,$C1956=RELATORIO_MEDICAO!$F$5,$A1956&lt;&gt;""),COUNTIFS($A$3:$A1956,RELATORIO_MEDICAO!$C$5,$C$3:$C1956,RELATORIO_MEDICAO!$F$5),"")</f>
        <v/>
      </c>
      <c r="Z1956">
        <f>IF(OR($A1956="",PESQUISA!$C$4=""),0,IF(OR(ISNUMBER(SEARCH(PESQUISA!$C$4,$G1956)),ISNUMBER(SEARCH(PESQUISA!$C$4,$K1956)),ISNUMBER(SEARCH(PESQUISA!$C$4,$L1956))),1,0))</f>
        <v/>
      </c>
      <c r="AA1956">
        <f>IF($Z1956=1,SUM($Z$3:$Z1956),"")</f>
        <v/>
      </c>
      <c r="AB1956">
        <f>IF(OR($A1956="",PESQUISA!$C$50=""),0,IF(ISNUMBER(SEARCH(PESQUISA!$C$50,$I1956)),1,0))</f>
        <v/>
      </c>
      <c r="AC1956">
        <f>IF($AB1956=1,SUM($AB$3:$AB1956),"")</f>
        <v/>
      </c>
    </row>
    <row r="1957">
      <c r="A1957" s="20" t="n"/>
      <c r="B1957" s="20" t="n"/>
      <c r="C1957" s="20" t="n"/>
      <c r="D1957" s="20" t="n"/>
      <c r="E1957" s="20" t="n"/>
      <c r="F1957" s="20" t="n"/>
      <c r="G1957" s="20" t="n"/>
      <c r="H1957" s="20" t="n"/>
      <c r="I1957" s="20" t="n"/>
      <c r="J1957" s="20">
        <f>IFERROR(INDEX(CONFIGURACOES!$G$37:$G$300,MATCH($I1957,CONFIGURACOES!$B$37:$B$300,0)),"")</f>
        <v/>
      </c>
      <c r="K1957" s="20">
        <f>IFERROR(INDEX(CONFIGURACOES!$H$37:$H$300,MATCH($I1957,CONFIGURACOES!$B$37:$B$300,0)),"")</f>
        <v/>
      </c>
      <c r="L1957" s="20" t="n"/>
      <c r="M1957" s="20">
        <f>IFERROR(INDEX(CONFIGURACOES!$I$37:$I$300,MATCH($I1957,CONFIGURACOES!$B$37:$B$300,0)),"")</f>
        <v/>
      </c>
      <c r="N1957" s="21" t="n"/>
      <c r="O1957" s="21" t="n"/>
      <c r="P1957" s="21" t="n"/>
      <c r="Q1957" s="21" t="n"/>
      <c r="R1957" s="21">
        <f>IF($N1957="","",$N1957*IF($Q1957="",1,$Q1957)*IF($P1957="",1,$P1957)*IF($O1957="",1,$O1957))</f>
        <v/>
      </c>
      <c r="S1957" s="22">
        <f>IFERROR(INDEX(CONFIGURACOES!$J$37:$J$300,MATCH($I1957,CONFIGURACOES!$B$37:$B$300,0)),"")</f>
        <v/>
      </c>
      <c r="T1957" s="22">
        <f>IF(OR($R1957="",$S1957=""),"",$R1957*$S1957)</f>
        <v/>
      </c>
      <c r="U1957" s="20" t="n"/>
      <c r="V1957" s="20" t="n"/>
      <c r="W1957" s="20" t="n"/>
      <c r="X1957">
        <f>IF($A1957="","",$A1957&amp;"|"&amp;$C1957&amp;"|"&amp;$I1957)</f>
        <v/>
      </c>
      <c r="Y1957">
        <f>IF(AND($A1957=RELATORIO_MEDICAO!$C$5,$C1957=RELATORIO_MEDICAO!$F$5,$A1957&lt;&gt;""),COUNTIFS($A$3:$A1957,RELATORIO_MEDICAO!$C$5,$C$3:$C1957,RELATORIO_MEDICAO!$F$5),"")</f>
        <v/>
      </c>
      <c r="Z1957">
        <f>IF(OR($A1957="",PESQUISA!$C$4=""),0,IF(OR(ISNUMBER(SEARCH(PESQUISA!$C$4,$G1957)),ISNUMBER(SEARCH(PESQUISA!$C$4,$K1957)),ISNUMBER(SEARCH(PESQUISA!$C$4,$L1957))),1,0))</f>
        <v/>
      </c>
      <c r="AA1957">
        <f>IF($Z1957=1,SUM($Z$3:$Z1957),"")</f>
        <v/>
      </c>
      <c r="AB1957">
        <f>IF(OR($A1957="",PESQUISA!$C$50=""),0,IF(ISNUMBER(SEARCH(PESQUISA!$C$50,$I1957)),1,0))</f>
        <v/>
      </c>
      <c r="AC1957">
        <f>IF($AB1957=1,SUM($AB$3:$AB1957),"")</f>
        <v/>
      </c>
    </row>
    <row r="1958">
      <c r="A1958" s="20" t="n"/>
      <c r="B1958" s="20" t="n"/>
      <c r="C1958" s="20" t="n"/>
      <c r="D1958" s="20" t="n"/>
      <c r="E1958" s="20" t="n"/>
      <c r="F1958" s="20" t="n"/>
      <c r="G1958" s="20" t="n"/>
      <c r="H1958" s="20" t="n"/>
      <c r="I1958" s="20" t="n"/>
      <c r="J1958" s="20">
        <f>IFERROR(INDEX(CONFIGURACOES!$G$37:$G$300,MATCH($I1958,CONFIGURACOES!$B$37:$B$300,0)),"")</f>
        <v/>
      </c>
      <c r="K1958" s="20">
        <f>IFERROR(INDEX(CONFIGURACOES!$H$37:$H$300,MATCH($I1958,CONFIGURACOES!$B$37:$B$300,0)),"")</f>
        <v/>
      </c>
      <c r="L1958" s="20" t="n"/>
      <c r="M1958" s="20">
        <f>IFERROR(INDEX(CONFIGURACOES!$I$37:$I$300,MATCH($I1958,CONFIGURACOES!$B$37:$B$300,0)),"")</f>
        <v/>
      </c>
      <c r="N1958" s="21" t="n"/>
      <c r="O1958" s="21" t="n"/>
      <c r="P1958" s="21" t="n"/>
      <c r="Q1958" s="21" t="n"/>
      <c r="R1958" s="21">
        <f>IF($N1958="","",$N1958*IF($Q1958="",1,$Q1958)*IF($P1958="",1,$P1958)*IF($O1958="",1,$O1958))</f>
        <v/>
      </c>
      <c r="S1958" s="22">
        <f>IFERROR(INDEX(CONFIGURACOES!$J$37:$J$300,MATCH($I1958,CONFIGURACOES!$B$37:$B$300,0)),"")</f>
        <v/>
      </c>
      <c r="T1958" s="22">
        <f>IF(OR($R1958="",$S1958=""),"",$R1958*$S1958)</f>
        <v/>
      </c>
      <c r="U1958" s="20" t="n"/>
      <c r="V1958" s="20" t="n"/>
      <c r="W1958" s="20" t="n"/>
      <c r="X1958">
        <f>IF($A1958="","",$A1958&amp;"|"&amp;$C1958&amp;"|"&amp;$I1958)</f>
        <v/>
      </c>
      <c r="Y1958">
        <f>IF(AND($A1958=RELATORIO_MEDICAO!$C$5,$C1958=RELATORIO_MEDICAO!$F$5,$A1958&lt;&gt;""),COUNTIFS($A$3:$A1958,RELATORIO_MEDICAO!$C$5,$C$3:$C1958,RELATORIO_MEDICAO!$F$5),"")</f>
        <v/>
      </c>
      <c r="Z1958">
        <f>IF(OR($A1958="",PESQUISA!$C$4=""),0,IF(OR(ISNUMBER(SEARCH(PESQUISA!$C$4,$G1958)),ISNUMBER(SEARCH(PESQUISA!$C$4,$K1958)),ISNUMBER(SEARCH(PESQUISA!$C$4,$L1958))),1,0))</f>
        <v/>
      </c>
      <c r="AA1958">
        <f>IF($Z1958=1,SUM($Z$3:$Z1958),"")</f>
        <v/>
      </c>
      <c r="AB1958">
        <f>IF(OR($A1958="",PESQUISA!$C$50=""),0,IF(ISNUMBER(SEARCH(PESQUISA!$C$50,$I1958)),1,0))</f>
        <v/>
      </c>
      <c r="AC1958">
        <f>IF($AB1958=1,SUM($AB$3:$AB1958),"")</f>
        <v/>
      </c>
    </row>
    <row r="1959">
      <c r="A1959" s="20" t="n"/>
      <c r="B1959" s="20" t="n"/>
      <c r="C1959" s="20" t="n"/>
      <c r="D1959" s="20" t="n"/>
      <c r="E1959" s="20" t="n"/>
      <c r="F1959" s="20" t="n"/>
      <c r="G1959" s="20" t="n"/>
      <c r="H1959" s="20" t="n"/>
      <c r="I1959" s="20" t="n"/>
      <c r="J1959" s="20">
        <f>IFERROR(INDEX(CONFIGURACOES!$G$37:$G$300,MATCH($I1959,CONFIGURACOES!$B$37:$B$300,0)),"")</f>
        <v/>
      </c>
      <c r="K1959" s="20">
        <f>IFERROR(INDEX(CONFIGURACOES!$H$37:$H$300,MATCH($I1959,CONFIGURACOES!$B$37:$B$300,0)),"")</f>
        <v/>
      </c>
      <c r="L1959" s="20" t="n"/>
      <c r="M1959" s="20">
        <f>IFERROR(INDEX(CONFIGURACOES!$I$37:$I$300,MATCH($I1959,CONFIGURACOES!$B$37:$B$300,0)),"")</f>
        <v/>
      </c>
      <c r="N1959" s="21" t="n"/>
      <c r="O1959" s="21" t="n"/>
      <c r="P1959" s="21" t="n"/>
      <c r="Q1959" s="21" t="n"/>
      <c r="R1959" s="21">
        <f>IF($N1959="","",$N1959*IF($Q1959="",1,$Q1959)*IF($P1959="",1,$P1959)*IF($O1959="",1,$O1959))</f>
        <v/>
      </c>
      <c r="S1959" s="22">
        <f>IFERROR(INDEX(CONFIGURACOES!$J$37:$J$300,MATCH($I1959,CONFIGURACOES!$B$37:$B$300,0)),"")</f>
        <v/>
      </c>
      <c r="T1959" s="22">
        <f>IF(OR($R1959="",$S1959=""),"",$R1959*$S1959)</f>
        <v/>
      </c>
      <c r="U1959" s="20" t="n"/>
      <c r="V1959" s="20" t="n"/>
      <c r="W1959" s="20" t="n"/>
      <c r="X1959">
        <f>IF($A1959="","",$A1959&amp;"|"&amp;$C1959&amp;"|"&amp;$I1959)</f>
        <v/>
      </c>
      <c r="Y1959">
        <f>IF(AND($A1959=RELATORIO_MEDICAO!$C$5,$C1959=RELATORIO_MEDICAO!$F$5,$A1959&lt;&gt;""),COUNTIFS($A$3:$A1959,RELATORIO_MEDICAO!$C$5,$C$3:$C1959,RELATORIO_MEDICAO!$F$5),"")</f>
        <v/>
      </c>
      <c r="Z1959">
        <f>IF(OR($A1959="",PESQUISA!$C$4=""),0,IF(OR(ISNUMBER(SEARCH(PESQUISA!$C$4,$G1959)),ISNUMBER(SEARCH(PESQUISA!$C$4,$K1959)),ISNUMBER(SEARCH(PESQUISA!$C$4,$L1959))),1,0))</f>
        <v/>
      </c>
      <c r="AA1959">
        <f>IF($Z1959=1,SUM($Z$3:$Z1959),"")</f>
        <v/>
      </c>
      <c r="AB1959">
        <f>IF(OR($A1959="",PESQUISA!$C$50=""),0,IF(ISNUMBER(SEARCH(PESQUISA!$C$50,$I1959)),1,0))</f>
        <v/>
      </c>
      <c r="AC1959">
        <f>IF($AB1959=1,SUM($AB$3:$AB1959),"")</f>
        <v/>
      </c>
    </row>
    <row r="1960">
      <c r="A1960" s="20" t="n"/>
      <c r="B1960" s="20" t="n"/>
      <c r="C1960" s="20" t="n"/>
      <c r="D1960" s="20" t="n"/>
      <c r="E1960" s="20" t="n"/>
      <c r="F1960" s="20" t="n"/>
      <c r="G1960" s="20" t="n"/>
      <c r="H1960" s="20" t="n"/>
      <c r="I1960" s="20" t="n"/>
      <c r="J1960" s="20">
        <f>IFERROR(INDEX(CONFIGURACOES!$G$37:$G$300,MATCH($I1960,CONFIGURACOES!$B$37:$B$300,0)),"")</f>
        <v/>
      </c>
      <c r="K1960" s="20">
        <f>IFERROR(INDEX(CONFIGURACOES!$H$37:$H$300,MATCH($I1960,CONFIGURACOES!$B$37:$B$300,0)),"")</f>
        <v/>
      </c>
      <c r="L1960" s="20" t="n"/>
      <c r="M1960" s="20">
        <f>IFERROR(INDEX(CONFIGURACOES!$I$37:$I$300,MATCH($I1960,CONFIGURACOES!$B$37:$B$300,0)),"")</f>
        <v/>
      </c>
      <c r="N1960" s="21" t="n"/>
      <c r="O1960" s="21" t="n"/>
      <c r="P1960" s="21" t="n"/>
      <c r="Q1960" s="21" t="n"/>
      <c r="R1960" s="21">
        <f>IF($N1960="","",$N1960*IF($Q1960="",1,$Q1960)*IF($P1960="",1,$P1960)*IF($O1960="",1,$O1960))</f>
        <v/>
      </c>
      <c r="S1960" s="22">
        <f>IFERROR(INDEX(CONFIGURACOES!$J$37:$J$300,MATCH($I1960,CONFIGURACOES!$B$37:$B$300,0)),"")</f>
        <v/>
      </c>
      <c r="T1960" s="22">
        <f>IF(OR($R1960="",$S1960=""),"",$R1960*$S1960)</f>
        <v/>
      </c>
      <c r="U1960" s="20" t="n"/>
      <c r="V1960" s="20" t="n"/>
      <c r="W1960" s="20" t="n"/>
      <c r="X1960">
        <f>IF($A1960="","",$A1960&amp;"|"&amp;$C1960&amp;"|"&amp;$I1960)</f>
        <v/>
      </c>
      <c r="Y1960">
        <f>IF(AND($A1960=RELATORIO_MEDICAO!$C$5,$C1960=RELATORIO_MEDICAO!$F$5,$A1960&lt;&gt;""),COUNTIFS($A$3:$A1960,RELATORIO_MEDICAO!$C$5,$C$3:$C1960,RELATORIO_MEDICAO!$F$5),"")</f>
        <v/>
      </c>
      <c r="Z1960">
        <f>IF(OR($A1960="",PESQUISA!$C$4=""),0,IF(OR(ISNUMBER(SEARCH(PESQUISA!$C$4,$G1960)),ISNUMBER(SEARCH(PESQUISA!$C$4,$K1960)),ISNUMBER(SEARCH(PESQUISA!$C$4,$L1960))),1,0))</f>
        <v/>
      </c>
      <c r="AA1960">
        <f>IF($Z1960=1,SUM($Z$3:$Z1960),"")</f>
        <v/>
      </c>
      <c r="AB1960">
        <f>IF(OR($A1960="",PESQUISA!$C$50=""),0,IF(ISNUMBER(SEARCH(PESQUISA!$C$50,$I1960)),1,0))</f>
        <v/>
      </c>
      <c r="AC1960">
        <f>IF($AB1960=1,SUM($AB$3:$AB1960),"")</f>
        <v/>
      </c>
    </row>
    <row r="1961">
      <c r="A1961" s="20" t="n"/>
      <c r="B1961" s="20" t="n"/>
      <c r="C1961" s="20" t="n"/>
      <c r="D1961" s="20" t="n"/>
      <c r="E1961" s="20" t="n"/>
      <c r="F1961" s="20" t="n"/>
      <c r="G1961" s="20" t="n"/>
      <c r="H1961" s="20" t="n"/>
      <c r="I1961" s="20" t="n"/>
      <c r="J1961" s="20">
        <f>IFERROR(INDEX(CONFIGURACOES!$G$37:$G$300,MATCH($I1961,CONFIGURACOES!$B$37:$B$300,0)),"")</f>
        <v/>
      </c>
      <c r="K1961" s="20">
        <f>IFERROR(INDEX(CONFIGURACOES!$H$37:$H$300,MATCH($I1961,CONFIGURACOES!$B$37:$B$300,0)),"")</f>
        <v/>
      </c>
      <c r="L1961" s="20" t="n"/>
      <c r="M1961" s="20">
        <f>IFERROR(INDEX(CONFIGURACOES!$I$37:$I$300,MATCH($I1961,CONFIGURACOES!$B$37:$B$300,0)),"")</f>
        <v/>
      </c>
      <c r="N1961" s="21" t="n"/>
      <c r="O1961" s="21" t="n"/>
      <c r="P1961" s="21" t="n"/>
      <c r="Q1961" s="21" t="n"/>
      <c r="R1961" s="21">
        <f>IF($N1961="","",$N1961*IF($Q1961="",1,$Q1961)*IF($P1961="",1,$P1961)*IF($O1961="",1,$O1961))</f>
        <v/>
      </c>
      <c r="S1961" s="22">
        <f>IFERROR(INDEX(CONFIGURACOES!$J$37:$J$300,MATCH($I1961,CONFIGURACOES!$B$37:$B$300,0)),"")</f>
        <v/>
      </c>
      <c r="T1961" s="22">
        <f>IF(OR($R1961="",$S1961=""),"",$R1961*$S1961)</f>
        <v/>
      </c>
      <c r="U1961" s="20" t="n"/>
      <c r="V1961" s="20" t="n"/>
      <c r="W1961" s="20" t="n"/>
      <c r="X1961">
        <f>IF($A1961="","",$A1961&amp;"|"&amp;$C1961&amp;"|"&amp;$I1961)</f>
        <v/>
      </c>
      <c r="Y1961">
        <f>IF(AND($A1961=RELATORIO_MEDICAO!$C$5,$C1961=RELATORIO_MEDICAO!$F$5,$A1961&lt;&gt;""),COUNTIFS($A$3:$A1961,RELATORIO_MEDICAO!$C$5,$C$3:$C1961,RELATORIO_MEDICAO!$F$5),"")</f>
        <v/>
      </c>
      <c r="Z1961">
        <f>IF(OR($A1961="",PESQUISA!$C$4=""),0,IF(OR(ISNUMBER(SEARCH(PESQUISA!$C$4,$G1961)),ISNUMBER(SEARCH(PESQUISA!$C$4,$K1961)),ISNUMBER(SEARCH(PESQUISA!$C$4,$L1961))),1,0))</f>
        <v/>
      </c>
      <c r="AA1961">
        <f>IF($Z1961=1,SUM($Z$3:$Z1961),"")</f>
        <v/>
      </c>
      <c r="AB1961">
        <f>IF(OR($A1961="",PESQUISA!$C$50=""),0,IF(ISNUMBER(SEARCH(PESQUISA!$C$50,$I1961)),1,0))</f>
        <v/>
      </c>
      <c r="AC1961">
        <f>IF($AB1961=1,SUM($AB$3:$AB1961),"")</f>
        <v/>
      </c>
    </row>
    <row r="1962">
      <c r="A1962" s="20" t="n"/>
      <c r="B1962" s="20" t="n"/>
      <c r="C1962" s="20" t="n"/>
      <c r="D1962" s="20" t="n"/>
      <c r="E1962" s="20" t="n"/>
      <c r="F1962" s="20" t="n"/>
      <c r="G1962" s="20" t="n"/>
      <c r="H1962" s="20" t="n"/>
      <c r="I1962" s="20" t="n"/>
      <c r="J1962" s="20">
        <f>IFERROR(INDEX(CONFIGURACOES!$G$37:$G$300,MATCH($I1962,CONFIGURACOES!$B$37:$B$300,0)),"")</f>
        <v/>
      </c>
      <c r="K1962" s="20">
        <f>IFERROR(INDEX(CONFIGURACOES!$H$37:$H$300,MATCH($I1962,CONFIGURACOES!$B$37:$B$300,0)),"")</f>
        <v/>
      </c>
      <c r="L1962" s="20" t="n"/>
      <c r="M1962" s="20">
        <f>IFERROR(INDEX(CONFIGURACOES!$I$37:$I$300,MATCH($I1962,CONFIGURACOES!$B$37:$B$300,0)),"")</f>
        <v/>
      </c>
      <c r="N1962" s="21" t="n"/>
      <c r="O1962" s="21" t="n"/>
      <c r="P1962" s="21" t="n"/>
      <c r="Q1962" s="21" t="n"/>
      <c r="R1962" s="21">
        <f>IF($N1962="","",$N1962*IF($Q1962="",1,$Q1962)*IF($P1962="",1,$P1962)*IF($O1962="",1,$O1962))</f>
        <v/>
      </c>
      <c r="S1962" s="22">
        <f>IFERROR(INDEX(CONFIGURACOES!$J$37:$J$300,MATCH($I1962,CONFIGURACOES!$B$37:$B$300,0)),"")</f>
        <v/>
      </c>
      <c r="T1962" s="22">
        <f>IF(OR($R1962="",$S1962=""),"",$R1962*$S1962)</f>
        <v/>
      </c>
      <c r="U1962" s="20" t="n"/>
      <c r="V1962" s="20" t="n"/>
      <c r="W1962" s="20" t="n"/>
      <c r="X1962">
        <f>IF($A1962="","",$A1962&amp;"|"&amp;$C1962&amp;"|"&amp;$I1962)</f>
        <v/>
      </c>
      <c r="Y1962">
        <f>IF(AND($A1962=RELATORIO_MEDICAO!$C$5,$C1962=RELATORIO_MEDICAO!$F$5,$A1962&lt;&gt;""),COUNTIFS($A$3:$A1962,RELATORIO_MEDICAO!$C$5,$C$3:$C1962,RELATORIO_MEDICAO!$F$5),"")</f>
        <v/>
      </c>
      <c r="Z1962">
        <f>IF(OR($A1962="",PESQUISA!$C$4=""),0,IF(OR(ISNUMBER(SEARCH(PESQUISA!$C$4,$G1962)),ISNUMBER(SEARCH(PESQUISA!$C$4,$K1962)),ISNUMBER(SEARCH(PESQUISA!$C$4,$L1962))),1,0))</f>
        <v/>
      </c>
      <c r="AA1962">
        <f>IF($Z1962=1,SUM($Z$3:$Z1962),"")</f>
        <v/>
      </c>
      <c r="AB1962">
        <f>IF(OR($A1962="",PESQUISA!$C$50=""),0,IF(ISNUMBER(SEARCH(PESQUISA!$C$50,$I1962)),1,0))</f>
        <v/>
      </c>
      <c r="AC1962">
        <f>IF($AB1962=1,SUM($AB$3:$AB1962),"")</f>
        <v/>
      </c>
    </row>
    <row r="1963">
      <c r="A1963" s="20" t="n"/>
      <c r="B1963" s="20" t="n"/>
      <c r="C1963" s="20" t="n"/>
      <c r="D1963" s="20" t="n"/>
      <c r="E1963" s="20" t="n"/>
      <c r="F1963" s="20" t="n"/>
      <c r="G1963" s="20" t="n"/>
      <c r="H1963" s="20" t="n"/>
      <c r="I1963" s="20" t="n"/>
      <c r="J1963" s="20">
        <f>IFERROR(INDEX(CONFIGURACOES!$G$37:$G$300,MATCH($I1963,CONFIGURACOES!$B$37:$B$300,0)),"")</f>
        <v/>
      </c>
      <c r="K1963" s="20">
        <f>IFERROR(INDEX(CONFIGURACOES!$H$37:$H$300,MATCH($I1963,CONFIGURACOES!$B$37:$B$300,0)),"")</f>
        <v/>
      </c>
      <c r="L1963" s="20" t="n"/>
      <c r="M1963" s="20">
        <f>IFERROR(INDEX(CONFIGURACOES!$I$37:$I$300,MATCH($I1963,CONFIGURACOES!$B$37:$B$300,0)),"")</f>
        <v/>
      </c>
      <c r="N1963" s="21" t="n"/>
      <c r="O1963" s="21" t="n"/>
      <c r="P1963" s="21" t="n"/>
      <c r="Q1963" s="21" t="n"/>
      <c r="R1963" s="21">
        <f>IF($N1963="","",$N1963*IF($Q1963="",1,$Q1963)*IF($P1963="",1,$P1963)*IF($O1963="",1,$O1963))</f>
        <v/>
      </c>
      <c r="S1963" s="22">
        <f>IFERROR(INDEX(CONFIGURACOES!$J$37:$J$300,MATCH($I1963,CONFIGURACOES!$B$37:$B$300,0)),"")</f>
        <v/>
      </c>
      <c r="T1963" s="22">
        <f>IF(OR($R1963="",$S1963=""),"",$R1963*$S1963)</f>
        <v/>
      </c>
      <c r="U1963" s="20" t="n"/>
      <c r="V1963" s="20" t="n"/>
      <c r="W1963" s="20" t="n"/>
      <c r="X1963">
        <f>IF($A1963="","",$A1963&amp;"|"&amp;$C1963&amp;"|"&amp;$I1963)</f>
        <v/>
      </c>
      <c r="Y1963">
        <f>IF(AND($A1963=RELATORIO_MEDICAO!$C$5,$C1963=RELATORIO_MEDICAO!$F$5,$A1963&lt;&gt;""),COUNTIFS($A$3:$A1963,RELATORIO_MEDICAO!$C$5,$C$3:$C1963,RELATORIO_MEDICAO!$F$5),"")</f>
        <v/>
      </c>
      <c r="Z1963">
        <f>IF(OR($A1963="",PESQUISA!$C$4=""),0,IF(OR(ISNUMBER(SEARCH(PESQUISA!$C$4,$G1963)),ISNUMBER(SEARCH(PESQUISA!$C$4,$K1963)),ISNUMBER(SEARCH(PESQUISA!$C$4,$L1963))),1,0))</f>
        <v/>
      </c>
      <c r="AA1963">
        <f>IF($Z1963=1,SUM($Z$3:$Z1963),"")</f>
        <v/>
      </c>
      <c r="AB1963">
        <f>IF(OR($A1963="",PESQUISA!$C$50=""),0,IF(ISNUMBER(SEARCH(PESQUISA!$C$50,$I1963)),1,0))</f>
        <v/>
      </c>
      <c r="AC1963">
        <f>IF($AB1963=1,SUM($AB$3:$AB1963),"")</f>
        <v/>
      </c>
    </row>
    <row r="1964">
      <c r="A1964" s="20" t="n"/>
      <c r="B1964" s="20" t="n"/>
      <c r="C1964" s="20" t="n"/>
      <c r="D1964" s="20" t="n"/>
      <c r="E1964" s="20" t="n"/>
      <c r="F1964" s="20" t="n"/>
      <c r="G1964" s="20" t="n"/>
      <c r="H1964" s="20" t="n"/>
      <c r="I1964" s="20" t="n"/>
      <c r="J1964" s="20">
        <f>IFERROR(INDEX(CONFIGURACOES!$G$37:$G$300,MATCH($I1964,CONFIGURACOES!$B$37:$B$300,0)),"")</f>
        <v/>
      </c>
      <c r="K1964" s="20">
        <f>IFERROR(INDEX(CONFIGURACOES!$H$37:$H$300,MATCH($I1964,CONFIGURACOES!$B$37:$B$300,0)),"")</f>
        <v/>
      </c>
      <c r="L1964" s="20" t="n"/>
      <c r="M1964" s="20">
        <f>IFERROR(INDEX(CONFIGURACOES!$I$37:$I$300,MATCH($I1964,CONFIGURACOES!$B$37:$B$300,0)),"")</f>
        <v/>
      </c>
      <c r="N1964" s="21" t="n"/>
      <c r="O1964" s="21" t="n"/>
      <c r="P1964" s="21" t="n"/>
      <c r="Q1964" s="21" t="n"/>
      <c r="R1964" s="21">
        <f>IF($N1964="","",$N1964*IF($Q1964="",1,$Q1964)*IF($P1964="",1,$P1964)*IF($O1964="",1,$O1964))</f>
        <v/>
      </c>
      <c r="S1964" s="22">
        <f>IFERROR(INDEX(CONFIGURACOES!$J$37:$J$300,MATCH($I1964,CONFIGURACOES!$B$37:$B$300,0)),"")</f>
        <v/>
      </c>
      <c r="T1964" s="22">
        <f>IF(OR($R1964="",$S1964=""),"",$R1964*$S1964)</f>
        <v/>
      </c>
      <c r="U1964" s="20" t="n"/>
      <c r="V1964" s="20" t="n"/>
      <c r="W1964" s="20" t="n"/>
      <c r="X1964">
        <f>IF($A1964="","",$A1964&amp;"|"&amp;$C1964&amp;"|"&amp;$I1964)</f>
        <v/>
      </c>
      <c r="Y1964">
        <f>IF(AND($A1964=RELATORIO_MEDICAO!$C$5,$C1964=RELATORIO_MEDICAO!$F$5,$A1964&lt;&gt;""),COUNTIFS($A$3:$A1964,RELATORIO_MEDICAO!$C$5,$C$3:$C1964,RELATORIO_MEDICAO!$F$5),"")</f>
        <v/>
      </c>
      <c r="Z1964">
        <f>IF(OR($A1964="",PESQUISA!$C$4=""),0,IF(OR(ISNUMBER(SEARCH(PESQUISA!$C$4,$G1964)),ISNUMBER(SEARCH(PESQUISA!$C$4,$K1964)),ISNUMBER(SEARCH(PESQUISA!$C$4,$L1964))),1,0))</f>
        <v/>
      </c>
      <c r="AA1964">
        <f>IF($Z1964=1,SUM($Z$3:$Z1964),"")</f>
        <v/>
      </c>
      <c r="AB1964">
        <f>IF(OR($A1964="",PESQUISA!$C$50=""),0,IF(ISNUMBER(SEARCH(PESQUISA!$C$50,$I1964)),1,0))</f>
        <v/>
      </c>
      <c r="AC1964">
        <f>IF($AB1964=1,SUM($AB$3:$AB1964),"")</f>
        <v/>
      </c>
    </row>
    <row r="1965">
      <c r="A1965" s="20" t="n"/>
      <c r="B1965" s="20" t="n"/>
      <c r="C1965" s="20" t="n"/>
      <c r="D1965" s="20" t="n"/>
      <c r="E1965" s="20" t="n"/>
      <c r="F1965" s="20" t="n"/>
      <c r="G1965" s="20" t="n"/>
      <c r="H1965" s="20" t="n"/>
      <c r="I1965" s="20" t="n"/>
      <c r="J1965" s="20">
        <f>IFERROR(INDEX(CONFIGURACOES!$G$37:$G$300,MATCH($I1965,CONFIGURACOES!$B$37:$B$300,0)),"")</f>
        <v/>
      </c>
      <c r="K1965" s="20">
        <f>IFERROR(INDEX(CONFIGURACOES!$H$37:$H$300,MATCH($I1965,CONFIGURACOES!$B$37:$B$300,0)),"")</f>
        <v/>
      </c>
      <c r="L1965" s="20" t="n"/>
      <c r="M1965" s="20">
        <f>IFERROR(INDEX(CONFIGURACOES!$I$37:$I$300,MATCH($I1965,CONFIGURACOES!$B$37:$B$300,0)),"")</f>
        <v/>
      </c>
      <c r="N1965" s="21" t="n"/>
      <c r="O1965" s="21" t="n"/>
      <c r="P1965" s="21" t="n"/>
      <c r="Q1965" s="21" t="n"/>
      <c r="R1965" s="21">
        <f>IF($N1965="","",$N1965*IF($Q1965="",1,$Q1965)*IF($P1965="",1,$P1965)*IF($O1965="",1,$O1965))</f>
        <v/>
      </c>
      <c r="S1965" s="22">
        <f>IFERROR(INDEX(CONFIGURACOES!$J$37:$J$300,MATCH($I1965,CONFIGURACOES!$B$37:$B$300,0)),"")</f>
        <v/>
      </c>
      <c r="T1965" s="22">
        <f>IF(OR($R1965="",$S1965=""),"",$R1965*$S1965)</f>
        <v/>
      </c>
      <c r="U1965" s="20" t="n"/>
      <c r="V1965" s="20" t="n"/>
      <c r="W1965" s="20" t="n"/>
      <c r="X1965">
        <f>IF($A1965="","",$A1965&amp;"|"&amp;$C1965&amp;"|"&amp;$I1965)</f>
        <v/>
      </c>
      <c r="Y1965">
        <f>IF(AND($A1965=RELATORIO_MEDICAO!$C$5,$C1965=RELATORIO_MEDICAO!$F$5,$A1965&lt;&gt;""),COUNTIFS($A$3:$A1965,RELATORIO_MEDICAO!$C$5,$C$3:$C1965,RELATORIO_MEDICAO!$F$5),"")</f>
        <v/>
      </c>
      <c r="Z1965">
        <f>IF(OR($A1965="",PESQUISA!$C$4=""),0,IF(OR(ISNUMBER(SEARCH(PESQUISA!$C$4,$G1965)),ISNUMBER(SEARCH(PESQUISA!$C$4,$K1965)),ISNUMBER(SEARCH(PESQUISA!$C$4,$L1965))),1,0))</f>
        <v/>
      </c>
      <c r="AA1965">
        <f>IF($Z1965=1,SUM($Z$3:$Z1965),"")</f>
        <v/>
      </c>
      <c r="AB1965">
        <f>IF(OR($A1965="",PESQUISA!$C$50=""),0,IF(ISNUMBER(SEARCH(PESQUISA!$C$50,$I1965)),1,0))</f>
        <v/>
      </c>
      <c r="AC1965">
        <f>IF($AB1965=1,SUM($AB$3:$AB1965),"")</f>
        <v/>
      </c>
    </row>
    <row r="1966">
      <c r="A1966" s="20" t="n"/>
      <c r="B1966" s="20" t="n"/>
      <c r="C1966" s="20" t="n"/>
      <c r="D1966" s="20" t="n"/>
      <c r="E1966" s="20" t="n"/>
      <c r="F1966" s="20" t="n"/>
      <c r="G1966" s="20" t="n"/>
      <c r="H1966" s="20" t="n"/>
      <c r="I1966" s="20" t="n"/>
      <c r="J1966" s="20">
        <f>IFERROR(INDEX(CONFIGURACOES!$G$37:$G$300,MATCH($I1966,CONFIGURACOES!$B$37:$B$300,0)),"")</f>
        <v/>
      </c>
      <c r="K1966" s="20">
        <f>IFERROR(INDEX(CONFIGURACOES!$H$37:$H$300,MATCH($I1966,CONFIGURACOES!$B$37:$B$300,0)),"")</f>
        <v/>
      </c>
      <c r="L1966" s="20" t="n"/>
      <c r="M1966" s="20">
        <f>IFERROR(INDEX(CONFIGURACOES!$I$37:$I$300,MATCH($I1966,CONFIGURACOES!$B$37:$B$300,0)),"")</f>
        <v/>
      </c>
      <c r="N1966" s="21" t="n"/>
      <c r="O1966" s="21" t="n"/>
      <c r="P1966" s="21" t="n"/>
      <c r="Q1966" s="21" t="n"/>
      <c r="R1966" s="21">
        <f>IF($N1966="","",$N1966*IF($Q1966="",1,$Q1966)*IF($P1966="",1,$P1966)*IF($O1966="",1,$O1966))</f>
        <v/>
      </c>
      <c r="S1966" s="22">
        <f>IFERROR(INDEX(CONFIGURACOES!$J$37:$J$300,MATCH($I1966,CONFIGURACOES!$B$37:$B$300,0)),"")</f>
        <v/>
      </c>
      <c r="T1966" s="22">
        <f>IF(OR($R1966="",$S1966=""),"",$R1966*$S1966)</f>
        <v/>
      </c>
      <c r="U1966" s="20" t="n"/>
      <c r="V1966" s="20" t="n"/>
      <c r="W1966" s="20" t="n"/>
      <c r="X1966">
        <f>IF($A1966="","",$A1966&amp;"|"&amp;$C1966&amp;"|"&amp;$I1966)</f>
        <v/>
      </c>
      <c r="Y1966">
        <f>IF(AND($A1966=RELATORIO_MEDICAO!$C$5,$C1966=RELATORIO_MEDICAO!$F$5,$A1966&lt;&gt;""),COUNTIFS($A$3:$A1966,RELATORIO_MEDICAO!$C$5,$C$3:$C1966,RELATORIO_MEDICAO!$F$5),"")</f>
        <v/>
      </c>
      <c r="Z1966">
        <f>IF(OR($A1966="",PESQUISA!$C$4=""),0,IF(OR(ISNUMBER(SEARCH(PESQUISA!$C$4,$G1966)),ISNUMBER(SEARCH(PESQUISA!$C$4,$K1966)),ISNUMBER(SEARCH(PESQUISA!$C$4,$L1966))),1,0))</f>
        <v/>
      </c>
      <c r="AA1966">
        <f>IF($Z1966=1,SUM($Z$3:$Z1966),"")</f>
        <v/>
      </c>
      <c r="AB1966">
        <f>IF(OR($A1966="",PESQUISA!$C$50=""),0,IF(ISNUMBER(SEARCH(PESQUISA!$C$50,$I1966)),1,0))</f>
        <v/>
      </c>
      <c r="AC1966">
        <f>IF($AB1966=1,SUM($AB$3:$AB1966),"")</f>
        <v/>
      </c>
    </row>
    <row r="1967">
      <c r="A1967" s="20" t="n"/>
      <c r="B1967" s="20" t="n"/>
      <c r="C1967" s="20" t="n"/>
      <c r="D1967" s="20" t="n"/>
      <c r="E1967" s="20" t="n"/>
      <c r="F1967" s="20" t="n"/>
      <c r="G1967" s="20" t="n"/>
      <c r="H1967" s="20" t="n"/>
      <c r="I1967" s="20" t="n"/>
      <c r="J1967" s="20">
        <f>IFERROR(INDEX(CONFIGURACOES!$G$37:$G$300,MATCH($I1967,CONFIGURACOES!$B$37:$B$300,0)),"")</f>
        <v/>
      </c>
      <c r="K1967" s="20">
        <f>IFERROR(INDEX(CONFIGURACOES!$H$37:$H$300,MATCH($I1967,CONFIGURACOES!$B$37:$B$300,0)),"")</f>
        <v/>
      </c>
      <c r="L1967" s="20" t="n"/>
      <c r="M1967" s="20">
        <f>IFERROR(INDEX(CONFIGURACOES!$I$37:$I$300,MATCH($I1967,CONFIGURACOES!$B$37:$B$300,0)),"")</f>
        <v/>
      </c>
      <c r="N1967" s="21" t="n"/>
      <c r="O1967" s="21" t="n"/>
      <c r="P1967" s="21" t="n"/>
      <c r="Q1967" s="21" t="n"/>
      <c r="R1967" s="21">
        <f>IF($N1967="","",$N1967*IF($Q1967="",1,$Q1967)*IF($P1967="",1,$P1967)*IF($O1967="",1,$O1967))</f>
        <v/>
      </c>
      <c r="S1967" s="22">
        <f>IFERROR(INDEX(CONFIGURACOES!$J$37:$J$300,MATCH($I1967,CONFIGURACOES!$B$37:$B$300,0)),"")</f>
        <v/>
      </c>
      <c r="T1967" s="22">
        <f>IF(OR($R1967="",$S1967=""),"",$R1967*$S1967)</f>
        <v/>
      </c>
      <c r="U1967" s="20" t="n"/>
      <c r="V1967" s="20" t="n"/>
      <c r="W1967" s="20" t="n"/>
      <c r="X1967">
        <f>IF($A1967="","",$A1967&amp;"|"&amp;$C1967&amp;"|"&amp;$I1967)</f>
        <v/>
      </c>
      <c r="Y1967">
        <f>IF(AND($A1967=RELATORIO_MEDICAO!$C$5,$C1967=RELATORIO_MEDICAO!$F$5,$A1967&lt;&gt;""),COUNTIFS($A$3:$A1967,RELATORIO_MEDICAO!$C$5,$C$3:$C1967,RELATORIO_MEDICAO!$F$5),"")</f>
        <v/>
      </c>
      <c r="Z1967">
        <f>IF(OR($A1967="",PESQUISA!$C$4=""),0,IF(OR(ISNUMBER(SEARCH(PESQUISA!$C$4,$G1967)),ISNUMBER(SEARCH(PESQUISA!$C$4,$K1967)),ISNUMBER(SEARCH(PESQUISA!$C$4,$L1967))),1,0))</f>
        <v/>
      </c>
      <c r="AA1967">
        <f>IF($Z1967=1,SUM($Z$3:$Z1967),"")</f>
        <v/>
      </c>
      <c r="AB1967">
        <f>IF(OR($A1967="",PESQUISA!$C$50=""),0,IF(ISNUMBER(SEARCH(PESQUISA!$C$50,$I1967)),1,0))</f>
        <v/>
      </c>
      <c r="AC1967">
        <f>IF($AB1967=1,SUM($AB$3:$AB1967),"")</f>
        <v/>
      </c>
    </row>
    <row r="1968">
      <c r="A1968" s="20" t="n"/>
      <c r="B1968" s="20" t="n"/>
      <c r="C1968" s="20" t="n"/>
      <c r="D1968" s="20" t="n"/>
      <c r="E1968" s="20" t="n"/>
      <c r="F1968" s="20" t="n"/>
      <c r="G1968" s="20" t="n"/>
      <c r="H1968" s="20" t="n"/>
      <c r="I1968" s="20" t="n"/>
      <c r="J1968" s="20">
        <f>IFERROR(INDEX(CONFIGURACOES!$G$37:$G$300,MATCH($I1968,CONFIGURACOES!$B$37:$B$300,0)),"")</f>
        <v/>
      </c>
      <c r="K1968" s="20">
        <f>IFERROR(INDEX(CONFIGURACOES!$H$37:$H$300,MATCH($I1968,CONFIGURACOES!$B$37:$B$300,0)),"")</f>
        <v/>
      </c>
      <c r="L1968" s="20" t="n"/>
      <c r="M1968" s="20">
        <f>IFERROR(INDEX(CONFIGURACOES!$I$37:$I$300,MATCH($I1968,CONFIGURACOES!$B$37:$B$300,0)),"")</f>
        <v/>
      </c>
      <c r="N1968" s="21" t="n"/>
      <c r="O1968" s="21" t="n"/>
      <c r="P1968" s="21" t="n"/>
      <c r="Q1968" s="21" t="n"/>
      <c r="R1968" s="21">
        <f>IF($N1968="","",$N1968*IF($Q1968="",1,$Q1968)*IF($P1968="",1,$P1968)*IF($O1968="",1,$O1968))</f>
        <v/>
      </c>
      <c r="S1968" s="22">
        <f>IFERROR(INDEX(CONFIGURACOES!$J$37:$J$300,MATCH($I1968,CONFIGURACOES!$B$37:$B$300,0)),"")</f>
        <v/>
      </c>
      <c r="T1968" s="22">
        <f>IF(OR($R1968="",$S1968=""),"",$R1968*$S1968)</f>
        <v/>
      </c>
      <c r="U1968" s="20" t="n"/>
      <c r="V1968" s="20" t="n"/>
      <c r="W1968" s="20" t="n"/>
      <c r="X1968">
        <f>IF($A1968="","",$A1968&amp;"|"&amp;$C1968&amp;"|"&amp;$I1968)</f>
        <v/>
      </c>
      <c r="Y1968">
        <f>IF(AND($A1968=RELATORIO_MEDICAO!$C$5,$C1968=RELATORIO_MEDICAO!$F$5,$A1968&lt;&gt;""),COUNTIFS($A$3:$A1968,RELATORIO_MEDICAO!$C$5,$C$3:$C1968,RELATORIO_MEDICAO!$F$5),"")</f>
        <v/>
      </c>
      <c r="Z1968">
        <f>IF(OR($A1968="",PESQUISA!$C$4=""),0,IF(OR(ISNUMBER(SEARCH(PESQUISA!$C$4,$G1968)),ISNUMBER(SEARCH(PESQUISA!$C$4,$K1968)),ISNUMBER(SEARCH(PESQUISA!$C$4,$L1968))),1,0))</f>
        <v/>
      </c>
      <c r="AA1968">
        <f>IF($Z1968=1,SUM($Z$3:$Z1968),"")</f>
        <v/>
      </c>
      <c r="AB1968">
        <f>IF(OR($A1968="",PESQUISA!$C$50=""),0,IF(ISNUMBER(SEARCH(PESQUISA!$C$50,$I1968)),1,0))</f>
        <v/>
      </c>
      <c r="AC1968">
        <f>IF($AB1968=1,SUM($AB$3:$AB1968),"")</f>
        <v/>
      </c>
    </row>
    <row r="1969">
      <c r="A1969" s="20" t="n"/>
      <c r="B1969" s="20" t="n"/>
      <c r="C1969" s="20" t="n"/>
      <c r="D1969" s="20" t="n"/>
      <c r="E1969" s="20" t="n"/>
      <c r="F1969" s="20" t="n"/>
      <c r="G1969" s="20" t="n"/>
      <c r="H1969" s="20" t="n"/>
      <c r="I1969" s="20" t="n"/>
      <c r="J1969" s="20">
        <f>IFERROR(INDEX(CONFIGURACOES!$G$37:$G$300,MATCH($I1969,CONFIGURACOES!$B$37:$B$300,0)),"")</f>
        <v/>
      </c>
      <c r="K1969" s="20">
        <f>IFERROR(INDEX(CONFIGURACOES!$H$37:$H$300,MATCH($I1969,CONFIGURACOES!$B$37:$B$300,0)),"")</f>
        <v/>
      </c>
      <c r="L1969" s="20" t="n"/>
      <c r="M1969" s="20">
        <f>IFERROR(INDEX(CONFIGURACOES!$I$37:$I$300,MATCH($I1969,CONFIGURACOES!$B$37:$B$300,0)),"")</f>
        <v/>
      </c>
      <c r="N1969" s="21" t="n"/>
      <c r="O1969" s="21" t="n"/>
      <c r="P1969" s="21" t="n"/>
      <c r="Q1969" s="21" t="n"/>
      <c r="R1969" s="21">
        <f>IF($N1969="","",$N1969*IF($Q1969="",1,$Q1969)*IF($P1969="",1,$P1969)*IF($O1969="",1,$O1969))</f>
        <v/>
      </c>
      <c r="S1969" s="22">
        <f>IFERROR(INDEX(CONFIGURACOES!$J$37:$J$300,MATCH($I1969,CONFIGURACOES!$B$37:$B$300,0)),"")</f>
        <v/>
      </c>
      <c r="T1969" s="22">
        <f>IF(OR($R1969="",$S1969=""),"",$R1969*$S1969)</f>
        <v/>
      </c>
      <c r="U1969" s="20" t="n"/>
      <c r="V1969" s="20" t="n"/>
      <c r="W1969" s="20" t="n"/>
      <c r="X1969">
        <f>IF($A1969="","",$A1969&amp;"|"&amp;$C1969&amp;"|"&amp;$I1969)</f>
        <v/>
      </c>
      <c r="Y1969">
        <f>IF(AND($A1969=RELATORIO_MEDICAO!$C$5,$C1969=RELATORIO_MEDICAO!$F$5,$A1969&lt;&gt;""),COUNTIFS($A$3:$A1969,RELATORIO_MEDICAO!$C$5,$C$3:$C1969,RELATORIO_MEDICAO!$F$5),"")</f>
        <v/>
      </c>
      <c r="Z1969">
        <f>IF(OR($A1969="",PESQUISA!$C$4=""),0,IF(OR(ISNUMBER(SEARCH(PESQUISA!$C$4,$G1969)),ISNUMBER(SEARCH(PESQUISA!$C$4,$K1969)),ISNUMBER(SEARCH(PESQUISA!$C$4,$L1969))),1,0))</f>
        <v/>
      </c>
      <c r="AA1969">
        <f>IF($Z1969=1,SUM($Z$3:$Z1969),"")</f>
        <v/>
      </c>
      <c r="AB1969">
        <f>IF(OR($A1969="",PESQUISA!$C$50=""),0,IF(ISNUMBER(SEARCH(PESQUISA!$C$50,$I1969)),1,0))</f>
        <v/>
      </c>
      <c r="AC1969">
        <f>IF($AB1969=1,SUM($AB$3:$AB1969),"")</f>
        <v/>
      </c>
    </row>
    <row r="1970">
      <c r="A1970" s="20" t="n"/>
      <c r="B1970" s="20" t="n"/>
      <c r="C1970" s="20" t="n"/>
      <c r="D1970" s="20" t="n"/>
      <c r="E1970" s="20" t="n"/>
      <c r="F1970" s="20" t="n"/>
      <c r="G1970" s="20" t="n"/>
      <c r="H1970" s="20" t="n"/>
      <c r="I1970" s="20" t="n"/>
      <c r="J1970" s="20">
        <f>IFERROR(INDEX(CONFIGURACOES!$G$37:$G$300,MATCH($I1970,CONFIGURACOES!$B$37:$B$300,0)),"")</f>
        <v/>
      </c>
      <c r="K1970" s="20">
        <f>IFERROR(INDEX(CONFIGURACOES!$H$37:$H$300,MATCH($I1970,CONFIGURACOES!$B$37:$B$300,0)),"")</f>
        <v/>
      </c>
      <c r="L1970" s="20" t="n"/>
      <c r="M1970" s="20">
        <f>IFERROR(INDEX(CONFIGURACOES!$I$37:$I$300,MATCH($I1970,CONFIGURACOES!$B$37:$B$300,0)),"")</f>
        <v/>
      </c>
      <c r="N1970" s="21" t="n"/>
      <c r="O1970" s="21" t="n"/>
      <c r="P1970" s="21" t="n"/>
      <c r="Q1970" s="21" t="n"/>
      <c r="R1970" s="21">
        <f>IF($N1970="","",$N1970*IF($Q1970="",1,$Q1970)*IF($P1970="",1,$P1970)*IF($O1970="",1,$O1970))</f>
        <v/>
      </c>
      <c r="S1970" s="22">
        <f>IFERROR(INDEX(CONFIGURACOES!$J$37:$J$300,MATCH($I1970,CONFIGURACOES!$B$37:$B$300,0)),"")</f>
        <v/>
      </c>
      <c r="T1970" s="22">
        <f>IF(OR($R1970="",$S1970=""),"",$R1970*$S1970)</f>
        <v/>
      </c>
      <c r="U1970" s="20" t="n"/>
      <c r="V1970" s="20" t="n"/>
      <c r="W1970" s="20" t="n"/>
      <c r="X1970">
        <f>IF($A1970="","",$A1970&amp;"|"&amp;$C1970&amp;"|"&amp;$I1970)</f>
        <v/>
      </c>
      <c r="Y1970">
        <f>IF(AND($A1970=RELATORIO_MEDICAO!$C$5,$C1970=RELATORIO_MEDICAO!$F$5,$A1970&lt;&gt;""),COUNTIFS($A$3:$A1970,RELATORIO_MEDICAO!$C$5,$C$3:$C1970,RELATORIO_MEDICAO!$F$5),"")</f>
        <v/>
      </c>
      <c r="Z1970">
        <f>IF(OR($A1970="",PESQUISA!$C$4=""),0,IF(OR(ISNUMBER(SEARCH(PESQUISA!$C$4,$G1970)),ISNUMBER(SEARCH(PESQUISA!$C$4,$K1970)),ISNUMBER(SEARCH(PESQUISA!$C$4,$L1970))),1,0))</f>
        <v/>
      </c>
      <c r="AA1970">
        <f>IF($Z1970=1,SUM($Z$3:$Z1970),"")</f>
        <v/>
      </c>
      <c r="AB1970">
        <f>IF(OR($A1970="",PESQUISA!$C$50=""),0,IF(ISNUMBER(SEARCH(PESQUISA!$C$50,$I1970)),1,0))</f>
        <v/>
      </c>
      <c r="AC1970">
        <f>IF($AB1970=1,SUM($AB$3:$AB1970),"")</f>
        <v/>
      </c>
    </row>
    <row r="1971">
      <c r="A1971" s="20" t="n"/>
      <c r="B1971" s="20" t="n"/>
      <c r="C1971" s="20" t="n"/>
      <c r="D1971" s="20" t="n"/>
      <c r="E1971" s="20" t="n"/>
      <c r="F1971" s="20" t="n"/>
      <c r="G1971" s="20" t="n"/>
      <c r="H1971" s="20" t="n"/>
      <c r="I1971" s="20" t="n"/>
      <c r="J1971" s="20">
        <f>IFERROR(INDEX(CONFIGURACOES!$G$37:$G$300,MATCH($I1971,CONFIGURACOES!$B$37:$B$300,0)),"")</f>
        <v/>
      </c>
      <c r="K1971" s="20">
        <f>IFERROR(INDEX(CONFIGURACOES!$H$37:$H$300,MATCH($I1971,CONFIGURACOES!$B$37:$B$300,0)),"")</f>
        <v/>
      </c>
      <c r="L1971" s="20" t="n"/>
      <c r="M1971" s="20">
        <f>IFERROR(INDEX(CONFIGURACOES!$I$37:$I$300,MATCH($I1971,CONFIGURACOES!$B$37:$B$300,0)),"")</f>
        <v/>
      </c>
      <c r="N1971" s="21" t="n"/>
      <c r="O1971" s="21" t="n"/>
      <c r="P1971" s="21" t="n"/>
      <c r="Q1971" s="21" t="n"/>
      <c r="R1971" s="21">
        <f>IF($N1971="","",$N1971*IF($Q1971="",1,$Q1971)*IF($P1971="",1,$P1971)*IF($O1971="",1,$O1971))</f>
        <v/>
      </c>
      <c r="S1971" s="22">
        <f>IFERROR(INDEX(CONFIGURACOES!$J$37:$J$300,MATCH($I1971,CONFIGURACOES!$B$37:$B$300,0)),"")</f>
        <v/>
      </c>
      <c r="T1971" s="22">
        <f>IF(OR($R1971="",$S1971=""),"",$R1971*$S1971)</f>
        <v/>
      </c>
      <c r="U1971" s="20" t="n"/>
      <c r="V1971" s="20" t="n"/>
      <c r="W1971" s="20" t="n"/>
      <c r="X1971">
        <f>IF($A1971="","",$A1971&amp;"|"&amp;$C1971&amp;"|"&amp;$I1971)</f>
        <v/>
      </c>
      <c r="Y1971">
        <f>IF(AND($A1971=RELATORIO_MEDICAO!$C$5,$C1971=RELATORIO_MEDICAO!$F$5,$A1971&lt;&gt;""),COUNTIFS($A$3:$A1971,RELATORIO_MEDICAO!$C$5,$C$3:$C1971,RELATORIO_MEDICAO!$F$5),"")</f>
        <v/>
      </c>
      <c r="Z1971">
        <f>IF(OR($A1971="",PESQUISA!$C$4=""),0,IF(OR(ISNUMBER(SEARCH(PESQUISA!$C$4,$G1971)),ISNUMBER(SEARCH(PESQUISA!$C$4,$K1971)),ISNUMBER(SEARCH(PESQUISA!$C$4,$L1971))),1,0))</f>
        <v/>
      </c>
      <c r="AA1971">
        <f>IF($Z1971=1,SUM($Z$3:$Z1971),"")</f>
        <v/>
      </c>
      <c r="AB1971">
        <f>IF(OR($A1971="",PESQUISA!$C$50=""),0,IF(ISNUMBER(SEARCH(PESQUISA!$C$50,$I1971)),1,0))</f>
        <v/>
      </c>
      <c r="AC1971">
        <f>IF($AB1971=1,SUM($AB$3:$AB1971),"")</f>
        <v/>
      </c>
    </row>
    <row r="1972">
      <c r="A1972" s="20" t="n"/>
      <c r="B1972" s="20" t="n"/>
      <c r="C1972" s="20" t="n"/>
      <c r="D1972" s="20" t="n"/>
      <c r="E1972" s="20" t="n"/>
      <c r="F1972" s="20" t="n"/>
      <c r="G1972" s="20" t="n"/>
      <c r="H1972" s="20" t="n"/>
      <c r="I1972" s="20" t="n"/>
      <c r="J1972" s="20">
        <f>IFERROR(INDEX(CONFIGURACOES!$G$37:$G$300,MATCH($I1972,CONFIGURACOES!$B$37:$B$300,0)),"")</f>
        <v/>
      </c>
      <c r="K1972" s="20">
        <f>IFERROR(INDEX(CONFIGURACOES!$H$37:$H$300,MATCH($I1972,CONFIGURACOES!$B$37:$B$300,0)),"")</f>
        <v/>
      </c>
      <c r="L1972" s="20" t="n"/>
      <c r="M1972" s="20">
        <f>IFERROR(INDEX(CONFIGURACOES!$I$37:$I$300,MATCH($I1972,CONFIGURACOES!$B$37:$B$300,0)),"")</f>
        <v/>
      </c>
      <c r="N1972" s="21" t="n"/>
      <c r="O1972" s="21" t="n"/>
      <c r="P1972" s="21" t="n"/>
      <c r="Q1972" s="21" t="n"/>
      <c r="R1972" s="21">
        <f>IF($N1972="","",$N1972*IF($Q1972="",1,$Q1972)*IF($P1972="",1,$P1972)*IF($O1972="",1,$O1972))</f>
        <v/>
      </c>
      <c r="S1972" s="22">
        <f>IFERROR(INDEX(CONFIGURACOES!$J$37:$J$300,MATCH($I1972,CONFIGURACOES!$B$37:$B$300,0)),"")</f>
        <v/>
      </c>
      <c r="T1972" s="22">
        <f>IF(OR($R1972="",$S1972=""),"",$R1972*$S1972)</f>
        <v/>
      </c>
      <c r="U1972" s="20" t="n"/>
      <c r="V1972" s="20" t="n"/>
      <c r="W1972" s="20" t="n"/>
      <c r="X1972">
        <f>IF($A1972="","",$A1972&amp;"|"&amp;$C1972&amp;"|"&amp;$I1972)</f>
        <v/>
      </c>
      <c r="Y1972">
        <f>IF(AND($A1972=RELATORIO_MEDICAO!$C$5,$C1972=RELATORIO_MEDICAO!$F$5,$A1972&lt;&gt;""),COUNTIFS($A$3:$A1972,RELATORIO_MEDICAO!$C$5,$C$3:$C1972,RELATORIO_MEDICAO!$F$5),"")</f>
        <v/>
      </c>
      <c r="Z1972">
        <f>IF(OR($A1972="",PESQUISA!$C$4=""),0,IF(OR(ISNUMBER(SEARCH(PESQUISA!$C$4,$G1972)),ISNUMBER(SEARCH(PESQUISA!$C$4,$K1972)),ISNUMBER(SEARCH(PESQUISA!$C$4,$L1972))),1,0))</f>
        <v/>
      </c>
      <c r="AA1972">
        <f>IF($Z1972=1,SUM($Z$3:$Z1972),"")</f>
        <v/>
      </c>
      <c r="AB1972">
        <f>IF(OR($A1972="",PESQUISA!$C$50=""),0,IF(ISNUMBER(SEARCH(PESQUISA!$C$50,$I1972)),1,0))</f>
        <v/>
      </c>
      <c r="AC1972">
        <f>IF($AB1972=1,SUM($AB$3:$AB1972),"")</f>
        <v/>
      </c>
    </row>
    <row r="1973">
      <c r="A1973" s="20" t="n"/>
      <c r="B1973" s="20" t="n"/>
      <c r="C1973" s="20" t="n"/>
      <c r="D1973" s="20" t="n"/>
      <c r="E1973" s="20" t="n"/>
      <c r="F1973" s="20" t="n"/>
      <c r="G1973" s="20" t="n"/>
      <c r="H1973" s="20" t="n"/>
      <c r="I1973" s="20" t="n"/>
      <c r="J1973" s="20">
        <f>IFERROR(INDEX(CONFIGURACOES!$G$37:$G$300,MATCH($I1973,CONFIGURACOES!$B$37:$B$300,0)),"")</f>
        <v/>
      </c>
      <c r="K1973" s="20">
        <f>IFERROR(INDEX(CONFIGURACOES!$H$37:$H$300,MATCH($I1973,CONFIGURACOES!$B$37:$B$300,0)),"")</f>
        <v/>
      </c>
      <c r="L1973" s="20" t="n"/>
      <c r="M1973" s="20">
        <f>IFERROR(INDEX(CONFIGURACOES!$I$37:$I$300,MATCH($I1973,CONFIGURACOES!$B$37:$B$300,0)),"")</f>
        <v/>
      </c>
      <c r="N1973" s="21" t="n"/>
      <c r="O1973" s="21" t="n"/>
      <c r="P1973" s="21" t="n"/>
      <c r="Q1973" s="21" t="n"/>
      <c r="R1973" s="21">
        <f>IF($N1973="","",$N1973*IF($Q1973="",1,$Q1973)*IF($P1973="",1,$P1973)*IF($O1973="",1,$O1973))</f>
        <v/>
      </c>
      <c r="S1973" s="22">
        <f>IFERROR(INDEX(CONFIGURACOES!$J$37:$J$300,MATCH($I1973,CONFIGURACOES!$B$37:$B$300,0)),"")</f>
        <v/>
      </c>
      <c r="T1973" s="22">
        <f>IF(OR($R1973="",$S1973=""),"",$R1973*$S1973)</f>
        <v/>
      </c>
      <c r="U1973" s="20" t="n"/>
      <c r="V1973" s="20" t="n"/>
      <c r="W1973" s="20" t="n"/>
      <c r="X1973">
        <f>IF($A1973="","",$A1973&amp;"|"&amp;$C1973&amp;"|"&amp;$I1973)</f>
        <v/>
      </c>
      <c r="Y1973">
        <f>IF(AND($A1973=RELATORIO_MEDICAO!$C$5,$C1973=RELATORIO_MEDICAO!$F$5,$A1973&lt;&gt;""),COUNTIFS($A$3:$A1973,RELATORIO_MEDICAO!$C$5,$C$3:$C1973,RELATORIO_MEDICAO!$F$5),"")</f>
        <v/>
      </c>
      <c r="Z1973">
        <f>IF(OR($A1973="",PESQUISA!$C$4=""),0,IF(OR(ISNUMBER(SEARCH(PESQUISA!$C$4,$G1973)),ISNUMBER(SEARCH(PESQUISA!$C$4,$K1973)),ISNUMBER(SEARCH(PESQUISA!$C$4,$L1973))),1,0))</f>
        <v/>
      </c>
      <c r="AA1973">
        <f>IF($Z1973=1,SUM($Z$3:$Z1973),"")</f>
        <v/>
      </c>
      <c r="AB1973">
        <f>IF(OR($A1973="",PESQUISA!$C$50=""),0,IF(ISNUMBER(SEARCH(PESQUISA!$C$50,$I1973)),1,0))</f>
        <v/>
      </c>
      <c r="AC1973">
        <f>IF($AB1973=1,SUM($AB$3:$AB1973),"")</f>
        <v/>
      </c>
    </row>
    <row r="1974">
      <c r="A1974" s="20" t="n"/>
      <c r="B1974" s="20" t="n"/>
      <c r="C1974" s="20" t="n"/>
      <c r="D1974" s="20" t="n"/>
      <c r="E1974" s="20" t="n"/>
      <c r="F1974" s="20" t="n"/>
      <c r="G1974" s="20" t="n"/>
      <c r="H1974" s="20" t="n"/>
      <c r="I1974" s="20" t="n"/>
      <c r="J1974" s="20">
        <f>IFERROR(INDEX(CONFIGURACOES!$G$37:$G$300,MATCH($I1974,CONFIGURACOES!$B$37:$B$300,0)),"")</f>
        <v/>
      </c>
      <c r="K1974" s="20">
        <f>IFERROR(INDEX(CONFIGURACOES!$H$37:$H$300,MATCH($I1974,CONFIGURACOES!$B$37:$B$300,0)),"")</f>
        <v/>
      </c>
      <c r="L1974" s="20" t="n"/>
      <c r="M1974" s="20">
        <f>IFERROR(INDEX(CONFIGURACOES!$I$37:$I$300,MATCH($I1974,CONFIGURACOES!$B$37:$B$300,0)),"")</f>
        <v/>
      </c>
      <c r="N1974" s="21" t="n"/>
      <c r="O1974" s="21" t="n"/>
      <c r="P1974" s="21" t="n"/>
      <c r="Q1974" s="21" t="n"/>
      <c r="R1974" s="21">
        <f>IF($N1974="","",$N1974*IF($Q1974="",1,$Q1974)*IF($P1974="",1,$P1974)*IF($O1974="",1,$O1974))</f>
        <v/>
      </c>
      <c r="S1974" s="22">
        <f>IFERROR(INDEX(CONFIGURACOES!$J$37:$J$300,MATCH($I1974,CONFIGURACOES!$B$37:$B$300,0)),"")</f>
        <v/>
      </c>
      <c r="T1974" s="22">
        <f>IF(OR($R1974="",$S1974=""),"",$R1974*$S1974)</f>
        <v/>
      </c>
      <c r="U1974" s="20" t="n"/>
      <c r="V1974" s="20" t="n"/>
      <c r="W1974" s="20" t="n"/>
      <c r="X1974">
        <f>IF($A1974="","",$A1974&amp;"|"&amp;$C1974&amp;"|"&amp;$I1974)</f>
        <v/>
      </c>
      <c r="Y1974">
        <f>IF(AND($A1974=RELATORIO_MEDICAO!$C$5,$C1974=RELATORIO_MEDICAO!$F$5,$A1974&lt;&gt;""),COUNTIFS($A$3:$A1974,RELATORIO_MEDICAO!$C$5,$C$3:$C1974,RELATORIO_MEDICAO!$F$5),"")</f>
        <v/>
      </c>
      <c r="Z1974">
        <f>IF(OR($A1974="",PESQUISA!$C$4=""),0,IF(OR(ISNUMBER(SEARCH(PESQUISA!$C$4,$G1974)),ISNUMBER(SEARCH(PESQUISA!$C$4,$K1974)),ISNUMBER(SEARCH(PESQUISA!$C$4,$L1974))),1,0))</f>
        <v/>
      </c>
      <c r="AA1974">
        <f>IF($Z1974=1,SUM($Z$3:$Z1974),"")</f>
        <v/>
      </c>
      <c r="AB1974">
        <f>IF(OR($A1974="",PESQUISA!$C$50=""),0,IF(ISNUMBER(SEARCH(PESQUISA!$C$50,$I1974)),1,0))</f>
        <v/>
      </c>
      <c r="AC1974">
        <f>IF($AB1974=1,SUM($AB$3:$AB1974),"")</f>
        <v/>
      </c>
    </row>
    <row r="1975">
      <c r="A1975" s="20" t="n"/>
      <c r="B1975" s="20" t="n"/>
      <c r="C1975" s="20" t="n"/>
      <c r="D1975" s="20" t="n"/>
      <c r="E1975" s="20" t="n"/>
      <c r="F1975" s="20" t="n"/>
      <c r="G1975" s="20" t="n"/>
      <c r="H1975" s="20" t="n"/>
      <c r="I1975" s="20" t="n"/>
      <c r="J1975" s="20">
        <f>IFERROR(INDEX(CONFIGURACOES!$G$37:$G$300,MATCH($I1975,CONFIGURACOES!$B$37:$B$300,0)),"")</f>
        <v/>
      </c>
      <c r="K1975" s="20">
        <f>IFERROR(INDEX(CONFIGURACOES!$H$37:$H$300,MATCH($I1975,CONFIGURACOES!$B$37:$B$300,0)),"")</f>
        <v/>
      </c>
      <c r="L1975" s="20" t="n"/>
      <c r="M1975" s="20">
        <f>IFERROR(INDEX(CONFIGURACOES!$I$37:$I$300,MATCH($I1975,CONFIGURACOES!$B$37:$B$300,0)),"")</f>
        <v/>
      </c>
      <c r="N1975" s="21" t="n"/>
      <c r="O1975" s="21" t="n"/>
      <c r="P1975" s="21" t="n"/>
      <c r="Q1975" s="21" t="n"/>
      <c r="R1975" s="21">
        <f>IF($N1975="","",$N1975*IF($Q1975="",1,$Q1975)*IF($P1975="",1,$P1975)*IF($O1975="",1,$O1975))</f>
        <v/>
      </c>
      <c r="S1975" s="22">
        <f>IFERROR(INDEX(CONFIGURACOES!$J$37:$J$300,MATCH($I1975,CONFIGURACOES!$B$37:$B$300,0)),"")</f>
        <v/>
      </c>
      <c r="T1975" s="22">
        <f>IF(OR($R1975="",$S1975=""),"",$R1975*$S1975)</f>
        <v/>
      </c>
      <c r="U1975" s="20" t="n"/>
      <c r="V1975" s="20" t="n"/>
      <c r="W1975" s="20" t="n"/>
      <c r="X1975">
        <f>IF($A1975="","",$A1975&amp;"|"&amp;$C1975&amp;"|"&amp;$I1975)</f>
        <v/>
      </c>
      <c r="Y1975">
        <f>IF(AND($A1975=RELATORIO_MEDICAO!$C$5,$C1975=RELATORIO_MEDICAO!$F$5,$A1975&lt;&gt;""),COUNTIFS($A$3:$A1975,RELATORIO_MEDICAO!$C$5,$C$3:$C1975,RELATORIO_MEDICAO!$F$5),"")</f>
        <v/>
      </c>
      <c r="Z1975">
        <f>IF(OR($A1975="",PESQUISA!$C$4=""),0,IF(OR(ISNUMBER(SEARCH(PESQUISA!$C$4,$G1975)),ISNUMBER(SEARCH(PESQUISA!$C$4,$K1975)),ISNUMBER(SEARCH(PESQUISA!$C$4,$L1975))),1,0))</f>
        <v/>
      </c>
      <c r="AA1975">
        <f>IF($Z1975=1,SUM($Z$3:$Z1975),"")</f>
        <v/>
      </c>
      <c r="AB1975">
        <f>IF(OR($A1975="",PESQUISA!$C$50=""),0,IF(ISNUMBER(SEARCH(PESQUISA!$C$50,$I1975)),1,0))</f>
        <v/>
      </c>
      <c r="AC1975">
        <f>IF($AB1975=1,SUM($AB$3:$AB1975),"")</f>
        <v/>
      </c>
    </row>
    <row r="1976">
      <c r="A1976" s="20" t="n"/>
      <c r="B1976" s="20" t="n"/>
      <c r="C1976" s="20" t="n"/>
      <c r="D1976" s="20" t="n"/>
      <c r="E1976" s="20" t="n"/>
      <c r="F1976" s="20" t="n"/>
      <c r="G1976" s="20" t="n"/>
      <c r="H1976" s="20" t="n"/>
      <c r="I1976" s="20" t="n"/>
      <c r="J1976" s="20">
        <f>IFERROR(INDEX(CONFIGURACOES!$G$37:$G$300,MATCH($I1976,CONFIGURACOES!$B$37:$B$300,0)),"")</f>
        <v/>
      </c>
      <c r="K1976" s="20">
        <f>IFERROR(INDEX(CONFIGURACOES!$H$37:$H$300,MATCH($I1976,CONFIGURACOES!$B$37:$B$300,0)),"")</f>
        <v/>
      </c>
      <c r="L1976" s="20" t="n"/>
      <c r="M1976" s="20">
        <f>IFERROR(INDEX(CONFIGURACOES!$I$37:$I$300,MATCH($I1976,CONFIGURACOES!$B$37:$B$300,0)),"")</f>
        <v/>
      </c>
      <c r="N1976" s="21" t="n"/>
      <c r="O1976" s="21" t="n"/>
      <c r="P1976" s="21" t="n"/>
      <c r="Q1976" s="21" t="n"/>
      <c r="R1976" s="21">
        <f>IF($N1976="","",$N1976*IF($Q1976="",1,$Q1976)*IF($P1976="",1,$P1976)*IF($O1976="",1,$O1976))</f>
        <v/>
      </c>
      <c r="S1976" s="22">
        <f>IFERROR(INDEX(CONFIGURACOES!$J$37:$J$300,MATCH($I1976,CONFIGURACOES!$B$37:$B$300,0)),"")</f>
        <v/>
      </c>
      <c r="T1976" s="22">
        <f>IF(OR($R1976="",$S1976=""),"",$R1976*$S1976)</f>
        <v/>
      </c>
      <c r="U1976" s="20" t="n"/>
      <c r="V1976" s="20" t="n"/>
      <c r="W1976" s="20" t="n"/>
      <c r="X1976">
        <f>IF($A1976="","",$A1976&amp;"|"&amp;$C1976&amp;"|"&amp;$I1976)</f>
        <v/>
      </c>
      <c r="Y1976">
        <f>IF(AND($A1976=RELATORIO_MEDICAO!$C$5,$C1976=RELATORIO_MEDICAO!$F$5,$A1976&lt;&gt;""),COUNTIFS($A$3:$A1976,RELATORIO_MEDICAO!$C$5,$C$3:$C1976,RELATORIO_MEDICAO!$F$5),"")</f>
        <v/>
      </c>
      <c r="Z1976">
        <f>IF(OR($A1976="",PESQUISA!$C$4=""),0,IF(OR(ISNUMBER(SEARCH(PESQUISA!$C$4,$G1976)),ISNUMBER(SEARCH(PESQUISA!$C$4,$K1976)),ISNUMBER(SEARCH(PESQUISA!$C$4,$L1976))),1,0))</f>
        <v/>
      </c>
      <c r="AA1976">
        <f>IF($Z1976=1,SUM($Z$3:$Z1976),"")</f>
        <v/>
      </c>
      <c r="AB1976">
        <f>IF(OR($A1976="",PESQUISA!$C$50=""),0,IF(ISNUMBER(SEARCH(PESQUISA!$C$50,$I1976)),1,0))</f>
        <v/>
      </c>
      <c r="AC1976">
        <f>IF($AB1976=1,SUM($AB$3:$AB1976),"")</f>
        <v/>
      </c>
    </row>
    <row r="1977">
      <c r="A1977" s="20" t="n"/>
      <c r="B1977" s="20" t="n"/>
      <c r="C1977" s="20" t="n"/>
      <c r="D1977" s="20" t="n"/>
      <c r="E1977" s="20" t="n"/>
      <c r="F1977" s="20" t="n"/>
      <c r="G1977" s="20" t="n"/>
      <c r="H1977" s="20" t="n"/>
      <c r="I1977" s="20" t="n"/>
      <c r="J1977" s="20">
        <f>IFERROR(INDEX(CONFIGURACOES!$G$37:$G$300,MATCH($I1977,CONFIGURACOES!$B$37:$B$300,0)),"")</f>
        <v/>
      </c>
      <c r="K1977" s="20">
        <f>IFERROR(INDEX(CONFIGURACOES!$H$37:$H$300,MATCH($I1977,CONFIGURACOES!$B$37:$B$300,0)),"")</f>
        <v/>
      </c>
      <c r="L1977" s="20" t="n"/>
      <c r="M1977" s="20">
        <f>IFERROR(INDEX(CONFIGURACOES!$I$37:$I$300,MATCH($I1977,CONFIGURACOES!$B$37:$B$300,0)),"")</f>
        <v/>
      </c>
      <c r="N1977" s="21" t="n"/>
      <c r="O1977" s="21" t="n"/>
      <c r="P1977" s="21" t="n"/>
      <c r="Q1977" s="21" t="n"/>
      <c r="R1977" s="21">
        <f>IF($N1977="","",$N1977*IF($Q1977="",1,$Q1977)*IF($P1977="",1,$P1977)*IF($O1977="",1,$O1977))</f>
        <v/>
      </c>
      <c r="S1977" s="22">
        <f>IFERROR(INDEX(CONFIGURACOES!$J$37:$J$300,MATCH($I1977,CONFIGURACOES!$B$37:$B$300,0)),"")</f>
        <v/>
      </c>
      <c r="T1977" s="22">
        <f>IF(OR($R1977="",$S1977=""),"",$R1977*$S1977)</f>
        <v/>
      </c>
      <c r="U1977" s="20" t="n"/>
      <c r="V1977" s="20" t="n"/>
      <c r="W1977" s="20" t="n"/>
      <c r="X1977">
        <f>IF($A1977="","",$A1977&amp;"|"&amp;$C1977&amp;"|"&amp;$I1977)</f>
        <v/>
      </c>
      <c r="Y1977">
        <f>IF(AND($A1977=RELATORIO_MEDICAO!$C$5,$C1977=RELATORIO_MEDICAO!$F$5,$A1977&lt;&gt;""),COUNTIFS($A$3:$A1977,RELATORIO_MEDICAO!$C$5,$C$3:$C1977,RELATORIO_MEDICAO!$F$5),"")</f>
        <v/>
      </c>
      <c r="Z1977">
        <f>IF(OR($A1977="",PESQUISA!$C$4=""),0,IF(OR(ISNUMBER(SEARCH(PESQUISA!$C$4,$G1977)),ISNUMBER(SEARCH(PESQUISA!$C$4,$K1977)),ISNUMBER(SEARCH(PESQUISA!$C$4,$L1977))),1,0))</f>
        <v/>
      </c>
      <c r="AA1977">
        <f>IF($Z1977=1,SUM($Z$3:$Z1977),"")</f>
        <v/>
      </c>
      <c r="AB1977">
        <f>IF(OR($A1977="",PESQUISA!$C$50=""),0,IF(ISNUMBER(SEARCH(PESQUISA!$C$50,$I1977)),1,0))</f>
        <v/>
      </c>
      <c r="AC1977">
        <f>IF($AB1977=1,SUM($AB$3:$AB1977),"")</f>
        <v/>
      </c>
    </row>
    <row r="1978">
      <c r="A1978" s="20" t="n"/>
      <c r="B1978" s="20" t="n"/>
      <c r="C1978" s="20" t="n"/>
      <c r="D1978" s="20" t="n"/>
      <c r="E1978" s="20" t="n"/>
      <c r="F1978" s="20" t="n"/>
      <c r="G1978" s="20" t="n"/>
      <c r="H1978" s="20" t="n"/>
      <c r="I1978" s="20" t="n"/>
      <c r="J1978" s="20">
        <f>IFERROR(INDEX(CONFIGURACOES!$G$37:$G$300,MATCH($I1978,CONFIGURACOES!$B$37:$B$300,0)),"")</f>
        <v/>
      </c>
      <c r="K1978" s="20">
        <f>IFERROR(INDEX(CONFIGURACOES!$H$37:$H$300,MATCH($I1978,CONFIGURACOES!$B$37:$B$300,0)),"")</f>
        <v/>
      </c>
      <c r="L1978" s="20" t="n"/>
      <c r="M1978" s="20">
        <f>IFERROR(INDEX(CONFIGURACOES!$I$37:$I$300,MATCH($I1978,CONFIGURACOES!$B$37:$B$300,0)),"")</f>
        <v/>
      </c>
      <c r="N1978" s="21" t="n"/>
      <c r="O1978" s="21" t="n"/>
      <c r="P1978" s="21" t="n"/>
      <c r="Q1978" s="21" t="n"/>
      <c r="R1978" s="21">
        <f>IF($N1978="","",$N1978*IF($Q1978="",1,$Q1978)*IF($P1978="",1,$P1978)*IF($O1978="",1,$O1978))</f>
        <v/>
      </c>
      <c r="S1978" s="22">
        <f>IFERROR(INDEX(CONFIGURACOES!$J$37:$J$300,MATCH($I1978,CONFIGURACOES!$B$37:$B$300,0)),"")</f>
        <v/>
      </c>
      <c r="T1978" s="22">
        <f>IF(OR($R1978="",$S1978=""),"",$R1978*$S1978)</f>
        <v/>
      </c>
      <c r="U1978" s="20" t="n"/>
      <c r="V1978" s="20" t="n"/>
      <c r="W1978" s="20" t="n"/>
      <c r="X1978">
        <f>IF($A1978="","",$A1978&amp;"|"&amp;$C1978&amp;"|"&amp;$I1978)</f>
        <v/>
      </c>
      <c r="Y1978">
        <f>IF(AND($A1978=RELATORIO_MEDICAO!$C$5,$C1978=RELATORIO_MEDICAO!$F$5,$A1978&lt;&gt;""),COUNTIFS($A$3:$A1978,RELATORIO_MEDICAO!$C$5,$C$3:$C1978,RELATORIO_MEDICAO!$F$5),"")</f>
        <v/>
      </c>
      <c r="Z1978">
        <f>IF(OR($A1978="",PESQUISA!$C$4=""),0,IF(OR(ISNUMBER(SEARCH(PESQUISA!$C$4,$G1978)),ISNUMBER(SEARCH(PESQUISA!$C$4,$K1978)),ISNUMBER(SEARCH(PESQUISA!$C$4,$L1978))),1,0))</f>
        <v/>
      </c>
      <c r="AA1978">
        <f>IF($Z1978=1,SUM($Z$3:$Z1978),"")</f>
        <v/>
      </c>
      <c r="AB1978">
        <f>IF(OR($A1978="",PESQUISA!$C$50=""),0,IF(ISNUMBER(SEARCH(PESQUISA!$C$50,$I1978)),1,0))</f>
        <v/>
      </c>
      <c r="AC1978">
        <f>IF($AB1978=1,SUM($AB$3:$AB1978),"")</f>
        <v/>
      </c>
    </row>
    <row r="1979">
      <c r="A1979" s="20" t="n"/>
      <c r="B1979" s="20" t="n"/>
      <c r="C1979" s="20" t="n"/>
      <c r="D1979" s="20" t="n"/>
      <c r="E1979" s="20" t="n"/>
      <c r="F1979" s="20" t="n"/>
      <c r="G1979" s="20" t="n"/>
      <c r="H1979" s="20" t="n"/>
      <c r="I1979" s="20" t="n"/>
      <c r="J1979" s="20">
        <f>IFERROR(INDEX(CONFIGURACOES!$G$37:$G$300,MATCH($I1979,CONFIGURACOES!$B$37:$B$300,0)),"")</f>
        <v/>
      </c>
      <c r="K1979" s="20">
        <f>IFERROR(INDEX(CONFIGURACOES!$H$37:$H$300,MATCH($I1979,CONFIGURACOES!$B$37:$B$300,0)),"")</f>
        <v/>
      </c>
      <c r="L1979" s="20" t="n"/>
      <c r="M1979" s="20">
        <f>IFERROR(INDEX(CONFIGURACOES!$I$37:$I$300,MATCH($I1979,CONFIGURACOES!$B$37:$B$300,0)),"")</f>
        <v/>
      </c>
      <c r="N1979" s="21" t="n"/>
      <c r="O1979" s="21" t="n"/>
      <c r="P1979" s="21" t="n"/>
      <c r="Q1979" s="21" t="n"/>
      <c r="R1979" s="21">
        <f>IF($N1979="","",$N1979*IF($Q1979="",1,$Q1979)*IF($P1979="",1,$P1979)*IF($O1979="",1,$O1979))</f>
        <v/>
      </c>
      <c r="S1979" s="22">
        <f>IFERROR(INDEX(CONFIGURACOES!$J$37:$J$300,MATCH($I1979,CONFIGURACOES!$B$37:$B$300,0)),"")</f>
        <v/>
      </c>
      <c r="T1979" s="22">
        <f>IF(OR($R1979="",$S1979=""),"",$R1979*$S1979)</f>
        <v/>
      </c>
      <c r="U1979" s="20" t="n"/>
      <c r="V1979" s="20" t="n"/>
      <c r="W1979" s="20" t="n"/>
      <c r="X1979">
        <f>IF($A1979="","",$A1979&amp;"|"&amp;$C1979&amp;"|"&amp;$I1979)</f>
        <v/>
      </c>
      <c r="Y1979">
        <f>IF(AND($A1979=RELATORIO_MEDICAO!$C$5,$C1979=RELATORIO_MEDICAO!$F$5,$A1979&lt;&gt;""),COUNTIFS($A$3:$A1979,RELATORIO_MEDICAO!$C$5,$C$3:$C1979,RELATORIO_MEDICAO!$F$5),"")</f>
        <v/>
      </c>
      <c r="Z1979">
        <f>IF(OR($A1979="",PESQUISA!$C$4=""),0,IF(OR(ISNUMBER(SEARCH(PESQUISA!$C$4,$G1979)),ISNUMBER(SEARCH(PESQUISA!$C$4,$K1979)),ISNUMBER(SEARCH(PESQUISA!$C$4,$L1979))),1,0))</f>
        <v/>
      </c>
      <c r="AA1979">
        <f>IF($Z1979=1,SUM($Z$3:$Z1979),"")</f>
        <v/>
      </c>
      <c r="AB1979">
        <f>IF(OR($A1979="",PESQUISA!$C$50=""),0,IF(ISNUMBER(SEARCH(PESQUISA!$C$50,$I1979)),1,0))</f>
        <v/>
      </c>
      <c r="AC1979">
        <f>IF($AB1979=1,SUM($AB$3:$AB1979),"")</f>
        <v/>
      </c>
    </row>
    <row r="1980">
      <c r="A1980" s="20" t="n"/>
      <c r="B1980" s="20" t="n"/>
      <c r="C1980" s="20" t="n"/>
      <c r="D1980" s="20" t="n"/>
      <c r="E1980" s="20" t="n"/>
      <c r="F1980" s="20" t="n"/>
      <c r="G1980" s="20" t="n"/>
      <c r="H1980" s="20" t="n"/>
      <c r="I1980" s="20" t="n"/>
      <c r="J1980" s="20">
        <f>IFERROR(INDEX(CONFIGURACOES!$G$37:$G$300,MATCH($I1980,CONFIGURACOES!$B$37:$B$300,0)),"")</f>
        <v/>
      </c>
      <c r="K1980" s="20">
        <f>IFERROR(INDEX(CONFIGURACOES!$H$37:$H$300,MATCH($I1980,CONFIGURACOES!$B$37:$B$300,0)),"")</f>
        <v/>
      </c>
      <c r="L1980" s="20" t="n"/>
      <c r="M1980" s="20">
        <f>IFERROR(INDEX(CONFIGURACOES!$I$37:$I$300,MATCH($I1980,CONFIGURACOES!$B$37:$B$300,0)),"")</f>
        <v/>
      </c>
      <c r="N1980" s="21" t="n"/>
      <c r="O1980" s="21" t="n"/>
      <c r="P1980" s="21" t="n"/>
      <c r="Q1980" s="21" t="n"/>
      <c r="R1980" s="21">
        <f>IF($N1980="","",$N1980*IF($Q1980="",1,$Q1980)*IF($P1980="",1,$P1980)*IF($O1980="",1,$O1980))</f>
        <v/>
      </c>
      <c r="S1980" s="22">
        <f>IFERROR(INDEX(CONFIGURACOES!$J$37:$J$300,MATCH($I1980,CONFIGURACOES!$B$37:$B$300,0)),"")</f>
        <v/>
      </c>
      <c r="T1980" s="22">
        <f>IF(OR($R1980="",$S1980=""),"",$R1980*$S1980)</f>
        <v/>
      </c>
      <c r="U1980" s="20" t="n"/>
      <c r="V1980" s="20" t="n"/>
      <c r="W1980" s="20" t="n"/>
      <c r="X1980">
        <f>IF($A1980="","",$A1980&amp;"|"&amp;$C1980&amp;"|"&amp;$I1980)</f>
        <v/>
      </c>
      <c r="Y1980">
        <f>IF(AND($A1980=RELATORIO_MEDICAO!$C$5,$C1980=RELATORIO_MEDICAO!$F$5,$A1980&lt;&gt;""),COUNTIFS($A$3:$A1980,RELATORIO_MEDICAO!$C$5,$C$3:$C1980,RELATORIO_MEDICAO!$F$5),"")</f>
        <v/>
      </c>
      <c r="Z1980">
        <f>IF(OR($A1980="",PESQUISA!$C$4=""),0,IF(OR(ISNUMBER(SEARCH(PESQUISA!$C$4,$G1980)),ISNUMBER(SEARCH(PESQUISA!$C$4,$K1980)),ISNUMBER(SEARCH(PESQUISA!$C$4,$L1980))),1,0))</f>
        <v/>
      </c>
      <c r="AA1980">
        <f>IF($Z1980=1,SUM($Z$3:$Z1980),"")</f>
        <v/>
      </c>
      <c r="AB1980">
        <f>IF(OR($A1980="",PESQUISA!$C$50=""),0,IF(ISNUMBER(SEARCH(PESQUISA!$C$50,$I1980)),1,0))</f>
        <v/>
      </c>
      <c r="AC1980">
        <f>IF($AB1980=1,SUM($AB$3:$AB1980),"")</f>
        <v/>
      </c>
    </row>
    <row r="1981">
      <c r="A1981" s="20" t="n"/>
      <c r="B1981" s="20" t="n"/>
      <c r="C1981" s="20" t="n"/>
      <c r="D1981" s="20" t="n"/>
      <c r="E1981" s="20" t="n"/>
      <c r="F1981" s="20" t="n"/>
      <c r="G1981" s="20" t="n"/>
      <c r="H1981" s="20" t="n"/>
      <c r="I1981" s="20" t="n"/>
      <c r="J1981" s="20">
        <f>IFERROR(INDEX(CONFIGURACOES!$G$37:$G$300,MATCH($I1981,CONFIGURACOES!$B$37:$B$300,0)),"")</f>
        <v/>
      </c>
      <c r="K1981" s="20">
        <f>IFERROR(INDEX(CONFIGURACOES!$H$37:$H$300,MATCH($I1981,CONFIGURACOES!$B$37:$B$300,0)),"")</f>
        <v/>
      </c>
      <c r="L1981" s="20" t="n"/>
      <c r="M1981" s="20">
        <f>IFERROR(INDEX(CONFIGURACOES!$I$37:$I$300,MATCH($I1981,CONFIGURACOES!$B$37:$B$300,0)),"")</f>
        <v/>
      </c>
      <c r="N1981" s="21" t="n"/>
      <c r="O1981" s="21" t="n"/>
      <c r="P1981" s="21" t="n"/>
      <c r="Q1981" s="21" t="n"/>
      <c r="R1981" s="21">
        <f>IF($N1981="","",$N1981*IF($Q1981="",1,$Q1981)*IF($P1981="",1,$P1981)*IF($O1981="",1,$O1981))</f>
        <v/>
      </c>
      <c r="S1981" s="22">
        <f>IFERROR(INDEX(CONFIGURACOES!$J$37:$J$300,MATCH($I1981,CONFIGURACOES!$B$37:$B$300,0)),"")</f>
        <v/>
      </c>
      <c r="T1981" s="22">
        <f>IF(OR($R1981="",$S1981=""),"",$R1981*$S1981)</f>
        <v/>
      </c>
      <c r="U1981" s="20" t="n"/>
      <c r="V1981" s="20" t="n"/>
      <c r="W1981" s="20" t="n"/>
      <c r="X1981">
        <f>IF($A1981="","",$A1981&amp;"|"&amp;$C1981&amp;"|"&amp;$I1981)</f>
        <v/>
      </c>
      <c r="Y1981">
        <f>IF(AND($A1981=RELATORIO_MEDICAO!$C$5,$C1981=RELATORIO_MEDICAO!$F$5,$A1981&lt;&gt;""),COUNTIFS($A$3:$A1981,RELATORIO_MEDICAO!$C$5,$C$3:$C1981,RELATORIO_MEDICAO!$F$5),"")</f>
        <v/>
      </c>
      <c r="Z1981">
        <f>IF(OR($A1981="",PESQUISA!$C$4=""),0,IF(OR(ISNUMBER(SEARCH(PESQUISA!$C$4,$G1981)),ISNUMBER(SEARCH(PESQUISA!$C$4,$K1981)),ISNUMBER(SEARCH(PESQUISA!$C$4,$L1981))),1,0))</f>
        <v/>
      </c>
      <c r="AA1981">
        <f>IF($Z1981=1,SUM($Z$3:$Z1981),"")</f>
        <v/>
      </c>
      <c r="AB1981">
        <f>IF(OR($A1981="",PESQUISA!$C$50=""),0,IF(ISNUMBER(SEARCH(PESQUISA!$C$50,$I1981)),1,0))</f>
        <v/>
      </c>
      <c r="AC1981">
        <f>IF($AB1981=1,SUM($AB$3:$AB1981),"")</f>
        <v/>
      </c>
    </row>
    <row r="1982">
      <c r="A1982" s="20" t="n"/>
      <c r="B1982" s="20" t="n"/>
      <c r="C1982" s="20" t="n"/>
      <c r="D1982" s="20" t="n"/>
      <c r="E1982" s="20" t="n"/>
      <c r="F1982" s="20" t="n"/>
      <c r="G1982" s="20" t="n"/>
      <c r="H1982" s="20" t="n"/>
      <c r="I1982" s="20" t="n"/>
      <c r="J1982" s="20">
        <f>IFERROR(INDEX(CONFIGURACOES!$G$37:$G$300,MATCH($I1982,CONFIGURACOES!$B$37:$B$300,0)),"")</f>
        <v/>
      </c>
      <c r="K1982" s="20">
        <f>IFERROR(INDEX(CONFIGURACOES!$H$37:$H$300,MATCH($I1982,CONFIGURACOES!$B$37:$B$300,0)),"")</f>
        <v/>
      </c>
      <c r="L1982" s="20" t="n"/>
      <c r="M1982" s="20">
        <f>IFERROR(INDEX(CONFIGURACOES!$I$37:$I$300,MATCH($I1982,CONFIGURACOES!$B$37:$B$300,0)),"")</f>
        <v/>
      </c>
      <c r="N1982" s="21" t="n"/>
      <c r="O1982" s="21" t="n"/>
      <c r="P1982" s="21" t="n"/>
      <c r="Q1982" s="21" t="n"/>
      <c r="R1982" s="21">
        <f>IF($N1982="","",$N1982*IF($Q1982="",1,$Q1982)*IF($P1982="",1,$P1982)*IF($O1982="",1,$O1982))</f>
        <v/>
      </c>
      <c r="S1982" s="22">
        <f>IFERROR(INDEX(CONFIGURACOES!$J$37:$J$300,MATCH($I1982,CONFIGURACOES!$B$37:$B$300,0)),"")</f>
        <v/>
      </c>
      <c r="T1982" s="22">
        <f>IF(OR($R1982="",$S1982=""),"",$R1982*$S1982)</f>
        <v/>
      </c>
      <c r="U1982" s="20" t="n"/>
      <c r="V1982" s="20" t="n"/>
      <c r="W1982" s="20" t="n"/>
      <c r="X1982">
        <f>IF($A1982="","",$A1982&amp;"|"&amp;$C1982&amp;"|"&amp;$I1982)</f>
        <v/>
      </c>
      <c r="Y1982">
        <f>IF(AND($A1982=RELATORIO_MEDICAO!$C$5,$C1982=RELATORIO_MEDICAO!$F$5,$A1982&lt;&gt;""),COUNTIFS($A$3:$A1982,RELATORIO_MEDICAO!$C$5,$C$3:$C1982,RELATORIO_MEDICAO!$F$5),"")</f>
        <v/>
      </c>
      <c r="Z1982">
        <f>IF(OR($A1982="",PESQUISA!$C$4=""),0,IF(OR(ISNUMBER(SEARCH(PESQUISA!$C$4,$G1982)),ISNUMBER(SEARCH(PESQUISA!$C$4,$K1982)),ISNUMBER(SEARCH(PESQUISA!$C$4,$L1982))),1,0))</f>
        <v/>
      </c>
      <c r="AA1982">
        <f>IF($Z1982=1,SUM($Z$3:$Z1982),"")</f>
        <v/>
      </c>
      <c r="AB1982">
        <f>IF(OR($A1982="",PESQUISA!$C$50=""),0,IF(ISNUMBER(SEARCH(PESQUISA!$C$50,$I1982)),1,0))</f>
        <v/>
      </c>
      <c r="AC1982">
        <f>IF($AB1982=1,SUM($AB$3:$AB1982),"")</f>
        <v/>
      </c>
    </row>
    <row r="1983">
      <c r="A1983" s="20" t="n"/>
      <c r="B1983" s="20" t="n"/>
      <c r="C1983" s="20" t="n"/>
      <c r="D1983" s="20" t="n"/>
      <c r="E1983" s="20" t="n"/>
      <c r="F1983" s="20" t="n"/>
      <c r="G1983" s="20" t="n"/>
      <c r="H1983" s="20" t="n"/>
      <c r="I1983" s="20" t="n"/>
      <c r="J1983" s="20">
        <f>IFERROR(INDEX(CONFIGURACOES!$G$37:$G$300,MATCH($I1983,CONFIGURACOES!$B$37:$B$300,0)),"")</f>
        <v/>
      </c>
      <c r="K1983" s="20">
        <f>IFERROR(INDEX(CONFIGURACOES!$H$37:$H$300,MATCH($I1983,CONFIGURACOES!$B$37:$B$300,0)),"")</f>
        <v/>
      </c>
      <c r="L1983" s="20" t="n"/>
      <c r="M1983" s="20">
        <f>IFERROR(INDEX(CONFIGURACOES!$I$37:$I$300,MATCH($I1983,CONFIGURACOES!$B$37:$B$300,0)),"")</f>
        <v/>
      </c>
      <c r="N1983" s="21" t="n"/>
      <c r="O1983" s="21" t="n"/>
      <c r="P1983" s="21" t="n"/>
      <c r="Q1983" s="21" t="n"/>
      <c r="R1983" s="21">
        <f>IF($N1983="","",$N1983*IF($Q1983="",1,$Q1983)*IF($P1983="",1,$P1983)*IF($O1983="",1,$O1983))</f>
        <v/>
      </c>
      <c r="S1983" s="22">
        <f>IFERROR(INDEX(CONFIGURACOES!$J$37:$J$300,MATCH($I1983,CONFIGURACOES!$B$37:$B$300,0)),"")</f>
        <v/>
      </c>
      <c r="T1983" s="22">
        <f>IF(OR($R1983="",$S1983=""),"",$R1983*$S1983)</f>
        <v/>
      </c>
      <c r="U1983" s="20" t="n"/>
      <c r="V1983" s="20" t="n"/>
      <c r="W1983" s="20" t="n"/>
      <c r="X1983">
        <f>IF($A1983="","",$A1983&amp;"|"&amp;$C1983&amp;"|"&amp;$I1983)</f>
        <v/>
      </c>
      <c r="Y1983">
        <f>IF(AND($A1983=RELATORIO_MEDICAO!$C$5,$C1983=RELATORIO_MEDICAO!$F$5,$A1983&lt;&gt;""),COUNTIFS($A$3:$A1983,RELATORIO_MEDICAO!$C$5,$C$3:$C1983,RELATORIO_MEDICAO!$F$5),"")</f>
        <v/>
      </c>
      <c r="Z1983">
        <f>IF(OR($A1983="",PESQUISA!$C$4=""),0,IF(OR(ISNUMBER(SEARCH(PESQUISA!$C$4,$G1983)),ISNUMBER(SEARCH(PESQUISA!$C$4,$K1983)),ISNUMBER(SEARCH(PESQUISA!$C$4,$L1983))),1,0))</f>
        <v/>
      </c>
      <c r="AA1983">
        <f>IF($Z1983=1,SUM($Z$3:$Z1983),"")</f>
        <v/>
      </c>
      <c r="AB1983">
        <f>IF(OR($A1983="",PESQUISA!$C$50=""),0,IF(ISNUMBER(SEARCH(PESQUISA!$C$50,$I1983)),1,0))</f>
        <v/>
      </c>
      <c r="AC1983">
        <f>IF($AB1983=1,SUM($AB$3:$AB1983),"")</f>
        <v/>
      </c>
    </row>
    <row r="1984">
      <c r="A1984" s="20" t="n"/>
      <c r="B1984" s="20" t="n"/>
      <c r="C1984" s="20" t="n"/>
      <c r="D1984" s="20" t="n"/>
      <c r="E1984" s="20" t="n"/>
      <c r="F1984" s="20" t="n"/>
      <c r="G1984" s="20" t="n"/>
      <c r="H1984" s="20" t="n"/>
      <c r="I1984" s="20" t="n"/>
      <c r="J1984" s="20">
        <f>IFERROR(INDEX(CONFIGURACOES!$G$37:$G$300,MATCH($I1984,CONFIGURACOES!$B$37:$B$300,0)),"")</f>
        <v/>
      </c>
      <c r="K1984" s="20">
        <f>IFERROR(INDEX(CONFIGURACOES!$H$37:$H$300,MATCH($I1984,CONFIGURACOES!$B$37:$B$300,0)),"")</f>
        <v/>
      </c>
      <c r="L1984" s="20" t="n"/>
      <c r="M1984" s="20">
        <f>IFERROR(INDEX(CONFIGURACOES!$I$37:$I$300,MATCH($I1984,CONFIGURACOES!$B$37:$B$300,0)),"")</f>
        <v/>
      </c>
      <c r="N1984" s="21" t="n"/>
      <c r="O1984" s="21" t="n"/>
      <c r="P1984" s="21" t="n"/>
      <c r="Q1984" s="21" t="n"/>
      <c r="R1984" s="21">
        <f>IF($N1984="","",$N1984*IF($Q1984="",1,$Q1984)*IF($P1984="",1,$P1984)*IF($O1984="",1,$O1984))</f>
        <v/>
      </c>
      <c r="S1984" s="22">
        <f>IFERROR(INDEX(CONFIGURACOES!$J$37:$J$300,MATCH($I1984,CONFIGURACOES!$B$37:$B$300,0)),"")</f>
        <v/>
      </c>
      <c r="T1984" s="22">
        <f>IF(OR($R1984="",$S1984=""),"",$R1984*$S1984)</f>
        <v/>
      </c>
      <c r="U1984" s="20" t="n"/>
      <c r="V1984" s="20" t="n"/>
      <c r="W1984" s="20" t="n"/>
      <c r="X1984">
        <f>IF($A1984="","",$A1984&amp;"|"&amp;$C1984&amp;"|"&amp;$I1984)</f>
        <v/>
      </c>
      <c r="Y1984">
        <f>IF(AND($A1984=RELATORIO_MEDICAO!$C$5,$C1984=RELATORIO_MEDICAO!$F$5,$A1984&lt;&gt;""),COUNTIFS($A$3:$A1984,RELATORIO_MEDICAO!$C$5,$C$3:$C1984,RELATORIO_MEDICAO!$F$5),"")</f>
        <v/>
      </c>
      <c r="Z1984">
        <f>IF(OR($A1984="",PESQUISA!$C$4=""),0,IF(OR(ISNUMBER(SEARCH(PESQUISA!$C$4,$G1984)),ISNUMBER(SEARCH(PESQUISA!$C$4,$K1984)),ISNUMBER(SEARCH(PESQUISA!$C$4,$L1984))),1,0))</f>
        <v/>
      </c>
      <c r="AA1984">
        <f>IF($Z1984=1,SUM($Z$3:$Z1984),"")</f>
        <v/>
      </c>
      <c r="AB1984">
        <f>IF(OR($A1984="",PESQUISA!$C$50=""),0,IF(ISNUMBER(SEARCH(PESQUISA!$C$50,$I1984)),1,0))</f>
        <v/>
      </c>
      <c r="AC1984">
        <f>IF($AB1984=1,SUM($AB$3:$AB1984),"")</f>
        <v/>
      </c>
    </row>
    <row r="1985">
      <c r="A1985" s="20" t="n"/>
      <c r="B1985" s="20" t="n"/>
      <c r="C1985" s="20" t="n"/>
      <c r="D1985" s="20" t="n"/>
      <c r="E1985" s="20" t="n"/>
      <c r="F1985" s="20" t="n"/>
      <c r="G1985" s="20" t="n"/>
      <c r="H1985" s="20" t="n"/>
      <c r="I1985" s="20" t="n"/>
      <c r="J1985" s="20">
        <f>IFERROR(INDEX(CONFIGURACOES!$G$37:$G$300,MATCH($I1985,CONFIGURACOES!$B$37:$B$300,0)),"")</f>
        <v/>
      </c>
      <c r="K1985" s="20">
        <f>IFERROR(INDEX(CONFIGURACOES!$H$37:$H$300,MATCH($I1985,CONFIGURACOES!$B$37:$B$300,0)),"")</f>
        <v/>
      </c>
      <c r="L1985" s="20" t="n"/>
      <c r="M1985" s="20">
        <f>IFERROR(INDEX(CONFIGURACOES!$I$37:$I$300,MATCH($I1985,CONFIGURACOES!$B$37:$B$300,0)),"")</f>
        <v/>
      </c>
      <c r="N1985" s="21" t="n"/>
      <c r="O1985" s="21" t="n"/>
      <c r="P1985" s="21" t="n"/>
      <c r="Q1985" s="21" t="n"/>
      <c r="R1985" s="21">
        <f>IF($N1985="","",$N1985*IF($Q1985="",1,$Q1985)*IF($P1985="",1,$P1985)*IF($O1985="",1,$O1985))</f>
        <v/>
      </c>
      <c r="S1985" s="22">
        <f>IFERROR(INDEX(CONFIGURACOES!$J$37:$J$300,MATCH($I1985,CONFIGURACOES!$B$37:$B$300,0)),"")</f>
        <v/>
      </c>
      <c r="T1985" s="22">
        <f>IF(OR($R1985="",$S1985=""),"",$R1985*$S1985)</f>
        <v/>
      </c>
      <c r="U1985" s="20" t="n"/>
      <c r="V1985" s="20" t="n"/>
      <c r="W1985" s="20" t="n"/>
      <c r="X1985">
        <f>IF($A1985="","",$A1985&amp;"|"&amp;$C1985&amp;"|"&amp;$I1985)</f>
        <v/>
      </c>
      <c r="Y1985">
        <f>IF(AND($A1985=RELATORIO_MEDICAO!$C$5,$C1985=RELATORIO_MEDICAO!$F$5,$A1985&lt;&gt;""),COUNTIFS($A$3:$A1985,RELATORIO_MEDICAO!$C$5,$C$3:$C1985,RELATORIO_MEDICAO!$F$5),"")</f>
        <v/>
      </c>
      <c r="Z1985">
        <f>IF(OR($A1985="",PESQUISA!$C$4=""),0,IF(OR(ISNUMBER(SEARCH(PESQUISA!$C$4,$G1985)),ISNUMBER(SEARCH(PESQUISA!$C$4,$K1985)),ISNUMBER(SEARCH(PESQUISA!$C$4,$L1985))),1,0))</f>
        <v/>
      </c>
      <c r="AA1985">
        <f>IF($Z1985=1,SUM($Z$3:$Z1985),"")</f>
        <v/>
      </c>
      <c r="AB1985">
        <f>IF(OR($A1985="",PESQUISA!$C$50=""),0,IF(ISNUMBER(SEARCH(PESQUISA!$C$50,$I1985)),1,0))</f>
        <v/>
      </c>
      <c r="AC1985">
        <f>IF($AB1985=1,SUM($AB$3:$AB1985),"")</f>
        <v/>
      </c>
    </row>
    <row r="1986">
      <c r="A1986" s="20" t="n"/>
      <c r="B1986" s="20" t="n"/>
      <c r="C1986" s="20" t="n"/>
      <c r="D1986" s="20" t="n"/>
      <c r="E1986" s="20" t="n"/>
      <c r="F1986" s="20" t="n"/>
      <c r="G1986" s="20" t="n"/>
      <c r="H1986" s="20" t="n"/>
      <c r="I1986" s="20" t="n"/>
      <c r="J1986" s="20">
        <f>IFERROR(INDEX(CONFIGURACOES!$G$37:$G$300,MATCH($I1986,CONFIGURACOES!$B$37:$B$300,0)),"")</f>
        <v/>
      </c>
      <c r="K1986" s="20">
        <f>IFERROR(INDEX(CONFIGURACOES!$H$37:$H$300,MATCH($I1986,CONFIGURACOES!$B$37:$B$300,0)),"")</f>
        <v/>
      </c>
      <c r="L1986" s="20" t="n"/>
      <c r="M1986" s="20">
        <f>IFERROR(INDEX(CONFIGURACOES!$I$37:$I$300,MATCH($I1986,CONFIGURACOES!$B$37:$B$300,0)),"")</f>
        <v/>
      </c>
      <c r="N1986" s="21" t="n"/>
      <c r="O1986" s="21" t="n"/>
      <c r="P1986" s="21" t="n"/>
      <c r="Q1986" s="21" t="n"/>
      <c r="R1986" s="21">
        <f>IF($N1986="","",$N1986*IF($Q1986="",1,$Q1986)*IF($P1986="",1,$P1986)*IF($O1986="",1,$O1986))</f>
        <v/>
      </c>
      <c r="S1986" s="22">
        <f>IFERROR(INDEX(CONFIGURACOES!$J$37:$J$300,MATCH($I1986,CONFIGURACOES!$B$37:$B$300,0)),"")</f>
        <v/>
      </c>
      <c r="T1986" s="22">
        <f>IF(OR($R1986="",$S1986=""),"",$R1986*$S1986)</f>
        <v/>
      </c>
      <c r="U1986" s="20" t="n"/>
      <c r="V1986" s="20" t="n"/>
      <c r="W1986" s="20" t="n"/>
      <c r="X1986">
        <f>IF($A1986="","",$A1986&amp;"|"&amp;$C1986&amp;"|"&amp;$I1986)</f>
        <v/>
      </c>
      <c r="Y1986">
        <f>IF(AND($A1986=RELATORIO_MEDICAO!$C$5,$C1986=RELATORIO_MEDICAO!$F$5,$A1986&lt;&gt;""),COUNTIFS($A$3:$A1986,RELATORIO_MEDICAO!$C$5,$C$3:$C1986,RELATORIO_MEDICAO!$F$5),"")</f>
        <v/>
      </c>
      <c r="Z1986">
        <f>IF(OR($A1986="",PESQUISA!$C$4=""),0,IF(OR(ISNUMBER(SEARCH(PESQUISA!$C$4,$G1986)),ISNUMBER(SEARCH(PESQUISA!$C$4,$K1986)),ISNUMBER(SEARCH(PESQUISA!$C$4,$L1986))),1,0))</f>
        <v/>
      </c>
      <c r="AA1986">
        <f>IF($Z1986=1,SUM($Z$3:$Z1986),"")</f>
        <v/>
      </c>
      <c r="AB1986">
        <f>IF(OR($A1986="",PESQUISA!$C$50=""),0,IF(ISNUMBER(SEARCH(PESQUISA!$C$50,$I1986)),1,0))</f>
        <v/>
      </c>
      <c r="AC1986">
        <f>IF($AB1986=1,SUM($AB$3:$AB1986),"")</f>
        <v/>
      </c>
    </row>
    <row r="1987">
      <c r="A1987" s="20" t="n"/>
      <c r="B1987" s="20" t="n"/>
      <c r="C1987" s="20" t="n"/>
      <c r="D1987" s="20" t="n"/>
      <c r="E1987" s="20" t="n"/>
      <c r="F1987" s="20" t="n"/>
      <c r="G1987" s="20" t="n"/>
      <c r="H1987" s="20" t="n"/>
      <c r="I1987" s="20" t="n"/>
      <c r="J1987" s="20">
        <f>IFERROR(INDEX(CONFIGURACOES!$G$37:$G$300,MATCH($I1987,CONFIGURACOES!$B$37:$B$300,0)),"")</f>
        <v/>
      </c>
      <c r="K1987" s="20">
        <f>IFERROR(INDEX(CONFIGURACOES!$H$37:$H$300,MATCH($I1987,CONFIGURACOES!$B$37:$B$300,0)),"")</f>
        <v/>
      </c>
      <c r="L1987" s="20" t="n"/>
      <c r="M1987" s="20">
        <f>IFERROR(INDEX(CONFIGURACOES!$I$37:$I$300,MATCH($I1987,CONFIGURACOES!$B$37:$B$300,0)),"")</f>
        <v/>
      </c>
      <c r="N1987" s="21" t="n"/>
      <c r="O1987" s="21" t="n"/>
      <c r="P1987" s="21" t="n"/>
      <c r="Q1987" s="21" t="n"/>
      <c r="R1987" s="21">
        <f>IF($N1987="","",$N1987*IF($Q1987="",1,$Q1987)*IF($P1987="",1,$P1987)*IF($O1987="",1,$O1987))</f>
        <v/>
      </c>
      <c r="S1987" s="22">
        <f>IFERROR(INDEX(CONFIGURACOES!$J$37:$J$300,MATCH($I1987,CONFIGURACOES!$B$37:$B$300,0)),"")</f>
        <v/>
      </c>
      <c r="T1987" s="22">
        <f>IF(OR($R1987="",$S1987=""),"",$R1987*$S1987)</f>
        <v/>
      </c>
      <c r="U1987" s="20" t="n"/>
      <c r="V1987" s="20" t="n"/>
      <c r="W1987" s="20" t="n"/>
      <c r="X1987">
        <f>IF($A1987="","",$A1987&amp;"|"&amp;$C1987&amp;"|"&amp;$I1987)</f>
        <v/>
      </c>
      <c r="Y1987">
        <f>IF(AND($A1987=RELATORIO_MEDICAO!$C$5,$C1987=RELATORIO_MEDICAO!$F$5,$A1987&lt;&gt;""),COUNTIFS($A$3:$A1987,RELATORIO_MEDICAO!$C$5,$C$3:$C1987,RELATORIO_MEDICAO!$F$5),"")</f>
        <v/>
      </c>
      <c r="Z1987">
        <f>IF(OR($A1987="",PESQUISA!$C$4=""),0,IF(OR(ISNUMBER(SEARCH(PESQUISA!$C$4,$G1987)),ISNUMBER(SEARCH(PESQUISA!$C$4,$K1987)),ISNUMBER(SEARCH(PESQUISA!$C$4,$L1987))),1,0))</f>
        <v/>
      </c>
      <c r="AA1987">
        <f>IF($Z1987=1,SUM($Z$3:$Z1987),"")</f>
        <v/>
      </c>
      <c r="AB1987">
        <f>IF(OR($A1987="",PESQUISA!$C$50=""),0,IF(ISNUMBER(SEARCH(PESQUISA!$C$50,$I1987)),1,0))</f>
        <v/>
      </c>
      <c r="AC1987">
        <f>IF($AB1987=1,SUM($AB$3:$AB1987),"")</f>
        <v/>
      </c>
    </row>
    <row r="1988">
      <c r="A1988" s="20" t="n"/>
      <c r="B1988" s="20" t="n"/>
      <c r="C1988" s="20" t="n"/>
      <c r="D1988" s="20" t="n"/>
      <c r="E1988" s="20" t="n"/>
      <c r="F1988" s="20" t="n"/>
      <c r="G1988" s="20" t="n"/>
      <c r="H1988" s="20" t="n"/>
      <c r="I1988" s="20" t="n"/>
      <c r="J1988" s="20">
        <f>IFERROR(INDEX(CONFIGURACOES!$G$37:$G$300,MATCH($I1988,CONFIGURACOES!$B$37:$B$300,0)),"")</f>
        <v/>
      </c>
      <c r="K1988" s="20">
        <f>IFERROR(INDEX(CONFIGURACOES!$H$37:$H$300,MATCH($I1988,CONFIGURACOES!$B$37:$B$300,0)),"")</f>
        <v/>
      </c>
      <c r="L1988" s="20" t="n"/>
      <c r="M1988" s="20">
        <f>IFERROR(INDEX(CONFIGURACOES!$I$37:$I$300,MATCH($I1988,CONFIGURACOES!$B$37:$B$300,0)),"")</f>
        <v/>
      </c>
      <c r="N1988" s="21" t="n"/>
      <c r="O1988" s="21" t="n"/>
      <c r="P1988" s="21" t="n"/>
      <c r="Q1988" s="21" t="n"/>
      <c r="R1988" s="21">
        <f>IF($N1988="","",$N1988*IF($Q1988="",1,$Q1988)*IF($P1988="",1,$P1988)*IF($O1988="",1,$O1988))</f>
        <v/>
      </c>
      <c r="S1988" s="22">
        <f>IFERROR(INDEX(CONFIGURACOES!$J$37:$J$300,MATCH($I1988,CONFIGURACOES!$B$37:$B$300,0)),"")</f>
        <v/>
      </c>
      <c r="T1988" s="22">
        <f>IF(OR($R1988="",$S1988=""),"",$R1988*$S1988)</f>
        <v/>
      </c>
      <c r="U1988" s="20" t="n"/>
      <c r="V1988" s="20" t="n"/>
      <c r="W1988" s="20" t="n"/>
      <c r="X1988">
        <f>IF($A1988="","",$A1988&amp;"|"&amp;$C1988&amp;"|"&amp;$I1988)</f>
        <v/>
      </c>
      <c r="Y1988">
        <f>IF(AND($A1988=RELATORIO_MEDICAO!$C$5,$C1988=RELATORIO_MEDICAO!$F$5,$A1988&lt;&gt;""),COUNTIFS($A$3:$A1988,RELATORIO_MEDICAO!$C$5,$C$3:$C1988,RELATORIO_MEDICAO!$F$5),"")</f>
        <v/>
      </c>
      <c r="Z1988">
        <f>IF(OR($A1988="",PESQUISA!$C$4=""),0,IF(OR(ISNUMBER(SEARCH(PESQUISA!$C$4,$G1988)),ISNUMBER(SEARCH(PESQUISA!$C$4,$K1988)),ISNUMBER(SEARCH(PESQUISA!$C$4,$L1988))),1,0))</f>
        <v/>
      </c>
      <c r="AA1988">
        <f>IF($Z1988=1,SUM($Z$3:$Z1988),"")</f>
        <v/>
      </c>
      <c r="AB1988">
        <f>IF(OR($A1988="",PESQUISA!$C$50=""),0,IF(ISNUMBER(SEARCH(PESQUISA!$C$50,$I1988)),1,0))</f>
        <v/>
      </c>
      <c r="AC1988">
        <f>IF($AB1988=1,SUM($AB$3:$AB1988),"")</f>
        <v/>
      </c>
    </row>
    <row r="1989">
      <c r="A1989" s="20" t="n"/>
      <c r="B1989" s="20" t="n"/>
      <c r="C1989" s="20" t="n"/>
      <c r="D1989" s="20" t="n"/>
      <c r="E1989" s="20" t="n"/>
      <c r="F1989" s="20" t="n"/>
      <c r="G1989" s="20" t="n"/>
      <c r="H1989" s="20" t="n"/>
      <c r="I1989" s="20" t="n"/>
      <c r="J1989" s="20">
        <f>IFERROR(INDEX(CONFIGURACOES!$G$37:$G$300,MATCH($I1989,CONFIGURACOES!$B$37:$B$300,0)),"")</f>
        <v/>
      </c>
      <c r="K1989" s="20">
        <f>IFERROR(INDEX(CONFIGURACOES!$H$37:$H$300,MATCH($I1989,CONFIGURACOES!$B$37:$B$300,0)),"")</f>
        <v/>
      </c>
      <c r="L1989" s="20" t="n"/>
      <c r="M1989" s="20">
        <f>IFERROR(INDEX(CONFIGURACOES!$I$37:$I$300,MATCH($I1989,CONFIGURACOES!$B$37:$B$300,0)),"")</f>
        <v/>
      </c>
      <c r="N1989" s="21" t="n"/>
      <c r="O1989" s="21" t="n"/>
      <c r="P1989" s="21" t="n"/>
      <c r="Q1989" s="21" t="n"/>
      <c r="R1989" s="21">
        <f>IF($N1989="","",$N1989*IF($Q1989="",1,$Q1989)*IF($P1989="",1,$P1989)*IF($O1989="",1,$O1989))</f>
        <v/>
      </c>
      <c r="S1989" s="22">
        <f>IFERROR(INDEX(CONFIGURACOES!$J$37:$J$300,MATCH($I1989,CONFIGURACOES!$B$37:$B$300,0)),"")</f>
        <v/>
      </c>
      <c r="T1989" s="22">
        <f>IF(OR($R1989="",$S1989=""),"",$R1989*$S1989)</f>
        <v/>
      </c>
      <c r="U1989" s="20" t="n"/>
      <c r="V1989" s="20" t="n"/>
      <c r="W1989" s="20" t="n"/>
      <c r="X1989">
        <f>IF($A1989="","",$A1989&amp;"|"&amp;$C1989&amp;"|"&amp;$I1989)</f>
        <v/>
      </c>
      <c r="Y1989">
        <f>IF(AND($A1989=RELATORIO_MEDICAO!$C$5,$C1989=RELATORIO_MEDICAO!$F$5,$A1989&lt;&gt;""),COUNTIFS($A$3:$A1989,RELATORIO_MEDICAO!$C$5,$C$3:$C1989,RELATORIO_MEDICAO!$F$5),"")</f>
        <v/>
      </c>
      <c r="Z1989">
        <f>IF(OR($A1989="",PESQUISA!$C$4=""),0,IF(OR(ISNUMBER(SEARCH(PESQUISA!$C$4,$G1989)),ISNUMBER(SEARCH(PESQUISA!$C$4,$K1989)),ISNUMBER(SEARCH(PESQUISA!$C$4,$L1989))),1,0))</f>
        <v/>
      </c>
      <c r="AA1989">
        <f>IF($Z1989=1,SUM($Z$3:$Z1989),"")</f>
        <v/>
      </c>
      <c r="AB1989">
        <f>IF(OR($A1989="",PESQUISA!$C$50=""),0,IF(ISNUMBER(SEARCH(PESQUISA!$C$50,$I1989)),1,0))</f>
        <v/>
      </c>
      <c r="AC1989">
        <f>IF($AB1989=1,SUM($AB$3:$AB1989),"")</f>
        <v/>
      </c>
    </row>
    <row r="1990">
      <c r="A1990" s="20" t="n"/>
      <c r="B1990" s="20" t="n"/>
      <c r="C1990" s="20" t="n"/>
      <c r="D1990" s="20" t="n"/>
      <c r="E1990" s="20" t="n"/>
      <c r="F1990" s="20" t="n"/>
      <c r="G1990" s="20" t="n"/>
      <c r="H1990" s="20" t="n"/>
      <c r="I1990" s="20" t="n"/>
      <c r="J1990" s="20">
        <f>IFERROR(INDEX(CONFIGURACOES!$G$37:$G$300,MATCH($I1990,CONFIGURACOES!$B$37:$B$300,0)),"")</f>
        <v/>
      </c>
      <c r="K1990" s="20">
        <f>IFERROR(INDEX(CONFIGURACOES!$H$37:$H$300,MATCH($I1990,CONFIGURACOES!$B$37:$B$300,0)),"")</f>
        <v/>
      </c>
      <c r="L1990" s="20" t="n"/>
      <c r="M1990" s="20">
        <f>IFERROR(INDEX(CONFIGURACOES!$I$37:$I$300,MATCH($I1990,CONFIGURACOES!$B$37:$B$300,0)),"")</f>
        <v/>
      </c>
      <c r="N1990" s="21" t="n"/>
      <c r="O1990" s="21" t="n"/>
      <c r="P1990" s="21" t="n"/>
      <c r="Q1990" s="21" t="n"/>
      <c r="R1990" s="21">
        <f>IF($N1990="","",$N1990*IF($Q1990="",1,$Q1990)*IF($P1990="",1,$P1990)*IF($O1990="",1,$O1990))</f>
        <v/>
      </c>
      <c r="S1990" s="22">
        <f>IFERROR(INDEX(CONFIGURACOES!$J$37:$J$300,MATCH($I1990,CONFIGURACOES!$B$37:$B$300,0)),"")</f>
        <v/>
      </c>
      <c r="T1990" s="22">
        <f>IF(OR($R1990="",$S1990=""),"",$R1990*$S1990)</f>
        <v/>
      </c>
      <c r="U1990" s="20" t="n"/>
      <c r="V1990" s="20" t="n"/>
      <c r="W1990" s="20" t="n"/>
      <c r="X1990">
        <f>IF($A1990="","",$A1990&amp;"|"&amp;$C1990&amp;"|"&amp;$I1990)</f>
        <v/>
      </c>
      <c r="Y1990">
        <f>IF(AND($A1990=RELATORIO_MEDICAO!$C$5,$C1990=RELATORIO_MEDICAO!$F$5,$A1990&lt;&gt;""),COUNTIFS($A$3:$A1990,RELATORIO_MEDICAO!$C$5,$C$3:$C1990,RELATORIO_MEDICAO!$F$5),"")</f>
        <v/>
      </c>
      <c r="Z1990">
        <f>IF(OR($A1990="",PESQUISA!$C$4=""),0,IF(OR(ISNUMBER(SEARCH(PESQUISA!$C$4,$G1990)),ISNUMBER(SEARCH(PESQUISA!$C$4,$K1990)),ISNUMBER(SEARCH(PESQUISA!$C$4,$L1990))),1,0))</f>
        <v/>
      </c>
      <c r="AA1990">
        <f>IF($Z1990=1,SUM($Z$3:$Z1990),"")</f>
        <v/>
      </c>
      <c r="AB1990">
        <f>IF(OR($A1990="",PESQUISA!$C$50=""),0,IF(ISNUMBER(SEARCH(PESQUISA!$C$50,$I1990)),1,0))</f>
        <v/>
      </c>
      <c r="AC1990">
        <f>IF($AB1990=1,SUM($AB$3:$AB1990),"")</f>
        <v/>
      </c>
    </row>
    <row r="1991">
      <c r="A1991" s="20" t="n"/>
      <c r="B1991" s="20" t="n"/>
      <c r="C1991" s="20" t="n"/>
      <c r="D1991" s="20" t="n"/>
      <c r="E1991" s="20" t="n"/>
      <c r="F1991" s="20" t="n"/>
      <c r="G1991" s="20" t="n"/>
      <c r="H1991" s="20" t="n"/>
      <c r="I1991" s="20" t="n"/>
      <c r="J1991" s="20">
        <f>IFERROR(INDEX(CONFIGURACOES!$G$37:$G$300,MATCH($I1991,CONFIGURACOES!$B$37:$B$300,0)),"")</f>
        <v/>
      </c>
      <c r="K1991" s="20">
        <f>IFERROR(INDEX(CONFIGURACOES!$H$37:$H$300,MATCH($I1991,CONFIGURACOES!$B$37:$B$300,0)),"")</f>
        <v/>
      </c>
      <c r="L1991" s="20" t="n"/>
      <c r="M1991" s="20">
        <f>IFERROR(INDEX(CONFIGURACOES!$I$37:$I$300,MATCH($I1991,CONFIGURACOES!$B$37:$B$300,0)),"")</f>
        <v/>
      </c>
      <c r="N1991" s="21" t="n"/>
      <c r="O1991" s="21" t="n"/>
      <c r="P1991" s="21" t="n"/>
      <c r="Q1991" s="21" t="n"/>
      <c r="R1991" s="21">
        <f>IF($N1991="","",$N1991*IF($Q1991="",1,$Q1991)*IF($P1991="",1,$P1991)*IF($O1991="",1,$O1991))</f>
        <v/>
      </c>
      <c r="S1991" s="22">
        <f>IFERROR(INDEX(CONFIGURACOES!$J$37:$J$300,MATCH($I1991,CONFIGURACOES!$B$37:$B$300,0)),"")</f>
        <v/>
      </c>
      <c r="T1991" s="22">
        <f>IF(OR($R1991="",$S1991=""),"",$R1991*$S1991)</f>
        <v/>
      </c>
      <c r="U1991" s="20" t="n"/>
      <c r="V1991" s="20" t="n"/>
      <c r="W1991" s="20" t="n"/>
      <c r="X1991">
        <f>IF($A1991="","",$A1991&amp;"|"&amp;$C1991&amp;"|"&amp;$I1991)</f>
        <v/>
      </c>
      <c r="Y1991">
        <f>IF(AND($A1991=RELATORIO_MEDICAO!$C$5,$C1991=RELATORIO_MEDICAO!$F$5,$A1991&lt;&gt;""),COUNTIFS($A$3:$A1991,RELATORIO_MEDICAO!$C$5,$C$3:$C1991,RELATORIO_MEDICAO!$F$5),"")</f>
        <v/>
      </c>
      <c r="Z1991">
        <f>IF(OR($A1991="",PESQUISA!$C$4=""),0,IF(OR(ISNUMBER(SEARCH(PESQUISA!$C$4,$G1991)),ISNUMBER(SEARCH(PESQUISA!$C$4,$K1991)),ISNUMBER(SEARCH(PESQUISA!$C$4,$L1991))),1,0))</f>
        <v/>
      </c>
      <c r="AA1991">
        <f>IF($Z1991=1,SUM($Z$3:$Z1991),"")</f>
        <v/>
      </c>
      <c r="AB1991">
        <f>IF(OR($A1991="",PESQUISA!$C$50=""),0,IF(ISNUMBER(SEARCH(PESQUISA!$C$50,$I1991)),1,0))</f>
        <v/>
      </c>
      <c r="AC1991">
        <f>IF($AB1991=1,SUM($AB$3:$AB1991),"")</f>
        <v/>
      </c>
    </row>
    <row r="1992">
      <c r="A1992" s="20" t="n"/>
      <c r="B1992" s="20" t="n"/>
      <c r="C1992" s="20" t="n"/>
      <c r="D1992" s="20" t="n"/>
      <c r="E1992" s="20" t="n"/>
      <c r="F1992" s="20" t="n"/>
      <c r="G1992" s="20" t="n"/>
      <c r="H1992" s="20" t="n"/>
      <c r="I1992" s="20" t="n"/>
      <c r="J1992" s="20">
        <f>IFERROR(INDEX(CONFIGURACOES!$G$37:$G$300,MATCH($I1992,CONFIGURACOES!$B$37:$B$300,0)),"")</f>
        <v/>
      </c>
      <c r="K1992" s="20">
        <f>IFERROR(INDEX(CONFIGURACOES!$H$37:$H$300,MATCH($I1992,CONFIGURACOES!$B$37:$B$300,0)),"")</f>
        <v/>
      </c>
      <c r="L1992" s="20" t="n"/>
      <c r="M1992" s="20">
        <f>IFERROR(INDEX(CONFIGURACOES!$I$37:$I$300,MATCH($I1992,CONFIGURACOES!$B$37:$B$300,0)),"")</f>
        <v/>
      </c>
      <c r="N1992" s="21" t="n"/>
      <c r="O1992" s="21" t="n"/>
      <c r="P1992" s="21" t="n"/>
      <c r="Q1992" s="21" t="n"/>
      <c r="R1992" s="21">
        <f>IF($N1992="","",$N1992*IF($Q1992="",1,$Q1992)*IF($P1992="",1,$P1992)*IF($O1992="",1,$O1992))</f>
        <v/>
      </c>
      <c r="S1992" s="22">
        <f>IFERROR(INDEX(CONFIGURACOES!$J$37:$J$300,MATCH($I1992,CONFIGURACOES!$B$37:$B$300,0)),"")</f>
        <v/>
      </c>
      <c r="T1992" s="22">
        <f>IF(OR($R1992="",$S1992=""),"",$R1992*$S1992)</f>
        <v/>
      </c>
      <c r="U1992" s="20" t="n"/>
      <c r="V1992" s="20" t="n"/>
      <c r="W1992" s="20" t="n"/>
      <c r="X1992">
        <f>IF($A1992="","",$A1992&amp;"|"&amp;$C1992&amp;"|"&amp;$I1992)</f>
        <v/>
      </c>
      <c r="Y1992">
        <f>IF(AND($A1992=RELATORIO_MEDICAO!$C$5,$C1992=RELATORIO_MEDICAO!$F$5,$A1992&lt;&gt;""),COUNTIFS($A$3:$A1992,RELATORIO_MEDICAO!$C$5,$C$3:$C1992,RELATORIO_MEDICAO!$F$5),"")</f>
        <v/>
      </c>
      <c r="Z1992">
        <f>IF(OR($A1992="",PESQUISA!$C$4=""),0,IF(OR(ISNUMBER(SEARCH(PESQUISA!$C$4,$G1992)),ISNUMBER(SEARCH(PESQUISA!$C$4,$K1992)),ISNUMBER(SEARCH(PESQUISA!$C$4,$L1992))),1,0))</f>
        <v/>
      </c>
      <c r="AA1992">
        <f>IF($Z1992=1,SUM($Z$3:$Z1992),"")</f>
        <v/>
      </c>
      <c r="AB1992">
        <f>IF(OR($A1992="",PESQUISA!$C$50=""),0,IF(ISNUMBER(SEARCH(PESQUISA!$C$50,$I1992)),1,0))</f>
        <v/>
      </c>
      <c r="AC1992">
        <f>IF($AB1992=1,SUM($AB$3:$AB1992),"")</f>
        <v/>
      </c>
    </row>
    <row r="1993">
      <c r="A1993" s="20" t="n"/>
      <c r="B1993" s="20" t="n"/>
      <c r="C1993" s="20" t="n"/>
      <c r="D1993" s="20" t="n"/>
      <c r="E1993" s="20" t="n"/>
      <c r="F1993" s="20" t="n"/>
      <c r="G1993" s="20" t="n"/>
      <c r="H1993" s="20" t="n"/>
      <c r="I1993" s="20" t="n"/>
      <c r="J1993" s="20">
        <f>IFERROR(INDEX(CONFIGURACOES!$G$37:$G$300,MATCH($I1993,CONFIGURACOES!$B$37:$B$300,0)),"")</f>
        <v/>
      </c>
      <c r="K1993" s="20">
        <f>IFERROR(INDEX(CONFIGURACOES!$H$37:$H$300,MATCH($I1993,CONFIGURACOES!$B$37:$B$300,0)),"")</f>
        <v/>
      </c>
      <c r="L1993" s="20" t="n"/>
      <c r="M1993" s="20">
        <f>IFERROR(INDEX(CONFIGURACOES!$I$37:$I$300,MATCH($I1993,CONFIGURACOES!$B$37:$B$300,0)),"")</f>
        <v/>
      </c>
      <c r="N1993" s="21" t="n"/>
      <c r="O1993" s="21" t="n"/>
      <c r="P1993" s="21" t="n"/>
      <c r="Q1993" s="21" t="n"/>
      <c r="R1993" s="21">
        <f>IF($N1993="","",$N1993*IF($Q1993="",1,$Q1993)*IF($P1993="",1,$P1993)*IF($O1993="",1,$O1993))</f>
        <v/>
      </c>
      <c r="S1993" s="22">
        <f>IFERROR(INDEX(CONFIGURACOES!$J$37:$J$300,MATCH($I1993,CONFIGURACOES!$B$37:$B$300,0)),"")</f>
        <v/>
      </c>
      <c r="T1993" s="22">
        <f>IF(OR($R1993="",$S1993=""),"",$R1993*$S1993)</f>
        <v/>
      </c>
      <c r="U1993" s="20" t="n"/>
      <c r="V1993" s="20" t="n"/>
      <c r="W1993" s="20" t="n"/>
      <c r="X1993">
        <f>IF($A1993="","",$A1993&amp;"|"&amp;$C1993&amp;"|"&amp;$I1993)</f>
        <v/>
      </c>
      <c r="Y1993">
        <f>IF(AND($A1993=RELATORIO_MEDICAO!$C$5,$C1993=RELATORIO_MEDICAO!$F$5,$A1993&lt;&gt;""),COUNTIFS($A$3:$A1993,RELATORIO_MEDICAO!$C$5,$C$3:$C1993,RELATORIO_MEDICAO!$F$5),"")</f>
        <v/>
      </c>
      <c r="Z1993">
        <f>IF(OR($A1993="",PESQUISA!$C$4=""),0,IF(OR(ISNUMBER(SEARCH(PESQUISA!$C$4,$G1993)),ISNUMBER(SEARCH(PESQUISA!$C$4,$K1993)),ISNUMBER(SEARCH(PESQUISA!$C$4,$L1993))),1,0))</f>
        <v/>
      </c>
      <c r="AA1993">
        <f>IF($Z1993=1,SUM($Z$3:$Z1993),"")</f>
        <v/>
      </c>
      <c r="AB1993">
        <f>IF(OR($A1993="",PESQUISA!$C$50=""),0,IF(ISNUMBER(SEARCH(PESQUISA!$C$50,$I1993)),1,0))</f>
        <v/>
      </c>
      <c r="AC1993">
        <f>IF($AB1993=1,SUM($AB$3:$AB1993),"")</f>
        <v/>
      </c>
    </row>
    <row r="1994">
      <c r="A1994" s="20" t="n"/>
      <c r="B1994" s="20" t="n"/>
      <c r="C1994" s="20" t="n"/>
      <c r="D1994" s="20" t="n"/>
      <c r="E1994" s="20" t="n"/>
      <c r="F1994" s="20" t="n"/>
      <c r="G1994" s="20" t="n"/>
      <c r="H1994" s="20" t="n"/>
      <c r="I1994" s="20" t="n"/>
      <c r="J1994" s="20">
        <f>IFERROR(INDEX(CONFIGURACOES!$G$37:$G$300,MATCH($I1994,CONFIGURACOES!$B$37:$B$300,0)),"")</f>
        <v/>
      </c>
      <c r="K1994" s="20">
        <f>IFERROR(INDEX(CONFIGURACOES!$H$37:$H$300,MATCH($I1994,CONFIGURACOES!$B$37:$B$300,0)),"")</f>
        <v/>
      </c>
      <c r="L1994" s="20" t="n"/>
      <c r="M1994" s="20">
        <f>IFERROR(INDEX(CONFIGURACOES!$I$37:$I$300,MATCH($I1994,CONFIGURACOES!$B$37:$B$300,0)),"")</f>
        <v/>
      </c>
      <c r="N1994" s="21" t="n"/>
      <c r="O1994" s="21" t="n"/>
      <c r="P1994" s="21" t="n"/>
      <c r="Q1994" s="21" t="n"/>
      <c r="R1994" s="21">
        <f>IF($N1994="","",$N1994*IF($Q1994="",1,$Q1994)*IF($P1994="",1,$P1994)*IF($O1994="",1,$O1994))</f>
        <v/>
      </c>
      <c r="S1994" s="22">
        <f>IFERROR(INDEX(CONFIGURACOES!$J$37:$J$300,MATCH($I1994,CONFIGURACOES!$B$37:$B$300,0)),"")</f>
        <v/>
      </c>
      <c r="T1994" s="22">
        <f>IF(OR($R1994="",$S1994=""),"",$R1994*$S1994)</f>
        <v/>
      </c>
      <c r="U1994" s="20" t="n"/>
      <c r="V1994" s="20" t="n"/>
      <c r="W1994" s="20" t="n"/>
      <c r="X1994">
        <f>IF($A1994="","",$A1994&amp;"|"&amp;$C1994&amp;"|"&amp;$I1994)</f>
        <v/>
      </c>
      <c r="Y1994">
        <f>IF(AND($A1994=RELATORIO_MEDICAO!$C$5,$C1994=RELATORIO_MEDICAO!$F$5,$A1994&lt;&gt;""),COUNTIFS($A$3:$A1994,RELATORIO_MEDICAO!$C$5,$C$3:$C1994,RELATORIO_MEDICAO!$F$5),"")</f>
        <v/>
      </c>
      <c r="Z1994">
        <f>IF(OR($A1994="",PESQUISA!$C$4=""),0,IF(OR(ISNUMBER(SEARCH(PESQUISA!$C$4,$G1994)),ISNUMBER(SEARCH(PESQUISA!$C$4,$K1994)),ISNUMBER(SEARCH(PESQUISA!$C$4,$L1994))),1,0))</f>
        <v/>
      </c>
      <c r="AA1994">
        <f>IF($Z1994=1,SUM($Z$3:$Z1994),"")</f>
        <v/>
      </c>
      <c r="AB1994">
        <f>IF(OR($A1994="",PESQUISA!$C$50=""),0,IF(ISNUMBER(SEARCH(PESQUISA!$C$50,$I1994)),1,0))</f>
        <v/>
      </c>
      <c r="AC1994">
        <f>IF($AB1994=1,SUM($AB$3:$AB1994),"")</f>
        <v/>
      </c>
    </row>
    <row r="1995">
      <c r="A1995" s="20" t="n"/>
      <c r="B1995" s="20" t="n"/>
      <c r="C1995" s="20" t="n"/>
      <c r="D1995" s="20" t="n"/>
      <c r="E1995" s="20" t="n"/>
      <c r="F1995" s="20" t="n"/>
      <c r="G1995" s="20" t="n"/>
      <c r="H1995" s="20" t="n"/>
      <c r="I1995" s="20" t="n"/>
      <c r="J1995" s="20">
        <f>IFERROR(INDEX(CONFIGURACOES!$G$37:$G$300,MATCH($I1995,CONFIGURACOES!$B$37:$B$300,0)),"")</f>
        <v/>
      </c>
      <c r="K1995" s="20">
        <f>IFERROR(INDEX(CONFIGURACOES!$H$37:$H$300,MATCH($I1995,CONFIGURACOES!$B$37:$B$300,0)),"")</f>
        <v/>
      </c>
      <c r="L1995" s="20" t="n"/>
      <c r="M1995" s="20">
        <f>IFERROR(INDEX(CONFIGURACOES!$I$37:$I$300,MATCH($I1995,CONFIGURACOES!$B$37:$B$300,0)),"")</f>
        <v/>
      </c>
      <c r="N1995" s="21" t="n"/>
      <c r="O1995" s="21" t="n"/>
      <c r="P1995" s="21" t="n"/>
      <c r="Q1995" s="21" t="n"/>
      <c r="R1995" s="21">
        <f>IF($N1995="","",$N1995*IF($Q1995="",1,$Q1995)*IF($P1995="",1,$P1995)*IF($O1995="",1,$O1995))</f>
        <v/>
      </c>
      <c r="S1995" s="22">
        <f>IFERROR(INDEX(CONFIGURACOES!$J$37:$J$300,MATCH($I1995,CONFIGURACOES!$B$37:$B$300,0)),"")</f>
        <v/>
      </c>
      <c r="T1995" s="22">
        <f>IF(OR($R1995="",$S1995=""),"",$R1995*$S1995)</f>
        <v/>
      </c>
      <c r="U1995" s="20" t="n"/>
      <c r="V1995" s="20" t="n"/>
      <c r="W1995" s="20" t="n"/>
      <c r="X1995">
        <f>IF($A1995="","",$A1995&amp;"|"&amp;$C1995&amp;"|"&amp;$I1995)</f>
        <v/>
      </c>
      <c r="Y1995">
        <f>IF(AND($A1995=RELATORIO_MEDICAO!$C$5,$C1995=RELATORIO_MEDICAO!$F$5,$A1995&lt;&gt;""),COUNTIFS($A$3:$A1995,RELATORIO_MEDICAO!$C$5,$C$3:$C1995,RELATORIO_MEDICAO!$F$5),"")</f>
        <v/>
      </c>
      <c r="Z1995">
        <f>IF(OR($A1995="",PESQUISA!$C$4=""),0,IF(OR(ISNUMBER(SEARCH(PESQUISA!$C$4,$G1995)),ISNUMBER(SEARCH(PESQUISA!$C$4,$K1995)),ISNUMBER(SEARCH(PESQUISA!$C$4,$L1995))),1,0))</f>
        <v/>
      </c>
      <c r="AA1995">
        <f>IF($Z1995=1,SUM($Z$3:$Z1995),"")</f>
        <v/>
      </c>
      <c r="AB1995">
        <f>IF(OR($A1995="",PESQUISA!$C$50=""),0,IF(ISNUMBER(SEARCH(PESQUISA!$C$50,$I1995)),1,0))</f>
        <v/>
      </c>
      <c r="AC1995">
        <f>IF($AB1995=1,SUM($AB$3:$AB1995),"")</f>
        <v/>
      </c>
    </row>
    <row r="1996">
      <c r="A1996" s="20" t="n"/>
      <c r="B1996" s="20" t="n"/>
      <c r="C1996" s="20" t="n"/>
      <c r="D1996" s="20" t="n"/>
      <c r="E1996" s="20" t="n"/>
      <c r="F1996" s="20" t="n"/>
      <c r="G1996" s="20" t="n"/>
      <c r="H1996" s="20" t="n"/>
      <c r="I1996" s="20" t="n"/>
      <c r="J1996" s="20">
        <f>IFERROR(INDEX(CONFIGURACOES!$G$37:$G$300,MATCH($I1996,CONFIGURACOES!$B$37:$B$300,0)),"")</f>
        <v/>
      </c>
      <c r="K1996" s="20">
        <f>IFERROR(INDEX(CONFIGURACOES!$H$37:$H$300,MATCH($I1996,CONFIGURACOES!$B$37:$B$300,0)),"")</f>
        <v/>
      </c>
      <c r="L1996" s="20" t="n"/>
      <c r="M1996" s="20">
        <f>IFERROR(INDEX(CONFIGURACOES!$I$37:$I$300,MATCH($I1996,CONFIGURACOES!$B$37:$B$300,0)),"")</f>
        <v/>
      </c>
      <c r="N1996" s="21" t="n"/>
      <c r="O1996" s="21" t="n"/>
      <c r="P1996" s="21" t="n"/>
      <c r="Q1996" s="21" t="n"/>
      <c r="R1996" s="21">
        <f>IF($N1996="","",$N1996*IF($Q1996="",1,$Q1996)*IF($P1996="",1,$P1996)*IF($O1996="",1,$O1996))</f>
        <v/>
      </c>
      <c r="S1996" s="22">
        <f>IFERROR(INDEX(CONFIGURACOES!$J$37:$J$300,MATCH($I1996,CONFIGURACOES!$B$37:$B$300,0)),"")</f>
        <v/>
      </c>
      <c r="T1996" s="22">
        <f>IF(OR($R1996="",$S1996=""),"",$R1996*$S1996)</f>
        <v/>
      </c>
      <c r="U1996" s="20" t="n"/>
      <c r="V1996" s="20" t="n"/>
      <c r="W1996" s="20" t="n"/>
      <c r="X1996">
        <f>IF($A1996="","",$A1996&amp;"|"&amp;$C1996&amp;"|"&amp;$I1996)</f>
        <v/>
      </c>
      <c r="Y1996">
        <f>IF(AND($A1996=RELATORIO_MEDICAO!$C$5,$C1996=RELATORIO_MEDICAO!$F$5,$A1996&lt;&gt;""),COUNTIFS($A$3:$A1996,RELATORIO_MEDICAO!$C$5,$C$3:$C1996,RELATORIO_MEDICAO!$F$5),"")</f>
        <v/>
      </c>
      <c r="Z1996">
        <f>IF(OR($A1996="",PESQUISA!$C$4=""),0,IF(OR(ISNUMBER(SEARCH(PESQUISA!$C$4,$G1996)),ISNUMBER(SEARCH(PESQUISA!$C$4,$K1996)),ISNUMBER(SEARCH(PESQUISA!$C$4,$L1996))),1,0))</f>
        <v/>
      </c>
      <c r="AA1996">
        <f>IF($Z1996=1,SUM($Z$3:$Z1996),"")</f>
        <v/>
      </c>
      <c r="AB1996">
        <f>IF(OR($A1996="",PESQUISA!$C$50=""),0,IF(ISNUMBER(SEARCH(PESQUISA!$C$50,$I1996)),1,0))</f>
        <v/>
      </c>
      <c r="AC1996">
        <f>IF($AB1996=1,SUM($AB$3:$AB1996),"")</f>
        <v/>
      </c>
    </row>
    <row r="1997">
      <c r="A1997" s="20" t="n"/>
      <c r="B1997" s="20" t="n"/>
      <c r="C1997" s="20" t="n"/>
      <c r="D1997" s="20" t="n"/>
      <c r="E1997" s="20" t="n"/>
      <c r="F1997" s="20" t="n"/>
      <c r="G1997" s="20" t="n"/>
      <c r="H1997" s="20" t="n"/>
      <c r="I1997" s="20" t="n"/>
      <c r="J1997" s="20">
        <f>IFERROR(INDEX(CONFIGURACOES!$G$37:$G$300,MATCH($I1997,CONFIGURACOES!$B$37:$B$300,0)),"")</f>
        <v/>
      </c>
      <c r="K1997" s="20">
        <f>IFERROR(INDEX(CONFIGURACOES!$H$37:$H$300,MATCH($I1997,CONFIGURACOES!$B$37:$B$300,0)),"")</f>
        <v/>
      </c>
      <c r="L1997" s="20" t="n"/>
      <c r="M1997" s="20">
        <f>IFERROR(INDEX(CONFIGURACOES!$I$37:$I$300,MATCH($I1997,CONFIGURACOES!$B$37:$B$300,0)),"")</f>
        <v/>
      </c>
      <c r="N1997" s="21" t="n"/>
      <c r="O1997" s="21" t="n"/>
      <c r="P1997" s="21" t="n"/>
      <c r="Q1997" s="21" t="n"/>
      <c r="R1997" s="21">
        <f>IF($N1997="","",$N1997*IF($Q1997="",1,$Q1997)*IF($P1997="",1,$P1997)*IF($O1997="",1,$O1997))</f>
        <v/>
      </c>
      <c r="S1997" s="22">
        <f>IFERROR(INDEX(CONFIGURACOES!$J$37:$J$300,MATCH($I1997,CONFIGURACOES!$B$37:$B$300,0)),"")</f>
        <v/>
      </c>
      <c r="T1997" s="22">
        <f>IF(OR($R1997="",$S1997=""),"",$R1997*$S1997)</f>
        <v/>
      </c>
      <c r="U1997" s="20" t="n"/>
      <c r="V1997" s="20" t="n"/>
      <c r="W1997" s="20" t="n"/>
      <c r="X1997">
        <f>IF($A1997="","",$A1997&amp;"|"&amp;$C1997&amp;"|"&amp;$I1997)</f>
        <v/>
      </c>
      <c r="Y1997">
        <f>IF(AND($A1997=RELATORIO_MEDICAO!$C$5,$C1997=RELATORIO_MEDICAO!$F$5,$A1997&lt;&gt;""),COUNTIFS($A$3:$A1997,RELATORIO_MEDICAO!$C$5,$C$3:$C1997,RELATORIO_MEDICAO!$F$5),"")</f>
        <v/>
      </c>
      <c r="Z1997">
        <f>IF(OR($A1997="",PESQUISA!$C$4=""),0,IF(OR(ISNUMBER(SEARCH(PESQUISA!$C$4,$G1997)),ISNUMBER(SEARCH(PESQUISA!$C$4,$K1997)),ISNUMBER(SEARCH(PESQUISA!$C$4,$L1997))),1,0))</f>
        <v/>
      </c>
      <c r="AA1997">
        <f>IF($Z1997=1,SUM($Z$3:$Z1997),"")</f>
        <v/>
      </c>
      <c r="AB1997">
        <f>IF(OR($A1997="",PESQUISA!$C$50=""),0,IF(ISNUMBER(SEARCH(PESQUISA!$C$50,$I1997)),1,0))</f>
        <v/>
      </c>
      <c r="AC1997">
        <f>IF($AB1997=1,SUM($AB$3:$AB1997),"")</f>
        <v/>
      </c>
    </row>
    <row r="1998">
      <c r="A1998" s="20" t="n"/>
      <c r="B1998" s="20" t="n"/>
      <c r="C1998" s="20" t="n"/>
      <c r="D1998" s="20" t="n"/>
      <c r="E1998" s="20" t="n"/>
      <c r="F1998" s="20" t="n"/>
      <c r="G1998" s="20" t="n"/>
      <c r="H1998" s="20" t="n"/>
      <c r="I1998" s="20" t="n"/>
      <c r="J1998" s="20">
        <f>IFERROR(INDEX(CONFIGURACOES!$G$37:$G$300,MATCH($I1998,CONFIGURACOES!$B$37:$B$300,0)),"")</f>
        <v/>
      </c>
      <c r="K1998" s="20">
        <f>IFERROR(INDEX(CONFIGURACOES!$H$37:$H$300,MATCH($I1998,CONFIGURACOES!$B$37:$B$300,0)),"")</f>
        <v/>
      </c>
      <c r="L1998" s="20" t="n"/>
      <c r="M1998" s="20">
        <f>IFERROR(INDEX(CONFIGURACOES!$I$37:$I$300,MATCH($I1998,CONFIGURACOES!$B$37:$B$300,0)),"")</f>
        <v/>
      </c>
      <c r="N1998" s="21" t="n"/>
      <c r="O1998" s="21" t="n"/>
      <c r="P1998" s="21" t="n"/>
      <c r="Q1998" s="21" t="n"/>
      <c r="R1998" s="21">
        <f>IF($N1998="","",$N1998*IF($Q1998="",1,$Q1998)*IF($P1998="",1,$P1998)*IF($O1998="",1,$O1998))</f>
        <v/>
      </c>
      <c r="S1998" s="22">
        <f>IFERROR(INDEX(CONFIGURACOES!$J$37:$J$300,MATCH($I1998,CONFIGURACOES!$B$37:$B$300,0)),"")</f>
        <v/>
      </c>
      <c r="T1998" s="22">
        <f>IF(OR($R1998="",$S1998=""),"",$R1998*$S1998)</f>
        <v/>
      </c>
      <c r="U1998" s="20" t="n"/>
      <c r="V1998" s="20" t="n"/>
      <c r="W1998" s="20" t="n"/>
      <c r="X1998">
        <f>IF($A1998="","",$A1998&amp;"|"&amp;$C1998&amp;"|"&amp;$I1998)</f>
        <v/>
      </c>
      <c r="Y1998">
        <f>IF(AND($A1998=RELATORIO_MEDICAO!$C$5,$C1998=RELATORIO_MEDICAO!$F$5,$A1998&lt;&gt;""),COUNTIFS($A$3:$A1998,RELATORIO_MEDICAO!$C$5,$C$3:$C1998,RELATORIO_MEDICAO!$F$5),"")</f>
        <v/>
      </c>
      <c r="Z1998">
        <f>IF(OR($A1998="",PESQUISA!$C$4=""),0,IF(OR(ISNUMBER(SEARCH(PESQUISA!$C$4,$G1998)),ISNUMBER(SEARCH(PESQUISA!$C$4,$K1998)),ISNUMBER(SEARCH(PESQUISA!$C$4,$L1998))),1,0))</f>
        <v/>
      </c>
      <c r="AA1998">
        <f>IF($Z1998=1,SUM($Z$3:$Z1998),"")</f>
        <v/>
      </c>
      <c r="AB1998">
        <f>IF(OR($A1998="",PESQUISA!$C$50=""),0,IF(ISNUMBER(SEARCH(PESQUISA!$C$50,$I1998)),1,0))</f>
        <v/>
      </c>
      <c r="AC1998">
        <f>IF($AB1998=1,SUM($AB$3:$AB1998),"")</f>
        <v/>
      </c>
    </row>
    <row r="1999">
      <c r="A1999" s="20" t="n"/>
      <c r="B1999" s="20" t="n"/>
      <c r="C1999" s="20" t="n"/>
      <c r="D1999" s="20" t="n"/>
      <c r="E1999" s="20" t="n"/>
      <c r="F1999" s="20" t="n"/>
      <c r="G1999" s="20" t="n"/>
      <c r="H1999" s="20" t="n"/>
      <c r="I1999" s="20" t="n"/>
      <c r="J1999" s="20">
        <f>IFERROR(INDEX(CONFIGURACOES!$G$37:$G$300,MATCH($I1999,CONFIGURACOES!$B$37:$B$300,0)),"")</f>
        <v/>
      </c>
      <c r="K1999" s="20">
        <f>IFERROR(INDEX(CONFIGURACOES!$H$37:$H$300,MATCH($I1999,CONFIGURACOES!$B$37:$B$300,0)),"")</f>
        <v/>
      </c>
      <c r="L1999" s="20" t="n"/>
      <c r="M1999" s="20">
        <f>IFERROR(INDEX(CONFIGURACOES!$I$37:$I$300,MATCH($I1999,CONFIGURACOES!$B$37:$B$300,0)),"")</f>
        <v/>
      </c>
      <c r="N1999" s="21" t="n"/>
      <c r="O1999" s="21" t="n"/>
      <c r="P1999" s="21" t="n"/>
      <c r="Q1999" s="21" t="n"/>
      <c r="R1999" s="21">
        <f>IF($N1999="","",$N1999*IF($Q1999="",1,$Q1999)*IF($P1999="",1,$P1999)*IF($O1999="",1,$O1999))</f>
        <v/>
      </c>
      <c r="S1999" s="22">
        <f>IFERROR(INDEX(CONFIGURACOES!$J$37:$J$300,MATCH($I1999,CONFIGURACOES!$B$37:$B$300,0)),"")</f>
        <v/>
      </c>
      <c r="T1999" s="22">
        <f>IF(OR($R1999="",$S1999=""),"",$R1999*$S1999)</f>
        <v/>
      </c>
      <c r="U1999" s="20" t="n"/>
      <c r="V1999" s="20" t="n"/>
      <c r="W1999" s="20" t="n"/>
      <c r="X1999">
        <f>IF($A1999="","",$A1999&amp;"|"&amp;$C1999&amp;"|"&amp;$I1999)</f>
        <v/>
      </c>
      <c r="Y1999">
        <f>IF(AND($A1999=RELATORIO_MEDICAO!$C$5,$C1999=RELATORIO_MEDICAO!$F$5,$A1999&lt;&gt;""),COUNTIFS($A$3:$A1999,RELATORIO_MEDICAO!$C$5,$C$3:$C1999,RELATORIO_MEDICAO!$F$5),"")</f>
        <v/>
      </c>
      <c r="Z1999">
        <f>IF(OR($A1999="",PESQUISA!$C$4=""),0,IF(OR(ISNUMBER(SEARCH(PESQUISA!$C$4,$G1999)),ISNUMBER(SEARCH(PESQUISA!$C$4,$K1999)),ISNUMBER(SEARCH(PESQUISA!$C$4,$L1999))),1,0))</f>
        <v/>
      </c>
      <c r="AA1999">
        <f>IF($Z1999=1,SUM($Z$3:$Z1999),"")</f>
        <v/>
      </c>
      <c r="AB1999">
        <f>IF(OR($A1999="",PESQUISA!$C$50=""),0,IF(ISNUMBER(SEARCH(PESQUISA!$C$50,$I1999)),1,0))</f>
        <v/>
      </c>
      <c r="AC1999">
        <f>IF($AB1999=1,SUM($AB$3:$AB1999),"")</f>
        <v/>
      </c>
    </row>
    <row r="2000">
      <c r="A2000" s="20" t="n"/>
      <c r="B2000" s="20" t="n"/>
      <c r="C2000" s="20" t="n"/>
      <c r="D2000" s="20" t="n"/>
      <c r="E2000" s="20" t="n"/>
      <c r="F2000" s="20" t="n"/>
      <c r="G2000" s="20" t="n"/>
      <c r="H2000" s="20" t="n"/>
      <c r="I2000" s="20" t="n"/>
      <c r="J2000" s="20">
        <f>IFERROR(INDEX(CONFIGURACOES!$G$37:$G$300,MATCH($I2000,CONFIGURACOES!$B$37:$B$300,0)),"")</f>
        <v/>
      </c>
      <c r="K2000" s="20">
        <f>IFERROR(INDEX(CONFIGURACOES!$H$37:$H$300,MATCH($I2000,CONFIGURACOES!$B$37:$B$300,0)),"")</f>
        <v/>
      </c>
      <c r="L2000" s="20" t="n"/>
      <c r="M2000" s="20">
        <f>IFERROR(INDEX(CONFIGURACOES!$I$37:$I$300,MATCH($I2000,CONFIGURACOES!$B$37:$B$300,0)),"")</f>
        <v/>
      </c>
      <c r="N2000" s="21" t="n"/>
      <c r="O2000" s="21" t="n"/>
      <c r="P2000" s="21" t="n"/>
      <c r="Q2000" s="21" t="n"/>
      <c r="R2000" s="21">
        <f>IF($N2000="","",$N2000*IF($Q2000="",1,$Q2000)*IF($P2000="",1,$P2000)*IF($O2000="",1,$O2000))</f>
        <v/>
      </c>
      <c r="S2000" s="22">
        <f>IFERROR(INDEX(CONFIGURACOES!$J$37:$J$300,MATCH($I2000,CONFIGURACOES!$B$37:$B$300,0)),"")</f>
        <v/>
      </c>
      <c r="T2000" s="22">
        <f>IF(OR($R2000="",$S2000=""),"",$R2000*$S2000)</f>
        <v/>
      </c>
      <c r="U2000" s="20" t="n"/>
      <c r="V2000" s="20" t="n"/>
      <c r="W2000" s="20" t="n"/>
      <c r="X2000">
        <f>IF($A2000="","",$A2000&amp;"|"&amp;$C2000&amp;"|"&amp;$I2000)</f>
        <v/>
      </c>
      <c r="Y2000">
        <f>IF(AND($A2000=RELATORIO_MEDICAO!$C$5,$C2000=RELATORIO_MEDICAO!$F$5,$A2000&lt;&gt;""),COUNTIFS($A$3:$A2000,RELATORIO_MEDICAO!$C$5,$C$3:$C2000,RELATORIO_MEDICAO!$F$5),"")</f>
        <v/>
      </c>
      <c r="Z2000">
        <f>IF(OR($A2000="",PESQUISA!$C$4=""),0,IF(OR(ISNUMBER(SEARCH(PESQUISA!$C$4,$G2000)),ISNUMBER(SEARCH(PESQUISA!$C$4,$K2000)),ISNUMBER(SEARCH(PESQUISA!$C$4,$L2000))),1,0))</f>
        <v/>
      </c>
      <c r="AA2000">
        <f>IF($Z2000=1,SUM($Z$3:$Z2000),"")</f>
        <v/>
      </c>
      <c r="AB2000">
        <f>IF(OR($A2000="",PESQUISA!$C$50=""),0,IF(ISNUMBER(SEARCH(PESQUISA!$C$50,$I2000)),1,0))</f>
        <v/>
      </c>
      <c r="AC2000">
        <f>IF($AB2000=1,SUM($AB$3:$AB2000),"")</f>
        <v/>
      </c>
    </row>
    <row r="2001">
      <c r="A2001" s="20" t="n"/>
      <c r="B2001" s="20" t="n"/>
      <c r="C2001" s="20" t="n"/>
      <c r="D2001" s="20" t="n"/>
      <c r="E2001" s="20" t="n"/>
      <c r="F2001" s="20" t="n"/>
      <c r="G2001" s="20" t="n"/>
      <c r="H2001" s="20" t="n"/>
      <c r="I2001" s="20" t="n"/>
      <c r="J2001" s="20">
        <f>IFERROR(INDEX(CONFIGURACOES!$G$37:$G$300,MATCH($I2001,CONFIGURACOES!$B$37:$B$300,0)),"")</f>
        <v/>
      </c>
      <c r="K2001" s="20">
        <f>IFERROR(INDEX(CONFIGURACOES!$H$37:$H$300,MATCH($I2001,CONFIGURACOES!$B$37:$B$300,0)),"")</f>
        <v/>
      </c>
      <c r="L2001" s="20" t="n"/>
      <c r="M2001" s="20">
        <f>IFERROR(INDEX(CONFIGURACOES!$I$37:$I$300,MATCH($I2001,CONFIGURACOES!$B$37:$B$300,0)),"")</f>
        <v/>
      </c>
      <c r="N2001" s="21" t="n"/>
      <c r="O2001" s="21" t="n"/>
      <c r="P2001" s="21" t="n"/>
      <c r="Q2001" s="21" t="n"/>
      <c r="R2001" s="21">
        <f>IF($N2001="","",$N2001*IF($Q2001="",1,$Q2001)*IF($P2001="",1,$P2001)*IF($O2001="",1,$O2001))</f>
        <v/>
      </c>
      <c r="S2001" s="22">
        <f>IFERROR(INDEX(CONFIGURACOES!$J$37:$J$300,MATCH($I2001,CONFIGURACOES!$B$37:$B$300,0)),"")</f>
        <v/>
      </c>
      <c r="T2001" s="22">
        <f>IF(OR($R2001="",$S2001=""),"",$R2001*$S2001)</f>
        <v/>
      </c>
      <c r="U2001" s="20" t="n"/>
      <c r="V2001" s="20" t="n"/>
      <c r="W2001" s="20" t="n"/>
      <c r="X2001">
        <f>IF($A2001="","",$A2001&amp;"|"&amp;$C2001&amp;"|"&amp;$I2001)</f>
        <v/>
      </c>
      <c r="Y2001">
        <f>IF(AND($A2001=RELATORIO_MEDICAO!$C$5,$C2001=RELATORIO_MEDICAO!$F$5,$A2001&lt;&gt;""),COUNTIFS($A$3:$A2001,RELATORIO_MEDICAO!$C$5,$C$3:$C2001,RELATORIO_MEDICAO!$F$5),"")</f>
        <v/>
      </c>
      <c r="Z2001">
        <f>IF(OR($A2001="",PESQUISA!$C$4=""),0,IF(OR(ISNUMBER(SEARCH(PESQUISA!$C$4,$G2001)),ISNUMBER(SEARCH(PESQUISA!$C$4,$K2001)),ISNUMBER(SEARCH(PESQUISA!$C$4,$L2001))),1,0))</f>
        <v/>
      </c>
      <c r="AA2001">
        <f>IF($Z2001=1,SUM($Z$3:$Z2001),"")</f>
        <v/>
      </c>
      <c r="AB2001">
        <f>IF(OR($A2001="",PESQUISA!$C$50=""),0,IF(ISNUMBER(SEARCH(PESQUISA!$C$50,$I2001)),1,0))</f>
        <v/>
      </c>
      <c r="AC2001">
        <f>IF($AB2001=1,SUM($AB$3:$AB2001),"")</f>
        <v/>
      </c>
    </row>
    <row r="2002">
      <c r="A2002" s="20" t="n"/>
      <c r="B2002" s="20" t="n"/>
      <c r="C2002" s="20" t="n"/>
      <c r="D2002" s="20" t="n"/>
      <c r="E2002" s="20" t="n"/>
      <c r="F2002" s="20" t="n"/>
      <c r="G2002" s="20" t="n"/>
      <c r="H2002" s="20" t="n"/>
      <c r="I2002" s="20" t="n"/>
      <c r="J2002" s="20">
        <f>IFERROR(INDEX(CONFIGURACOES!$G$37:$G$300,MATCH($I2002,CONFIGURACOES!$B$37:$B$300,0)),"")</f>
        <v/>
      </c>
      <c r="K2002" s="20">
        <f>IFERROR(INDEX(CONFIGURACOES!$H$37:$H$300,MATCH($I2002,CONFIGURACOES!$B$37:$B$300,0)),"")</f>
        <v/>
      </c>
      <c r="L2002" s="20" t="n"/>
      <c r="M2002" s="20">
        <f>IFERROR(INDEX(CONFIGURACOES!$I$37:$I$300,MATCH($I2002,CONFIGURACOES!$B$37:$B$300,0)),"")</f>
        <v/>
      </c>
      <c r="N2002" s="21" t="n"/>
      <c r="O2002" s="21" t="n"/>
      <c r="P2002" s="21" t="n"/>
      <c r="Q2002" s="21" t="n"/>
      <c r="R2002" s="21">
        <f>IF($N2002="","",$N2002*IF($Q2002="",1,$Q2002)*IF($P2002="",1,$P2002)*IF($O2002="",1,$O2002))</f>
        <v/>
      </c>
      <c r="S2002" s="22">
        <f>IFERROR(INDEX(CONFIGURACOES!$J$37:$J$300,MATCH($I2002,CONFIGURACOES!$B$37:$B$300,0)),"")</f>
        <v/>
      </c>
      <c r="T2002" s="22">
        <f>IF(OR($R2002="",$S2002=""),"",$R2002*$S2002)</f>
        <v/>
      </c>
      <c r="U2002" s="20" t="n"/>
      <c r="V2002" s="20" t="n"/>
      <c r="W2002" s="20" t="n"/>
      <c r="X2002">
        <f>IF($A2002="","",$A2002&amp;"|"&amp;$C2002&amp;"|"&amp;$I2002)</f>
        <v/>
      </c>
      <c r="Y2002">
        <f>IF(AND($A2002=RELATORIO_MEDICAO!$C$5,$C2002=RELATORIO_MEDICAO!$F$5,$A2002&lt;&gt;""),COUNTIFS($A$3:$A2002,RELATORIO_MEDICAO!$C$5,$C$3:$C2002,RELATORIO_MEDICAO!$F$5),"")</f>
        <v/>
      </c>
      <c r="Z2002">
        <f>IF(OR($A2002="",PESQUISA!$C$4=""),0,IF(OR(ISNUMBER(SEARCH(PESQUISA!$C$4,$G2002)),ISNUMBER(SEARCH(PESQUISA!$C$4,$K2002)),ISNUMBER(SEARCH(PESQUISA!$C$4,$L2002))),1,0))</f>
        <v/>
      </c>
      <c r="AA2002">
        <f>IF($Z2002=1,SUM($Z$3:$Z2002),"")</f>
        <v/>
      </c>
      <c r="AB2002">
        <f>IF(OR($A2002="",PESQUISA!$C$50=""),0,IF(ISNUMBER(SEARCH(PESQUISA!$C$50,$I2002)),1,0))</f>
        <v/>
      </c>
      <c r="AC2002">
        <f>IF($AB2002=1,SUM($AB$3:$AB2002),"")</f>
        <v/>
      </c>
    </row>
  </sheetData>
  <autoFilter ref="A2:W2"/>
  <mergeCells count="1">
    <mergeCell ref="A1:W1"/>
  </mergeCells>
  <conditionalFormatting sqref="V3:V2002">
    <cfRule type="expression" priority="1" dxfId="0">
      <formula>$V3="Aprovado"</formula>
    </cfRule>
    <cfRule type="expression" priority="2" dxfId="1">
      <formula>$V3="Pendente"</formula>
    </cfRule>
    <cfRule type="expression" priority="3" dxfId="2">
      <formula>$V3="Reprovado / Nao conforme"</formula>
    </cfRule>
  </conditionalFormatting>
  <dataValidations count="7">
    <dataValidation sqref="I3:I2002" showDropDown="0" showInputMessage="0" showErrorMessage="0" allowBlank="1" errorTitle="ITEM nao cadastrado" error="Este ITEM nao esta no catalogo (aba CONFIGURACOES). Cadastre-o la primeiro ou confirme a digitacao." type="list" errorStyle="warning">
      <formula1>=LISTA_ITENS_CATALOGO</formula1>
    </dataValidation>
    <dataValidation sqref="M3:M2002" showDropDown="0" showInputMessage="0" showErrorMessage="0" allowBlank="1" type="list" errorStyle="warning">
      <formula1>=LISTA_UNIDADES</formula1>
    </dataValidation>
    <dataValidation sqref="V3:V2002" showDropDown="0" showInputMessage="0" showErrorMessage="0" allowBlank="1" type="list">
      <formula1>=LISTA_STATUS</formula1>
    </dataValidation>
    <dataValidation sqref="C3:C2002" showDropDown="0" showInputMessage="0" showErrorMessage="0" allowBlank="1" type="list">
      <formula1>=LISTA_MEDICOES</formula1>
    </dataValidation>
    <dataValidation sqref="N3:N2002 O3:O2002 P3:P2002 Q3:Q2002" showDropDown="0" showInputMessage="0" showErrorMessage="0" allowBlank="1" errorTitle="Valor invalido" error="QUANTIDADE / X / Y / Z devem ser numeros &gt;= 0." type="decimal" operator="greaterThanOrEqual">
      <formula1>0</formula1>
    </dataValidation>
    <dataValidation sqref="A3:A2002" showDropDown="0" showInputMessage="0" showErrorMessage="0" allowBlank="1" errorTitle="NOTA invalida" error="NOTA deve ser um numero inteiro maior que 0." type="whole" operator="greaterThan">
      <formula1>0</formula1>
    </dataValidation>
    <dataValidation sqref="U3:U2002" showDropDown="0" showInputMessage="0" showErrorMessage="0" allowBlank="1" errorTitle="Data invalida" error="Informe uma data valida." type="date" operator="greaterThan">
      <formula1>1900-01-01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I10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34" customWidth="1" min="3" max="3"/>
    <col width="12" customWidth="1" min="4" max="4"/>
    <col width="46" customWidth="1" min="5" max="5"/>
    <col width="20" customWidth="1" min="6" max="6"/>
    <col width="8" customWidth="1" min="7" max="7"/>
    <col width="16" customWidth="1" min="8" max="8"/>
    <col width="3" customWidth="1" min="9" max="9"/>
  </cols>
  <sheetData>
    <row r="1" ht="22" customHeight="1">
      <c r="A1" s="1" t="inlineStr">
        <is>
          <t>PESQUISA / CONSULTA DE MEDICOES</t>
        </is>
      </c>
    </row>
    <row r="2">
      <c r="A2" s="24" t="inlineStr">
        <is>
          <t>Pesquisa funcional (formulas), sem necessidade de macros. Aceita parte do texto.</t>
        </is>
      </c>
    </row>
    <row r="3">
      <c r="B3" s="25" t="inlineStr">
        <is>
          <t>PESQUISAR POR CT OU TEXTO BREVE (aceita parte do texto, ex.: 'PINTURA' ou 'RESTAURANTE')</t>
        </is>
      </c>
    </row>
    <row r="4">
      <c r="B4" s="26" t="inlineStr">
        <is>
          <t>Digite aqui:</t>
        </is>
      </c>
      <c r="C4" s="27" t="inlineStr"/>
    </row>
    <row r="6">
      <c r="B6" s="18" t="inlineStr">
        <is>
          <t>NOTA</t>
        </is>
      </c>
      <c r="C6" s="18" t="inlineStr">
        <is>
          <t>MEDICAO</t>
        </is>
      </c>
      <c r="D6" s="18" t="inlineStr">
        <is>
          <t>ITEM</t>
        </is>
      </c>
      <c r="E6" s="18" t="inlineStr">
        <is>
          <t>CT</t>
        </is>
      </c>
      <c r="F6" s="18" t="inlineStr">
        <is>
          <t>ATIVIDADE</t>
        </is>
      </c>
      <c r="G6" s="18" t="inlineStr">
        <is>
          <t>DESCRICAO</t>
        </is>
      </c>
      <c r="H6" s="18" t="inlineStr">
        <is>
          <t>UND.</t>
        </is>
      </c>
      <c r="I6" s="18" t="inlineStr">
        <is>
          <t>VALOR TOTAL</t>
        </is>
      </c>
    </row>
    <row r="7">
      <c r="B7" s="28">
        <f>IFERROR(INDEX(HISTORICO!$A$3:$A$2002,MATCH(1,HISTORICO!$AA$3:$AA$2002,0)),"")</f>
        <v/>
      </c>
      <c r="C7" s="28">
        <f>IFERROR(INDEX(HISTORICO!$C$3:$C$2002,MATCH(1,HISTORICO!$AA$3:$AA$2002,0)),"")</f>
        <v/>
      </c>
      <c r="D7" s="28">
        <f>IFERROR(INDEX(HISTORICO!$I$3:$I$2002,MATCH(1,HISTORICO!$AA$3:$AA$2002,0)),"")</f>
        <v/>
      </c>
      <c r="E7" s="28">
        <f>IFERROR(INDEX(HISTORICO!$G$3:$G$2002,MATCH(1,HISTORICO!$AA$3:$AA$2002,0)),"")</f>
        <v/>
      </c>
      <c r="F7" s="28">
        <f>IFERROR(INDEX(HISTORICO!$K$3:$K$2002,MATCH(1,HISTORICO!$AA$3:$AA$2002,0)),"")</f>
        <v/>
      </c>
      <c r="G7" s="28">
        <f>IFERROR(INDEX(HISTORICO!$L$3:$L$2002,MATCH(1,HISTORICO!$AA$3:$AA$2002,0)),"")</f>
        <v/>
      </c>
      <c r="H7" s="28">
        <f>IFERROR(INDEX(HISTORICO!$M$3:$M$2002,MATCH(1,HISTORICO!$AA$3:$AA$2002,0)),"")</f>
        <v/>
      </c>
      <c r="I7" s="29">
        <f>IFERROR(INDEX(HISTORICO!$T$3:$T$2002,MATCH(1,HISTORICO!$AA$3:$AA$2002,0)),"")</f>
        <v/>
      </c>
    </row>
    <row r="8">
      <c r="B8" s="28">
        <f>IFERROR(INDEX(HISTORICO!$A$3:$A$2002,MATCH(2,HISTORICO!$AA$3:$AA$2002,0)),"")</f>
        <v/>
      </c>
      <c r="C8" s="28">
        <f>IFERROR(INDEX(HISTORICO!$C$3:$C$2002,MATCH(2,HISTORICO!$AA$3:$AA$2002,0)),"")</f>
        <v/>
      </c>
      <c r="D8" s="28">
        <f>IFERROR(INDEX(HISTORICO!$I$3:$I$2002,MATCH(2,HISTORICO!$AA$3:$AA$2002,0)),"")</f>
        <v/>
      </c>
      <c r="E8" s="28">
        <f>IFERROR(INDEX(HISTORICO!$G$3:$G$2002,MATCH(2,HISTORICO!$AA$3:$AA$2002,0)),"")</f>
        <v/>
      </c>
      <c r="F8" s="28">
        <f>IFERROR(INDEX(HISTORICO!$K$3:$K$2002,MATCH(2,HISTORICO!$AA$3:$AA$2002,0)),"")</f>
        <v/>
      </c>
      <c r="G8" s="28">
        <f>IFERROR(INDEX(HISTORICO!$L$3:$L$2002,MATCH(2,HISTORICO!$AA$3:$AA$2002,0)),"")</f>
        <v/>
      </c>
      <c r="H8" s="28">
        <f>IFERROR(INDEX(HISTORICO!$M$3:$M$2002,MATCH(2,HISTORICO!$AA$3:$AA$2002,0)),"")</f>
        <v/>
      </c>
      <c r="I8" s="29">
        <f>IFERROR(INDEX(HISTORICO!$T$3:$T$2002,MATCH(2,HISTORICO!$AA$3:$AA$2002,0)),"")</f>
        <v/>
      </c>
    </row>
    <row r="9">
      <c r="B9" s="28">
        <f>IFERROR(INDEX(HISTORICO!$A$3:$A$2002,MATCH(3,HISTORICO!$AA$3:$AA$2002,0)),"")</f>
        <v/>
      </c>
      <c r="C9" s="28">
        <f>IFERROR(INDEX(HISTORICO!$C$3:$C$2002,MATCH(3,HISTORICO!$AA$3:$AA$2002,0)),"")</f>
        <v/>
      </c>
      <c r="D9" s="28">
        <f>IFERROR(INDEX(HISTORICO!$I$3:$I$2002,MATCH(3,HISTORICO!$AA$3:$AA$2002,0)),"")</f>
        <v/>
      </c>
      <c r="E9" s="28">
        <f>IFERROR(INDEX(HISTORICO!$G$3:$G$2002,MATCH(3,HISTORICO!$AA$3:$AA$2002,0)),"")</f>
        <v/>
      </c>
      <c r="F9" s="28">
        <f>IFERROR(INDEX(HISTORICO!$K$3:$K$2002,MATCH(3,HISTORICO!$AA$3:$AA$2002,0)),"")</f>
        <v/>
      </c>
      <c r="G9" s="28">
        <f>IFERROR(INDEX(HISTORICO!$L$3:$L$2002,MATCH(3,HISTORICO!$AA$3:$AA$2002,0)),"")</f>
        <v/>
      </c>
      <c r="H9" s="28">
        <f>IFERROR(INDEX(HISTORICO!$M$3:$M$2002,MATCH(3,HISTORICO!$AA$3:$AA$2002,0)),"")</f>
        <v/>
      </c>
      <c r="I9" s="29">
        <f>IFERROR(INDEX(HISTORICO!$T$3:$T$2002,MATCH(3,HISTORICO!$AA$3:$AA$2002,0)),"")</f>
        <v/>
      </c>
    </row>
    <row r="10">
      <c r="B10" s="28">
        <f>IFERROR(INDEX(HISTORICO!$A$3:$A$2002,MATCH(4,HISTORICO!$AA$3:$AA$2002,0)),"")</f>
        <v/>
      </c>
      <c r="C10" s="28">
        <f>IFERROR(INDEX(HISTORICO!$C$3:$C$2002,MATCH(4,HISTORICO!$AA$3:$AA$2002,0)),"")</f>
        <v/>
      </c>
      <c r="D10" s="28">
        <f>IFERROR(INDEX(HISTORICO!$I$3:$I$2002,MATCH(4,HISTORICO!$AA$3:$AA$2002,0)),"")</f>
        <v/>
      </c>
      <c r="E10" s="28">
        <f>IFERROR(INDEX(HISTORICO!$G$3:$G$2002,MATCH(4,HISTORICO!$AA$3:$AA$2002,0)),"")</f>
        <v/>
      </c>
      <c r="F10" s="28">
        <f>IFERROR(INDEX(HISTORICO!$K$3:$K$2002,MATCH(4,HISTORICO!$AA$3:$AA$2002,0)),"")</f>
        <v/>
      </c>
      <c r="G10" s="28">
        <f>IFERROR(INDEX(HISTORICO!$L$3:$L$2002,MATCH(4,HISTORICO!$AA$3:$AA$2002,0)),"")</f>
        <v/>
      </c>
      <c r="H10" s="28">
        <f>IFERROR(INDEX(HISTORICO!$M$3:$M$2002,MATCH(4,HISTORICO!$AA$3:$AA$2002,0)),"")</f>
        <v/>
      </c>
      <c r="I10" s="29">
        <f>IFERROR(INDEX(HISTORICO!$T$3:$T$2002,MATCH(4,HISTORICO!$AA$3:$AA$2002,0)),"")</f>
        <v/>
      </c>
    </row>
    <row r="11">
      <c r="B11" s="28">
        <f>IFERROR(INDEX(HISTORICO!$A$3:$A$2002,MATCH(5,HISTORICO!$AA$3:$AA$2002,0)),"")</f>
        <v/>
      </c>
      <c r="C11" s="28">
        <f>IFERROR(INDEX(HISTORICO!$C$3:$C$2002,MATCH(5,HISTORICO!$AA$3:$AA$2002,0)),"")</f>
        <v/>
      </c>
      <c r="D11" s="28">
        <f>IFERROR(INDEX(HISTORICO!$I$3:$I$2002,MATCH(5,HISTORICO!$AA$3:$AA$2002,0)),"")</f>
        <v/>
      </c>
      <c r="E11" s="28">
        <f>IFERROR(INDEX(HISTORICO!$G$3:$G$2002,MATCH(5,HISTORICO!$AA$3:$AA$2002,0)),"")</f>
        <v/>
      </c>
      <c r="F11" s="28">
        <f>IFERROR(INDEX(HISTORICO!$K$3:$K$2002,MATCH(5,HISTORICO!$AA$3:$AA$2002,0)),"")</f>
        <v/>
      </c>
      <c r="G11" s="28">
        <f>IFERROR(INDEX(HISTORICO!$L$3:$L$2002,MATCH(5,HISTORICO!$AA$3:$AA$2002,0)),"")</f>
        <v/>
      </c>
      <c r="H11" s="28">
        <f>IFERROR(INDEX(HISTORICO!$M$3:$M$2002,MATCH(5,HISTORICO!$AA$3:$AA$2002,0)),"")</f>
        <v/>
      </c>
      <c r="I11" s="29">
        <f>IFERROR(INDEX(HISTORICO!$T$3:$T$2002,MATCH(5,HISTORICO!$AA$3:$AA$2002,0)),"")</f>
        <v/>
      </c>
    </row>
    <row r="12">
      <c r="B12" s="28">
        <f>IFERROR(INDEX(HISTORICO!$A$3:$A$2002,MATCH(6,HISTORICO!$AA$3:$AA$2002,0)),"")</f>
        <v/>
      </c>
      <c r="C12" s="28">
        <f>IFERROR(INDEX(HISTORICO!$C$3:$C$2002,MATCH(6,HISTORICO!$AA$3:$AA$2002,0)),"")</f>
        <v/>
      </c>
      <c r="D12" s="28">
        <f>IFERROR(INDEX(HISTORICO!$I$3:$I$2002,MATCH(6,HISTORICO!$AA$3:$AA$2002,0)),"")</f>
        <v/>
      </c>
      <c r="E12" s="28">
        <f>IFERROR(INDEX(HISTORICO!$G$3:$G$2002,MATCH(6,HISTORICO!$AA$3:$AA$2002,0)),"")</f>
        <v/>
      </c>
      <c r="F12" s="28">
        <f>IFERROR(INDEX(HISTORICO!$K$3:$K$2002,MATCH(6,HISTORICO!$AA$3:$AA$2002,0)),"")</f>
        <v/>
      </c>
      <c r="G12" s="28">
        <f>IFERROR(INDEX(HISTORICO!$L$3:$L$2002,MATCH(6,HISTORICO!$AA$3:$AA$2002,0)),"")</f>
        <v/>
      </c>
      <c r="H12" s="28">
        <f>IFERROR(INDEX(HISTORICO!$M$3:$M$2002,MATCH(6,HISTORICO!$AA$3:$AA$2002,0)),"")</f>
        <v/>
      </c>
      <c r="I12" s="29">
        <f>IFERROR(INDEX(HISTORICO!$T$3:$T$2002,MATCH(6,HISTORICO!$AA$3:$AA$2002,0)),"")</f>
        <v/>
      </c>
    </row>
    <row r="13">
      <c r="B13" s="28">
        <f>IFERROR(INDEX(HISTORICO!$A$3:$A$2002,MATCH(7,HISTORICO!$AA$3:$AA$2002,0)),"")</f>
        <v/>
      </c>
      <c r="C13" s="28">
        <f>IFERROR(INDEX(HISTORICO!$C$3:$C$2002,MATCH(7,HISTORICO!$AA$3:$AA$2002,0)),"")</f>
        <v/>
      </c>
      <c r="D13" s="28">
        <f>IFERROR(INDEX(HISTORICO!$I$3:$I$2002,MATCH(7,HISTORICO!$AA$3:$AA$2002,0)),"")</f>
        <v/>
      </c>
      <c r="E13" s="28">
        <f>IFERROR(INDEX(HISTORICO!$G$3:$G$2002,MATCH(7,HISTORICO!$AA$3:$AA$2002,0)),"")</f>
        <v/>
      </c>
      <c r="F13" s="28">
        <f>IFERROR(INDEX(HISTORICO!$K$3:$K$2002,MATCH(7,HISTORICO!$AA$3:$AA$2002,0)),"")</f>
        <v/>
      </c>
      <c r="G13" s="28">
        <f>IFERROR(INDEX(HISTORICO!$L$3:$L$2002,MATCH(7,HISTORICO!$AA$3:$AA$2002,0)),"")</f>
        <v/>
      </c>
      <c r="H13" s="28">
        <f>IFERROR(INDEX(HISTORICO!$M$3:$M$2002,MATCH(7,HISTORICO!$AA$3:$AA$2002,0)),"")</f>
        <v/>
      </c>
      <c r="I13" s="29">
        <f>IFERROR(INDEX(HISTORICO!$T$3:$T$2002,MATCH(7,HISTORICO!$AA$3:$AA$2002,0)),"")</f>
        <v/>
      </c>
    </row>
    <row r="14">
      <c r="B14" s="28">
        <f>IFERROR(INDEX(HISTORICO!$A$3:$A$2002,MATCH(8,HISTORICO!$AA$3:$AA$2002,0)),"")</f>
        <v/>
      </c>
      <c r="C14" s="28">
        <f>IFERROR(INDEX(HISTORICO!$C$3:$C$2002,MATCH(8,HISTORICO!$AA$3:$AA$2002,0)),"")</f>
        <v/>
      </c>
      <c r="D14" s="28">
        <f>IFERROR(INDEX(HISTORICO!$I$3:$I$2002,MATCH(8,HISTORICO!$AA$3:$AA$2002,0)),"")</f>
        <v/>
      </c>
      <c r="E14" s="28">
        <f>IFERROR(INDEX(HISTORICO!$G$3:$G$2002,MATCH(8,HISTORICO!$AA$3:$AA$2002,0)),"")</f>
        <v/>
      </c>
      <c r="F14" s="28">
        <f>IFERROR(INDEX(HISTORICO!$K$3:$K$2002,MATCH(8,HISTORICO!$AA$3:$AA$2002,0)),"")</f>
        <v/>
      </c>
      <c r="G14" s="28">
        <f>IFERROR(INDEX(HISTORICO!$L$3:$L$2002,MATCH(8,HISTORICO!$AA$3:$AA$2002,0)),"")</f>
        <v/>
      </c>
      <c r="H14" s="28">
        <f>IFERROR(INDEX(HISTORICO!$M$3:$M$2002,MATCH(8,HISTORICO!$AA$3:$AA$2002,0)),"")</f>
        <v/>
      </c>
      <c r="I14" s="29">
        <f>IFERROR(INDEX(HISTORICO!$T$3:$T$2002,MATCH(8,HISTORICO!$AA$3:$AA$2002,0)),"")</f>
        <v/>
      </c>
    </row>
    <row r="15">
      <c r="B15" s="28">
        <f>IFERROR(INDEX(HISTORICO!$A$3:$A$2002,MATCH(9,HISTORICO!$AA$3:$AA$2002,0)),"")</f>
        <v/>
      </c>
      <c r="C15" s="28">
        <f>IFERROR(INDEX(HISTORICO!$C$3:$C$2002,MATCH(9,HISTORICO!$AA$3:$AA$2002,0)),"")</f>
        <v/>
      </c>
      <c r="D15" s="28">
        <f>IFERROR(INDEX(HISTORICO!$I$3:$I$2002,MATCH(9,HISTORICO!$AA$3:$AA$2002,0)),"")</f>
        <v/>
      </c>
      <c r="E15" s="28">
        <f>IFERROR(INDEX(HISTORICO!$G$3:$G$2002,MATCH(9,HISTORICO!$AA$3:$AA$2002,0)),"")</f>
        <v/>
      </c>
      <c r="F15" s="28">
        <f>IFERROR(INDEX(HISTORICO!$K$3:$K$2002,MATCH(9,HISTORICO!$AA$3:$AA$2002,0)),"")</f>
        <v/>
      </c>
      <c r="G15" s="28">
        <f>IFERROR(INDEX(HISTORICO!$L$3:$L$2002,MATCH(9,HISTORICO!$AA$3:$AA$2002,0)),"")</f>
        <v/>
      </c>
      <c r="H15" s="28">
        <f>IFERROR(INDEX(HISTORICO!$M$3:$M$2002,MATCH(9,HISTORICO!$AA$3:$AA$2002,0)),"")</f>
        <v/>
      </c>
      <c r="I15" s="29">
        <f>IFERROR(INDEX(HISTORICO!$T$3:$T$2002,MATCH(9,HISTORICO!$AA$3:$AA$2002,0)),"")</f>
        <v/>
      </c>
    </row>
    <row r="16">
      <c r="B16" s="28">
        <f>IFERROR(INDEX(HISTORICO!$A$3:$A$2002,MATCH(10,HISTORICO!$AA$3:$AA$2002,0)),"")</f>
        <v/>
      </c>
      <c r="C16" s="28">
        <f>IFERROR(INDEX(HISTORICO!$C$3:$C$2002,MATCH(10,HISTORICO!$AA$3:$AA$2002,0)),"")</f>
        <v/>
      </c>
      <c r="D16" s="28">
        <f>IFERROR(INDEX(HISTORICO!$I$3:$I$2002,MATCH(10,HISTORICO!$AA$3:$AA$2002,0)),"")</f>
        <v/>
      </c>
      <c r="E16" s="28">
        <f>IFERROR(INDEX(HISTORICO!$G$3:$G$2002,MATCH(10,HISTORICO!$AA$3:$AA$2002,0)),"")</f>
        <v/>
      </c>
      <c r="F16" s="28">
        <f>IFERROR(INDEX(HISTORICO!$K$3:$K$2002,MATCH(10,HISTORICO!$AA$3:$AA$2002,0)),"")</f>
        <v/>
      </c>
      <c r="G16" s="28">
        <f>IFERROR(INDEX(HISTORICO!$L$3:$L$2002,MATCH(10,HISTORICO!$AA$3:$AA$2002,0)),"")</f>
        <v/>
      </c>
      <c r="H16" s="28">
        <f>IFERROR(INDEX(HISTORICO!$M$3:$M$2002,MATCH(10,HISTORICO!$AA$3:$AA$2002,0)),"")</f>
        <v/>
      </c>
      <c r="I16" s="29">
        <f>IFERROR(INDEX(HISTORICO!$T$3:$T$2002,MATCH(10,HISTORICO!$AA$3:$AA$2002,0)),"")</f>
        <v/>
      </c>
    </row>
    <row r="17">
      <c r="B17" s="28">
        <f>IFERROR(INDEX(HISTORICO!$A$3:$A$2002,MATCH(11,HISTORICO!$AA$3:$AA$2002,0)),"")</f>
        <v/>
      </c>
      <c r="C17" s="28">
        <f>IFERROR(INDEX(HISTORICO!$C$3:$C$2002,MATCH(11,HISTORICO!$AA$3:$AA$2002,0)),"")</f>
        <v/>
      </c>
      <c r="D17" s="28">
        <f>IFERROR(INDEX(HISTORICO!$I$3:$I$2002,MATCH(11,HISTORICO!$AA$3:$AA$2002,0)),"")</f>
        <v/>
      </c>
      <c r="E17" s="28">
        <f>IFERROR(INDEX(HISTORICO!$G$3:$G$2002,MATCH(11,HISTORICO!$AA$3:$AA$2002,0)),"")</f>
        <v/>
      </c>
      <c r="F17" s="28">
        <f>IFERROR(INDEX(HISTORICO!$K$3:$K$2002,MATCH(11,HISTORICO!$AA$3:$AA$2002,0)),"")</f>
        <v/>
      </c>
      <c r="G17" s="28">
        <f>IFERROR(INDEX(HISTORICO!$L$3:$L$2002,MATCH(11,HISTORICO!$AA$3:$AA$2002,0)),"")</f>
        <v/>
      </c>
      <c r="H17" s="28">
        <f>IFERROR(INDEX(HISTORICO!$M$3:$M$2002,MATCH(11,HISTORICO!$AA$3:$AA$2002,0)),"")</f>
        <v/>
      </c>
      <c r="I17" s="29">
        <f>IFERROR(INDEX(HISTORICO!$T$3:$T$2002,MATCH(11,HISTORICO!$AA$3:$AA$2002,0)),"")</f>
        <v/>
      </c>
    </row>
    <row r="18">
      <c r="B18" s="28">
        <f>IFERROR(INDEX(HISTORICO!$A$3:$A$2002,MATCH(12,HISTORICO!$AA$3:$AA$2002,0)),"")</f>
        <v/>
      </c>
      <c r="C18" s="28">
        <f>IFERROR(INDEX(HISTORICO!$C$3:$C$2002,MATCH(12,HISTORICO!$AA$3:$AA$2002,0)),"")</f>
        <v/>
      </c>
      <c r="D18" s="28">
        <f>IFERROR(INDEX(HISTORICO!$I$3:$I$2002,MATCH(12,HISTORICO!$AA$3:$AA$2002,0)),"")</f>
        <v/>
      </c>
      <c r="E18" s="28">
        <f>IFERROR(INDEX(HISTORICO!$G$3:$G$2002,MATCH(12,HISTORICO!$AA$3:$AA$2002,0)),"")</f>
        <v/>
      </c>
      <c r="F18" s="28">
        <f>IFERROR(INDEX(HISTORICO!$K$3:$K$2002,MATCH(12,HISTORICO!$AA$3:$AA$2002,0)),"")</f>
        <v/>
      </c>
      <c r="G18" s="28">
        <f>IFERROR(INDEX(HISTORICO!$L$3:$L$2002,MATCH(12,HISTORICO!$AA$3:$AA$2002,0)),"")</f>
        <v/>
      </c>
      <c r="H18" s="28">
        <f>IFERROR(INDEX(HISTORICO!$M$3:$M$2002,MATCH(12,HISTORICO!$AA$3:$AA$2002,0)),"")</f>
        <v/>
      </c>
      <c r="I18" s="29">
        <f>IFERROR(INDEX(HISTORICO!$T$3:$T$2002,MATCH(12,HISTORICO!$AA$3:$AA$2002,0)),"")</f>
        <v/>
      </c>
    </row>
    <row r="19">
      <c r="B19" s="28">
        <f>IFERROR(INDEX(HISTORICO!$A$3:$A$2002,MATCH(13,HISTORICO!$AA$3:$AA$2002,0)),"")</f>
        <v/>
      </c>
      <c r="C19" s="28">
        <f>IFERROR(INDEX(HISTORICO!$C$3:$C$2002,MATCH(13,HISTORICO!$AA$3:$AA$2002,0)),"")</f>
        <v/>
      </c>
      <c r="D19" s="28">
        <f>IFERROR(INDEX(HISTORICO!$I$3:$I$2002,MATCH(13,HISTORICO!$AA$3:$AA$2002,0)),"")</f>
        <v/>
      </c>
      <c r="E19" s="28">
        <f>IFERROR(INDEX(HISTORICO!$G$3:$G$2002,MATCH(13,HISTORICO!$AA$3:$AA$2002,0)),"")</f>
        <v/>
      </c>
      <c r="F19" s="28">
        <f>IFERROR(INDEX(HISTORICO!$K$3:$K$2002,MATCH(13,HISTORICO!$AA$3:$AA$2002,0)),"")</f>
        <v/>
      </c>
      <c r="G19" s="28">
        <f>IFERROR(INDEX(HISTORICO!$L$3:$L$2002,MATCH(13,HISTORICO!$AA$3:$AA$2002,0)),"")</f>
        <v/>
      </c>
      <c r="H19" s="28">
        <f>IFERROR(INDEX(HISTORICO!$M$3:$M$2002,MATCH(13,HISTORICO!$AA$3:$AA$2002,0)),"")</f>
        <v/>
      </c>
      <c r="I19" s="29">
        <f>IFERROR(INDEX(HISTORICO!$T$3:$T$2002,MATCH(13,HISTORICO!$AA$3:$AA$2002,0)),"")</f>
        <v/>
      </c>
    </row>
    <row r="20">
      <c r="B20" s="28">
        <f>IFERROR(INDEX(HISTORICO!$A$3:$A$2002,MATCH(14,HISTORICO!$AA$3:$AA$2002,0)),"")</f>
        <v/>
      </c>
      <c r="C20" s="28">
        <f>IFERROR(INDEX(HISTORICO!$C$3:$C$2002,MATCH(14,HISTORICO!$AA$3:$AA$2002,0)),"")</f>
        <v/>
      </c>
      <c r="D20" s="28">
        <f>IFERROR(INDEX(HISTORICO!$I$3:$I$2002,MATCH(14,HISTORICO!$AA$3:$AA$2002,0)),"")</f>
        <v/>
      </c>
      <c r="E20" s="28">
        <f>IFERROR(INDEX(HISTORICO!$G$3:$G$2002,MATCH(14,HISTORICO!$AA$3:$AA$2002,0)),"")</f>
        <v/>
      </c>
      <c r="F20" s="28">
        <f>IFERROR(INDEX(HISTORICO!$K$3:$K$2002,MATCH(14,HISTORICO!$AA$3:$AA$2002,0)),"")</f>
        <v/>
      </c>
      <c r="G20" s="28">
        <f>IFERROR(INDEX(HISTORICO!$L$3:$L$2002,MATCH(14,HISTORICO!$AA$3:$AA$2002,0)),"")</f>
        <v/>
      </c>
      <c r="H20" s="28">
        <f>IFERROR(INDEX(HISTORICO!$M$3:$M$2002,MATCH(14,HISTORICO!$AA$3:$AA$2002,0)),"")</f>
        <v/>
      </c>
      <c r="I20" s="29">
        <f>IFERROR(INDEX(HISTORICO!$T$3:$T$2002,MATCH(14,HISTORICO!$AA$3:$AA$2002,0)),"")</f>
        <v/>
      </c>
    </row>
    <row r="21">
      <c r="B21" s="28">
        <f>IFERROR(INDEX(HISTORICO!$A$3:$A$2002,MATCH(15,HISTORICO!$AA$3:$AA$2002,0)),"")</f>
        <v/>
      </c>
      <c r="C21" s="28">
        <f>IFERROR(INDEX(HISTORICO!$C$3:$C$2002,MATCH(15,HISTORICO!$AA$3:$AA$2002,0)),"")</f>
        <v/>
      </c>
      <c r="D21" s="28">
        <f>IFERROR(INDEX(HISTORICO!$I$3:$I$2002,MATCH(15,HISTORICO!$AA$3:$AA$2002,0)),"")</f>
        <v/>
      </c>
      <c r="E21" s="28">
        <f>IFERROR(INDEX(HISTORICO!$G$3:$G$2002,MATCH(15,HISTORICO!$AA$3:$AA$2002,0)),"")</f>
        <v/>
      </c>
      <c r="F21" s="28">
        <f>IFERROR(INDEX(HISTORICO!$K$3:$K$2002,MATCH(15,HISTORICO!$AA$3:$AA$2002,0)),"")</f>
        <v/>
      </c>
      <c r="G21" s="28">
        <f>IFERROR(INDEX(HISTORICO!$L$3:$L$2002,MATCH(15,HISTORICO!$AA$3:$AA$2002,0)),"")</f>
        <v/>
      </c>
      <c r="H21" s="28">
        <f>IFERROR(INDEX(HISTORICO!$M$3:$M$2002,MATCH(15,HISTORICO!$AA$3:$AA$2002,0)),"")</f>
        <v/>
      </c>
      <c r="I21" s="29">
        <f>IFERROR(INDEX(HISTORICO!$T$3:$T$2002,MATCH(15,HISTORICO!$AA$3:$AA$2002,0)),"")</f>
        <v/>
      </c>
    </row>
    <row r="22">
      <c r="B22" s="28">
        <f>IFERROR(INDEX(HISTORICO!$A$3:$A$2002,MATCH(16,HISTORICO!$AA$3:$AA$2002,0)),"")</f>
        <v/>
      </c>
      <c r="C22" s="28">
        <f>IFERROR(INDEX(HISTORICO!$C$3:$C$2002,MATCH(16,HISTORICO!$AA$3:$AA$2002,0)),"")</f>
        <v/>
      </c>
      <c r="D22" s="28">
        <f>IFERROR(INDEX(HISTORICO!$I$3:$I$2002,MATCH(16,HISTORICO!$AA$3:$AA$2002,0)),"")</f>
        <v/>
      </c>
      <c r="E22" s="28">
        <f>IFERROR(INDEX(HISTORICO!$G$3:$G$2002,MATCH(16,HISTORICO!$AA$3:$AA$2002,0)),"")</f>
        <v/>
      </c>
      <c r="F22" s="28">
        <f>IFERROR(INDEX(HISTORICO!$K$3:$K$2002,MATCH(16,HISTORICO!$AA$3:$AA$2002,0)),"")</f>
        <v/>
      </c>
      <c r="G22" s="28">
        <f>IFERROR(INDEX(HISTORICO!$L$3:$L$2002,MATCH(16,HISTORICO!$AA$3:$AA$2002,0)),"")</f>
        <v/>
      </c>
      <c r="H22" s="28">
        <f>IFERROR(INDEX(HISTORICO!$M$3:$M$2002,MATCH(16,HISTORICO!$AA$3:$AA$2002,0)),"")</f>
        <v/>
      </c>
      <c r="I22" s="29">
        <f>IFERROR(INDEX(HISTORICO!$T$3:$T$2002,MATCH(16,HISTORICO!$AA$3:$AA$2002,0)),"")</f>
        <v/>
      </c>
    </row>
    <row r="23">
      <c r="B23" s="28">
        <f>IFERROR(INDEX(HISTORICO!$A$3:$A$2002,MATCH(17,HISTORICO!$AA$3:$AA$2002,0)),"")</f>
        <v/>
      </c>
      <c r="C23" s="28">
        <f>IFERROR(INDEX(HISTORICO!$C$3:$C$2002,MATCH(17,HISTORICO!$AA$3:$AA$2002,0)),"")</f>
        <v/>
      </c>
      <c r="D23" s="28">
        <f>IFERROR(INDEX(HISTORICO!$I$3:$I$2002,MATCH(17,HISTORICO!$AA$3:$AA$2002,0)),"")</f>
        <v/>
      </c>
      <c r="E23" s="28">
        <f>IFERROR(INDEX(HISTORICO!$G$3:$G$2002,MATCH(17,HISTORICO!$AA$3:$AA$2002,0)),"")</f>
        <v/>
      </c>
      <c r="F23" s="28">
        <f>IFERROR(INDEX(HISTORICO!$K$3:$K$2002,MATCH(17,HISTORICO!$AA$3:$AA$2002,0)),"")</f>
        <v/>
      </c>
      <c r="G23" s="28">
        <f>IFERROR(INDEX(HISTORICO!$L$3:$L$2002,MATCH(17,HISTORICO!$AA$3:$AA$2002,0)),"")</f>
        <v/>
      </c>
      <c r="H23" s="28">
        <f>IFERROR(INDEX(HISTORICO!$M$3:$M$2002,MATCH(17,HISTORICO!$AA$3:$AA$2002,0)),"")</f>
        <v/>
      </c>
      <c r="I23" s="29">
        <f>IFERROR(INDEX(HISTORICO!$T$3:$T$2002,MATCH(17,HISTORICO!$AA$3:$AA$2002,0)),"")</f>
        <v/>
      </c>
    </row>
    <row r="24">
      <c r="B24" s="28">
        <f>IFERROR(INDEX(HISTORICO!$A$3:$A$2002,MATCH(18,HISTORICO!$AA$3:$AA$2002,0)),"")</f>
        <v/>
      </c>
      <c r="C24" s="28">
        <f>IFERROR(INDEX(HISTORICO!$C$3:$C$2002,MATCH(18,HISTORICO!$AA$3:$AA$2002,0)),"")</f>
        <v/>
      </c>
      <c r="D24" s="28">
        <f>IFERROR(INDEX(HISTORICO!$I$3:$I$2002,MATCH(18,HISTORICO!$AA$3:$AA$2002,0)),"")</f>
        <v/>
      </c>
      <c r="E24" s="28">
        <f>IFERROR(INDEX(HISTORICO!$G$3:$G$2002,MATCH(18,HISTORICO!$AA$3:$AA$2002,0)),"")</f>
        <v/>
      </c>
      <c r="F24" s="28">
        <f>IFERROR(INDEX(HISTORICO!$K$3:$K$2002,MATCH(18,HISTORICO!$AA$3:$AA$2002,0)),"")</f>
        <v/>
      </c>
      <c r="G24" s="28">
        <f>IFERROR(INDEX(HISTORICO!$L$3:$L$2002,MATCH(18,HISTORICO!$AA$3:$AA$2002,0)),"")</f>
        <v/>
      </c>
      <c r="H24" s="28">
        <f>IFERROR(INDEX(HISTORICO!$M$3:$M$2002,MATCH(18,HISTORICO!$AA$3:$AA$2002,0)),"")</f>
        <v/>
      </c>
      <c r="I24" s="29">
        <f>IFERROR(INDEX(HISTORICO!$T$3:$T$2002,MATCH(18,HISTORICO!$AA$3:$AA$2002,0)),"")</f>
        <v/>
      </c>
    </row>
    <row r="25">
      <c r="B25" s="28">
        <f>IFERROR(INDEX(HISTORICO!$A$3:$A$2002,MATCH(19,HISTORICO!$AA$3:$AA$2002,0)),"")</f>
        <v/>
      </c>
      <c r="C25" s="28">
        <f>IFERROR(INDEX(HISTORICO!$C$3:$C$2002,MATCH(19,HISTORICO!$AA$3:$AA$2002,0)),"")</f>
        <v/>
      </c>
      <c r="D25" s="28">
        <f>IFERROR(INDEX(HISTORICO!$I$3:$I$2002,MATCH(19,HISTORICO!$AA$3:$AA$2002,0)),"")</f>
        <v/>
      </c>
      <c r="E25" s="28">
        <f>IFERROR(INDEX(HISTORICO!$G$3:$G$2002,MATCH(19,HISTORICO!$AA$3:$AA$2002,0)),"")</f>
        <v/>
      </c>
      <c r="F25" s="28">
        <f>IFERROR(INDEX(HISTORICO!$K$3:$K$2002,MATCH(19,HISTORICO!$AA$3:$AA$2002,0)),"")</f>
        <v/>
      </c>
      <c r="G25" s="28">
        <f>IFERROR(INDEX(HISTORICO!$L$3:$L$2002,MATCH(19,HISTORICO!$AA$3:$AA$2002,0)),"")</f>
        <v/>
      </c>
      <c r="H25" s="28">
        <f>IFERROR(INDEX(HISTORICO!$M$3:$M$2002,MATCH(19,HISTORICO!$AA$3:$AA$2002,0)),"")</f>
        <v/>
      </c>
      <c r="I25" s="29">
        <f>IFERROR(INDEX(HISTORICO!$T$3:$T$2002,MATCH(19,HISTORICO!$AA$3:$AA$2002,0)),"")</f>
        <v/>
      </c>
    </row>
    <row r="26">
      <c r="B26" s="28">
        <f>IFERROR(INDEX(HISTORICO!$A$3:$A$2002,MATCH(20,HISTORICO!$AA$3:$AA$2002,0)),"")</f>
        <v/>
      </c>
      <c r="C26" s="28">
        <f>IFERROR(INDEX(HISTORICO!$C$3:$C$2002,MATCH(20,HISTORICO!$AA$3:$AA$2002,0)),"")</f>
        <v/>
      </c>
      <c r="D26" s="28">
        <f>IFERROR(INDEX(HISTORICO!$I$3:$I$2002,MATCH(20,HISTORICO!$AA$3:$AA$2002,0)),"")</f>
        <v/>
      </c>
      <c r="E26" s="28">
        <f>IFERROR(INDEX(HISTORICO!$G$3:$G$2002,MATCH(20,HISTORICO!$AA$3:$AA$2002,0)),"")</f>
        <v/>
      </c>
      <c r="F26" s="28">
        <f>IFERROR(INDEX(HISTORICO!$K$3:$K$2002,MATCH(20,HISTORICO!$AA$3:$AA$2002,0)),"")</f>
        <v/>
      </c>
      <c r="G26" s="28">
        <f>IFERROR(INDEX(HISTORICO!$L$3:$L$2002,MATCH(20,HISTORICO!$AA$3:$AA$2002,0)),"")</f>
        <v/>
      </c>
      <c r="H26" s="28">
        <f>IFERROR(INDEX(HISTORICO!$M$3:$M$2002,MATCH(20,HISTORICO!$AA$3:$AA$2002,0)),"")</f>
        <v/>
      </c>
      <c r="I26" s="29">
        <f>IFERROR(INDEX(HISTORICO!$T$3:$T$2002,MATCH(20,HISTORICO!$AA$3:$AA$2002,0)),"")</f>
        <v/>
      </c>
    </row>
    <row r="27">
      <c r="B27" s="28">
        <f>IFERROR(INDEX(HISTORICO!$A$3:$A$2002,MATCH(21,HISTORICO!$AA$3:$AA$2002,0)),"")</f>
        <v/>
      </c>
      <c r="C27" s="28">
        <f>IFERROR(INDEX(HISTORICO!$C$3:$C$2002,MATCH(21,HISTORICO!$AA$3:$AA$2002,0)),"")</f>
        <v/>
      </c>
      <c r="D27" s="28">
        <f>IFERROR(INDEX(HISTORICO!$I$3:$I$2002,MATCH(21,HISTORICO!$AA$3:$AA$2002,0)),"")</f>
        <v/>
      </c>
      <c r="E27" s="28">
        <f>IFERROR(INDEX(HISTORICO!$G$3:$G$2002,MATCH(21,HISTORICO!$AA$3:$AA$2002,0)),"")</f>
        <v/>
      </c>
      <c r="F27" s="28">
        <f>IFERROR(INDEX(HISTORICO!$K$3:$K$2002,MATCH(21,HISTORICO!$AA$3:$AA$2002,0)),"")</f>
        <v/>
      </c>
      <c r="G27" s="28">
        <f>IFERROR(INDEX(HISTORICO!$L$3:$L$2002,MATCH(21,HISTORICO!$AA$3:$AA$2002,0)),"")</f>
        <v/>
      </c>
      <c r="H27" s="28">
        <f>IFERROR(INDEX(HISTORICO!$M$3:$M$2002,MATCH(21,HISTORICO!$AA$3:$AA$2002,0)),"")</f>
        <v/>
      </c>
      <c r="I27" s="29">
        <f>IFERROR(INDEX(HISTORICO!$T$3:$T$2002,MATCH(21,HISTORICO!$AA$3:$AA$2002,0)),"")</f>
        <v/>
      </c>
    </row>
    <row r="28">
      <c r="B28" s="28">
        <f>IFERROR(INDEX(HISTORICO!$A$3:$A$2002,MATCH(22,HISTORICO!$AA$3:$AA$2002,0)),"")</f>
        <v/>
      </c>
      <c r="C28" s="28">
        <f>IFERROR(INDEX(HISTORICO!$C$3:$C$2002,MATCH(22,HISTORICO!$AA$3:$AA$2002,0)),"")</f>
        <v/>
      </c>
      <c r="D28" s="28">
        <f>IFERROR(INDEX(HISTORICO!$I$3:$I$2002,MATCH(22,HISTORICO!$AA$3:$AA$2002,0)),"")</f>
        <v/>
      </c>
      <c r="E28" s="28">
        <f>IFERROR(INDEX(HISTORICO!$G$3:$G$2002,MATCH(22,HISTORICO!$AA$3:$AA$2002,0)),"")</f>
        <v/>
      </c>
      <c r="F28" s="28">
        <f>IFERROR(INDEX(HISTORICO!$K$3:$K$2002,MATCH(22,HISTORICO!$AA$3:$AA$2002,0)),"")</f>
        <v/>
      </c>
      <c r="G28" s="28">
        <f>IFERROR(INDEX(HISTORICO!$L$3:$L$2002,MATCH(22,HISTORICO!$AA$3:$AA$2002,0)),"")</f>
        <v/>
      </c>
      <c r="H28" s="28">
        <f>IFERROR(INDEX(HISTORICO!$M$3:$M$2002,MATCH(22,HISTORICO!$AA$3:$AA$2002,0)),"")</f>
        <v/>
      </c>
      <c r="I28" s="29">
        <f>IFERROR(INDEX(HISTORICO!$T$3:$T$2002,MATCH(22,HISTORICO!$AA$3:$AA$2002,0)),"")</f>
        <v/>
      </c>
    </row>
    <row r="29">
      <c r="B29" s="28">
        <f>IFERROR(INDEX(HISTORICO!$A$3:$A$2002,MATCH(23,HISTORICO!$AA$3:$AA$2002,0)),"")</f>
        <v/>
      </c>
      <c r="C29" s="28">
        <f>IFERROR(INDEX(HISTORICO!$C$3:$C$2002,MATCH(23,HISTORICO!$AA$3:$AA$2002,0)),"")</f>
        <v/>
      </c>
      <c r="D29" s="28">
        <f>IFERROR(INDEX(HISTORICO!$I$3:$I$2002,MATCH(23,HISTORICO!$AA$3:$AA$2002,0)),"")</f>
        <v/>
      </c>
      <c r="E29" s="28">
        <f>IFERROR(INDEX(HISTORICO!$G$3:$G$2002,MATCH(23,HISTORICO!$AA$3:$AA$2002,0)),"")</f>
        <v/>
      </c>
      <c r="F29" s="28">
        <f>IFERROR(INDEX(HISTORICO!$K$3:$K$2002,MATCH(23,HISTORICO!$AA$3:$AA$2002,0)),"")</f>
        <v/>
      </c>
      <c r="G29" s="28">
        <f>IFERROR(INDEX(HISTORICO!$L$3:$L$2002,MATCH(23,HISTORICO!$AA$3:$AA$2002,0)),"")</f>
        <v/>
      </c>
      <c r="H29" s="28">
        <f>IFERROR(INDEX(HISTORICO!$M$3:$M$2002,MATCH(23,HISTORICO!$AA$3:$AA$2002,0)),"")</f>
        <v/>
      </c>
      <c r="I29" s="29">
        <f>IFERROR(INDEX(HISTORICO!$T$3:$T$2002,MATCH(23,HISTORICO!$AA$3:$AA$2002,0)),"")</f>
        <v/>
      </c>
    </row>
    <row r="30">
      <c r="B30" s="28">
        <f>IFERROR(INDEX(HISTORICO!$A$3:$A$2002,MATCH(24,HISTORICO!$AA$3:$AA$2002,0)),"")</f>
        <v/>
      </c>
      <c r="C30" s="28">
        <f>IFERROR(INDEX(HISTORICO!$C$3:$C$2002,MATCH(24,HISTORICO!$AA$3:$AA$2002,0)),"")</f>
        <v/>
      </c>
      <c r="D30" s="28">
        <f>IFERROR(INDEX(HISTORICO!$I$3:$I$2002,MATCH(24,HISTORICO!$AA$3:$AA$2002,0)),"")</f>
        <v/>
      </c>
      <c r="E30" s="28">
        <f>IFERROR(INDEX(HISTORICO!$G$3:$G$2002,MATCH(24,HISTORICO!$AA$3:$AA$2002,0)),"")</f>
        <v/>
      </c>
      <c r="F30" s="28">
        <f>IFERROR(INDEX(HISTORICO!$K$3:$K$2002,MATCH(24,HISTORICO!$AA$3:$AA$2002,0)),"")</f>
        <v/>
      </c>
      <c r="G30" s="28">
        <f>IFERROR(INDEX(HISTORICO!$L$3:$L$2002,MATCH(24,HISTORICO!$AA$3:$AA$2002,0)),"")</f>
        <v/>
      </c>
      <c r="H30" s="28">
        <f>IFERROR(INDEX(HISTORICO!$M$3:$M$2002,MATCH(24,HISTORICO!$AA$3:$AA$2002,0)),"")</f>
        <v/>
      </c>
      <c r="I30" s="29">
        <f>IFERROR(INDEX(HISTORICO!$T$3:$T$2002,MATCH(24,HISTORICO!$AA$3:$AA$2002,0)),"")</f>
        <v/>
      </c>
    </row>
    <row r="31">
      <c r="B31" s="28">
        <f>IFERROR(INDEX(HISTORICO!$A$3:$A$2002,MATCH(25,HISTORICO!$AA$3:$AA$2002,0)),"")</f>
        <v/>
      </c>
      <c r="C31" s="28">
        <f>IFERROR(INDEX(HISTORICO!$C$3:$C$2002,MATCH(25,HISTORICO!$AA$3:$AA$2002,0)),"")</f>
        <v/>
      </c>
      <c r="D31" s="28">
        <f>IFERROR(INDEX(HISTORICO!$I$3:$I$2002,MATCH(25,HISTORICO!$AA$3:$AA$2002,0)),"")</f>
        <v/>
      </c>
      <c r="E31" s="28">
        <f>IFERROR(INDEX(HISTORICO!$G$3:$G$2002,MATCH(25,HISTORICO!$AA$3:$AA$2002,0)),"")</f>
        <v/>
      </c>
      <c r="F31" s="28">
        <f>IFERROR(INDEX(HISTORICO!$K$3:$K$2002,MATCH(25,HISTORICO!$AA$3:$AA$2002,0)),"")</f>
        <v/>
      </c>
      <c r="G31" s="28">
        <f>IFERROR(INDEX(HISTORICO!$L$3:$L$2002,MATCH(25,HISTORICO!$AA$3:$AA$2002,0)),"")</f>
        <v/>
      </c>
      <c r="H31" s="28">
        <f>IFERROR(INDEX(HISTORICO!$M$3:$M$2002,MATCH(25,HISTORICO!$AA$3:$AA$2002,0)),"")</f>
        <v/>
      </c>
      <c r="I31" s="29">
        <f>IFERROR(INDEX(HISTORICO!$T$3:$T$2002,MATCH(25,HISTORICO!$AA$3:$AA$2002,0)),"")</f>
        <v/>
      </c>
    </row>
    <row r="32">
      <c r="B32" s="28">
        <f>IFERROR(INDEX(HISTORICO!$A$3:$A$2002,MATCH(26,HISTORICO!$AA$3:$AA$2002,0)),"")</f>
        <v/>
      </c>
      <c r="C32" s="28">
        <f>IFERROR(INDEX(HISTORICO!$C$3:$C$2002,MATCH(26,HISTORICO!$AA$3:$AA$2002,0)),"")</f>
        <v/>
      </c>
      <c r="D32" s="28">
        <f>IFERROR(INDEX(HISTORICO!$I$3:$I$2002,MATCH(26,HISTORICO!$AA$3:$AA$2002,0)),"")</f>
        <v/>
      </c>
      <c r="E32" s="28">
        <f>IFERROR(INDEX(HISTORICO!$G$3:$G$2002,MATCH(26,HISTORICO!$AA$3:$AA$2002,0)),"")</f>
        <v/>
      </c>
      <c r="F32" s="28">
        <f>IFERROR(INDEX(HISTORICO!$K$3:$K$2002,MATCH(26,HISTORICO!$AA$3:$AA$2002,0)),"")</f>
        <v/>
      </c>
      <c r="G32" s="28">
        <f>IFERROR(INDEX(HISTORICO!$L$3:$L$2002,MATCH(26,HISTORICO!$AA$3:$AA$2002,0)),"")</f>
        <v/>
      </c>
      <c r="H32" s="28">
        <f>IFERROR(INDEX(HISTORICO!$M$3:$M$2002,MATCH(26,HISTORICO!$AA$3:$AA$2002,0)),"")</f>
        <v/>
      </c>
      <c r="I32" s="29">
        <f>IFERROR(INDEX(HISTORICO!$T$3:$T$2002,MATCH(26,HISTORICO!$AA$3:$AA$2002,0)),"")</f>
        <v/>
      </c>
    </row>
    <row r="33">
      <c r="B33" s="28">
        <f>IFERROR(INDEX(HISTORICO!$A$3:$A$2002,MATCH(27,HISTORICO!$AA$3:$AA$2002,0)),"")</f>
        <v/>
      </c>
      <c r="C33" s="28">
        <f>IFERROR(INDEX(HISTORICO!$C$3:$C$2002,MATCH(27,HISTORICO!$AA$3:$AA$2002,0)),"")</f>
        <v/>
      </c>
      <c r="D33" s="28">
        <f>IFERROR(INDEX(HISTORICO!$I$3:$I$2002,MATCH(27,HISTORICO!$AA$3:$AA$2002,0)),"")</f>
        <v/>
      </c>
      <c r="E33" s="28">
        <f>IFERROR(INDEX(HISTORICO!$G$3:$G$2002,MATCH(27,HISTORICO!$AA$3:$AA$2002,0)),"")</f>
        <v/>
      </c>
      <c r="F33" s="28">
        <f>IFERROR(INDEX(HISTORICO!$K$3:$K$2002,MATCH(27,HISTORICO!$AA$3:$AA$2002,0)),"")</f>
        <v/>
      </c>
      <c r="G33" s="28">
        <f>IFERROR(INDEX(HISTORICO!$L$3:$L$2002,MATCH(27,HISTORICO!$AA$3:$AA$2002,0)),"")</f>
        <v/>
      </c>
      <c r="H33" s="28">
        <f>IFERROR(INDEX(HISTORICO!$M$3:$M$2002,MATCH(27,HISTORICO!$AA$3:$AA$2002,0)),"")</f>
        <v/>
      </c>
      <c r="I33" s="29">
        <f>IFERROR(INDEX(HISTORICO!$T$3:$T$2002,MATCH(27,HISTORICO!$AA$3:$AA$2002,0)),"")</f>
        <v/>
      </c>
    </row>
    <row r="34">
      <c r="B34" s="28">
        <f>IFERROR(INDEX(HISTORICO!$A$3:$A$2002,MATCH(28,HISTORICO!$AA$3:$AA$2002,0)),"")</f>
        <v/>
      </c>
      <c r="C34" s="28">
        <f>IFERROR(INDEX(HISTORICO!$C$3:$C$2002,MATCH(28,HISTORICO!$AA$3:$AA$2002,0)),"")</f>
        <v/>
      </c>
      <c r="D34" s="28">
        <f>IFERROR(INDEX(HISTORICO!$I$3:$I$2002,MATCH(28,HISTORICO!$AA$3:$AA$2002,0)),"")</f>
        <v/>
      </c>
      <c r="E34" s="28">
        <f>IFERROR(INDEX(HISTORICO!$G$3:$G$2002,MATCH(28,HISTORICO!$AA$3:$AA$2002,0)),"")</f>
        <v/>
      </c>
      <c r="F34" s="28">
        <f>IFERROR(INDEX(HISTORICO!$K$3:$K$2002,MATCH(28,HISTORICO!$AA$3:$AA$2002,0)),"")</f>
        <v/>
      </c>
      <c r="G34" s="28">
        <f>IFERROR(INDEX(HISTORICO!$L$3:$L$2002,MATCH(28,HISTORICO!$AA$3:$AA$2002,0)),"")</f>
        <v/>
      </c>
      <c r="H34" s="28">
        <f>IFERROR(INDEX(HISTORICO!$M$3:$M$2002,MATCH(28,HISTORICO!$AA$3:$AA$2002,0)),"")</f>
        <v/>
      </c>
      <c r="I34" s="29">
        <f>IFERROR(INDEX(HISTORICO!$T$3:$T$2002,MATCH(28,HISTORICO!$AA$3:$AA$2002,0)),"")</f>
        <v/>
      </c>
    </row>
    <row r="35">
      <c r="B35" s="28">
        <f>IFERROR(INDEX(HISTORICO!$A$3:$A$2002,MATCH(29,HISTORICO!$AA$3:$AA$2002,0)),"")</f>
        <v/>
      </c>
      <c r="C35" s="28">
        <f>IFERROR(INDEX(HISTORICO!$C$3:$C$2002,MATCH(29,HISTORICO!$AA$3:$AA$2002,0)),"")</f>
        <v/>
      </c>
      <c r="D35" s="28">
        <f>IFERROR(INDEX(HISTORICO!$I$3:$I$2002,MATCH(29,HISTORICO!$AA$3:$AA$2002,0)),"")</f>
        <v/>
      </c>
      <c r="E35" s="28">
        <f>IFERROR(INDEX(HISTORICO!$G$3:$G$2002,MATCH(29,HISTORICO!$AA$3:$AA$2002,0)),"")</f>
        <v/>
      </c>
      <c r="F35" s="28">
        <f>IFERROR(INDEX(HISTORICO!$K$3:$K$2002,MATCH(29,HISTORICO!$AA$3:$AA$2002,0)),"")</f>
        <v/>
      </c>
      <c r="G35" s="28">
        <f>IFERROR(INDEX(HISTORICO!$L$3:$L$2002,MATCH(29,HISTORICO!$AA$3:$AA$2002,0)),"")</f>
        <v/>
      </c>
      <c r="H35" s="28">
        <f>IFERROR(INDEX(HISTORICO!$M$3:$M$2002,MATCH(29,HISTORICO!$AA$3:$AA$2002,0)),"")</f>
        <v/>
      </c>
      <c r="I35" s="29">
        <f>IFERROR(INDEX(HISTORICO!$T$3:$T$2002,MATCH(29,HISTORICO!$AA$3:$AA$2002,0)),"")</f>
        <v/>
      </c>
    </row>
    <row r="36">
      <c r="B36" s="28">
        <f>IFERROR(INDEX(HISTORICO!$A$3:$A$2002,MATCH(30,HISTORICO!$AA$3:$AA$2002,0)),"")</f>
        <v/>
      </c>
      <c r="C36" s="28">
        <f>IFERROR(INDEX(HISTORICO!$C$3:$C$2002,MATCH(30,HISTORICO!$AA$3:$AA$2002,0)),"")</f>
        <v/>
      </c>
      <c r="D36" s="28">
        <f>IFERROR(INDEX(HISTORICO!$I$3:$I$2002,MATCH(30,HISTORICO!$AA$3:$AA$2002,0)),"")</f>
        <v/>
      </c>
      <c r="E36" s="28">
        <f>IFERROR(INDEX(HISTORICO!$G$3:$G$2002,MATCH(30,HISTORICO!$AA$3:$AA$2002,0)),"")</f>
        <v/>
      </c>
      <c r="F36" s="28">
        <f>IFERROR(INDEX(HISTORICO!$K$3:$K$2002,MATCH(30,HISTORICO!$AA$3:$AA$2002,0)),"")</f>
        <v/>
      </c>
      <c r="G36" s="28">
        <f>IFERROR(INDEX(HISTORICO!$L$3:$L$2002,MATCH(30,HISTORICO!$AA$3:$AA$2002,0)),"")</f>
        <v/>
      </c>
      <c r="H36" s="28">
        <f>IFERROR(INDEX(HISTORICO!$M$3:$M$2002,MATCH(30,HISTORICO!$AA$3:$AA$2002,0)),"")</f>
        <v/>
      </c>
      <c r="I36" s="29">
        <f>IFERROR(INDEX(HISTORICO!$T$3:$T$2002,MATCH(30,HISTORICO!$AA$3:$AA$2002,0)),"")</f>
        <v/>
      </c>
    </row>
    <row r="37">
      <c r="B37" s="28">
        <f>IFERROR(INDEX(HISTORICO!$A$3:$A$2002,MATCH(31,HISTORICO!$AA$3:$AA$2002,0)),"")</f>
        <v/>
      </c>
      <c r="C37" s="28">
        <f>IFERROR(INDEX(HISTORICO!$C$3:$C$2002,MATCH(31,HISTORICO!$AA$3:$AA$2002,0)),"")</f>
        <v/>
      </c>
      <c r="D37" s="28">
        <f>IFERROR(INDEX(HISTORICO!$I$3:$I$2002,MATCH(31,HISTORICO!$AA$3:$AA$2002,0)),"")</f>
        <v/>
      </c>
      <c r="E37" s="28">
        <f>IFERROR(INDEX(HISTORICO!$G$3:$G$2002,MATCH(31,HISTORICO!$AA$3:$AA$2002,0)),"")</f>
        <v/>
      </c>
      <c r="F37" s="28">
        <f>IFERROR(INDEX(HISTORICO!$K$3:$K$2002,MATCH(31,HISTORICO!$AA$3:$AA$2002,0)),"")</f>
        <v/>
      </c>
      <c r="G37" s="28">
        <f>IFERROR(INDEX(HISTORICO!$L$3:$L$2002,MATCH(31,HISTORICO!$AA$3:$AA$2002,0)),"")</f>
        <v/>
      </c>
      <c r="H37" s="28">
        <f>IFERROR(INDEX(HISTORICO!$M$3:$M$2002,MATCH(31,HISTORICO!$AA$3:$AA$2002,0)),"")</f>
        <v/>
      </c>
      <c r="I37" s="29">
        <f>IFERROR(INDEX(HISTORICO!$T$3:$T$2002,MATCH(31,HISTORICO!$AA$3:$AA$2002,0)),"")</f>
        <v/>
      </c>
    </row>
    <row r="38">
      <c r="B38" s="28">
        <f>IFERROR(INDEX(HISTORICO!$A$3:$A$2002,MATCH(32,HISTORICO!$AA$3:$AA$2002,0)),"")</f>
        <v/>
      </c>
      <c r="C38" s="28">
        <f>IFERROR(INDEX(HISTORICO!$C$3:$C$2002,MATCH(32,HISTORICO!$AA$3:$AA$2002,0)),"")</f>
        <v/>
      </c>
      <c r="D38" s="28">
        <f>IFERROR(INDEX(HISTORICO!$I$3:$I$2002,MATCH(32,HISTORICO!$AA$3:$AA$2002,0)),"")</f>
        <v/>
      </c>
      <c r="E38" s="28">
        <f>IFERROR(INDEX(HISTORICO!$G$3:$G$2002,MATCH(32,HISTORICO!$AA$3:$AA$2002,0)),"")</f>
        <v/>
      </c>
      <c r="F38" s="28">
        <f>IFERROR(INDEX(HISTORICO!$K$3:$K$2002,MATCH(32,HISTORICO!$AA$3:$AA$2002,0)),"")</f>
        <v/>
      </c>
      <c r="G38" s="28">
        <f>IFERROR(INDEX(HISTORICO!$L$3:$L$2002,MATCH(32,HISTORICO!$AA$3:$AA$2002,0)),"")</f>
        <v/>
      </c>
      <c r="H38" s="28">
        <f>IFERROR(INDEX(HISTORICO!$M$3:$M$2002,MATCH(32,HISTORICO!$AA$3:$AA$2002,0)),"")</f>
        <v/>
      </c>
      <c r="I38" s="29">
        <f>IFERROR(INDEX(HISTORICO!$T$3:$T$2002,MATCH(32,HISTORICO!$AA$3:$AA$2002,0)),"")</f>
        <v/>
      </c>
    </row>
    <row r="39">
      <c r="B39" s="28">
        <f>IFERROR(INDEX(HISTORICO!$A$3:$A$2002,MATCH(33,HISTORICO!$AA$3:$AA$2002,0)),"")</f>
        <v/>
      </c>
      <c r="C39" s="28">
        <f>IFERROR(INDEX(HISTORICO!$C$3:$C$2002,MATCH(33,HISTORICO!$AA$3:$AA$2002,0)),"")</f>
        <v/>
      </c>
      <c r="D39" s="28">
        <f>IFERROR(INDEX(HISTORICO!$I$3:$I$2002,MATCH(33,HISTORICO!$AA$3:$AA$2002,0)),"")</f>
        <v/>
      </c>
      <c r="E39" s="28">
        <f>IFERROR(INDEX(HISTORICO!$G$3:$G$2002,MATCH(33,HISTORICO!$AA$3:$AA$2002,0)),"")</f>
        <v/>
      </c>
      <c r="F39" s="28">
        <f>IFERROR(INDEX(HISTORICO!$K$3:$K$2002,MATCH(33,HISTORICO!$AA$3:$AA$2002,0)),"")</f>
        <v/>
      </c>
      <c r="G39" s="28">
        <f>IFERROR(INDEX(HISTORICO!$L$3:$L$2002,MATCH(33,HISTORICO!$AA$3:$AA$2002,0)),"")</f>
        <v/>
      </c>
      <c r="H39" s="28">
        <f>IFERROR(INDEX(HISTORICO!$M$3:$M$2002,MATCH(33,HISTORICO!$AA$3:$AA$2002,0)),"")</f>
        <v/>
      </c>
      <c r="I39" s="29">
        <f>IFERROR(INDEX(HISTORICO!$T$3:$T$2002,MATCH(33,HISTORICO!$AA$3:$AA$2002,0)),"")</f>
        <v/>
      </c>
    </row>
    <row r="40">
      <c r="B40" s="28">
        <f>IFERROR(INDEX(HISTORICO!$A$3:$A$2002,MATCH(34,HISTORICO!$AA$3:$AA$2002,0)),"")</f>
        <v/>
      </c>
      <c r="C40" s="28">
        <f>IFERROR(INDEX(HISTORICO!$C$3:$C$2002,MATCH(34,HISTORICO!$AA$3:$AA$2002,0)),"")</f>
        <v/>
      </c>
      <c r="D40" s="28">
        <f>IFERROR(INDEX(HISTORICO!$I$3:$I$2002,MATCH(34,HISTORICO!$AA$3:$AA$2002,0)),"")</f>
        <v/>
      </c>
      <c r="E40" s="28">
        <f>IFERROR(INDEX(HISTORICO!$G$3:$G$2002,MATCH(34,HISTORICO!$AA$3:$AA$2002,0)),"")</f>
        <v/>
      </c>
      <c r="F40" s="28">
        <f>IFERROR(INDEX(HISTORICO!$K$3:$K$2002,MATCH(34,HISTORICO!$AA$3:$AA$2002,0)),"")</f>
        <v/>
      </c>
      <c r="G40" s="28">
        <f>IFERROR(INDEX(HISTORICO!$L$3:$L$2002,MATCH(34,HISTORICO!$AA$3:$AA$2002,0)),"")</f>
        <v/>
      </c>
      <c r="H40" s="28">
        <f>IFERROR(INDEX(HISTORICO!$M$3:$M$2002,MATCH(34,HISTORICO!$AA$3:$AA$2002,0)),"")</f>
        <v/>
      </c>
      <c r="I40" s="29">
        <f>IFERROR(INDEX(HISTORICO!$T$3:$T$2002,MATCH(34,HISTORICO!$AA$3:$AA$2002,0)),"")</f>
        <v/>
      </c>
    </row>
    <row r="41">
      <c r="B41" s="28">
        <f>IFERROR(INDEX(HISTORICO!$A$3:$A$2002,MATCH(35,HISTORICO!$AA$3:$AA$2002,0)),"")</f>
        <v/>
      </c>
      <c r="C41" s="28">
        <f>IFERROR(INDEX(HISTORICO!$C$3:$C$2002,MATCH(35,HISTORICO!$AA$3:$AA$2002,0)),"")</f>
        <v/>
      </c>
      <c r="D41" s="28">
        <f>IFERROR(INDEX(HISTORICO!$I$3:$I$2002,MATCH(35,HISTORICO!$AA$3:$AA$2002,0)),"")</f>
        <v/>
      </c>
      <c r="E41" s="28">
        <f>IFERROR(INDEX(HISTORICO!$G$3:$G$2002,MATCH(35,HISTORICO!$AA$3:$AA$2002,0)),"")</f>
        <v/>
      </c>
      <c r="F41" s="28">
        <f>IFERROR(INDEX(HISTORICO!$K$3:$K$2002,MATCH(35,HISTORICO!$AA$3:$AA$2002,0)),"")</f>
        <v/>
      </c>
      <c r="G41" s="28">
        <f>IFERROR(INDEX(HISTORICO!$L$3:$L$2002,MATCH(35,HISTORICO!$AA$3:$AA$2002,0)),"")</f>
        <v/>
      </c>
      <c r="H41" s="28">
        <f>IFERROR(INDEX(HISTORICO!$M$3:$M$2002,MATCH(35,HISTORICO!$AA$3:$AA$2002,0)),"")</f>
        <v/>
      </c>
      <c r="I41" s="29">
        <f>IFERROR(INDEX(HISTORICO!$T$3:$T$2002,MATCH(35,HISTORICO!$AA$3:$AA$2002,0)),"")</f>
        <v/>
      </c>
    </row>
    <row r="42">
      <c r="B42" s="28">
        <f>IFERROR(INDEX(HISTORICO!$A$3:$A$2002,MATCH(36,HISTORICO!$AA$3:$AA$2002,0)),"")</f>
        <v/>
      </c>
      <c r="C42" s="28">
        <f>IFERROR(INDEX(HISTORICO!$C$3:$C$2002,MATCH(36,HISTORICO!$AA$3:$AA$2002,0)),"")</f>
        <v/>
      </c>
      <c r="D42" s="28">
        <f>IFERROR(INDEX(HISTORICO!$I$3:$I$2002,MATCH(36,HISTORICO!$AA$3:$AA$2002,0)),"")</f>
        <v/>
      </c>
      <c r="E42" s="28">
        <f>IFERROR(INDEX(HISTORICO!$G$3:$G$2002,MATCH(36,HISTORICO!$AA$3:$AA$2002,0)),"")</f>
        <v/>
      </c>
      <c r="F42" s="28">
        <f>IFERROR(INDEX(HISTORICO!$K$3:$K$2002,MATCH(36,HISTORICO!$AA$3:$AA$2002,0)),"")</f>
        <v/>
      </c>
      <c r="G42" s="28">
        <f>IFERROR(INDEX(HISTORICO!$L$3:$L$2002,MATCH(36,HISTORICO!$AA$3:$AA$2002,0)),"")</f>
        <v/>
      </c>
      <c r="H42" s="28">
        <f>IFERROR(INDEX(HISTORICO!$M$3:$M$2002,MATCH(36,HISTORICO!$AA$3:$AA$2002,0)),"")</f>
        <v/>
      </c>
      <c r="I42" s="29">
        <f>IFERROR(INDEX(HISTORICO!$T$3:$T$2002,MATCH(36,HISTORICO!$AA$3:$AA$2002,0)),"")</f>
        <v/>
      </c>
    </row>
    <row r="43">
      <c r="B43" s="28">
        <f>IFERROR(INDEX(HISTORICO!$A$3:$A$2002,MATCH(37,HISTORICO!$AA$3:$AA$2002,0)),"")</f>
        <v/>
      </c>
      <c r="C43" s="28">
        <f>IFERROR(INDEX(HISTORICO!$C$3:$C$2002,MATCH(37,HISTORICO!$AA$3:$AA$2002,0)),"")</f>
        <v/>
      </c>
      <c r="D43" s="28">
        <f>IFERROR(INDEX(HISTORICO!$I$3:$I$2002,MATCH(37,HISTORICO!$AA$3:$AA$2002,0)),"")</f>
        <v/>
      </c>
      <c r="E43" s="28">
        <f>IFERROR(INDEX(HISTORICO!$G$3:$G$2002,MATCH(37,HISTORICO!$AA$3:$AA$2002,0)),"")</f>
        <v/>
      </c>
      <c r="F43" s="28">
        <f>IFERROR(INDEX(HISTORICO!$K$3:$K$2002,MATCH(37,HISTORICO!$AA$3:$AA$2002,0)),"")</f>
        <v/>
      </c>
      <c r="G43" s="28">
        <f>IFERROR(INDEX(HISTORICO!$L$3:$L$2002,MATCH(37,HISTORICO!$AA$3:$AA$2002,0)),"")</f>
        <v/>
      </c>
      <c r="H43" s="28">
        <f>IFERROR(INDEX(HISTORICO!$M$3:$M$2002,MATCH(37,HISTORICO!$AA$3:$AA$2002,0)),"")</f>
        <v/>
      </c>
      <c r="I43" s="29">
        <f>IFERROR(INDEX(HISTORICO!$T$3:$T$2002,MATCH(37,HISTORICO!$AA$3:$AA$2002,0)),"")</f>
        <v/>
      </c>
    </row>
    <row r="44">
      <c r="B44" s="28">
        <f>IFERROR(INDEX(HISTORICO!$A$3:$A$2002,MATCH(38,HISTORICO!$AA$3:$AA$2002,0)),"")</f>
        <v/>
      </c>
      <c r="C44" s="28">
        <f>IFERROR(INDEX(HISTORICO!$C$3:$C$2002,MATCH(38,HISTORICO!$AA$3:$AA$2002,0)),"")</f>
        <v/>
      </c>
      <c r="D44" s="28">
        <f>IFERROR(INDEX(HISTORICO!$I$3:$I$2002,MATCH(38,HISTORICO!$AA$3:$AA$2002,0)),"")</f>
        <v/>
      </c>
      <c r="E44" s="28">
        <f>IFERROR(INDEX(HISTORICO!$G$3:$G$2002,MATCH(38,HISTORICO!$AA$3:$AA$2002,0)),"")</f>
        <v/>
      </c>
      <c r="F44" s="28">
        <f>IFERROR(INDEX(HISTORICO!$K$3:$K$2002,MATCH(38,HISTORICO!$AA$3:$AA$2002,0)),"")</f>
        <v/>
      </c>
      <c r="G44" s="28">
        <f>IFERROR(INDEX(HISTORICO!$L$3:$L$2002,MATCH(38,HISTORICO!$AA$3:$AA$2002,0)),"")</f>
        <v/>
      </c>
      <c r="H44" s="28">
        <f>IFERROR(INDEX(HISTORICO!$M$3:$M$2002,MATCH(38,HISTORICO!$AA$3:$AA$2002,0)),"")</f>
        <v/>
      </c>
      <c r="I44" s="29">
        <f>IFERROR(INDEX(HISTORICO!$T$3:$T$2002,MATCH(38,HISTORICO!$AA$3:$AA$2002,0)),"")</f>
        <v/>
      </c>
    </row>
    <row r="45">
      <c r="B45" s="28">
        <f>IFERROR(INDEX(HISTORICO!$A$3:$A$2002,MATCH(39,HISTORICO!$AA$3:$AA$2002,0)),"")</f>
        <v/>
      </c>
      <c r="C45" s="28">
        <f>IFERROR(INDEX(HISTORICO!$C$3:$C$2002,MATCH(39,HISTORICO!$AA$3:$AA$2002,0)),"")</f>
        <v/>
      </c>
      <c r="D45" s="28">
        <f>IFERROR(INDEX(HISTORICO!$I$3:$I$2002,MATCH(39,HISTORICO!$AA$3:$AA$2002,0)),"")</f>
        <v/>
      </c>
      <c r="E45" s="28">
        <f>IFERROR(INDEX(HISTORICO!$G$3:$G$2002,MATCH(39,HISTORICO!$AA$3:$AA$2002,0)),"")</f>
        <v/>
      </c>
      <c r="F45" s="28">
        <f>IFERROR(INDEX(HISTORICO!$K$3:$K$2002,MATCH(39,HISTORICO!$AA$3:$AA$2002,0)),"")</f>
        <v/>
      </c>
      <c r="G45" s="28">
        <f>IFERROR(INDEX(HISTORICO!$L$3:$L$2002,MATCH(39,HISTORICO!$AA$3:$AA$2002,0)),"")</f>
        <v/>
      </c>
      <c r="H45" s="28">
        <f>IFERROR(INDEX(HISTORICO!$M$3:$M$2002,MATCH(39,HISTORICO!$AA$3:$AA$2002,0)),"")</f>
        <v/>
      </c>
      <c r="I45" s="29">
        <f>IFERROR(INDEX(HISTORICO!$T$3:$T$2002,MATCH(39,HISTORICO!$AA$3:$AA$2002,0)),"")</f>
        <v/>
      </c>
    </row>
    <row r="46">
      <c r="B46" s="28">
        <f>IFERROR(INDEX(HISTORICO!$A$3:$A$2002,MATCH(40,HISTORICO!$AA$3:$AA$2002,0)),"")</f>
        <v/>
      </c>
      <c r="C46" s="28">
        <f>IFERROR(INDEX(HISTORICO!$C$3:$C$2002,MATCH(40,HISTORICO!$AA$3:$AA$2002,0)),"")</f>
        <v/>
      </c>
      <c r="D46" s="28">
        <f>IFERROR(INDEX(HISTORICO!$I$3:$I$2002,MATCH(40,HISTORICO!$AA$3:$AA$2002,0)),"")</f>
        <v/>
      </c>
      <c r="E46" s="28">
        <f>IFERROR(INDEX(HISTORICO!$G$3:$G$2002,MATCH(40,HISTORICO!$AA$3:$AA$2002,0)),"")</f>
        <v/>
      </c>
      <c r="F46" s="28">
        <f>IFERROR(INDEX(HISTORICO!$K$3:$K$2002,MATCH(40,HISTORICO!$AA$3:$AA$2002,0)),"")</f>
        <v/>
      </c>
      <c r="G46" s="28">
        <f>IFERROR(INDEX(HISTORICO!$L$3:$L$2002,MATCH(40,HISTORICO!$AA$3:$AA$2002,0)),"")</f>
        <v/>
      </c>
      <c r="H46" s="28">
        <f>IFERROR(INDEX(HISTORICO!$M$3:$M$2002,MATCH(40,HISTORICO!$AA$3:$AA$2002,0)),"")</f>
        <v/>
      </c>
      <c r="I46" s="29">
        <f>IFERROR(INDEX(HISTORICO!$T$3:$T$2002,MATCH(40,HISTORICO!$AA$3:$AA$2002,0)),"")</f>
        <v/>
      </c>
    </row>
    <row r="49">
      <c r="B49" s="25" t="inlineStr">
        <is>
          <t>PESQUISAR POR ITEM</t>
        </is>
      </c>
    </row>
    <row r="50">
      <c r="B50" s="26" t="inlineStr">
        <is>
          <t>Digite o ITEM:</t>
        </is>
      </c>
      <c r="C50" s="27" t="inlineStr"/>
    </row>
    <row r="52">
      <c r="B52" s="26" t="inlineStr">
        <is>
          <t>LINHA:</t>
        </is>
      </c>
      <c r="C52" s="30">
        <f>IFERROR(INDEX(CONFIGURACOES!$G$37:$G$300,MATCH($C$50,CONFIGURACOES!$B$37:$B$300,0)),"")</f>
        <v/>
      </c>
    </row>
    <row r="53">
      <c r="B53" s="26" t="inlineStr">
        <is>
          <t>ATIVIDADE:</t>
        </is>
      </c>
      <c r="C53" s="30">
        <f>IFERROR(INDEX(CONFIGURACOES!$H$37:$H$300,MATCH($C$50,CONFIGURACOES!$B$37:$B$300,0)),"")</f>
        <v/>
      </c>
    </row>
    <row r="54">
      <c r="B54" s="26" t="inlineStr">
        <is>
          <t>UND.:</t>
        </is>
      </c>
      <c r="C54" s="30">
        <f>IFERROR(INDEX(CONFIGURACOES!$I$37:$I$300,MATCH($C$50,CONFIGURACOES!$B$37:$B$300,0)),"")</f>
        <v/>
      </c>
    </row>
    <row r="55">
      <c r="B55" s="26" t="inlineStr">
        <is>
          <t>PRECO UNITARIO:</t>
        </is>
      </c>
      <c r="C55" s="31">
        <f>IFERROR(INDEX(CONFIGURACOES!$J$37:$J$300,MATCH($C$50,CONFIGURACOES!$B$37:$B$300,0)),"")</f>
        <v/>
      </c>
    </row>
    <row r="57">
      <c r="B57" s="32" t="inlineStr">
        <is>
          <t>MEDICOES RELACIONADAS A ESTE ITEM:</t>
        </is>
      </c>
    </row>
    <row r="58">
      <c r="B58" s="18" t="inlineStr">
        <is>
          <t>NOTA</t>
        </is>
      </c>
      <c r="C58" s="18" t="inlineStr">
        <is>
          <t>MEDICAO</t>
        </is>
      </c>
      <c r="D58" s="18" t="inlineStr">
        <is>
          <t>DATA</t>
        </is>
      </c>
      <c r="E58" s="18" t="inlineStr">
        <is>
          <t>DESCRICAO</t>
        </is>
      </c>
      <c r="F58" s="18" t="inlineStr">
        <is>
          <t>QUANTIDADE</t>
        </is>
      </c>
      <c r="G58" s="18" t="inlineStr">
        <is>
          <t>RESULTADO</t>
        </is>
      </c>
      <c r="H58" s="18" t="inlineStr">
        <is>
          <t>VALOR TOTAL</t>
        </is>
      </c>
    </row>
    <row r="59">
      <c r="B59" s="28">
        <f>IFERROR(INDEX(HISTORICO!$A$3:$A$2002,MATCH(1,HISTORICO!$AC$3:$AC$2002,0)),"")</f>
        <v/>
      </c>
      <c r="C59" s="28">
        <f>IFERROR(INDEX(HISTORICO!$C$3:$C$2002,MATCH(1,HISTORICO!$AC$3:$AC$2002,0)),"")</f>
        <v/>
      </c>
      <c r="D59" s="33">
        <f>IFERROR(INDEX(HISTORICO!$U$3:$U$2002,MATCH(1,HISTORICO!$AC$3:$AC$2002,0)),"")</f>
        <v/>
      </c>
      <c r="E59" s="28">
        <f>IFERROR(INDEX(HISTORICO!$L$3:$L$2002,MATCH(1,HISTORICO!$AC$3:$AC$2002,0)),"")</f>
        <v/>
      </c>
      <c r="F59" s="34">
        <f>IFERROR(INDEX(HISTORICO!$N$3:$N$2002,MATCH(1,HISTORICO!$AC$3:$AC$2002,0)),"")</f>
        <v/>
      </c>
      <c r="G59" s="34">
        <f>IFERROR(INDEX(HISTORICO!$R$3:$R$2002,MATCH(1,HISTORICO!$AC$3:$AC$2002,0)),"")</f>
        <v/>
      </c>
      <c r="H59" s="29">
        <f>IFERROR(INDEX(HISTORICO!$T$3:$T$2002,MATCH(1,HISTORICO!$AC$3:$AC$2002,0)),"")</f>
        <v/>
      </c>
    </row>
    <row r="60">
      <c r="B60" s="28">
        <f>IFERROR(INDEX(HISTORICO!$A$3:$A$2002,MATCH(2,HISTORICO!$AC$3:$AC$2002,0)),"")</f>
        <v/>
      </c>
      <c r="C60" s="28">
        <f>IFERROR(INDEX(HISTORICO!$C$3:$C$2002,MATCH(2,HISTORICO!$AC$3:$AC$2002,0)),"")</f>
        <v/>
      </c>
      <c r="D60" s="33">
        <f>IFERROR(INDEX(HISTORICO!$U$3:$U$2002,MATCH(2,HISTORICO!$AC$3:$AC$2002,0)),"")</f>
        <v/>
      </c>
      <c r="E60" s="28">
        <f>IFERROR(INDEX(HISTORICO!$L$3:$L$2002,MATCH(2,HISTORICO!$AC$3:$AC$2002,0)),"")</f>
        <v/>
      </c>
      <c r="F60" s="34">
        <f>IFERROR(INDEX(HISTORICO!$N$3:$N$2002,MATCH(2,HISTORICO!$AC$3:$AC$2002,0)),"")</f>
        <v/>
      </c>
      <c r="G60" s="34">
        <f>IFERROR(INDEX(HISTORICO!$R$3:$R$2002,MATCH(2,HISTORICO!$AC$3:$AC$2002,0)),"")</f>
        <v/>
      </c>
      <c r="H60" s="29">
        <f>IFERROR(INDEX(HISTORICO!$T$3:$T$2002,MATCH(2,HISTORICO!$AC$3:$AC$2002,0)),"")</f>
        <v/>
      </c>
    </row>
    <row r="61">
      <c r="B61" s="28">
        <f>IFERROR(INDEX(HISTORICO!$A$3:$A$2002,MATCH(3,HISTORICO!$AC$3:$AC$2002,0)),"")</f>
        <v/>
      </c>
      <c r="C61" s="28">
        <f>IFERROR(INDEX(HISTORICO!$C$3:$C$2002,MATCH(3,HISTORICO!$AC$3:$AC$2002,0)),"")</f>
        <v/>
      </c>
      <c r="D61" s="33">
        <f>IFERROR(INDEX(HISTORICO!$U$3:$U$2002,MATCH(3,HISTORICO!$AC$3:$AC$2002,0)),"")</f>
        <v/>
      </c>
      <c r="E61" s="28">
        <f>IFERROR(INDEX(HISTORICO!$L$3:$L$2002,MATCH(3,HISTORICO!$AC$3:$AC$2002,0)),"")</f>
        <v/>
      </c>
      <c r="F61" s="34">
        <f>IFERROR(INDEX(HISTORICO!$N$3:$N$2002,MATCH(3,HISTORICO!$AC$3:$AC$2002,0)),"")</f>
        <v/>
      </c>
      <c r="G61" s="34">
        <f>IFERROR(INDEX(HISTORICO!$R$3:$R$2002,MATCH(3,HISTORICO!$AC$3:$AC$2002,0)),"")</f>
        <v/>
      </c>
      <c r="H61" s="29">
        <f>IFERROR(INDEX(HISTORICO!$T$3:$T$2002,MATCH(3,HISTORICO!$AC$3:$AC$2002,0)),"")</f>
        <v/>
      </c>
    </row>
    <row r="62">
      <c r="B62" s="28">
        <f>IFERROR(INDEX(HISTORICO!$A$3:$A$2002,MATCH(4,HISTORICO!$AC$3:$AC$2002,0)),"")</f>
        <v/>
      </c>
      <c r="C62" s="28">
        <f>IFERROR(INDEX(HISTORICO!$C$3:$C$2002,MATCH(4,HISTORICO!$AC$3:$AC$2002,0)),"")</f>
        <v/>
      </c>
      <c r="D62" s="33">
        <f>IFERROR(INDEX(HISTORICO!$U$3:$U$2002,MATCH(4,HISTORICO!$AC$3:$AC$2002,0)),"")</f>
        <v/>
      </c>
      <c r="E62" s="28">
        <f>IFERROR(INDEX(HISTORICO!$L$3:$L$2002,MATCH(4,HISTORICO!$AC$3:$AC$2002,0)),"")</f>
        <v/>
      </c>
      <c r="F62" s="34">
        <f>IFERROR(INDEX(HISTORICO!$N$3:$N$2002,MATCH(4,HISTORICO!$AC$3:$AC$2002,0)),"")</f>
        <v/>
      </c>
      <c r="G62" s="34">
        <f>IFERROR(INDEX(HISTORICO!$R$3:$R$2002,MATCH(4,HISTORICO!$AC$3:$AC$2002,0)),"")</f>
        <v/>
      </c>
      <c r="H62" s="29">
        <f>IFERROR(INDEX(HISTORICO!$T$3:$T$2002,MATCH(4,HISTORICO!$AC$3:$AC$2002,0)),"")</f>
        <v/>
      </c>
    </row>
    <row r="63">
      <c r="B63" s="28">
        <f>IFERROR(INDEX(HISTORICO!$A$3:$A$2002,MATCH(5,HISTORICO!$AC$3:$AC$2002,0)),"")</f>
        <v/>
      </c>
      <c r="C63" s="28">
        <f>IFERROR(INDEX(HISTORICO!$C$3:$C$2002,MATCH(5,HISTORICO!$AC$3:$AC$2002,0)),"")</f>
        <v/>
      </c>
      <c r="D63" s="33">
        <f>IFERROR(INDEX(HISTORICO!$U$3:$U$2002,MATCH(5,HISTORICO!$AC$3:$AC$2002,0)),"")</f>
        <v/>
      </c>
      <c r="E63" s="28">
        <f>IFERROR(INDEX(HISTORICO!$L$3:$L$2002,MATCH(5,HISTORICO!$AC$3:$AC$2002,0)),"")</f>
        <v/>
      </c>
      <c r="F63" s="34">
        <f>IFERROR(INDEX(HISTORICO!$N$3:$N$2002,MATCH(5,HISTORICO!$AC$3:$AC$2002,0)),"")</f>
        <v/>
      </c>
      <c r="G63" s="34">
        <f>IFERROR(INDEX(HISTORICO!$R$3:$R$2002,MATCH(5,HISTORICO!$AC$3:$AC$2002,0)),"")</f>
        <v/>
      </c>
      <c r="H63" s="29">
        <f>IFERROR(INDEX(HISTORICO!$T$3:$T$2002,MATCH(5,HISTORICO!$AC$3:$AC$2002,0)),"")</f>
        <v/>
      </c>
    </row>
    <row r="64">
      <c r="B64" s="28">
        <f>IFERROR(INDEX(HISTORICO!$A$3:$A$2002,MATCH(6,HISTORICO!$AC$3:$AC$2002,0)),"")</f>
        <v/>
      </c>
      <c r="C64" s="28">
        <f>IFERROR(INDEX(HISTORICO!$C$3:$C$2002,MATCH(6,HISTORICO!$AC$3:$AC$2002,0)),"")</f>
        <v/>
      </c>
      <c r="D64" s="33">
        <f>IFERROR(INDEX(HISTORICO!$U$3:$U$2002,MATCH(6,HISTORICO!$AC$3:$AC$2002,0)),"")</f>
        <v/>
      </c>
      <c r="E64" s="28">
        <f>IFERROR(INDEX(HISTORICO!$L$3:$L$2002,MATCH(6,HISTORICO!$AC$3:$AC$2002,0)),"")</f>
        <v/>
      </c>
      <c r="F64" s="34">
        <f>IFERROR(INDEX(HISTORICO!$N$3:$N$2002,MATCH(6,HISTORICO!$AC$3:$AC$2002,0)),"")</f>
        <v/>
      </c>
      <c r="G64" s="34">
        <f>IFERROR(INDEX(HISTORICO!$R$3:$R$2002,MATCH(6,HISTORICO!$AC$3:$AC$2002,0)),"")</f>
        <v/>
      </c>
      <c r="H64" s="29">
        <f>IFERROR(INDEX(HISTORICO!$T$3:$T$2002,MATCH(6,HISTORICO!$AC$3:$AC$2002,0)),"")</f>
        <v/>
      </c>
    </row>
    <row r="65">
      <c r="B65" s="28">
        <f>IFERROR(INDEX(HISTORICO!$A$3:$A$2002,MATCH(7,HISTORICO!$AC$3:$AC$2002,0)),"")</f>
        <v/>
      </c>
      <c r="C65" s="28">
        <f>IFERROR(INDEX(HISTORICO!$C$3:$C$2002,MATCH(7,HISTORICO!$AC$3:$AC$2002,0)),"")</f>
        <v/>
      </c>
      <c r="D65" s="33">
        <f>IFERROR(INDEX(HISTORICO!$U$3:$U$2002,MATCH(7,HISTORICO!$AC$3:$AC$2002,0)),"")</f>
        <v/>
      </c>
      <c r="E65" s="28">
        <f>IFERROR(INDEX(HISTORICO!$L$3:$L$2002,MATCH(7,HISTORICO!$AC$3:$AC$2002,0)),"")</f>
        <v/>
      </c>
      <c r="F65" s="34">
        <f>IFERROR(INDEX(HISTORICO!$N$3:$N$2002,MATCH(7,HISTORICO!$AC$3:$AC$2002,0)),"")</f>
        <v/>
      </c>
      <c r="G65" s="34">
        <f>IFERROR(INDEX(HISTORICO!$R$3:$R$2002,MATCH(7,HISTORICO!$AC$3:$AC$2002,0)),"")</f>
        <v/>
      </c>
      <c r="H65" s="29">
        <f>IFERROR(INDEX(HISTORICO!$T$3:$T$2002,MATCH(7,HISTORICO!$AC$3:$AC$2002,0)),"")</f>
        <v/>
      </c>
    </row>
    <row r="66">
      <c r="B66" s="28">
        <f>IFERROR(INDEX(HISTORICO!$A$3:$A$2002,MATCH(8,HISTORICO!$AC$3:$AC$2002,0)),"")</f>
        <v/>
      </c>
      <c r="C66" s="28">
        <f>IFERROR(INDEX(HISTORICO!$C$3:$C$2002,MATCH(8,HISTORICO!$AC$3:$AC$2002,0)),"")</f>
        <v/>
      </c>
      <c r="D66" s="33">
        <f>IFERROR(INDEX(HISTORICO!$U$3:$U$2002,MATCH(8,HISTORICO!$AC$3:$AC$2002,0)),"")</f>
        <v/>
      </c>
      <c r="E66" s="28">
        <f>IFERROR(INDEX(HISTORICO!$L$3:$L$2002,MATCH(8,HISTORICO!$AC$3:$AC$2002,0)),"")</f>
        <v/>
      </c>
      <c r="F66" s="34">
        <f>IFERROR(INDEX(HISTORICO!$N$3:$N$2002,MATCH(8,HISTORICO!$AC$3:$AC$2002,0)),"")</f>
        <v/>
      </c>
      <c r="G66" s="34">
        <f>IFERROR(INDEX(HISTORICO!$R$3:$R$2002,MATCH(8,HISTORICO!$AC$3:$AC$2002,0)),"")</f>
        <v/>
      </c>
      <c r="H66" s="29">
        <f>IFERROR(INDEX(HISTORICO!$T$3:$T$2002,MATCH(8,HISTORICO!$AC$3:$AC$2002,0)),"")</f>
        <v/>
      </c>
    </row>
    <row r="67">
      <c r="B67" s="28">
        <f>IFERROR(INDEX(HISTORICO!$A$3:$A$2002,MATCH(9,HISTORICO!$AC$3:$AC$2002,0)),"")</f>
        <v/>
      </c>
      <c r="C67" s="28">
        <f>IFERROR(INDEX(HISTORICO!$C$3:$C$2002,MATCH(9,HISTORICO!$AC$3:$AC$2002,0)),"")</f>
        <v/>
      </c>
      <c r="D67" s="33">
        <f>IFERROR(INDEX(HISTORICO!$U$3:$U$2002,MATCH(9,HISTORICO!$AC$3:$AC$2002,0)),"")</f>
        <v/>
      </c>
      <c r="E67" s="28">
        <f>IFERROR(INDEX(HISTORICO!$L$3:$L$2002,MATCH(9,HISTORICO!$AC$3:$AC$2002,0)),"")</f>
        <v/>
      </c>
      <c r="F67" s="34">
        <f>IFERROR(INDEX(HISTORICO!$N$3:$N$2002,MATCH(9,HISTORICO!$AC$3:$AC$2002,0)),"")</f>
        <v/>
      </c>
      <c r="G67" s="34">
        <f>IFERROR(INDEX(HISTORICO!$R$3:$R$2002,MATCH(9,HISTORICO!$AC$3:$AC$2002,0)),"")</f>
        <v/>
      </c>
      <c r="H67" s="29">
        <f>IFERROR(INDEX(HISTORICO!$T$3:$T$2002,MATCH(9,HISTORICO!$AC$3:$AC$2002,0)),"")</f>
        <v/>
      </c>
    </row>
    <row r="68">
      <c r="B68" s="28">
        <f>IFERROR(INDEX(HISTORICO!$A$3:$A$2002,MATCH(10,HISTORICO!$AC$3:$AC$2002,0)),"")</f>
        <v/>
      </c>
      <c r="C68" s="28">
        <f>IFERROR(INDEX(HISTORICO!$C$3:$C$2002,MATCH(10,HISTORICO!$AC$3:$AC$2002,0)),"")</f>
        <v/>
      </c>
      <c r="D68" s="33">
        <f>IFERROR(INDEX(HISTORICO!$U$3:$U$2002,MATCH(10,HISTORICO!$AC$3:$AC$2002,0)),"")</f>
        <v/>
      </c>
      <c r="E68" s="28">
        <f>IFERROR(INDEX(HISTORICO!$L$3:$L$2002,MATCH(10,HISTORICO!$AC$3:$AC$2002,0)),"")</f>
        <v/>
      </c>
      <c r="F68" s="34">
        <f>IFERROR(INDEX(HISTORICO!$N$3:$N$2002,MATCH(10,HISTORICO!$AC$3:$AC$2002,0)),"")</f>
        <v/>
      </c>
      <c r="G68" s="34">
        <f>IFERROR(INDEX(HISTORICO!$R$3:$R$2002,MATCH(10,HISTORICO!$AC$3:$AC$2002,0)),"")</f>
        <v/>
      </c>
      <c r="H68" s="29">
        <f>IFERROR(INDEX(HISTORICO!$T$3:$T$2002,MATCH(10,HISTORICO!$AC$3:$AC$2002,0)),"")</f>
        <v/>
      </c>
    </row>
    <row r="69">
      <c r="B69" s="28">
        <f>IFERROR(INDEX(HISTORICO!$A$3:$A$2002,MATCH(11,HISTORICO!$AC$3:$AC$2002,0)),"")</f>
        <v/>
      </c>
      <c r="C69" s="28">
        <f>IFERROR(INDEX(HISTORICO!$C$3:$C$2002,MATCH(11,HISTORICO!$AC$3:$AC$2002,0)),"")</f>
        <v/>
      </c>
      <c r="D69" s="33">
        <f>IFERROR(INDEX(HISTORICO!$U$3:$U$2002,MATCH(11,HISTORICO!$AC$3:$AC$2002,0)),"")</f>
        <v/>
      </c>
      <c r="E69" s="28">
        <f>IFERROR(INDEX(HISTORICO!$L$3:$L$2002,MATCH(11,HISTORICO!$AC$3:$AC$2002,0)),"")</f>
        <v/>
      </c>
      <c r="F69" s="34">
        <f>IFERROR(INDEX(HISTORICO!$N$3:$N$2002,MATCH(11,HISTORICO!$AC$3:$AC$2002,0)),"")</f>
        <v/>
      </c>
      <c r="G69" s="34">
        <f>IFERROR(INDEX(HISTORICO!$R$3:$R$2002,MATCH(11,HISTORICO!$AC$3:$AC$2002,0)),"")</f>
        <v/>
      </c>
      <c r="H69" s="29">
        <f>IFERROR(INDEX(HISTORICO!$T$3:$T$2002,MATCH(11,HISTORICO!$AC$3:$AC$2002,0)),"")</f>
        <v/>
      </c>
    </row>
    <row r="70">
      <c r="B70" s="28">
        <f>IFERROR(INDEX(HISTORICO!$A$3:$A$2002,MATCH(12,HISTORICO!$AC$3:$AC$2002,0)),"")</f>
        <v/>
      </c>
      <c r="C70" s="28">
        <f>IFERROR(INDEX(HISTORICO!$C$3:$C$2002,MATCH(12,HISTORICO!$AC$3:$AC$2002,0)),"")</f>
        <v/>
      </c>
      <c r="D70" s="33">
        <f>IFERROR(INDEX(HISTORICO!$U$3:$U$2002,MATCH(12,HISTORICO!$AC$3:$AC$2002,0)),"")</f>
        <v/>
      </c>
      <c r="E70" s="28">
        <f>IFERROR(INDEX(HISTORICO!$L$3:$L$2002,MATCH(12,HISTORICO!$AC$3:$AC$2002,0)),"")</f>
        <v/>
      </c>
      <c r="F70" s="34">
        <f>IFERROR(INDEX(HISTORICO!$N$3:$N$2002,MATCH(12,HISTORICO!$AC$3:$AC$2002,0)),"")</f>
        <v/>
      </c>
      <c r="G70" s="34">
        <f>IFERROR(INDEX(HISTORICO!$R$3:$R$2002,MATCH(12,HISTORICO!$AC$3:$AC$2002,0)),"")</f>
        <v/>
      </c>
      <c r="H70" s="29">
        <f>IFERROR(INDEX(HISTORICO!$T$3:$T$2002,MATCH(12,HISTORICO!$AC$3:$AC$2002,0)),"")</f>
        <v/>
      </c>
    </row>
    <row r="71">
      <c r="B71" s="28">
        <f>IFERROR(INDEX(HISTORICO!$A$3:$A$2002,MATCH(13,HISTORICO!$AC$3:$AC$2002,0)),"")</f>
        <v/>
      </c>
      <c r="C71" s="28">
        <f>IFERROR(INDEX(HISTORICO!$C$3:$C$2002,MATCH(13,HISTORICO!$AC$3:$AC$2002,0)),"")</f>
        <v/>
      </c>
      <c r="D71" s="33">
        <f>IFERROR(INDEX(HISTORICO!$U$3:$U$2002,MATCH(13,HISTORICO!$AC$3:$AC$2002,0)),"")</f>
        <v/>
      </c>
      <c r="E71" s="28">
        <f>IFERROR(INDEX(HISTORICO!$L$3:$L$2002,MATCH(13,HISTORICO!$AC$3:$AC$2002,0)),"")</f>
        <v/>
      </c>
      <c r="F71" s="34">
        <f>IFERROR(INDEX(HISTORICO!$N$3:$N$2002,MATCH(13,HISTORICO!$AC$3:$AC$2002,0)),"")</f>
        <v/>
      </c>
      <c r="G71" s="34">
        <f>IFERROR(INDEX(HISTORICO!$R$3:$R$2002,MATCH(13,HISTORICO!$AC$3:$AC$2002,0)),"")</f>
        <v/>
      </c>
      <c r="H71" s="29">
        <f>IFERROR(INDEX(HISTORICO!$T$3:$T$2002,MATCH(13,HISTORICO!$AC$3:$AC$2002,0)),"")</f>
        <v/>
      </c>
    </row>
    <row r="72">
      <c r="B72" s="28">
        <f>IFERROR(INDEX(HISTORICO!$A$3:$A$2002,MATCH(14,HISTORICO!$AC$3:$AC$2002,0)),"")</f>
        <v/>
      </c>
      <c r="C72" s="28">
        <f>IFERROR(INDEX(HISTORICO!$C$3:$C$2002,MATCH(14,HISTORICO!$AC$3:$AC$2002,0)),"")</f>
        <v/>
      </c>
      <c r="D72" s="33">
        <f>IFERROR(INDEX(HISTORICO!$U$3:$U$2002,MATCH(14,HISTORICO!$AC$3:$AC$2002,0)),"")</f>
        <v/>
      </c>
      <c r="E72" s="28">
        <f>IFERROR(INDEX(HISTORICO!$L$3:$L$2002,MATCH(14,HISTORICO!$AC$3:$AC$2002,0)),"")</f>
        <v/>
      </c>
      <c r="F72" s="34">
        <f>IFERROR(INDEX(HISTORICO!$N$3:$N$2002,MATCH(14,HISTORICO!$AC$3:$AC$2002,0)),"")</f>
        <v/>
      </c>
      <c r="G72" s="34">
        <f>IFERROR(INDEX(HISTORICO!$R$3:$R$2002,MATCH(14,HISTORICO!$AC$3:$AC$2002,0)),"")</f>
        <v/>
      </c>
      <c r="H72" s="29">
        <f>IFERROR(INDEX(HISTORICO!$T$3:$T$2002,MATCH(14,HISTORICO!$AC$3:$AC$2002,0)),"")</f>
        <v/>
      </c>
    </row>
    <row r="73">
      <c r="B73" s="28">
        <f>IFERROR(INDEX(HISTORICO!$A$3:$A$2002,MATCH(15,HISTORICO!$AC$3:$AC$2002,0)),"")</f>
        <v/>
      </c>
      <c r="C73" s="28">
        <f>IFERROR(INDEX(HISTORICO!$C$3:$C$2002,MATCH(15,HISTORICO!$AC$3:$AC$2002,0)),"")</f>
        <v/>
      </c>
      <c r="D73" s="33">
        <f>IFERROR(INDEX(HISTORICO!$U$3:$U$2002,MATCH(15,HISTORICO!$AC$3:$AC$2002,0)),"")</f>
        <v/>
      </c>
      <c r="E73" s="28">
        <f>IFERROR(INDEX(HISTORICO!$L$3:$L$2002,MATCH(15,HISTORICO!$AC$3:$AC$2002,0)),"")</f>
        <v/>
      </c>
      <c r="F73" s="34">
        <f>IFERROR(INDEX(HISTORICO!$N$3:$N$2002,MATCH(15,HISTORICO!$AC$3:$AC$2002,0)),"")</f>
        <v/>
      </c>
      <c r="G73" s="34">
        <f>IFERROR(INDEX(HISTORICO!$R$3:$R$2002,MATCH(15,HISTORICO!$AC$3:$AC$2002,0)),"")</f>
        <v/>
      </c>
      <c r="H73" s="29">
        <f>IFERROR(INDEX(HISTORICO!$T$3:$T$2002,MATCH(15,HISTORICO!$AC$3:$AC$2002,0)),"")</f>
        <v/>
      </c>
    </row>
    <row r="74">
      <c r="B74" s="28">
        <f>IFERROR(INDEX(HISTORICO!$A$3:$A$2002,MATCH(16,HISTORICO!$AC$3:$AC$2002,0)),"")</f>
        <v/>
      </c>
      <c r="C74" s="28">
        <f>IFERROR(INDEX(HISTORICO!$C$3:$C$2002,MATCH(16,HISTORICO!$AC$3:$AC$2002,0)),"")</f>
        <v/>
      </c>
      <c r="D74" s="33">
        <f>IFERROR(INDEX(HISTORICO!$U$3:$U$2002,MATCH(16,HISTORICO!$AC$3:$AC$2002,0)),"")</f>
        <v/>
      </c>
      <c r="E74" s="28">
        <f>IFERROR(INDEX(HISTORICO!$L$3:$L$2002,MATCH(16,HISTORICO!$AC$3:$AC$2002,0)),"")</f>
        <v/>
      </c>
      <c r="F74" s="34">
        <f>IFERROR(INDEX(HISTORICO!$N$3:$N$2002,MATCH(16,HISTORICO!$AC$3:$AC$2002,0)),"")</f>
        <v/>
      </c>
      <c r="G74" s="34">
        <f>IFERROR(INDEX(HISTORICO!$R$3:$R$2002,MATCH(16,HISTORICO!$AC$3:$AC$2002,0)),"")</f>
        <v/>
      </c>
      <c r="H74" s="29">
        <f>IFERROR(INDEX(HISTORICO!$T$3:$T$2002,MATCH(16,HISTORICO!$AC$3:$AC$2002,0)),"")</f>
        <v/>
      </c>
    </row>
    <row r="75">
      <c r="B75" s="28">
        <f>IFERROR(INDEX(HISTORICO!$A$3:$A$2002,MATCH(17,HISTORICO!$AC$3:$AC$2002,0)),"")</f>
        <v/>
      </c>
      <c r="C75" s="28">
        <f>IFERROR(INDEX(HISTORICO!$C$3:$C$2002,MATCH(17,HISTORICO!$AC$3:$AC$2002,0)),"")</f>
        <v/>
      </c>
      <c r="D75" s="33">
        <f>IFERROR(INDEX(HISTORICO!$U$3:$U$2002,MATCH(17,HISTORICO!$AC$3:$AC$2002,0)),"")</f>
        <v/>
      </c>
      <c r="E75" s="28">
        <f>IFERROR(INDEX(HISTORICO!$L$3:$L$2002,MATCH(17,HISTORICO!$AC$3:$AC$2002,0)),"")</f>
        <v/>
      </c>
      <c r="F75" s="34">
        <f>IFERROR(INDEX(HISTORICO!$N$3:$N$2002,MATCH(17,HISTORICO!$AC$3:$AC$2002,0)),"")</f>
        <v/>
      </c>
      <c r="G75" s="34">
        <f>IFERROR(INDEX(HISTORICO!$R$3:$R$2002,MATCH(17,HISTORICO!$AC$3:$AC$2002,0)),"")</f>
        <v/>
      </c>
      <c r="H75" s="29">
        <f>IFERROR(INDEX(HISTORICO!$T$3:$T$2002,MATCH(17,HISTORICO!$AC$3:$AC$2002,0)),"")</f>
        <v/>
      </c>
    </row>
    <row r="76">
      <c r="B76" s="28">
        <f>IFERROR(INDEX(HISTORICO!$A$3:$A$2002,MATCH(18,HISTORICO!$AC$3:$AC$2002,0)),"")</f>
        <v/>
      </c>
      <c r="C76" s="28">
        <f>IFERROR(INDEX(HISTORICO!$C$3:$C$2002,MATCH(18,HISTORICO!$AC$3:$AC$2002,0)),"")</f>
        <v/>
      </c>
      <c r="D76" s="33">
        <f>IFERROR(INDEX(HISTORICO!$U$3:$U$2002,MATCH(18,HISTORICO!$AC$3:$AC$2002,0)),"")</f>
        <v/>
      </c>
      <c r="E76" s="28">
        <f>IFERROR(INDEX(HISTORICO!$L$3:$L$2002,MATCH(18,HISTORICO!$AC$3:$AC$2002,0)),"")</f>
        <v/>
      </c>
      <c r="F76" s="34">
        <f>IFERROR(INDEX(HISTORICO!$N$3:$N$2002,MATCH(18,HISTORICO!$AC$3:$AC$2002,0)),"")</f>
        <v/>
      </c>
      <c r="G76" s="34">
        <f>IFERROR(INDEX(HISTORICO!$R$3:$R$2002,MATCH(18,HISTORICO!$AC$3:$AC$2002,0)),"")</f>
        <v/>
      </c>
      <c r="H76" s="29">
        <f>IFERROR(INDEX(HISTORICO!$T$3:$T$2002,MATCH(18,HISTORICO!$AC$3:$AC$2002,0)),"")</f>
        <v/>
      </c>
    </row>
    <row r="77">
      <c r="B77" s="28">
        <f>IFERROR(INDEX(HISTORICO!$A$3:$A$2002,MATCH(19,HISTORICO!$AC$3:$AC$2002,0)),"")</f>
        <v/>
      </c>
      <c r="C77" s="28">
        <f>IFERROR(INDEX(HISTORICO!$C$3:$C$2002,MATCH(19,HISTORICO!$AC$3:$AC$2002,0)),"")</f>
        <v/>
      </c>
      <c r="D77" s="33">
        <f>IFERROR(INDEX(HISTORICO!$U$3:$U$2002,MATCH(19,HISTORICO!$AC$3:$AC$2002,0)),"")</f>
        <v/>
      </c>
      <c r="E77" s="28">
        <f>IFERROR(INDEX(HISTORICO!$L$3:$L$2002,MATCH(19,HISTORICO!$AC$3:$AC$2002,0)),"")</f>
        <v/>
      </c>
      <c r="F77" s="34">
        <f>IFERROR(INDEX(HISTORICO!$N$3:$N$2002,MATCH(19,HISTORICO!$AC$3:$AC$2002,0)),"")</f>
        <v/>
      </c>
      <c r="G77" s="34">
        <f>IFERROR(INDEX(HISTORICO!$R$3:$R$2002,MATCH(19,HISTORICO!$AC$3:$AC$2002,0)),"")</f>
        <v/>
      </c>
      <c r="H77" s="29">
        <f>IFERROR(INDEX(HISTORICO!$T$3:$T$2002,MATCH(19,HISTORICO!$AC$3:$AC$2002,0)),"")</f>
        <v/>
      </c>
    </row>
    <row r="78">
      <c r="B78" s="28">
        <f>IFERROR(INDEX(HISTORICO!$A$3:$A$2002,MATCH(20,HISTORICO!$AC$3:$AC$2002,0)),"")</f>
        <v/>
      </c>
      <c r="C78" s="28">
        <f>IFERROR(INDEX(HISTORICO!$C$3:$C$2002,MATCH(20,HISTORICO!$AC$3:$AC$2002,0)),"")</f>
        <v/>
      </c>
      <c r="D78" s="33">
        <f>IFERROR(INDEX(HISTORICO!$U$3:$U$2002,MATCH(20,HISTORICO!$AC$3:$AC$2002,0)),"")</f>
        <v/>
      </c>
      <c r="E78" s="28">
        <f>IFERROR(INDEX(HISTORICO!$L$3:$L$2002,MATCH(20,HISTORICO!$AC$3:$AC$2002,0)),"")</f>
        <v/>
      </c>
      <c r="F78" s="34">
        <f>IFERROR(INDEX(HISTORICO!$N$3:$N$2002,MATCH(20,HISTORICO!$AC$3:$AC$2002,0)),"")</f>
        <v/>
      </c>
      <c r="G78" s="34">
        <f>IFERROR(INDEX(HISTORICO!$R$3:$R$2002,MATCH(20,HISTORICO!$AC$3:$AC$2002,0)),"")</f>
        <v/>
      </c>
      <c r="H78" s="29">
        <f>IFERROR(INDEX(HISTORICO!$T$3:$T$2002,MATCH(20,HISTORICO!$AC$3:$AC$2002,0)),"")</f>
        <v/>
      </c>
    </row>
    <row r="79">
      <c r="B79" s="28">
        <f>IFERROR(INDEX(HISTORICO!$A$3:$A$2002,MATCH(21,HISTORICO!$AC$3:$AC$2002,0)),"")</f>
        <v/>
      </c>
      <c r="C79" s="28">
        <f>IFERROR(INDEX(HISTORICO!$C$3:$C$2002,MATCH(21,HISTORICO!$AC$3:$AC$2002,0)),"")</f>
        <v/>
      </c>
      <c r="D79" s="33">
        <f>IFERROR(INDEX(HISTORICO!$U$3:$U$2002,MATCH(21,HISTORICO!$AC$3:$AC$2002,0)),"")</f>
        <v/>
      </c>
      <c r="E79" s="28">
        <f>IFERROR(INDEX(HISTORICO!$L$3:$L$2002,MATCH(21,HISTORICO!$AC$3:$AC$2002,0)),"")</f>
        <v/>
      </c>
      <c r="F79" s="34">
        <f>IFERROR(INDEX(HISTORICO!$N$3:$N$2002,MATCH(21,HISTORICO!$AC$3:$AC$2002,0)),"")</f>
        <v/>
      </c>
      <c r="G79" s="34">
        <f>IFERROR(INDEX(HISTORICO!$R$3:$R$2002,MATCH(21,HISTORICO!$AC$3:$AC$2002,0)),"")</f>
        <v/>
      </c>
      <c r="H79" s="29">
        <f>IFERROR(INDEX(HISTORICO!$T$3:$T$2002,MATCH(21,HISTORICO!$AC$3:$AC$2002,0)),"")</f>
        <v/>
      </c>
    </row>
    <row r="80">
      <c r="B80" s="28">
        <f>IFERROR(INDEX(HISTORICO!$A$3:$A$2002,MATCH(22,HISTORICO!$AC$3:$AC$2002,0)),"")</f>
        <v/>
      </c>
      <c r="C80" s="28">
        <f>IFERROR(INDEX(HISTORICO!$C$3:$C$2002,MATCH(22,HISTORICO!$AC$3:$AC$2002,0)),"")</f>
        <v/>
      </c>
      <c r="D80" s="33">
        <f>IFERROR(INDEX(HISTORICO!$U$3:$U$2002,MATCH(22,HISTORICO!$AC$3:$AC$2002,0)),"")</f>
        <v/>
      </c>
      <c r="E80" s="28">
        <f>IFERROR(INDEX(HISTORICO!$L$3:$L$2002,MATCH(22,HISTORICO!$AC$3:$AC$2002,0)),"")</f>
        <v/>
      </c>
      <c r="F80" s="34">
        <f>IFERROR(INDEX(HISTORICO!$N$3:$N$2002,MATCH(22,HISTORICO!$AC$3:$AC$2002,0)),"")</f>
        <v/>
      </c>
      <c r="G80" s="34">
        <f>IFERROR(INDEX(HISTORICO!$R$3:$R$2002,MATCH(22,HISTORICO!$AC$3:$AC$2002,0)),"")</f>
        <v/>
      </c>
      <c r="H80" s="29">
        <f>IFERROR(INDEX(HISTORICO!$T$3:$T$2002,MATCH(22,HISTORICO!$AC$3:$AC$2002,0)),"")</f>
        <v/>
      </c>
    </row>
    <row r="81">
      <c r="B81" s="28">
        <f>IFERROR(INDEX(HISTORICO!$A$3:$A$2002,MATCH(23,HISTORICO!$AC$3:$AC$2002,0)),"")</f>
        <v/>
      </c>
      <c r="C81" s="28">
        <f>IFERROR(INDEX(HISTORICO!$C$3:$C$2002,MATCH(23,HISTORICO!$AC$3:$AC$2002,0)),"")</f>
        <v/>
      </c>
      <c r="D81" s="33">
        <f>IFERROR(INDEX(HISTORICO!$U$3:$U$2002,MATCH(23,HISTORICO!$AC$3:$AC$2002,0)),"")</f>
        <v/>
      </c>
      <c r="E81" s="28">
        <f>IFERROR(INDEX(HISTORICO!$L$3:$L$2002,MATCH(23,HISTORICO!$AC$3:$AC$2002,0)),"")</f>
        <v/>
      </c>
      <c r="F81" s="34">
        <f>IFERROR(INDEX(HISTORICO!$N$3:$N$2002,MATCH(23,HISTORICO!$AC$3:$AC$2002,0)),"")</f>
        <v/>
      </c>
      <c r="G81" s="34">
        <f>IFERROR(INDEX(HISTORICO!$R$3:$R$2002,MATCH(23,HISTORICO!$AC$3:$AC$2002,0)),"")</f>
        <v/>
      </c>
      <c r="H81" s="29">
        <f>IFERROR(INDEX(HISTORICO!$T$3:$T$2002,MATCH(23,HISTORICO!$AC$3:$AC$2002,0)),"")</f>
        <v/>
      </c>
    </row>
    <row r="82">
      <c r="B82" s="28">
        <f>IFERROR(INDEX(HISTORICO!$A$3:$A$2002,MATCH(24,HISTORICO!$AC$3:$AC$2002,0)),"")</f>
        <v/>
      </c>
      <c r="C82" s="28">
        <f>IFERROR(INDEX(HISTORICO!$C$3:$C$2002,MATCH(24,HISTORICO!$AC$3:$AC$2002,0)),"")</f>
        <v/>
      </c>
      <c r="D82" s="33">
        <f>IFERROR(INDEX(HISTORICO!$U$3:$U$2002,MATCH(24,HISTORICO!$AC$3:$AC$2002,0)),"")</f>
        <v/>
      </c>
      <c r="E82" s="28">
        <f>IFERROR(INDEX(HISTORICO!$L$3:$L$2002,MATCH(24,HISTORICO!$AC$3:$AC$2002,0)),"")</f>
        <v/>
      </c>
      <c r="F82" s="34">
        <f>IFERROR(INDEX(HISTORICO!$N$3:$N$2002,MATCH(24,HISTORICO!$AC$3:$AC$2002,0)),"")</f>
        <v/>
      </c>
      <c r="G82" s="34">
        <f>IFERROR(INDEX(HISTORICO!$R$3:$R$2002,MATCH(24,HISTORICO!$AC$3:$AC$2002,0)),"")</f>
        <v/>
      </c>
      <c r="H82" s="29">
        <f>IFERROR(INDEX(HISTORICO!$T$3:$T$2002,MATCH(24,HISTORICO!$AC$3:$AC$2002,0)),"")</f>
        <v/>
      </c>
    </row>
    <row r="83">
      <c r="B83" s="28">
        <f>IFERROR(INDEX(HISTORICO!$A$3:$A$2002,MATCH(25,HISTORICO!$AC$3:$AC$2002,0)),"")</f>
        <v/>
      </c>
      <c r="C83" s="28">
        <f>IFERROR(INDEX(HISTORICO!$C$3:$C$2002,MATCH(25,HISTORICO!$AC$3:$AC$2002,0)),"")</f>
        <v/>
      </c>
      <c r="D83" s="33">
        <f>IFERROR(INDEX(HISTORICO!$U$3:$U$2002,MATCH(25,HISTORICO!$AC$3:$AC$2002,0)),"")</f>
        <v/>
      </c>
      <c r="E83" s="28">
        <f>IFERROR(INDEX(HISTORICO!$L$3:$L$2002,MATCH(25,HISTORICO!$AC$3:$AC$2002,0)),"")</f>
        <v/>
      </c>
      <c r="F83" s="34">
        <f>IFERROR(INDEX(HISTORICO!$N$3:$N$2002,MATCH(25,HISTORICO!$AC$3:$AC$2002,0)),"")</f>
        <v/>
      </c>
      <c r="G83" s="34">
        <f>IFERROR(INDEX(HISTORICO!$R$3:$R$2002,MATCH(25,HISTORICO!$AC$3:$AC$2002,0)),"")</f>
        <v/>
      </c>
      <c r="H83" s="29">
        <f>IFERROR(INDEX(HISTORICO!$T$3:$T$2002,MATCH(25,HISTORICO!$AC$3:$AC$2002,0)),"")</f>
        <v/>
      </c>
    </row>
    <row r="84">
      <c r="B84" s="28">
        <f>IFERROR(INDEX(HISTORICO!$A$3:$A$2002,MATCH(26,HISTORICO!$AC$3:$AC$2002,0)),"")</f>
        <v/>
      </c>
      <c r="C84" s="28">
        <f>IFERROR(INDEX(HISTORICO!$C$3:$C$2002,MATCH(26,HISTORICO!$AC$3:$AC$2002,0)),"")</f>
        <v/>
      </c>
      <c r="D84" s="33">
        <f>IFERROR(INDEX(HISTORICO!$U$3:$U$2002,MATCH(26,HISTORICO!$AC$3:$AC$2002,0)),"")</f>
        <v/>
      </c>
      <c r="E84" s="28">
        <f>IFERROR(INDEX(HISTORICO!$L$3:$L$2002,MATCH(26,HISTORICO!$AC$3:$AC$2002,0)),"")</f>
        <v/>
      </c>
      <c r="F84" s="34">
        <f>IFERROR(INDEX(HISTORICO!$N$3:$N$2002,MATCH(26,HISTORICO!$AC$3:$AC$2002,0)),"")</f>
        <v/>
      </c>
      <c r="G84" s="34">
        <f>IFERROR(INDEX(HISTORICO!$R$3:$R$2002,MATCH(26,HISTORICO!$AC$3:$AC$2002,0)),"")</f>
        <v/>
      </c>
      <c r="H84" s="29">
        <f>IFERROR(INDEX(HISTORICO!$T$3:$T$2002,MATCH(26,HISTORICO!$AC$3:$AC$2002,0)),"")</f>
        <v/>
      </c>
    </row>
    <row r="85">
      <c r="B85" s="28">
        <f>IFERROR(INDEX(HISTORICO!$A$3:$A$2002,MATCH(27,HISTORICO!$AC$3:$AC$2002,0)),"")</f>
        <v/>
      </c>
      <c r="C85" s="28">
        <f>IFERROR(INDEX(HISTORICO!$C$3:$C$2002,MATCH(27,HISTORICO!$AC$3:$AC$2002,0)),"")</f>
        <v/>
      </c>
      <c r="D85" s="33">
        <f>IFERROR(INDEX(HISTORICO!$U$3:$U$2002,MATCH(27,HISTORICO!$AC$3:$AC$2002,0)),"")</f>
        <v/>
      </c>
      <c r="E85" s="28">
        <f>IFERROR(INDEX(HISTORICO!$L$3:$L$2002,MATCH(27,HISTORICO!$AC$3:$AC$2002,0)),"")</f>
        <v/>
      </c>
      <c r="F85" s="34">
        <f>IFERROR(INDEX(HISTORICO!$N$3:$N$2002,MATCH(27,HISTORICO!$AC$3:$AC$2002,0)),"")</f>
        <v/>
      </c>
      <c r="G85" s="34">
        <f>IFERROR(INDEX(HISTORICO!$R$3:$R$2002,MATCH(27,HISTORICO!$AC$3:$AC$2002,0)),"")</f>
        <v/>
      </c>
      <c r="H85" s="29">
        <f>IFERROR(INDEX(HISTORICO!$T$3:$T$2002,MATCH(27,HISTORICO!$AC$3:$AC$2002,0)),"")</f>
        <v/>
      </c>
    </row>
    <row r="86">
      <c r="B86" s="28">
        <f>IFERROR(INDEX(HISTORICO!$A$3:$A$2002,MATCH(28,HISTORICO!$AC$3:$AC$2002,0)),"")</f>
        <v/>
      </c>
      <c r="C86" s="28">
        <f>IFERROR(INDEX(HISTORICO!$C$3:$C$2002,MATCH(28,HISTORICO!$AC$3:$AC$2002,0)),"")</f>
        <v/>
      </c>
      <c r="D86" s="33">
        <f>IFERROR(INDEX(HISTORICO!$U$3:$U$2002,MATCH(28,HISTORICO!$AC$3:$AC$2002,0)),"")</f>
        <v/>
      </c>
      <c r="E86" s="28">
        <f>IFERROR(INDEX(HISTORICO!$L$3:$L$2002,MATCH(28,HISTORICO!$AC$3:$AC$2002,0)),"")</f>
        <v/>
      </c>
      <c r="F86" s="34">
        <f>IFERROR(INDEX(HISTORICO!$N$3:$N$2002,MATCH(28,HISTORICO!$AC$3:$AC$2002,0)),"")</f>
        <v/>
      </c>
      <c r="G86" s="34">
        <f>IFERROR(INDEX(HISTORICO!$R$3:$R$2002,MATCH(28,HISTORICO!$AC$3:$AC$2002,0)),"")</f>
        <v/>
      </c>
      <c r="H86" s="29">
        <f>IFERROR(INDEX(HISTORICO!$T$3:$T$2002,MATCH(28,HISTORICO!$AC$3:$AC$2002,0)),"")</f>
        <v/>
      </c>
    </row>
    <row r="87">
      <c r="B87" s="28">
        <f>IFERROR(INDEX(HISTORICO!$A$3:$A$2002,MATCH(29,HISTORICO!$AC$3:$AC$2002,0)),"")</f>
        <v/>
      </c>
      <c r="C87" s="28">
        <f>IFERROR(INDEX(HISTORICO!$C$3:$C$2002,MATCH(29,HISTORICO!$AC$3:$AC$2002,0)),"")</f>
        <v/>
      </c>
      <c r="D87" s="33">
        <f>IFERROR(INDEX(HISTORICO!$U$3:$U$2002,MATCH(29,HISTORICO!$AC$3:$AC$2002,0)),"")</f>
        <v/>
      </c>
      <c r="E87" s="28">
        <f>IFERROR(INDEX(HISTORICO!$L$3:$L$2002,MATCH(29,HISTORICO!$AC$3:$AC$2002,0)),"")</f>
        <v/>
      </c>
      <c r="F87" s="34">
        <f>IFERROR(INDEX(HISTORICO!$N$3:$N$2002,MATCH(29,HISTORICO!$AC$3:$AC$2002,0)),"")</f>
        <v/>
      </c>
      <c r="G87" s="34">
        <f>IFERROR(INDEX(HISTORICO!$R$3:$R$2002,MATCH(29,HISTORICO!$AC$3:$AC$2002,0)),"")</f>
        <v/>
      </c>
      <c r="H87" s="29">
        <f>IFERROR(INDEX(HISTORICO!$T$3:$T$2002,MATCH(29,HISTORICO!$AC$3:$AC$2002,0)),"")</f>
        <v/>
      </c>
    </row>
    <row r="88">
      <c r="B88" s="28">
        <f>IFERROR(INDEX(HISTORICO!$A$3:$A$2002,MATCH(30,HISTORICO!$AC$3:$AC$2002,0)),"")</f>
        <v/>
      </c>
      <c r="C88" s="28">
        <f>IFERROR(INDEX(HISTORICO!$C$3:$C$2002,MATCH(30,HISTORICO!$AC$3:$AC$2002,0)),"")</f>
        <v/>
      </c>
      <c r="D88" s="33">
        <f>IFERROR(INDEX(HISTORICO!$U$3:$U$2002,MATCH(30,HISTORICO!$AC$3:$AC$2002,0)),"")</f>
        <v/>
      </c>
      <c r="E88" s="28">
        <f>IFERROR(INDEX(HISTORICO!$L$3:$L$2002,MATCH(30,HISTORICO!$AC$3:$AC$2002,0)),"")</f>
        <v/>
      </c>
      <c r="F88" s="34">
        <f>IFERROR(INDEX(HISTORICO!$N$3:$N$2002,MATCH(30,HISTORICO!$AC$3:$AC$2002,0)),"")</f>
        <v/>
      </c>
      <c r="G88" s="34">
        <f>IFERROR(INDEX(HISTORICO!$R$3:$R$2002,MATCH(30,HISTORICO!$AC$3:$AC$2002,0)),"")</f>
        <v/>
      </c>
      <c r="H88" s="29">
        <f>IFERROR(INDEX(HISTORICO!$T$3:$T$2002,MATCH(30,HISTORICO!$AC$3:$AC$2002,0)),"")</f>
        <v/>
      </c>
    </row>
    <row r="89">
      <c r="B89" s="28">
        <f>IFERROR(INDEX(HISTORICO!$A$3:$A$2002,MATCH(31,HISTORICO!$AC$3:$AC$2002,0)),"")</f>
        <v/>
      </c>
      <c r="C89" s="28">
        <f>IFERROR(INDEX(HISTORICO!$C$3:$C$2002,MATCH(31,HISTORICO!$AC$3:$AC$2002,0)),"")</f>
        <v/>
      </c>
      <c r="D89" s="33">
        <f>IFERROR(INDEX(HISTORICO!$U$3:$U$2002,MATCH(31,HISTORICO!$AC$3:$AC$2002,0)),"")</f>
        <v/>
      </c>
      <c r="E89" s="28">
        <f>IFERROR(INDEX(HISTORICO!$L$3:$L$2002,MATCH(31,HISTORICO!$AC$3:$AC$2002,0)),"")</f>
        <v/>
      </c>
      <c r="F89" s="34">
        <f>IFERROR(INDEX(HISTORICO!$N$3:$N$2002,MATCH(31,HISTORICO!$AC$3:$AC$2002,0)),"")</f>
        <v/>
      </c>
      <c r="G89" s="34">
        <f>IFERROR(INDEX(HISTORICO!$R$3:$R$2002,MATCH(31,HISTORICO!$AC$3:$AC$2002,0)),"")</f>
        <v/>
      </c>
      <c r="H89" s="29">
        <f>IFERROR(INDEX(HISTORICO!$T$3:$T$2002,MATCH(31,HISTORICO!$AC$3:$AC$2002,0)),"")</f>
        <v/>
      </c>
    </row>
    <row r="90">
      <c r="B90" s="28">
        <f>IFERROR(INDEX(HISTORICO!$A$3:$A$2002,MATCH(32,HISTORICO!$AC$3:$AC$2002,0)),"")</f>
        <v/>
      </c>
      <c r="C90" s="28">
        <f>IFERROR(INDEX(HISTORICO!$C$3:$C$2002,MATCH(32,HISTORICO!$AC$3:$AC$2002,0)),"")</f>
        <v/>
      </c>
      <c r="D90" s="33">
        <f>IFERROR(INDEX(HISTORICO!$U$3:$U$2002,MATCH(32,HISTORICO!$AC$3:$AC$2002,0)),"")</f>
        <v/>
      </c>
      <c r="E90" s="28">
        <f>IFERROR(INDEX(HISTORICO!$L$3:$L$2002,MATCH(32,HISTORICO!$AC$3:$AC$2002,0)),"")</f>
        <v/>
      </c>
      <c r="F90" s="34">
        <f>IFERROR(INDEX(HISTORICO!$N$3:$N$2002,MATCH(32,HISTORICO!$AC$3:$AC$2002,0)),"")</f>
        <v/>
      </c>
      <c r="G90" s="34">
        <f>IFERROR(INDEX(HISTORICO!$R$3:$R$2002,MATCH(32,HISTORICO!$AC$3:$AC$2002,0)),"")</f>
        <v/>
      </c>
      <c r="H90" s="29">
        <f>IFERROR(INDEX(HISTORICO!$T$3:$T$2002,MATCH(32,HISTORICO!$AC$3:$AC$2002,0)),"")</f>
        <v/>
      </c>
    </row>
    <row r="91">
      <c r="B91" s="28">
        <f>IFERROR(INDEX(HISTORICO!$A$3:$A$2002,MATCH(33,HISTORICO!$AC$3:$AC$2002,0)),"")</f>
        <v/>
      </c>
      <c r="C91" s="28">
        <f>IFERROR(INDEX(HISTORICO!$C$3:$C$2002,MATCH(33,HISTORICO!$AC$3:$AC$2002,0)),"")</f>
        <v/>
      </c>
      <c r="D91" s="33">
        <f>IFERROR(INDEX(HISTORICO!$U$3:$U$2002,MATCH(33,HISTORICO!$AC$3:$AC$2002,0)),"")</f>
        <v/>
      </c>
      <c r="E91" s="28">
        <f>IFERROR(INDEX(HISTORICO!$L$3:$L$2002,MATCH(33,HISTORICO!$AC$3:$AC$2002,0)),"")</f>
        <v/>
      </c>
      <c r="F91" s="34">
        <f>IFERROR(INDEX(HISTORICO!$N$3:$N$2002,MATCH(33,HISTORICO!$AC$3:$AC$2002,0)),"")</f>
        <v/>
      </c>
      <c r="G91" s="34">
        <f>IFERROR(INDEX(HISTORICO!$R$3:$R$2002,MATCH(33,HISTORICO!$AC$3:$AC$2002,0)),"")</f>
        <v/>
      </c>
      <c r="H91" s="29">
        <f>IFERROR(INDEX(HISTORICO!$T$3:$T$2002,MATCH(33,HISTORICO!$AC$3:$AC$2002,0)),"")</f>
        <v/>
      </c>
    </row>
    <row r="92">
      <c r="B92" s="28">
        <f>IFERROR(INDEX(HISTORICO!$A$3:$A$2002,MATCH(34,HISTORICO!$AC$3:$AC$2002,0)),"")</f>
        <v/>
      </c>
      <c r="C92" s="28">
        <f>IFERROR(INDEX(HISTORICO!$C$3:$C$2002,MATCH(34,HISTORICO!$AC$3:$AC$2002,0)),"")</f>
        <v/>
      </c>
      <c r="D92" s="33">
        <f>IFERROR(INDEX(HISTORICO!$U$3:$U$2002,MATCH(34,HISTORICO!$AC$3:$AC$2002,0)),"")</f>
        <v/>
      </c>
      <c r="E92" s="28">
        <f>IFERROR(INDEX(HISTORICO!$L$3:$L$2002,MATCH(34,HISTORICO!$AC$3:$AC$2002,0)),"")</f>
        <v/>
      </c>
      <c r="F92" s="34">
        <f>IFERROR(INDEX(HISTORICO!$N$3:$N$2002,MATCH(34,HISTORICO!$AC$3:$AC$2002,0)),"")</f>
        <v/>
      </c>
      <c r="G92" s="34">
        <f>IFERROR(INDEX(HISTORICO!$R$3:$R$2002,MATCH(34,HISTORICO!$AC$3:$AC$2002,0)),"")</f>
        <v/>
      </c>
      <c r="H92" s="29">
        <f>IFERROR(INDEX(HISTORICO!$T$3:$T$2002,MATCH(34,HISTORICO!$AC$3:$AC$2002,0)),"")</f>
        <v/>
      </c>
    </row>
    <row r="93">
      <c r="B93" s="28">
        <f>IFERROR(INDEX(HISTORICO!$A$3:$A$2002,MATCH(35,HISTORICO!$AC$3:$AC$2002,0)),"")</f>
        <v/>
      </c>
      <c r="C93" s="28">
        <f>IFERROR(INDEX(HISTORICO!$C$3:$C$2002,MATCH(35,HISTORICO!$AC$3:$AC$2002,0)),"")</f>
        <v/>
      </c>
      <c r="D93" s="33">
        <f>IFERROR(INDEX(HISTORICO!$U$3:$U$2002,MATCH(35,HISTORICO!$AC$3:$AC$2002,0)),"")</f>
        <v/>
      </c>
      <c r="E93" s="28">
        <f>IFERROR(INDEX(HISTORICO!$L$3:$L$2002,MATCH(35,HISTORICO!$AC$3:$AC$2002,0)),"")</f>
        <v/>
      </c>
      <c r="F93" s="34">
        <f>IFERROR(INDEX(HISTORICO!$N$3:$N$2002,MATCH(35,HISTORICO!$AC$3:$AC$2002,0)),"")</f>
        <v/>
      </c>
      <c r="G93" s="34">
        <f>IFERROR(INDEX(HISTORICO!$R$3:$R$2002,MATCH(35,HISTORICO!$AC$3:$AC$2002,0)),"")</f>
        <v/>
      </c>
      <c r="H93" s="29">
        <f>IFERROR(INDEX(HISTORICO!$T$3:$T$2002,MATCH(35,HISTORICO!$AC$3:$AC$2002,0)),"")</f>
        <v/>
      </c>
    </row>
    <row r="94">
      <c r="B94" s="28">
        <f>IFERROR(INDEX(HISTORICO!$A$3:$A$2002,MATCH(36,HISTORICO!$AC$3:$AC$2002,0)),"")</f>
        <v/>
      </c>
      <c r="C94" s="28">
        <f>IFERROR(INDEX(HISTORICO!$C$3:$C$2002,MATCH(36,HISTORICO!$AC$3:$AC$2002,0)),"")</f>
        <v/>
      </c>
      <c r="D94" s="33">
        <f>IFERROR(INDEX(HISTORICO!$U$3:$U$2002,MATCH(36,HISTORICO!$AC$3:$AC$2002,0)),"")</f>
        <v/>
      </c>
      <c r="E94" s="28">
        <f>IFERROR(INDEX(HISTORICO!$L$3:$L$2002,MATCH(36,HISTORICO!$AC$3:$AC$2002,0)),"")</f>
        <v/>
      </c>
      <c r="F94" s="34">
        <f>IFERROR(INDEX(HISTORICO!$N$3:$N$2002,MATCH(36,HISTORICO!$AC$3:$AC$2002,0)),"")</f>
        <v/>
      </c>
      <c r="G94" s="34">
        <f>IFERROR(INDEX(HISTORICO!$R$3:$R$2002,MATCH(36,HISTORICO!$AC$3:$AC$2002,0)),"")</f>
        <v/>
      </c>
      <c r="H94" s="29">
        <f>IFERROR(INDEX(HISTORICO!$T$3:$T$2002,MATCH(36,HISTORICO!$AC$3:$AC$2002,0)),"")</f>
        <v/>
      </c>
    </row>
    <row r="95">
      <c r="B95" s="28">
        <f>IFERROR(INDEX(HISTORICO!$A$3:$A$2002,MATCH(37,HISTORICO!$AC$3:$AC$2002,0)),"")</f>
        <v/>
      </c>
      <c r="C95" s="28">
        <f>IFERROR(INDEX(HISTORICO!$C$3:$C$2002,MATCH(37,HISTORICO!$AC$3:$AC$2002,0)),"")</f>
        <v/>
      </c>
      <c r="D95" s="33">
        <f>IFERROR(INDEX(HISTORICO!$U$3:$U$2002,MATCH(37,HISTORICO!$AC$3:$AC$2002,0)),"")</f>
        <v/>
      </c>
      <c r="E95" s="28">
        <f>IFERROR(INDEX(HISTORICO!$L$3:$L$2002,MATCH(37,HISTORICO!$AC$3:$AC$2002,0)),"")</f>
        <v/>
      </c>
      <c r="F95" s="34">
        <f>IFERROR(INDEX(HISTORICO!$N$3:$N$2002,MATCH(37,HISTORICO!$AC$3:$AC$2002,0)),"")</f>
        <v/>
      </c>
      <c r="G95" s="34">
        <f>IFERROR(INDEX(HISTORICO!$R$3:$R$2002,MATCH(37,HISTORICO!$AC$3:$AC$2002,0)),"")</f>
        <v/>
      </c>
      <c r="H95" s="29">
        <f>IFERROR(INDEX(HISTORICO!$T$3:$T$2002,MATCH(37,HISTORICO!$AC$3:$AC$2002,0)),"")</f>
        <v/>
      </c>
    </row>
    <row r="96">
      <c r="B96" s="28">
        <f>IFERROR(INDEX(HISTORICO!$A$3:$A$2002,MATCH(38,HISTORICO!$AC$3:$AC$2002,0)),"")</f>
        <v/>
      </c>
      <c r="C96" s="28">
        <f>IFERROR(INDEX(HISTORICO!$C$3:$C$2002,MATCH(38,HISTORICO!$AC$3:$AC$2002,0)),"")</f>
        <v/>
      </c>
      <c r="D96" s="33">
        <f>IFERROR(INDEX(HISTORICO!$U$3:$U$2002,MATCH(38,HISTORICO!$AC$3:$AC$2002,0)),"")</f>
        <v/>
      </c>
      <c r="E96" s="28">
        <f>IFERROR(INDEX(HISTORICO!$L$3:$L$2002,MATCH(38,HISTORICO!$AC$3:$AC$2002,0)),"")</f>
        <v/>
      </c>
      <c r="F96" s="34">
        <f>IFERROR(INDEX(HISTORICO!$N$3:$N$2002,MATCH(38,HISTORICO!$AC$3:$AC$2002,0)),"")</f>
        <v/>
      </c>
      <c r="G96" s="34">
        <f>IFERROR(INDEX(HISTORICO!$R$3:$R$2002,MATCH(38,HISTORICO!$AC$3:$AC$2002,0)),"")</f>
        <v/>
      </c>
      <c r="H96" s="29">
        <f>IFERROR(INDEX(HISTORICO!$T$3:$T$2002,MATCH(38,HISTORICO!$AC$3:$AC$2002,0)),"")</f>
        <v/>
      </c>
    </row>
    <row r="97">
      <c r="B97" s="28">
        <f>IFERROR(INDEX(HISTORICO!$A$3:$A$2002,MATCH(39,HISTORICO!$AC$3:$AC$2002,0)),"")</f>
        <v/>
      </c>
      <c r="C97" s="28">
        <f>IFERROR(INDEX(HISTORICO!$C$3:$C$2002,MATCH(39,HISTORICO!$AC$3:$AC$2002,0)),"")</f>
        <v/>
      </c>
      <c r="D97" s="33">
        <f>IFERROR(INDEX(HISTORICO!$U$3:$U$2002,MATCH(39,HISTORICO!$AC$3:$AC$2002,0)),"")</f>
        <v/>
      </c>
      <c r="E97" s="28">
        <f>IFERROR(INDEX(HISTORICO!$L$3:$L$2002,MATCH(39,HISTORICO!$AC$3:$AC$2002,0)),"")</f>
        <v/>
      </c>
      <c r="F97" s="34">
        <f>IFERROR(INDEX(HISTORICO!$N$3:$N$2002,MATCH(39,HISTORICO!$AC$3:$AC$2002,0)),"")</f>
        <v/>
      </c>
      <c r="G97" s="34">
        <f>IFERROR(INDEX(HISTORICO!$R$3:$R$2002,MATCH(39,HISTORICO!$AC$3:$AC$2002,0)),"")</f>
        <v/>
      </c>
      <c r="H97" s="29">
        <f>IFERROR(INDEX(HISTORICO!$T$3:$T$2002,MATCH(39,HISTORICO!$AC$3:$AC$2002,0)),"")</f>
        <v/>
      </c>
    </row>
    <row r="98">
      <c r="B98" s="28">
        <f>IFERROR(INDEX(HISTORICO!$A$3:$A$2002,MATCH(40,HISTORICO!$AC$3:$AC$2002,0)),"")</f>
        <v/>
      </c>
      <c r="C98" s="28">
        <f>IFERROR(INDEX(HISTORICO!$C$3:$C$2002,MATCH(40,HISTORICO!$AC$3:$AC$2002,0)),"")</f>
        <v/>
      </c>
      <c r="D98" s="33">
        <f>IFERROR(INDEX(HISTORICO!$U$3:$U$2002,MATCH(40,HISTORICO!$AC$3:$AC$2002,0)),"")</f>
        <v/>
      </c>
      <c r="E98" s="28">
        <f>IFERROR(INDEX(HISTORICO!$L$3:$L$2002,MATCH(40,HISTORICO!$AC$3:$AC$2002,0)),"")</f>
        <v/>
      </c>
      <c r="F98" s="34">
        <f>IFERROR(INDEX(HISTORICO!$N$3:$N$2002,MATCH(40,HISTORICO!$AC$3:$AC$2002,0)),"")</f>
        <v/>
      </c>
      <c r="G98" s="34">
        <f>IFERROR(INDEX(HISTORICO!$R$3:$R$2002,MATCH(40,HISTORICO!$AC$3:$AC$2002,0)),"")</f>
        <v/>
      </c>
      <c r="H98" s="29">
        <f>IFERROR(INDEX(HISTORICO!$T$3:$T$2002,MATCH(40,HISTORICO!$AC$3:$AC$2002,0)),"")</f>
        <v/>
      </c>
    </row>
    <row r="101">
      <c r="B101" s="25" t="inlineStr">
        <is>
          <t>CONSULTA DE MEDICAO (selecao real feita na aba RELATORIO DE MEDICAO)</t>
        </is>
      </c>
    </row>
    <row r="102">
      <c r="B102" s="26" t="inlineStr">
        <is>
          <t>NOTA selecionada:</t>
        </is>
      </c>
      <c r="C102" s="30">
        <f>RELATORIO_MEDICAO!$C$5</f>
        <v/>
      </c>
    </row>
    <row r="103">
      <c r="B103" s="26" t="inlineStr">
        <is>
          <t>MEDICAO selecionada:</t>
        </is>
      </c>
      <c r="C103" s="30">
        <f>RELATORIO_MEDICAO!$F$5</f>
        <v/>
      </c>
    </row>
    <row r="104">
      <c r="B104" s="26" t="inlineStr">
        <is>
          <t>TOTAL GERAL:</t>
        </is>
      </c>
      <c r="C104" s="35">
        <f>RELATORIO_MEDICAO!$J$5</f>
        <v/>
      </c>
    </row>
    <row r="106">
      <c r="B106" s="36" t="inlineStr">
        <is>
          <t>Para trocar a NOTA/MEDICAO exibida no relatorio, va ate a aba 'RELATORIO_MEDICAO' e altere as celulas amarelas C5/F5.</t>
        </is>
      </c>
    </row>
  </sheetData>
  <mergeCells count="11">
    <mergeCell ref="C52:F52"/>
    <mergeCell ref="B101:H101"/>
    <mergeCell ref="C53:F53"/>
    <mergeCell ref="B57:H57"/>
    <mergeCell ref="B49:H49"/>
    <mergeCell ref="A2:H2"/>
    <mergeCell ref="B106:H106"/>
    <mergeCell ref="C54:F54"/>
    <mergeCell ref="A1:H1"/>
    <mergeCell ref="B3:H3"/>
    <mergeCell ref="C55:F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0" summaryRight="1"/>
    <pageSetUpPr fitToPage="1"/>
  </sheetPr>
  <dimension ref="A1:K270"/>
  <sheetViews>
    <sheetView showGridLines="0" zoomScale="10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0" customWidth="1" min="4" max="4"/>
    <col width="14" customWidth="1" min="5" max="5"/>
    <col width="20" customWidth="1" min="6" max="6"/>
    <col width="8.5" customWidth="1" min="7" max="7"/>
    <col width="8" customWidth="1" min="8" max="8"/>
    <col width="8" customWidth="1" min="9" max="9"/>
    <col width="8" customWidth="1" min="10" max="10"/>
    <col width="12" customWidth="1" min="11" max="11"/>
  </cols>
  <sheetData>
    <row r="1" ht="26" customHeight="1">
      <c r="A1" s="17">
        <f>CONFIGURACOES!$C$7</f>
        <v/>
      </c>
      <c r="G1" s="37">
        <f>MOTOR_RELATORIO!$G$2</f>
        <v/>
      </c>
    </row>
    <row r="2" ht="30" customHeight="1">
      <c r="A2" s="38" t="inlineStr">
        <is>
          <t>RELATORIO DE MEDICAO</t>
        </is>
      </c>
    </row>
    <row r="3">
      <c r="A3" s="39" t="inlineStr">
        <is>
          <t>Documento para conferencia e assinatura do FISCAL</t>
        </is>
      </c>
    </row>
    <row r="4" ht="16" customHeight="1">
      <c r="A4" s="40" t="inlineStr">
        <is>
          <t>🖨  GERAR PDF</t>
        </is>
      </c>
      <c r="B4" s="41" t="n"/>
      <c r="C4" s="41" t="n"/>
      <c r="D4" s="42" t="inlineStr">
        <is>
          <t>Botao visual: importe os modulos VBA (pasta /medicoes/vba) e clique com o botao direito aqui -&gt; Atribuir Macro -&gt; ExportarPDF. Nome sugerido do arquivo: CADENGECOM_NOTA_[nota]_MEDICAO_[medicao].pdf</t>
        </is>
      </c>
    </row>
    <row r="5" ht="20" customHeight="1">
      <c r="A5" s="43" t="inlineStr">
        <is>
          <t>NUMERO DA NOTA:</t>
        </is>
      </c>
      <c r="C5" s="44" t="n">
        <v>29655103</v>
      </c>
      <c r="D5" s="43" t="inlineStr">
        <is>
          <t>MEDICAO:</t>
        </is>
      </c>
      <c r="F5" s="44" t="n">
        <v>1</v>
      </c>
      <c r="G5" s="45" t="inlineStr">
        <is>
          <t>TOTAL GERAL:</t>
        </is>
      </c>
      <c r="J5" s="46">
        <f>SUMIFS(HISTORICO!$T$3:$T$2002,HISTORICO!$A$3:$A$2002,$C$5,HISTORICO!$C$3:$C$2002,$F$5)</f>
        <v/>
      </c>
      <c r="K5" s="41" t="n"/>
    </row>
    <row r="6" ht="20" customHeight="1">
      <c r="A6" s="47" t="inlineStr">
        <is>
          <t>DADOS DA MEDICAO</t>
        </is>
      </c>
    </row>
    <row r="7" ht="16" customHeight="1">
      <c r="A7" s="48" t="inlineStr">
        <is>
          <t>NOTA:</t>
        </is>
      </c>
      <c r="B7" s="49">
        <f>$C$5</f>
        <v/>
      </c>
      <c r="C7" s="48" t="inlineStr">
        <is>
          <t>T.MED:</t>
        </is>
      </c>
      <c r="D7" s="49">
        <f>MOTOR_RELATORIO!$J$2</f>
        <v/>
      </c>
      <c r="E7" s="48" t="inlineStr">
        <is>
          <t>FISCAL:</t>
        </is>
      </c>
      <c r="F7" s="49">
        <f>MOTOR_RELATORIO!$E$2</f>
        <v/>
      </c>
      <c r="H7" s="48" t="inlineStr">
        <is>
          <t>C.C.:</t>
        </is>
      </c>
      <c r="I7" s="48" t="inlineStr"/>
    </row>
    <row r="8" ht="16" customHeight="1">
      <c r="A8" s="48" t="inlineStr">
        <is>
          <t>ELAB.:</t>
        </is>
      </c>
      <c r="B8" s="49">
        <f>MOTOR_RELATORIO!$I$2</f>
        <v/>
      </c>
      <c r="C8" s="48" t="inlineStr">
        <is>
          <t>CT:</t>
        </is>
      </c>
      <c r="D8" s="49">
        <f>MOTOR_RELATORIO!$F$2</f>
        <v/>
      </c>
      <c r="E8" s="48" t="inlineStr">
        <is>
          <t>SUPER.:</t>
        </is>
      </c>
      <c r="F8" s="49">
        <f>MOTOR_RELATORIO!$H$2</f>
        <v/>
      </c>
      <c r="H8" s="48" t="inlineStr">
        <is>
          <t>DATA:</t>
        </is>
      </c>
      <c r="I8" s="50">
        <f>MOTOR_RELATORIO!$K$2</f>
        <v/>
      </c>
    </row>
    <row r="9" ht="16" customHeight="1">
      <c r="A9" s="48" t="inlineStr">
        <is>
          <t>OBRA:</t>
        </is>
      </c>
      <c r="B9" s="49">
        <f>MOTOR_RELATORIO!$G$2</f>
        <v/>
      </c>
    </row>
    <row r="10" ht="20" customHeight="1">
      <c r="A10" s="47" t="inlineStr">
        <is>
          <t>ITENS DA MEDICAO</t>
        </is>
      </c>
    </row>
    <row r="11" ht="15" customHeight="1">
      <c r="A11" s="51">
        <f>IFERROR(INDEX(MOTOR_RELATORIO!$Y$2:$Y$151,MATCH(1*10+1,MOTOR_RELATORIO!$AE$2:$AE$151,0)),"")</f>
        <v/>
      </c>
      <c r="B11" s="52">
        <f>IFERROR(INDEX(MOTOR_RELATORIO!$Z$2:$Z$151,MATCH(1*10+1,MOTOR_RELATORIO!$AE$2:$AE$151,0)),"")</f>
        <v/>
      </c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</row>
    <row r="12" ht="15" customHeight="1">
      <c r="A12" s="54">
        <f>IFERROR(INDEX(MOTOR_RELATORIO!$AA$2:$AA$151,MATCH(1*10+1,MOTOR_RELATORIO!$AE$2:$AE$151,0)),"")</f>
        <v/>
      </c>
      <c r="B12" s="55">
        <f>IFERROR(INDEX(MOTOR_RELATORIO!$AB$2:$AB$151,MATCH(1*10+1,MOTOR_RELATORIO!$AE$2:$AE$151,0)),"")</f>
        <v/>
      </c>
    </row>
    <row r="13" ht="16" customHeight="1">
      <c r="A13" s="18" t="inlineStr">
        <is>
          <t>ITEM</t>
        </is>
      </c>
      <c r="B13" s="18" t="inlineStr">
        <is>
          <t>LINHA</t>
        </is>
      </c>
      <c r="C13" s="18" t="inlineStr">
        <is>
          <t>DESCRICAO</t>
        </is>
      </c>
      <c r="D13" s="56" t="n"/>
      <c r="E13" s="18" t="inlineStr">
        <is>
          <t>ATIVIDADE</t>
        </is>
      </c>
      <c r="F13" s="56" t="n"/>
      <c r="G13" s="18" t="inlineStr">
        <is>
          <t>UND.</t>
        </is>
      </c>
      <c r="H13" s="18" t="inlineStr">
        <is>
          <t>X</t>
        </is>
      </c>
      <c r="I13" s="18" t="inlineStr">
        <is>
          <t>Y</t>
        </is>
      </c>
      <c r="J13" s="18" t="inlineStr">
        <is>
          <t>Z</t>
        </is>
      </c>
      <c r="K13" s="18" t="inlineStr">
        <is>
          <t>RESULTADO</t>
        </is>
      </c>
    </row>
    <row r="14" ht="28" customHeight="1">
      <c r="A14" s="57">
        <f>IFERROR(INDEX(MOTOR_RELATORIO!$L$2:$L$151,MATCH(1*10+1,MOTOR_RELATORIO!$AE$2:$AE$151,0)),"")</f>
        <v/>
      </c>
      <c r="B14" s="57">
        <f>IFERROR(INDEX(MOTOR_RELATORIO!$M$2:$M$151,MATCH(1*10+1,MOTOR_RELATORIO!$AE$2:$AE$151,0)),"")</f>
        <v/>
      </c>
      <c r="C14" s="20" t="n"/>
      <c r="D14" s="20" t="n"/>
      <c r="E14" s="58">
        <f>IFERROR(INDEX(MOTOR_RELATORIO!$N$2:$N$151,MATCH(1*10+1,MOTOR_RELATORIO!$AE$2:$AE$151,0)),"")</f>
        <v/>
      </c>
      <c r="F14" s="20" t="n"/>
      <c r="G14" s="57">
        <f>IFERROR(INDEX(MOTOR_RELATORIO!$P$2:$P$151,MATCH(1*10+1,MOTOR_RELATORIO!$AE$2:$AE$151,0)),"")</f>
        <v/>
      </c>
      <c r="H14" s="20" t="n"/>
      <c r="I14" s="20" t="n"/>
      <c r="J14" s="20" t="n"/>
      <c r="K14" s="20" t="n"/>
    </row>
    <row r="15" outlineLevel="1" ht="14" customHeight="1">
      <c r="A15" s="20" t="n"/>
      <c r="B15" s="20" t="n"/>
      <c r="C15" s="28">
        <f>IFERROR(INDEX(MOTOR_RELATORIO!$O$2:$O$151,MATCH(1*10+1,MOTOR_RELATORIO!$AE$2:$AE$151,0)),"")</f>
        <v/>
      </c>
      <c r="D15" s="20" t="n"/>
      <c r="E15" s="20" t="n"/>
      <c r="F15" s="20" t="n"/>
      <c r="G15" s="20" t="n"/>
      <c r="H15" s="34">
        <f>IFERROR(INDEX(MOTOR_RELATORIO!$R$2:$R$151,MATCH(1*10+1,MOTOR_RELATORIO!$AE$2:$AE$151,0)),"")</f>
        <v/>
      </c>
      <c r="I15" s="34">
        <f>IFERROR(INDEX(MOTOR_RELATORIO!$S$2:$S$151,MATCH(1*10+1,MOTOR_RELATORIO!$AE$2:$AE$151,0)),"")</f>
        <v/>
      </c>
      <c r="J15" s="34">
        <f>IFERROR(INDEX(MOTOR_RELATORIO!$T$2:$T$151,MATCH(1*10+1,MOTOR_RELATORIO!$AE$2:$AE$151,0)),"")</f>
        <v/>
      </c>
      <c r="K15" s="34">
        <f>IFERROR(INDEX(MOTOR_RELATORIO!$U$2:$U$151,MATCH(1*10+1,MOTOR_RELATORIO!$AE$2:$AE$151,0)),"")</f>
        <v/>
      </c>
    </row>
    <row r="16" outlineLevel="1" ht="14" customHeight="1">
      <c r="A16" s="20" t="n"/>
      <c r="B16" s="20" t="n"/>
      <c r="C16" s="28">
        <f>IFERROR(INDEX(MOTOR_RELATORIO!$O$2:$O$151,MATCH(1*10+2,MOTOR_RELATORIO!$AE$2:$AE$151,0)),"")</f>
        <v/>
      </c>
      <c r="D16" s="20" t="n"/>
      <c r="E16" s="20" t="n"/>
      <c r="F16" s="20" t="n"/>
      <c r="G16" s="20" t="n"/>
      <c r="H16" s="34">
        <f>IFERROR(INDEX(MOTOR_RELATORIO!$R$2:$R$151,MATCH(1*10+2,MOTOR_RELATORIO!$AE$2:$AE$151,0)),"")</f>
        <v/>
      </c>
      <c r="I16" s="34">
        <f>IFERROR(INDEX(MOTOR_RELATORIO!$S$2:$S$151,MATCH(1*10+2,MOTOR_RELATORIO!$AE$2:$AE$151,0)),"")</f>
        <v/>
      </c>
      <c r="J16" s="34">
        <f>IFERROR(INDEX(MOTOR_RELATORIO!$T$2:$T$151,MATCH(1*10+2,MOTOR_RELATORIO!$AE$2:$AE$151,0)),"")</f>
        <v/>
      </c>
      <c r="K16" s="34">
        <f>IFERROR(INDEX(MOTOR_RELATORIO!$U$2:$U$151,MATCH(1*10+2,MOTOR_RELATORIO!$AE$2:$AE$151,0)),"")</f>
        <v/>
      </c>
    </row>
    <row r="17" outlineLevel="1" ht="14" customHeight="1">
      <c r="A17" s="20" t="n"/>
      <c r="B17" s="20" t="n"/>
      <c r="C17" s="28">
        <f>IFERROR(INDEX(MOTOR_RELATORIO!$O$2:$O$151,MATCH(1*10+3,MOTOR_RELATORIO!$AE$2:$AE$151,0)),"")</f>
        <v/>
      </c>
      <c r="D17" s="20" t="n"/>
      <c r="E17" s="20" t="n"/>
      <c r="F17" s="20" t="n"/>
      <c r="G17" s="20" t="n"/>
      <c r="H17" s="34">
        <f>IFERROR(INDEX(MOTOR_RELATORIO!$R$2:$R$151,MATCH(1*10+3,MOTOR_RELATORIO!$AE$2:$AE$151,0)),"")</f>
        <v/>
      </c>
      <c r="I17" s="34">
        <f>IFERROR(INDEX(MOTOR_RELATORIO!$S$2:$S$151,MATCH(1*10+3,MOTOR_RELATORIO!$AE$2:$AE$151,0)),"")</f>
        <v/>
      </c>
      <c r="J17" s="34">
        <f>IFERROR(INDEX(MOTOR_RELATORIO!$T$2:$T$151,MATCH(1*10+3,MOTOR_RELATORIO!$AE$2:$AE$151,0)),"")</f>
        <v/>
      </c>
      <c r="K17" s="34">
        <f>IFERROR(INDEX(MOTOR_RELATORIO!$U$2:$U$151,MATCH(1*10+3,MOTOR_RELATORIO!$AE$2:$AE$151,0)),"")</f>
        <v/>
      </c>
    </row>
    <row r="18" outlineLevel="1" ht="14" customHeight="1">
      <c r="A18" s="20" t="n"/>
      <c r="B18" s="20" t="n"/>
      <c r="C18" s="28">
        <f>IFERROR(INDEX(MOTOR_RELATORIO!$O$2:$O$151,MATCH(1*10+4,MOTOR_RELATORIO!$AE$2:$AE$151,0)),"")</f>
        <v/>
      </c>
      <c r="D18" s="20" t="n"/>
      <c r="E18" s="20" t="n"/>
      <c r="F18" s="20" t="n"/>
      <c r="G18" s="20" t="n"/>
      <c r="H18" s="34">
        <f>IFERROR(INDEX(MOTOR_RELATORIO!$R$2:$R$151,MATCH(1*10+4,MOTOR_RELATORIO!$AE$2:$AE$151,0)),"")</f>
        <v/>
      </c>
      <c r="I18" s="34">
        <f>IFERROR(INDEX(MOTOR_RELATORIO!$S$2:$S$151,MATCH(1*10+4,MOTOR_RELATORIO!$AE$2:$AE$151,0)),"")</f>
        <v/>
      </c>
      <c r="J18" s="34">
        <f>IFERROR(INDEX(MOTOR_RELATORIO!$T$2:$T$151,MATCH(1*10+4,MOTOR_RELATORIO!$AE$2:$AE$151,0)),"")</f>
        <v/>
      </c>
      <c r="K18" s="34">
        <f>IFERROR(INDEX(MOTOR_RELATORIO!$U$2:$U$151,MATCH(1*10+4,MOTOR_RELATORIO!$AE$2:$AE$151,0)),"")</f>
        <v/>
      </c>
    </row>
    <row r="19" outlineLevel="1" ht="14" customHeight="1">
      <c r="A19" s="20" t="n"/>
      <c r="B19" s="20" t="n"/>
      <c r="C19" s="28">
        <f>IFERROR(INDEX(MOTOR_RELATORIO!$O$2:$O$151,MATCH(1*10+5,MOTOR_RELATORIO!$AE$2:$AE$151,0)),"")</f>
        <v/>
      </c>
      <c r="D19" s="20" t="n"/>
      <c r="E19" s="20" t="n"/>
      <c r="F19" s="20" t="n"/>
      <c r="G19" s="20" t="n"/>
      <c r="H19" s="34">
        <f>IFERROR(INDEX(MOTOR_RELATORIO!$R$2:$R$151,MATCH(1*10+5,MOTOR_RELATORIO!$AE$2:$AE$151,0)),"")</f>
        <v/>
      </c>
      <c r="I19" s="34">
        <f>IFERROR(INDEX(MOTOR_RELATORIO!$S$2:$S$151,MATCH(1*10+5,MOTOR_RELATORIO!$AE$2:$AE$151,0)),"")</f>
        <v/>
      </c>
      <c r="J19" s="34">
        <f>IFERROR(INDEX(MOTOR_RELATORIO!$T$2:$T$151,MATCH(1*10+5,MOTOR_RELATORIO!$AE$2:$AE$151,0)),"")</f>
        <v/>
      </c>
      <c r="K19" s="34">
        <f>IFERROR(INDEX(MOTOR_RELATORIO!$U$2:$U$151,MATCH(1*10+5,MOTOR_RELATORIO!$AE$2:$AE$151,0)),"")</f>
        <v/>
      </c>
    </row>
    <row r="20" outlineLevel="1" ht="14" customHeight="1">
      <c r="A20" s="20" t="n"/>
      <c r="B20" s="20" t="n"/>
      <c r="C20" s="28">
        <f>IFERROR(INDEX(MOTOR_RELATORIO!$O$2:$O$151,MATCH(1*10+6,MOTOR_RELATORIO!$AE$2:$AE$151,0)),"")</f>
        <v/>
      </c>
      <c r="D20" s="20" t="n"/>
      <c r="E20" s="20" t="n"/>
      <c r="F20" s="20" t="n"/>
      <c r="G20" s="20" t="n"/>
      <c r="H20" s="34">
        <f>IFERROR(INDEX(MOTOR_RELATORIO!$R$2:$R$151,MATCH(1*10+6,MOTOR_RELATORIO!$AE$2:$AE$151,0)),"")</f>
        <v/>
      </c>
      <c r="I20" s="34">
        <f>IFERROR(INDEX(MOTOR_RELATORIO!$S$2:$S$151,MATCH(1*10+6,MOTOR_RELATORIO!$AE$2:$AE$151,0)),"")</f>
        <v/>
      </c>
      <c r="J20" s="34">
        <f>IFERROR(INDEX(MOTOR_RELATORIO!$T$2:$T$151,MATCH(1*10+6,MOTOR_RELATORIO!$AE$2:$AE$151,0)),"")</f>
        <v/>
      </c>
      <c r="K20" s="34">
        <f>IFERROR(INDEX(MOTOR_RELATORIO!$U$2:$U$151,MATCH(1*10+6,MOTOR_RELATORIO!$AE$2:$AE$151,0)),"")</f>
        <v/>
      </c>
    </row>
    <row r="21">
      <c r="A21" s="59" t="n"/>
      <c r="B21" s="59" t="n"/>
      <c r="C21" s="59" t="n"/>
      <c r="D21" s="59" t="n"/>
      <c r="E21" s="59" t="n"/>
      <c r="F21" s="59" t="n"/>
      <c r="G21" s="60" t="inlineStr">
        <is>
          <t>RESULTADO:</t>
        </is>
      </c>
      <c r="H21" s="59" t="n"/>
      <c r="I21" s="61">
        <f>IFERROR(INDEX(MOTOR_RELATORIO!$AF$2:$AF$151,MATCH(1*10+1,MOTOR_RELATORIO!$AE$2:$AE$151,0)),"")</f>
        <v/>
      </c>
      <c r="J21" s="59" t="n"/>
      <c r="K21" s="59" t="n"/>
    </row>
    <row r="22">
      <c r="A22" s="62" t="n"/>
      <c r="B22" s="62" t="n"/>
      <c r="C22" s="62" t="n"/>
      <c r="D22" s="62" t="n"/>
      <c r="E22" s="62" t="n"/>
      <c r="F22" s="62" t="n"/>
      <c r="G22" s="63" t="inlineStr">
        <is>
          <t>VALOR:</t>
        </is>
      </c>
      <c r="H22" s="62" t="n"/>
      <c r="I22" s="64">
        <f>IFERROR(INDEX(MOTOR_RELATORIO!$AG$2:$AG$151,MATCH(1*10+1,MOTOR_RELATORIO!$AE$2:$AE$151,0)),"")</f>
        <v/>
      </c>
      <c r="J22" s="62" t="n"/>
      <c r="K22" s="62" t="n"/>
    </row>
    <row r="23" ht="15" customHeight="1">
      <c r="A23" s="51">
        <f>IFERROR(INDEX(MOTOR_RELATORIO!$Y$2:$Y$151,MATCH(2*10+1,MOTOR_RELATORIO!$AE$2:$AE$151,0)),"")</f>
        <v/>
      </c>
      <c r="B23" s="52">
        <f>IFERROR(INDEX(MOTOR_RELATORIO!$Z$2:$Z$151,MATCH(2*10+1,MOTOR_RELATORIO!$AE$2:$AE$151,0)),"")</f>
        <v/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</row>
    <row r="24" ht="15" customHeight="1">
      <c r="A24" s="54">
        <f>IFERROR(INDEX(MOTOR_RELATORIO!$AA$2:$AA$151,MATCH(2*10+1,MOTOR_RELATORIO!$AE$2:$AE$151,0)),"")</f>
        <v/>
      </c>
      <c r="B24" s="55">
        <f>IFERROR(INDEX(MOTOR_RELATORIO!$AB$2:$AB$151,MATCH(2*10+1,MOTOR_RELATORIO!$AE$2:$AE$151,0)),"")</f>
        <v/>
      </c>
    </row>
    <row r="25" ht="16" customHeight="1">
      <c r="A25" s="18" t="inlineStr">
        <is>
          <t>ITEM</t>
        </is>
      </c>
      <c r="B25" s="18" t="inlineStr">
        <is>
          <t>LINHA</t>
        </is>
      </c>
      <c r="C25" s="18" t="inlineStr">
        <is>
          <t>DESCRICAO</t>
        </is>
      </c>
      <c r="D25" s="56" t="n"/>
      <c r="E25" s="18" t="inlineStr">
        <is>
          <t>ATIVIDADE</t>
        </is>
      </c>
      <c r="F25" s="56" t="n"/>
      <c r="G25" s="18" t="inlineStr">
        <is>
          <t>UND.</t>
        </is>
      </c>
      <c r="H25" s="18" t="inlineStr">
        <is>
          <t>X</t>
        </is>
      </c>
      <c r="I25" s="18" t="inlineStr">
        <is>
          <t>Y</t>
        </is>
      </c>
      <c r="J25" s="18" t="inlineStr">
        <is>
          <t>Z</t>
        </is>
      </c>
      <c r="K25" s="18" t="inlineStr">
        <is>
          <t>RESULTADO</t>
        </is>
      </c>
    </row>
    <row r="26" ht="28" customHeight="1">
      <c r="A26" s="57">
        <f>IFERROR(INDEX(MOTOR_RELATORIO!$L$2:$L$151,MATCH(2*10+1,MOTOR_RELATORIO!$AE$2:$AE$151,0)),"")</f>
        <v/>
      </c>
      <c r="B26" s="57">
        <f>IFERROR(INDEX(MOTOR_RELATORIO!$M$2:$M$151,MATCH(2*10+1,MOTOR_RELATORIO!$AE$2:$AE$151,0)),"")</f>
        <v/>
      </c>
      <c r="C26" s="20" t="n"/>
      <c r="D26" s="20" t="n"/>
      <c r="E26" s="58">
        <f>IFERROR(INDEX(MOTOR_RELATORIO!$N$2:$N$151,MATCH(2*10+1,MOTOR_RELATORIO!$AE$2:$AE$151,0)),"")</f>
        <v/>
      </c>
      <c r="F26" s="20" t="n"/>
      <c r="G26" s="57">
        <f>IFERROR(INDEX(MOTOR_RELATORIO!$P$2:$P$151,MATCH(2*10+1,MOTOR_RELATORIO!$AE$2:$AE$151,0)),"")</f>
        <v/>
      </c>
      <c r="H26" s="20" t="n"/>
      <c r="I26" s="20" t="n"/>
      <c r="J26" s="20" t="n"/>
      <c r="K26" s="20" t="n"/>
    </row>
    <row r="27" outlineLevel="1" ht="14" customHeight="1">
      <c r="A27" s="20" t="n"/>
      <c r="B27" s="20" t="n"/>
      <c r="C27" s="28">
        <f>IFERROR(INDEX(MOTOR_RELATORIO!$O$2:$O$151,MATCH(2*10+1,MOTOR_RELATORIO!$AE$2:$AE$151,0)),"")</f>
        <v/>
      </c>
      <c r="D27" s="20" t="n"/>
      <c r="E27" s="20" t="n"/>
      <c r="F27" s="20" t="n"/>
      <c r="G27" s="20" t="n"/>
      <c r="H27" s="34">
        <f>IFERROR(INDEX(MOTOR_RELATORIO!$R$2:$R$151,MATCH(2*10+1,MOTOR_RELATORIO!$AE$2:$AE$151,0)),"")</f>
        <v/>
      </c>
      <c r="I27" s="34">
        <f>IFERROR(INDEX(MOTOR_RELATORIO!$S$2:$S$151,MATCH(2*10+1,MOTOR_RELATORIO!$AE$2:$AE$151,0)),"")</f>
        <v/>
      </c>
      <c r="J27" s="34">
        <f>IFERROR(INDEX(MOTOR_RELATORIO!$T$2:$T$151,MATCH(2*10+1,MOTOR_RELATORIO!$AE$2:$AE$151,0)),"")</f>
        <v/>
      </c>
      <c r="K27" s="34">
        <f>IFERROR(INDEX(MOTOR_RELATORIO!$U$2:$U$151,MATCH(2*10+1,MOTOR_RELATORIO!$AE$2:$AE$151,0)),"")</f>
        <v/>
      </c>
    </row>
    <row r="28" outlineLevel="1" ht="14" customHeight="1">
      <c r="A28" s="20" t="n"/>
      <c r="B28" s="20" t="n"/>
      <c r="C28" s="28">
        <f>IFERROR(INDEX(MOTOR_RELATORIO!$O$2:$O$151,MATCH(2*10+2,MOTOR_RELATORIO!$AE$2:$AE$151,0)),"")</f>
        <v/>
      </c>
      <c r="D28" s="20" t="n"/>
      <c r="E28" s="20" t="n"/>
      <c r="F28" s="20" t="n"/>
      <c r="G28" s="20" t="n"/>
      <c r="H28" s="34">
        <f>IFERROR(INDEX(MOTOR_RELATORIO!$R$2:$R$151,MATCH(2*10+2,MOTOR_RELATORIO!$AE$2:$AE$151,0)),"")</f>
        <v/>
      </c>
      <c r="I28" s="34">
        <f>IFERROR(INDEX(MOTOR_RELATORIO!$S$2:$S$151,MATCH(2*10+2,MOTOR_RELATORIO!$AE$2:$AE$151,0)),"")</f>
        <v/>
      </c>
      <c r="J28" s="34">
        <f>IFERROR(INDEX(MOTOR_RELATORIO!$T$2:$T$151,MATCH(2*10+2,MOTOR_RELATORIO!$AE$2:$AE$151,0)),"")</f>
        <v/>
      </c>
      <c r="K28" s="34">
        <f>IFERROR(INDEX(MOTOR_RELATORIO!$U$2:$U$151,MATCH(2*10+2,MOTOR_RELATORIO!$AE$2:$AE$151,0)),"")</f>
        <v/>
      </c>
    </row>
    <row r="29" outlineLevel="1" ht="14" customHeight="1">
      <c r="A29" s="20" t="n"/>
      <c r="B29" s="20" t="n"/>
      <c r="C29" s="28">
        <f>IFERROR(INDEX(MOTOR_RELATORIO!$O$2:$O$151,MATCH(2*10+3,MOTOR_RELATORIO!$AE$2:$AE$151,0)),"")</f>
        <v/>
      </c>
      <c r="D29" s="20" t="n"/>
      <c r="E29" s="20" t="n"/>
      <c r="F29" s="20" t="n"/>
      <c r="G29" s="20" t="n"/>
      <c r="H29" s="34">
        <f>IFERROR(INDEX(MOTOR_RELATORIO!$R$2:$R$151,MATCH(2*10+3,MOTOR_RELATORIO!$AE$2:$AE$151,0)),"")</f>
        <v/>
      </c>
      <c r="I29" s="34">
        <f>IFERROR(INDEX(MOTOR_RELATORIO!$S$2:$S$151,MATCH(2*10+3,MOTOR_RELATORIO!$AE$2:$AE$151,0)),"")</f>
        <v/>
      </c>
      <c r="J29" s="34">
        <f>IFERROR(INDEX(MOTOR_RELATORIO!$T$2:$T$151,MATCH(2*10+3,MOTOR_RELATORIO!$AE$2:$AE$151,0)),"")</f>
        <v/>
      </c>
      <c r="K29" s="34">
        <f>IFERROR(INDEX(MOTOR_RELATORIO!$U$2:$U$151,MATCH(2*10+3,MOTOR_RELATORIO!$AE$2:$AE$151,0)),"")</f>
        <v/>
      </c>
    </row>
    <row r="30" outlineLevel="1" ht="14" customHeight="1">
      <c r="A30" s="20" t="n"/>
      <c r="B30" s="20" t="n"/>
      <c r="C30" s="28">
        <f>IFERROR(INDEX(MOTOR_RELATORIO!$O$2:$O$151,MATCH(2*10+4,MOTOR_RELATORIO!$AE$2:$AE$151,0)),"")</f>
        <v/>
      </c>
      <c r="D30" s="20" t="n"/>
      <c r="E30" s="20" t="n"/>
      <c r="F30" s="20" t="n"/>
      <c r="G30" s="20" t="n"/>
      <c r="H30" s="34">
        <f>IFERROR(INDEX(MOTOR_RELATORIO!$R$2:$R$151,MATCH(2*10+4,MOTOR_RELATORIO!$AE$2:$AE$151,0)),"")</f>
        <v/>
      </c>
      <c r="I30" s="34">
        <f>IFERROR(INDEX(MOTOR_RELATORIO!$S$2:$S$151,MATCH(2*10+4,MOTOR_RELATORIO!$AE$2:$AE$151,0)),"")</f>
        <v/>
      </c>
      <c r="J30" s="34">
        <f>IFERROR(INDEX(MOTOR_RELATORIO!$T$2:$T$151,MATCH(2*10+4,MOTOR_RELATORIO!$AE$2:$AE$151,0)),"")</f>
        <v/>
      </c>
      <c r="K30" s="34">
        <f>IFERROR(INDEX(MOTOR_RELATORIO!$U$2:$U$151,MATCH(2*10+4,MOTOR_RELATORIO!$AE$2:$AE$151,0)),"")</f>
        <v/>
      </c>
    </row>
    <row r="31" outlineLevel="1" ht="14" customHeight="1">
      <c r="A31" s="20" t="n"/>
      <c r="B31" s="20" t="n"/>
      <c r="C31" s="28">
        <f>IFERROR(INDEX(MOTOR_RELATORIO!$O$2:$O$151,MATCH(2*10+5,MOTOR_RELATORIO!$AE$2:$AE$151,0)),"")</f>
        <v/>
      </c>
      <c r="D31" s="20" t="n"/>
      <c r="E31" s="20" t="n"/>
      <c r="F31" s="20" t="n"/>
      <c r="G31" s="20" t="n"/>
      <c r="H31" s="34">
        <f>IFERROR(INDEX(MOTOR_RELATORIO!$R$2:$R$151,MATCH(2*10+5,MOTOR_RELATORIO!$AE$2:$AE$151,0)),"")</f>
        <v/>
      </c>
      <c r="I31" s="34">
        <f>IFERROR(INDEX(MOTOR_RELATORIO!$S$2:$S$151,MATCH(2*10+5,MOTOR_RELATORIO!$AE$2:$AE$151,0)),"")</f>
        <v/>
      </c>
      <c r="J31" s="34">
        <f>IFERROR(INDEX(MOTOR_RELATORIO!$T$2:$T$151,MATCH(2*10+5,MOTOR_RELATORIO!$AE$2:$AE$151,0)),"")</f>
        <v/>
      </c>
      <c r="K31" s="34">
        <f>IFERROR(INDEX(MOTOR_RELATORIO!$U$2:$U$151,MATCH(2*10+5,MOTOR_RELATORIO!$AE$2:$AE$151,0)),"")</f>
        <v/>
      </c>
    </row>
    <row r="32" outlineLevel="1" ht="14" customHeight="1">
      <c r="A32" s="20" t="n"/>
      <c r="B32" s="20" t="n"/>
      <c r="C32" s="28">
        <f>IFERROR(INDEX(MOTOR_RELATORIO!$O$2:$O$151,MATCH(2*10+6,MOTOR_RELATORIO!$AE$2:$AE$151,0)),"")</f>
        <v/>
      </c>
      <c r="D32" s="20" t="n"/>
      <c r="E32" s="20" t="n"/>
      <c r="F32" s="20" t="n"/>
      <c r="G32" s="20" t="n"/>
      <c r="H32" s="34">
        <f>IFERROR(INDEX(MOTOR_RELATORIO!$R$2:$R$151,MATCH(2*10+6,MOTOR_RELATORIO!$AE$2:$AE$151,0)),"")</f>
        <v/>
      </c>
      <c r="I32" s="34">
        <f>IFERROR(INDEX(MOTOR_RELATORIO!$S$2:$S$151,MATCH(2*10+6,MOTOR_RELATORIO!$AE$2:$AE$151,0)),"")</f>
        <v/>
      </c>
      <c r="J32" s="34">
        <f>IFERROR(INDEX(MOTOR_RELATORIO!$T$2:$T$151,MATCH(2*10+6,MOTOR_RELATORIO!$AE$2:$AE$151,0)),"")</f>
        <v/>
      </c>
      <c r="K32" s="34">
        <f>IFERROR(INDEX(MOTOR_RELATORIO!$U$2:$U$151,MATCH(2*10+6,MOTOR_RELATORIO!$AE$2:$AE$151,0)),"")</f>
        <v/>
      </c>
    </row>
    <row r="33">
      <c r="A33" s="59" t="n"/>
      <c r="B33" s="59" t="n"/>
      <c r="C33" s="59" t="n"/>
      <c r="D33" s="59" t="n"/>
      <c r="E33" s="59" t="n"/>
      <c r="F33" s="59" t="n"/>
      <c r="G33" s="60" t="inlineStr">
        <is>
          <t>RESULTADO:</t>
        </is>
      </c>
      <c r="H33" s="59" t="n"/>
      <c r="I33" s="61">
        <f>IFERROR(INDEX(MOTOR_RELATORIO!$AF$2:$AF$151,MATCH(2*10+1,MOTOR_RELATORIO!$AE$2:$AE$151,0)),"")</f>
        <v/>
      </c>
      <c r="J33" s="59" t="n"/>
      <c r="K33" s="59" t="n"/>
    </row>
    <row r="34">
      <c r="A34" s="62" t="n"/>
      <c r="B34" s="62" t="n"/>
      <c r="C34" s="62" t="n"/>
      <c r="D34" s="62" t="n"/>
      <c r="E34" s="62" t="n"/>
      <c r="F34" s="62" t="n"/>
      <c r="G34" s="63" t="inlineStr">
        <is>
          <t>VALOR:</t>
        </is>
      </c>
      <c r="H34" s="62" t="n"/>
      <c r="I34" s="64">
        <f>IFERROR(INDEX(MOTOR_RELATORIO!$AG$2:$AG$151,MATCH(2*10+1,MOTOR_RELATORIO!$AE$2:$AE$151,0)),"")</f>
        <v/>
      </c>
      <c r="J34" s="62" t="n"/>
      <c r="K34" s="62" t="n"/>
    </row>
    <row r="35" ht="15" customHeight="1">
      <c r="A35" s="51">
        <f>IFERROR(INDEX(MOTOR_RELATORIO!$Y$2:$Y$151,MATCH(3*10+1,MOTOR_RELATORIO!$AE$2:$AE$151,0)),"")</f>
        <v/>
      </c>
      <c r="B35" s="52">
        <f>IFERROR(INDEX(MOTOR_RELATORIO!$Z$2:$Z$151,MATCH(3*10+1,MOTOR_RELATORIO!$AE$2:$AE$151,0)),"")</f>
        <v/>
      </c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</row>
    <row r="36" ht="15" customHeight="1">
      <c r="A36" s="54">
        <f>IFERROR(INDEX(MOTOR_RELATORIO!$AA$2:$AA$151,MATCH(3*10+1,MOTOR_RELATORIO!$AE$2:$AE$151,0)),"")</f>
        <v/>
      </c>
      <c r="B36" s="55">
        <f>IFERROR(INDEX(MOTOR_RELATORIO!$AB$2:$AB$151,MATCH(3*10+1,MOTOR_RELATORIO!$AE$2:$AE$151,0)),"")</f>
        <v/>
      </c>
    </row>
    <row r="37" ht="16" customHeight="1">
      <c r="A37" s="18" t="inlineStr">
        <is>
          <t>ITEM</t>
        </is>
      </c>
      <c r="B37" s="18" t="inlineStr">
        <is>
          <t>LINHA</t>
        </is>
      </c>
      <c r="C37" s="18" t="inlineStr">
        <is>
          <t>DESCRICAO</t>
        </is>
      </c>
      <c r="D37" s="56" t="n"/>
      <c r="E37" s="18" t="inlineStr">
        <is>
          <t>ATIVIDADE</t>
        </is>
      </c>
      <c r="F37" s="56" t="n"/>
      <c r="G37" s="18" t="inlineStr">
        <is>
          <t>UND.</t>
        </is>
      </c>
      <c r="H37" s="18" t="inlineStr">
        <is>
          <t>X</t>
        </is>
      </c>
      <c r="I37" s="18" t="inlineStr">
        <is>
          <t>Y</t>
        </is>
      </c>
      <c r="J37" s="18" t="inlineStr">
        <is>
          <t>Z</t>
        </is>
      </c>
      <c r="K37" s="18" t="inlineStr">
        <is>
          <t>RESULTADO</t>
        </is>
      </c>
    </row>
    <row r="38" ht="28" customHeight="1">
      <c r="A38" s="57">
        <f>IFERROR(INDEX(MOTOR_RELATORIO!$L$2:$L$151,MATCH(3*10+1,MOTOR_RELATORIO!$AE$2:$AE$151,0)),"")</f>
        <v/>
      </c>
      <c r="B38" s="57">
        <f>IFERROR(INDEX(MOTOR_RELATORIO!$M$2:$M$151,MATCH(3*10+1,MOTOR_RELATORIO!$AE$2:$AE$151,0)),"")</f>
        <v/>
      </c>
      <c r="C38" s="20" t="n"/>
      <c r="D38" s="20" t="n"/>
      <c r="E38" s="58">
        <f>IFERROR(INDEX(MOTOR_RELATORIO!$N$2:$N$151,MATCH(3*10+1,MOTOR_RELATORIO!$AE$2:$AE$151,0)),"")</f>
        <v/>
      </c>
      <c r="F38" s="20" t="n"/>
      <c r="G38" s="57">
        <f>IFERROR(INDEX(MOTOR_RELATORIO!$P$2:$P$151,MATCH(3*10+1,MOTOR_RELATORIO!$AE$2:$AE$151,0)),"")</f>
        <v/>
      </c>
      <c r="H38" s="20" t="n"/>
      <c r="I38" s="20" t="n"/>
      <c r="J38" s="20" t="n"/>
      <c r="K38" s="20" t="n"/>
    </row>
    <row r="39" outlineLevel="1" ht="14" customHeight="1">
      <c r="A39" s="20" t="n"/>
      <c r="B39" s="20" t="n"/>
      <c r="C39" s="28">
        <f>IFERROR(INDEX(MOTOR_RELATORIO!$O$2:$O$151,MATCH(3*10+1,MOTOR_RELATORIO!$AE$2:$AE$151,0)),"")</f>
        <v/>
      </c>
      <c r="D39" s="20" t="n"/>
      <c r="E39" s="20" t="n"/>
      <c r="F39" s="20" t="n"/>
      <c r="G39" s="20" t="n"/>
      <c r="H39" s="34">
        <f>IFERROR(INDEX(MOTOR_RELATORIO!$R$2:$R$151,MATCH(3*10+1,MOTOR_RELATORIO!$AE$2:$AE$151,0)),"")</f>
        <v/>
      </c>
      <c r="I39" s="34">
        <f>IFERROR(INDEX(MOTOR_RELATORIO!$S$2:$S$151,MATCH(3*10+1,MOTOR_RELATORIO!$AE$2:$AE$151,0)),"")</f>
        <v/>
      </c>
      <c r="J39" s="34">
        <f>IFERROR(INDEX(MOTOR_RELATORIO!$T$2:$T$151,MATCH(3*10+1,MOTOR_RELATORIO!$AE$2:$AE$151,0)),"")</f>
        <v/>
      </c>
      <c r="K39" s="34">
        <f>IFERROR(INDEX(MOTOR_RELATORIO!$U$2:$U$151,MATCH(3*10+1,MOTOR_RELATORIO!$AE$2:$AE$151,0)),"")</f>
        <v/>
      </c>
    </row>
    <row r="40" outlineLevel="1" ht="14" customHeight="1">
      <c r="A40" s="20" t="n"/>
      <c r="B40" s="20" t="n"/>
      <c r="C40" s="28">
        <f>IFERROR(INDEX(MOTOR_RELATORIO!$O$2:$O$151,MATCH(3*10+2,MOTOR_RELATORIO!$AE$2:$AE$151,0)),"")</f>
        <v/>
      </c>
      <c r="D40" s="20" t="n"/>
      <c r="E40" s="20" t="n"/>
      <c r="F40" s="20" t="n"/>
      <c r="G40" s="20" t="n"/>
      <c r="H40" s="34">
        <f>IFERROR(INDEX(MOTOR_RELATORIO!$R$2:$R$151,MATCH(3*10+2,MOTOR_RELATORIO!$AE$2:$AE$151,0)),"")</f>
        <v/>
      </c>
      <c r="I40" s="34">
        <f>IFERROR(INDEX(MOTOR_RELATORIO!$S$2:$S$151,MATCH(3*10+2,MOTOR_RELATORIO!$AE$2:$AE$151,0)),"")</f>
        <v/>
      </c>
      <c r="J40" s="34">
        <f>IFERROR(INDEX(MOTOR_RELATORIO!$T$2:$T$151,MATCH(3*10+2,MOTOR_RELATORIO!$AE$2:$AE$151,0)),"")</f>
        <v/>
      </c>
      <c r="K40" s="34">
        <f>IFERROR(INDEX(MOTOR_RELATORIO!$U$2:$U$151,MATCH(3*10+2,MOTOR_RELATORIO!$AE$2:$AE$151,0)),"")</f>
        <v/>
      </c>
    </row>
    <row r="41" outlineLevel="1" ht="14" customHeight="1">
      <c r="A41" s="20" t="n"/>
      <c r="B41" s="20" t="n"/>
      <c r="C41" s="28">
        <f>IFERROR(INDEX(MOTOR_RELATORIO!$O$2:$O$151,MATCH(3*10+3,MOTOR_RELATORIO!$AE$2:$AE$151,0)),"")</f>
        <v/>
      </c>
      <c r="D41" s="20" t="n"/>
      <c r="E41" s="20" t="n"/>
      <c r="F41" s="20" t="n"/>
      <c r="G41" s="20" t="n"/>
      <c r="H41" s="34">
        <f>IFERROR(INDEX(MOTOR_RELATORIO!$R$2:$R$151,MATCH(3*10+3,MOTOR_RELATORIO!$AE$2:$AE$151,0)),"")</f>
        <v/>
      </c>
      <c r="I41" s="34">
        <f>IFERROR(INDEX(MOTOR_RELATORIO!$S$2:$S$151,MATCH(3*10+3,MOTOR_RELATORIO!$AE$2:$AE$151,0)),"")</f>
        <v/>
      </c>
      <c r="J41" s="34">
        <f>IFERROR(INDEX(MOTOR_RELATORIO!$T$2:$T$151,MATCH(3*10+3,MOTOR_RELATORIO!$AE$2:$AE$151,0)),"")</f>
        <v/>
      </c>
      <c r="K41" s="34">
        <f>IFERROR(INDEX(MOTOR_RELATORIO!$U$2:$U$151,MATCH(3*10+3,MOTOR_RELATORIO!$AE$2:$AE$151,0)),"")</f>
        <v/>
      </c>
    </row>
    <row r="42" outlineLevel="1" ht="14" customHeight="1">
      <c r="A42" s="20" t="n"/>
      <c r="B42" s="20" t="n"/>
      <c r="C42" s="28">
        <f>IFERROR(INDEX(MOTOR_RELATORIO!$O$2:$O$151,MATCH(3*10+4,MOTOR_RELATORIO!$AE$2:$AE$151,0)),"")</f>
        <v/>
      </c>
      <c r="D42" s="20" t="n"/>
      <c r="E42" s="20" t="n"/>
      <c r="F42" s="20" t="n"/>
      <c r="G42" s="20" t="n"/>
      <c r="H42" s="34">
        <f>IFERROR(INDEX(MOTOR_RELATORIO!$R$2:$R$151,MATCH(3*10+4,MOTOR_RELATORIO!$AE$2:$AE$151,0)),"")</f>
        <v/>
      </c>
      <c r="I42" s="34">
        <f>IFERROR(INDEX(MOTOR_RELATORIO!$S$2:$S$151,MATCH(3*10+4,MOTOR_RELATORIO!$AE$2:$AE$151,0)),"")</f>
        <v/>
      </c>
      <c r="J42" s="34">
        <f>IFERROR(INDEX(MOTOR_RELATORIO!$T$2:$T$151,MATCH(3*10+4,MOTOR_RELATORIO!$AE$2:$AE$151,0)),"")</f>
        <v/>
      </c>
      <c r="K42" s="34">
        <f>IFERROR(INDEX(MOTOR_RELATORIO!$U$2:$U$151,MATCH(3*10+4,MOTOR_RELATORIO!$AE$2:$AE$151,0)),"")</f>
        <v/>
      </c>
    </row>
    <row r="43" outlineLevel="1" ht="14" customHeight="1">
      <c r="A43" s="20" t="n"/>
      <c r="B43" s="20" t="n"/>
      <c r="C43" s="28">
        <f>IFERROR(INDEX(MOTOR_RELATORIO!$O$2:$O$151,MATCH(3*10+5,MOTOR_RELATORIO!$AE$2:$AE$151,0)),"")</f>
        <v/>
      </c>
      <c r="D43" s="20" t="n"/>
      <c r="E43" s="20" t="n"/>
      <c r="F43" s="20" t="n"/>
      <c r="G43" s="20" t="n"/>
      <c r="H43" s="34">
        <f>IFERROR(INDEX(MOTOR_RELATORIO!$R$2:$R$151,MATCH(3*10+5,MOTOR_RELATORIO!$AE$2:$AE$151,0)),"")</f>
        <v/>
      </c>
      <c r="I43" s="34">
        <f>IFERROR(INDEX(MOTOR_RELATORIO!$S$2:$S$151,MATCH(3*10+5,MOTOR_RELATORIO!$AE$2:$AE$151,0)),"")</f>
        <v/>
      </c>
      <c r="J43" s="34">
        <f>IFERROR(INDEX(MOTOR_RELATORIO!$T$2:$T$151,MATCH(3*10+5,MOTOR_RELATORIO!$AE$2:$AE$151,0)),"")</f>
        <v/>
      </c>
      <c r="K43" s="34">
        <f>IFERROR(INDEX(MOTOR_RELATORIO!$U$2:$U$151,MATCH(3*10+5,MOTOR_RELATORIO!$AE$2:$AE$151,0)),"")</f>
        <v/>
      </c>
    </row>
    <row r="44" outlineLevel="1" ht="14" customHeight="1">
      <c r="A44" s="20" t="n"/>
      <c r="B44" s="20" t="n"/>
      <c r="C44" s="28">
        <f>IFERROR(INDEX(MOTOR_RELATORIO!$O$2:$O$151,MATCH(3*10+6,MOTOR_RELATORIO!$AE$2:$AE$151,0)),"")</f>
        <v/>
      </c>
      <c r="D44" s="20" t="n"/>
      <c r="E44" s="20" t="n"/>
      <c r="F44" s="20" t="n"/>
      <c r="G44" s="20" t="n"/>
      <c r="H44" s="34">
        <f>IFERROR(INDEX(MOTOR_RELATORIO!$R$2:$R$151,MATCH(3*10+6,MOTOR_RELATORIO!$AE$2:$AE$151,0)),"")</f>
        <v/>
      </c>
      <c r="I44" s="34">
        <f>IFERROR(INDEX(MOTOR_RELATORIO!$S$2:$S$151,MATCH(3*10+6,MOTOR_RELATORIO!$AE$2:$AE$151,0)),"")</f>
        <v/>
      </c>
      <c r="J44" s="34">
        <f>IFERROR(INDEX(MOTOR_RELATORIO!$T$2:$T$151,MATCH(3*10+6,MOTOR_RELATORIO!$AE$2:$AE$151,0)),"")</f>
        <v/>
      </c>
      <c r="K44" s="34">
        <f>IFERROR(INDEX(MOTOR_RELATORIO!$U$2:$U$151,MATCH(3*10+6,MOTOR_RELATORIO!$AE$2:$AE$151,0)),"")</f>
        <v/>
      </c>
    </row>
    <row r="45">
      <c r="A45" s="59" t="n"/>
      <c r="B45" s="59" t="n"/>
      <c r="C45" s="59" t="n"/>
      <c r="D45" s="59" t="n"/>
      <c r="E45" s="59" t="n"/>
      <c r="F45" s="59" t="n"/>
      <c r="G45" s="60" t="inlineStr">
        <is>
          <t>RESULTADO:</t>
        </is>
      </c>
      <c r="H45" s="59" t="n"/>
      <c r="I45" s="61">
        <f>IFERROR(INDEX(MOTOR_RELATORIO!$AF$2:$AF$151,MATCH(3*10+1,MOTOR_RELATORIO!$AE$2:$AE$151,0)),"")</f>
        <v/>
      </c>
      <c r="J45" s="59" t="n"/>
      <c r="K45" s="59" t="n"/>
    </row>
    <row r="46">
      <c r="A46" s="62" t="n"/>
      <c r="B46" s="62" t="n"/>
      <c r="C46" s="62" t="n"/>
      <c r="D46" s="62" t="n"/>
      <c r="E46" s="62" t="n"/>
      <c r="F46" s="62" t="n"/>
      <c r="G46" s="63" t="inlineStr">
        <is>
          <t>VALOR:</t>
        </is>
      </c>
      <c r="H46" s="62" t="n"/>
      <c r="I46" s="64">
        <f>IFERROR(INDEX(MOTOR_RELATORIO!$AG$2:$AG$151,MATCH(3*10+1,MOTOR_RELATORIO!$AE$2:$AE$151,0)),"")</f>
        <v/>
      </c>
      <c r="J46" s="62" t="n"/>
      <c r="K46" s="62" t="n"/>
    </row>
    <row r="47" ht="15" customHeight="1">
      <c r="A47" s="51">
        <f>IFERROR(INDEX(MOTOR_RELATORIO!$Y$2:$Y$151,MATCH(4*10+1,MOTOR_RELATORIO!$AE$2:$AE$151,0)),"")</f>
        <v/>
      </c>
      <c r="B47" s="52">
        <f>IFERROR(INDEX(MOTOR_RELATORIO!$Z$2:$Z$151,MATCH(4*10+1,MOTOR_RELATORIO!$AE$2:$AE$151,0)),"")</f>
        <v/>
      </c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</row>
    <row r="48" ht="15" customHeight="1">
      <c r="A48" s="54">
        <f>IFERROR(INDEX(MOTOR_RELATORIO!$AA$2:$AA$151,MATCH(4*10+1,MOTOR_RELATORIO!$AE$2:$AE$151,0)),"")</f>
        <v/>
      </c>
      <c r="B48" s="55">
        <f>IFERROR(INDEX(MOTOR_RELATORIO!$AB$2:$AB$151,MATCH(4*10+1,MOTOR_RELATORIO!$AE$2:$AE$151,0)),"")</f>
        <v/>
      </c>
    </row>
    <row r="49" ht="16" customHeight="1">
      <c r="A49" s="18" t="inlineStr">
        <is>
          <t>ITEM</t>
        </is>
      </c>
      <c r="B49" s="18" t="inlineStr">
        <is>
          <t>LINHA</t>
        </is>
      </c>
      <c r="C49" s="18" t="inlineStr">
        <is>
          <t>DESCRICAO</t>
        </is>
      </c>
      <c r="D49" s="56" t="n"/>
      <c r="E49" s="18" t="inlineStr">
        <is>
          <t>ATIVIDADE</t>
        </is>
      </c>
      <c r="F49" s="56" t="n"/>
      <c r="G49" s="18" t="inlineStr">
        <is>
          <t>UND.</t>
        </is>
      </c>
      <c r="H49" s="18" t="inlineStr">
        <is>
          <t>X</t>
        </is>
      </c>
      <c r="I49" s="18" t="inlineStr">
        <is>
          <t>Y</t>
        </is>
      </c>
      <c r="J49" s="18" t="inlineStr">
        <is>
          <t>Z</t>
        </is>
      </c>
      <c r="K49" s="18" t="inlineStr">
        <is>
          <t>RESULTADO</t>
        </is>
      </c>
    </row>
    <row r="50" ht="28" customHeight="1">
      <c r="A50" s="57">
        <f>IFERROR(INDEX(MOTOR_RELATORIO!$L$2:$L$151,MATCH(4*10+1,MOTOR_RELATORIO!$AE$2:$AE$151,0)),"")</f>
        <v/>
      </c>
      <c r="B50" s="57">
        <f>IFERROR(INDEX(MOTOR_RELATORIO!$M$2:$M$151,MATCH(4*10+1,MOTOR_RELATORIO!$AE$2:$AE$151,0)),"")</f>
        <v/>
      </c>
      <c r="C50" s="20" t="n"/>
      <c r="D50" s="20" t="n"/>
      <c r="E50" s="58">
        <f>IFERROR(INDEX(MOTOR_RELATORIO!$N$2:$N$151,MATCH(4*10+1,MOTOR_RELATORIO!$AE$2:$AE$151,0)),"")</f>
        <v/>
      </c>
      <c r="F50" s="20" t="n"/>
      <c r="G50" s="57">
        <f>IFERROR(INDEX(MOTOR_RELATORIO!$P$2:$P$151,MATCH(4*10+1,MOTOR_RELATORIO!$AE$2:$AE$151,0)),"")</f>
        <v/>
      </c>
      <c r="H50" s="20" t="n"/>
      <c r="I50" s="20" t="n"/>
      <c r="J50" s="20" t="n"/>
      <c r="K50" s="20" t="n"/>
    </row>
    <row r="51" outlineLevel="1" ht="14" customHeight="1">
      <c r="A51" s="20" t="n"/>
      <c r="B51" s="20" t="n"/>
      <c r="C51" s="28">
        <f>IFERROR(INDEX(MOTOR_RELATORIO!$O$2:$O$151,MATCH(4*10+1,MOTOR_RELATORIO!$AE$2:$AE$151,0)),"")</f>
        <v/>
      </c>
      <c r="D51" s="20" t="n"/>
      <c r="E51" s="20" t="n"/>
      <c r="F51" s="20" t="n"/>
      <c r="G51" s="20" t="n"/>
      <c r="H51" s="34">
        <f>IFERROR(INDEX(MOTOR_RELATORIO!$R$2:$R$151,MATCH(4*10+1,MOTOR_RELATORIO!$AE$2:$AE$151,0)),"")</f>
        <v/>
      </c>
      <c r="I51" s="34">
        <f>IFERROR(INDEX(MOTOR_RELATORIO!$S$2:$S$151,MATCH(4*10+1,MOTOR_RELATORIO!$AE$2:$AE$151,0)),"")</f>
        <v/>
      </c>
      <c r="J51" s="34">
        <f>IFERROR(INDEX(MOTOR_RELATORIO!$T$2:$T$151,MATCH(4*10+1,MOTOR_RELATORIO!$AE$2:$AE$151,0)),"")</f>
        <v/>
      </c>
      <c r="K51" s="34">
        <f>IFERROR(INDEX(MOTOR_RELATORIO!$U$2:$U$151,MATCH(4*10+1,MOTOR_RELATORIO!$AE$2:$AE$151,0)),"")</f>
        <v/>
      </c>
    </row>
    <row r="52" outlineLevel="1" ht="14" customHeight="1">
      <c r="A52" s="20" t="n"/>
      <c r="B52" s="20" t="n"/>
      <c r="C52" s="28">
        <f>IFERROR(INDEX(MOTOR_RELATORIO!$O$2:$O$151,MATCH(4*10+2,MOTOR_RELATORIO!$AE$2:$AE$151,0)),"")</f>
        <v/>
      </c>
      <c r="D52" s="20" t="n"/>
      <c r="E52" s="20" t="n"/>
      <c r="F52" s="20" t="n"/>
      <c r="G52" s="20" t="n"/>
      <c r="H52" s="34">
        <f>IFERROR(INDEX(MOTOR_RELATORIO!$R$2:$R$151,MATCH(4*10+2,MOTOR_RELATORIO!$AE$2:$AE$151,0)),"")</f>
        <v/>
      </c>
      <c r="I52" s="34">
        <f>IFERROR(INDEX(MOTOR_RELATORIO!$S$2:$S$151,MATCH(4*10+2,MOTOR_RELATORIO!$AE$2:$AE$151,0)),"")</f>
        <v/>
      </c>
      <c r="J52" s="34">
        <f>IFERROR(INDEX(MOTOR_RELATORIO!$T$2:$T$151,MATCH(4*10+2,MOTOR_RELATORIO!$AE$2:$AE$151,0)),"")</f>
        <v/>
      </c>
      <c r="K52" s="34">
        <f>IFERROR(INDEX(MOTOR_RELATORIO!$U$2:$U$151,MATCH(4*10+2,MOTOR_RELATORIO!$AE$2:$AE$151,0)),"")</f>
        <v/>
      </c>
    </row>
    <row r="53" outlineLevel="1" ht="14" customHeight="1">
      <c r="A53" s="20" t="n"/>
      <c r="B53" s="20" t="n"/>
      <c r="C53" s="28">
        <f>IFERROR(INDEX(MOTOR_RELATORIO!$O$2:$O$151,MATCH(4*10+3,MOTOR_RELATORIO!$AE$2:$AE$151,0)),"")</f>
        <v/>
      </c>
      <c r="D53" s="20" t="n"/>
      <c r="E53" s="20" t="n"/>
      <c r="F53" s="20" t="n"/>
      <c r="G53" s="20" t="n"/>
      <c r="H53" s="34">
        <f>IFERROR(INDEX(MOTOR_RELATORIO!$R$2:$R$151,MATCH(4*10+3,MOTOR_RELATORIO!$AE$2:$AE$151,0)),"")</f>
        <v/>
      </c>
      <c r="I53" s="34">
        <f>IFERROR(INDEX(MOTOR_RELATORIO!$S$2:$S$151,MATCH(4*10+3,MOTOR_RELATORIO!$AE$2:$AE$151,0)),"")</f>
        <v/>
      </c>
      <c r="J53" s="34">
        <f>IFERROR(INDEX(MOTOR_RELATORIO!$T$2:$T$151,MATCH(4*10+3,MOTOR_RELATORIO!$AE$2:$AE$151,0)),"")</f>
        <v/>
      </c>
      <c r="K53" s="34">
        <f>IFERROR(INDEX(MOTOR_RELATORIO!$U$2:$U$151,MATCH(4*10+3,MOTOR_RELATORIO!$AE$2:$AE$151,0)),"")</f>
        <v/>
      </c>
    </row>
    <row r="54" outlineLevel="1" ht="14" customHeight="1">
      <c r="A54" s="20" t="n"/>
      <c r="B54" s="20" t="n"/>
      <c r="C54" s="28">
        <f>IFERROR(INDEX(MOTOR_RELATORIO!$O$2:$O$151,MATCH(4*10+4,MOTOR_RELATORIO!$AE$2:$AE$151,0)),"")</f>
        <v/>
      </c>
      <c r="D54" s="20" t="n"/>
      <c r="E54" s="20" t="n"/>
      <c r="F54" s="20" t="n"/>
      <c r="G54" s="20" t="n"/>
      <c r="H54" s="34">
        <f>IFERROR(INDEX(MOTOR_RELATORIO!$R$2:$R$151,MATCH(4*10+4,MOTOR_RELATORIO!$AE$2:$AE$151,0)),"")</f>
        <v/>
      </c>
      <c r="I54" s="34">
        <f>IFERROR(INDEX(MOTOR_RELATORIO!$S$2:$S$151,MATCH(4*10+4,MOTOR_RELATORIO!$AE$2:$AE$151,0)),"")</f>
        <v/>
      </c>
      <c r="J54" s="34">
        <f>IFERROR(INDEX(MOTOR_RELATORIO!$T$2:$T$151,MATCH(4*10+4,MOTOR_RELATORIO!$AE$2:$AE$151,0)),"")</f>
        <v/>
      </c>
      <c r="K54" s="34">
        <f>IFERROR(INDEX(MOTOR_RELATORIO!$U$2:$U$151,MATCH(4*10+4,MOTOR_RELATORIO!$AE$2:$AE$151,0)),"")</f>
        <v/>
      </c>
    </row>
    <row r="55" outlineLevel="1" ht="14" customHeight="1">
      <c r="A55" s="20" t="n"/>
      <c r="B55" s="20" t="n"/>
      <c r="C55" s="28">
        <f>IFERROR(INDEX(MOTOR_RELATORIO!$O$2:$O$151,MATCH(4*10+5,MOTOR_RELATORIO!$AE$2:$AE$151,0)),"")</f>
        <v/>
      </c>
      <c r="D55" s="20" t="n"/>
      <c r="E55" s="20" t="n"/>
      <c r="F55" s="20" t="n"/>
      <c r="G55" s="20" t="n"/>
      <c r="H55" s="34">
        <f>IFERROR(INDEX(MOTOR_RELATORIO!$R$2:$R$151,MATCH(4*10+5,MOTOR_RELATORIO!$AE$2:$AE$151,0)),"")</f>
        <v/>
      </c>
      <c r="I55" s="34">
        <f>IFERROR(INDEX(MOTOR_RELATORIO!$S$2:$S$151,MATCH(4*10+5,MOTOR_RELATORIO!$AE$2:$AE$151,0)),"")</f>
        <v/>
      </c>
      <c r="J55" s="34">
        <f>IFERROR(INDEX(MOTOR_RELATORIO!$T$2:$T$151,MATCH(4*10+5,MOTOR_RELATORIO!$AE$2:$AE$151,0)),"")</f>
        <v/>
      </c>
      <c r="K55" s="34">
        <f>IFERROR(INDEX(MOTOR_RELATORIO!$U$2:$U$151,MATCH(4*10+5,MOTOR_RELATORIO!$AE$2:$AE$151,0)),"")</f>
        <v/>
      </c>
    </row>
    <row r="56" outlineLevel="1" ht="14" customHeight="1">
      <c r="A56" s="20" t="n"/>
      <c r="B56" s="20" t="n"/>
      <c r="C56" s="28">
        <f>IFERROR(INDEX(MOTOR_RELATORIO!$O$2:$O$151,MATCH(4*10+6,MOTOR_RELATORIO!$AE$2:$AE$151,0)),"")</f>
        <v/>
      </c>
      <c r="D56" s="20" t="n"/>
      <c r="E56" s="20" t="n"/>
      <c r="F56" s="20" t="n"/>
      <c r="G56" s="20" t="n"/>
      <c r="H56" s="34">
        <f>IFERROR(INDEX(MOTOR_RELATORIO!$R$2:$R$151,MATCH(4*10+6,MOTOR_RELATORIO!$AE$2:$AE$151,0)),"")</f>
        <v/>
      </c>
      <c r="I56" s="34">
        <f>IFERROR(INDEX(MOTOR_RELATORIO!$S$2:$S$151,MATCH(4*10+6,MOTOR_RELATORIO!$AE$2:$AE$151,0)),"")</f>
        <v/>
      </c>
      <c r="J56" s="34">
        <f>IFERROR(INDEX(MOTOR_RELATORIO!$T$2:$T$151,MATCH(4*10+6,MOTOR_RELATORIO!$AE$2:$AE$151,0)),"")</f>
        <v/>
      </c>
      <c r="K56" s="34">
        <f>IFERROR(INDEX(MOTOR_RELATORIO!$U$2:$U$151,MATCH(4*10+6,MOTOR_RELATORIO!$AE$2:$AE$151,0)),"")</f>
        <v/>
      </c>
    </row>
    <row r="57">
      <c r="A57" s="59" t="n"/>
      <c r="B57" s="59" t="n"/>
      <c r="C57" s="59" t="n"/>
      <c r="D57" s="59" t="n"/>
      <c r="E57" s="59" t="n"/>
      <c r="F57" s="59" t="n"/>
      <c r="G57" s="60" t="inlineStr">
        <is>
          <t>RESULTADO:</t>
        </is>
      </c>
      <c r="H57" s="59" t="n"/>
      <c r="I57" s="61">
        <f>IFERROR(INDEX(MOTOR_RELATORIO!$AF$2:$AF$151,MATCH(4*10+1,MOTOR_RELATORIO!$AE$2:$AE$151,0)),"")</f>
        <v/>
      </c>
      <c r="J57" s="59" t="n"/>
      <c r="K57" s="59" t="n"/>
    </row>
    <row r="58">
      <c r="A58" s="62" t="n"/>
      <c r="B58" s="62" t="n"/>
      <c r="C58" s="62" t="n"/>
      <c r="D58" s="62" t="n"/>
      <c r="E58" s="62" t="n"/>
      <c r="F58" s="62" t="n"/>
      <c r="G58" s="63" t="inlineStr">
        <is>
          <t>VALOR:</t>
        </is>
      </c>
      <c r="H58" s="62" t="n"/>
      <c r="I58" s="64">
        <f>IFERROR(INDEX(MOTOR_RELATORIO!$AG$2:$AG$151,MATCH(4*10+1,MOTOR_RELATORIO!$AE$2:$AE$151,0)),"")</f>
        <v/>
      </c>
      <c r="J58" s="62" t="n"/>
      <c r="K58" s="62" t="n"/>
    </row>
    <row r="59" ht="15" customHeight="1">
      <c r="A59" s="51">
        <f>IFERROR(INDEX(MOTOR_RELATORIO!$Y$2:$Y$151,MATCH(5*10+1,MOTOR_RELATORIO!$AE$2:$AE$151,0)),"")</f>
        <v/>
      </c>
      <c r="B59" s="52">
        <f>IFERROR(INDEX(MOTOR_RELATORIO!$Z$2:$Z$151,MATCH(5*10+1,MOTOR_RELATORIO!$AE$2:$AE$151,0)),"")</f>
        <v/>
      </c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</row>
    <row r="60" ht="15" customHeight="1">
      <c r="A60" s="54">
        <f>IFERROR(INDEX(MOTOR_RELATORIO!$AA$2:$AA$151,MATCH(5*10+1,MOTOR_RELATORIO!$AE$2:$AE$151,0)),"")</f>
        <v/>
      </c>
      <c r="B60" s="55">
        <f>IFERROR(INDEX(MOTOR_RELATORIO!$AB$2:$AB$151,MATCH(5*10+1,MOTOR_RELATORIO!$AE$2:$AE$151,0)),"")</f>
        <v/>
      </c>
    </row>
    <row r="61" ht="16" customHeight="1">
      <c r="A61" s="18" t="inlineStr">
        <is>
          <t>ITEM</t>
        </is>
      </c>
      <c r="B61" s="18" t="inlineStr">
        <is>
          <t>LINHA</t>
        </is>
      </c>
      <c r="C61" s="18" t="inlineStr">
        <is>
          <t>DESCRICAO</t>
        </is>
      </c>
      <c r="D61" s="56" t="n"/>
      <c r="E61" s="18" t="inlineStr">
        <is>
          <t>ATIVIDADE</t>
        </is>
      </c>
      <c r="F61" s="56" t="n"/>
      <c r="G61" s="18" t="inlineStr">
        <is>
          <t>UND.</t>
        </is>
      </c>
      <c r="H61" s="18" t="inlineStr">
        <is>
          <t>X</t>
        </is>
      </c>
      <c r="I61" s="18" t="inlineStr">
        <is>
          <t>Y</t>
        </is>
      </c>
      <c r="J61" s="18" t="inlineStr">
        <is>
          <t>Z</t>
        </is>
      </c>
      <c r="K61" s="18" t="inlineStr">
        <is>
          <t>RESULTADO</t>
        </is>
      </c>
    </row>
    <row r="62" ht="28" customHeight="1">
      <c r="A62" s="57">
        <f>IFERROR(INDEX(MOTOR_RELATORIO!$L$2:$L$151,MATCH(5*10+1,MOTOR_RELATORIO!$AE$2:$AE$151,0)),"")</f>
        <v/>
      </c>
      <c r="B62" s="57">
        <f>IFERROR(INDEX(MOTOR_RELATORIO!$M$2:$M$151,MATCH(5*10+1,MOTOR_RELATORIO!$AE$2:$AE$151,0)),"")</f>
        <v/>
      </c>
      <c r="C62" s="20" t="n"/>
      <c r="D62" s="20" t="n"/>
      <c r="E62" s="58">
        <f>IFERROR(INDEX(MOTOR_RELATORIO!$N$2:$N$151,MATCH(5*10+1,MOTOR_RELATORIO!$AE$2:$AE$151,0)),"")</f>
        <v/>
      </c>
      <c r="F62" s="20" t="n"/>
      <c r="G62" s="57">
        <f>IFERROR(INDEX(MOTOR_RELATORIO!$P$2:$P$151,MATCH(5*10+1,MOTOR_RELATORIO!$AE$2:$AE$151,0)),"")</f>
        <v/>
      </c>
      <c r="H62" s="20" t="n"/>
      <c r="I62" s="20" t="n"/>
      <c r="J62" s="20" t="n"/>
      <c r="K62" s="20" t="n"/>
    </row>
    <row r="63" outlineLevel="1" ht="14" customHeight="1">
      <c r="A63" s="20" t="n"/>
      <c r="B63" s="20" t="n"/>
      <c r="C63" s="28">
        <f>IFERROR(INDEX(MOTOR_RELATORIO!$O$2:$O$151,MATCH(5*10+1,MOTOR_RELATORIO!$AE$2:$AE$151,0)),"")</f>
        <v/>
      </c>
      <c r="D63" s="20" t="n"/>
      <c r="E63" s="20" t="n"/>
      <c r="F63" s="20" t="n"/>
      <c r="G63" s="20" t="n"/>
      <c r="H63" s="34">
        <f>IFERROR(INDEX(MOTOR_RELATORIO!$R$2:$R$151,MATCH(5*10+1,MOTOR_RELATORIO!$AE$2:$AE$151,0)),"")</f>
        <v/>
      </c>
      <c r="I63" s="34">
        <f>IFERROR(INDEX(MOTOR_RELATORIO!$S$2:$S$151,MATCH(5*10+1,MOTOR_RELATORIO!$AE$2:$AE$151,0)),"")</f>
        <v/>
      </c>
      <c r="J63" s="34">
        <f>IFERROR(INDEX(MOTOR_RELATORIO!$T$2:$T$151,MATCH(5*10+1,MOTOR_RELATORIO!$AE$2:$AE$151,0)),"")</f>
        <v/>
      </c>
      <c r="K63" s="34">
        <f>IFERROR(INDEX(MOTOR_RELATORIO!$U$2:$U$151,MATCH(5*10+1,MOTOR_RELATORIO!$AE$2:$AE$151,0)),"")</f>
        <v/>
      </c>
    </row>
    <row r="64" outlineLevel="1" ht="14" customHeight="1">
      <c r="A64" s="20" t="n"/>
      <c r="B64" s="20" t="n"/>
      <c r="C64" s="28">
        <f>IFERROR(INDEX(MOTOR_RELATORIO!$O$2:$O$151,MATCH(5*10+2,MOTOR_RELATORIO!$AE$2:$AE$151,0)),"")</f>
        <v/>
      </c>
      <c r="D64" s="20" t="n"/>
      <c r="E64" s="20" t="n"/>
      <c r="F64" s="20" t="n"/>
      <c r="G64" s="20" t="n"/>
      <c r="H64" s="34">
        <f>IFERROR(INDEX(MOTOR_RELATORIO!$R$2:$R$151,MATCH(5*10+2,MOTOR_RELATORIO!$AE$2:$AE$151,0)),"")</f>
        <v/>
      </c>
      <c r="I64" s="34">
        <f>IFERROR(INDEX(MOTOR_RELATORIO!$S$2:$S$151,MATCH(5*10+2,MOTOR_RELATORIO!$AE$2:$AE$151,0)),"")</f>
        <v/>
      </c>
      <c r="J64" s="34">
        <f>IFERROR(INDEX(MOTOR_RELATORIO!$T$2:$T$151,MATCH(5*10+2,MOTOR_RELATORIO!$AE$2:$AE$151,0)),"")</f>
        <v/>
      </c>
      <c r="K64" s="34">
        <f>IFERROR(INDEX(MOTOR_RELATORIO!$U$2:$U$151,MATCH(5*10+2,MOTOR_RELATORIO!$AE$2:$AE$151,0)),"")</f>
        <v/>
      </c>
    </row>
    <row r="65" outlineLevel="1" ht="14" customHeight="1">
      <c r="A65" s="20" t="n"/>
      <c r="B65" s="20" t="n"/>
      <c r="C65" s="28">
        <f>IFERROR(INDEX(MOTOR_RELATORIO!$O$2:$O$151,MATCH(5*10+3,MOTOR_RELATORIO!$AE$2:$AE$151,0)),"")</f>
        <v/>
      </c>
      <c r="D65" s="20" t="n"/>
      <c r="E65" s="20" t="n"/>
      <c r="F65" s="20" t="n"/>
      <c r="G65" s="20" t="n"/>
      <c r="H65" s="34">
        <f>IFERROR(INDEX(MOTOR_RELATORIO!$R$2:$R$151,MATCH(5*10+3,MOTOR_RELATORIO!$AE$2:$AE$151,0)),"")</f>
        <v/>
      </c>
      <c r="I65" s="34">
        <f>IFERROR(INDEX(MOTOR_RELATORIO!$S$2:$S$151,MATCH(5*10+3,MOTOR_RELATORIO!$AE$2:$AE$151,0)),"")</f>
        <v/>
      </c>
      <c r="J65" s="34">
        <f>IFERROR(INDEX(MOTOR_RELATORIO!$T$2:$T$151,MATCH(5*10+3,MOTOR_RELATORIO!$AE$2:$AE$151,0)),"")</f>
        <v/>
      </c>
      <c r="K65" s="34">
        <f>IFERROR(INDEX(MOTOR_RELATORIO!$U$2:$U$151,MATCH(5*10+3,MOTOR_RELATORIO!$AE$2:$AE$151,0)),"")</f>
        <v/>
      </c>
    </row>
    <row r="66" outlineLevel="1" ht="14" customHeight="1">
      <c r="A66" s="20" t="n"/>
      <c r="B66" s="20" t="n"/>
      <c r="C66" s="28">
        <f>IFERROR(INDEX(MOTOR_RELATORIO!$O$2:$O$151,MATCH(5*10+4,MOTOR_RELATORIO!$AE$2:$AE$151,0)),"")</f>
        <v/>
      </c>
      <c r="D66" s="20" t="n"/>
      <c r="E66" s="20" t="n"/>
      <c r="F66" s="20" t="n"/>
      <c r="G66" s="20" t="n"/>
      <c r="H66" s="34">
        <f>IFERROR(INDEX(MOTOR_RELATORIO!$R$2:$R$151,MATCH(5*10+4,MOTOR_RELATORIO!$AE$2:$AE$151,0)),"")</f>
        <v/>
      </c>
      <c r="I66" s="34">
        <f>IFERROR(INDEX(MOTOR_RELATORIO!$S$2:$S$151,MATCH(5*10+4,MOTOR_RELATORIO!$AE$2:$AE$151,0)),"")</f>
        <v/>
      </c>
      <c r="J66" s="34">
        <f>IFERROR(INDEX(MOTOR_RELATORIO!$T$2:$T$151,MATCH(5*10+4,MOTOR_RELATORIO!$AE$2:$AE$151,0)),"")</f>
        <v/>
      </c>
      <c r="K66" s="34">
        <f>IFERROR(INDEX(MOTOR_RELATORIO!$U$2:$U$151,MATCH(5*10+4,MOTOR_RELATORIO!$AE$2:$AE$151,0)),"")</f>
        <v/>
      </c>
    </row>
    <row r="67" outlineLevel="1" ht="14" customHeight="1">
      <c r="A67" s="20" t="n"/>
      <c r="B67" s="20" t="n"/>
      <c r="C67" s="28">
        <f>IFERROR(INDEX(MOTOR_RELATORIO!$O$2:$O$151,MATCH(5*10+5,MOTOR_RELATORIO!$AE$2:$AE$151,0)),"")</f>
        <v/>
      </c>
      <c r="D67" s="20" t="n"/>
      <c r="E67" s="20" t="n"/>
      <c r="F67" s="20" t="n"/>
      <c r="G67" s="20" t="n"/>
      <c r="H67" s="34">
        <f>IFERROR(INDEX(MOTOR_RELATORIO!$R$2:$R$151,MATCH(5*10+5,MOTOR_RELATORIO!$AE$2:$AE$151,0)),"")</f>
        <v/>
      </c>
      <c r="I67" s="34">
        <f>IFERROR(INDEX(MOTOR_RELATORIO!$S$2:$S$151,MATCH(5*10+5,MOTOR_RELATORIO!$AE$2:$AE$151,0)),"")</f>
        <v/>
      </c>
      <c r="J67" s="34">
        <f>IFERROR(INDEX(MOTOR_RELATORIO!$T$2:$T$151,MATCH(5*10+5,MOTOR_RELATORIO!$AE$2:$AE$151,0)),"")</f>
        <v/>
      </c>
      <c r="K67" s="34">
        <f>IFERROR(INDEX(MOTOR_RELATORIO!$U$2:$U$151,MATCH(5*10+5,MOTOR_RELATORIO!$AE$2:$AE$151,0)),"")</f>
        <v/>
      </c>
    </row>
    <row r="68" outlineLevel="1" ht="14" customHeight="1">
      <c r="A68" s="20" t="n"/>
      <c r="B68" s="20" t="n"/>
      <c r="C68" s="28">
        <f>IFERROR(INDEX(MOTOR_RELATORIO!$O$2:$O$151,MATCH(5*10+6,MOTOR_RELATORIO!$AE$2:$AE$151,0)),"")</f>
        <v/>
      </c>
      <c r="D68" s="20" t="n"/>
      <c r="E68" s="20" t="n"/>
      <c r="F68" s="20" t="n"/>
      <c r="G68" s="20" t="n"/>
      <c r="H68" s="34">
        <f>IFERROR(INDEX(MOTOR_RELATORIO!$R$2:$R$151,MATCH(5*10+6,MOTOR_RELATORIO!$AE$2:$AE$151,0)),"")</f>
        <v/>
      </c>
      <c r="I68" s="34">
        <f>IFERROR(INDEX(MOTOR_RELATORIO!$S$2:$S$151,MATCH(5*10+6,MOTOR_RELATORIO!$AE$2:$AE$151,0)),"")</f>
        <v/>
      </c>
      <c r="J68" s="34">
        <f>IFERROR(INDEX(MOTOR_RELATORIO!$T$2:$T$151,MATCH(5*10+6,MOTOR_RELATORIO!$AE$2:$AE$151,0)),"")</f>
        <v/>
      </c>
      <c r="K68" s="34">
        <f>IFERROR(INDEX(MOTOR_RELATORIO!$U$2:$U$151,MATCH(5*10+6,MOTOR_RELATORIO!$AE$2:$AE$151,0)),"")</f>
        <v/>
      </c>
    </row>
    <row r="69">
      <c r="A69" s="59" t="n"/>
      <c r="B69" s="59" t="n"/>
      <c r="C69" s="59" t="n"/>
      <c r="D69" s="59" t="n"/>
      <c r="E69" s="59" t="n"/>
      <c r="F69" s="59" t="n"/>
      <c r="G69" s="60" t="inlineStr">
        <is>
          <t>RESULTADO:</t>
        </is>
      </c>
      <c r="H69" s="59" t="n"/>
      <c r="I69" s="61">
        <f>IFERROR(INDEX(MOTOR_RELATORIO!$AF$2:$AF$151,MATCH(5*10+1,MOTOR_RELATORIO!$AE$2:$AE$151,0)),"")</f>
        <v/>
      </c>
      <c r="J69" s="59" t="n"/>
      <c r="K69" s="59" t="n"/>
    </row>
    <row r="70">
      <c r="A70" s="62" t="n"/>
      <c r="B70" s="62" t="n"/>
      <c r="C70" s="62" t="n"/>
      <c r="D70" s="62" t="n"/>
      <c r="E70" s="62" t="n"/>
      <c r="F70" s="62" t="n"/>
      <c r="G70" s="63" t="inlineStr">
        <is>
          <t>VALOR:</t>
        </is>
      </c>
      <c r="H70" s="62" t="n"/>
      <c r="I70" s="64">
        <f>IFERROR(INDEX(MOTOR_RELATORIO!$AG$2:$AG$151,MATCH(5*10+1,MOTOR_RELATORIO!$AE$2:$AE$151,0)),"")</f>
        <v/>
      </c>
      <c r="J70" s="62" t="n"/>
      <c r="K70" s="62" t="n"/>
    </row>
    <row r="71" ht="15" customHeight="1">
      <c r="A71" s="51">
        <f>IFERROR(INDEX(MOTOR_RELATORIO!$Y$2:$Y$151,MATCH(6*10+1,MOTOR_RELATORIO!$AE$2:$AE$151,0)),"")</f>
        <v/>
      </c>
      <c r="B71" s="52">
        <f>IFERROR(INDEX(MOTOR_RELATORIO!$Z$2:$Z$151,MATCH(6*10+1,MOTOR_RELATORIO!$AE$2:$AE$151,0)),"")</f>
        <v/>
      </c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</row>
    <row r="72" ht="15" customHeight="1">
      <c r="A72" s="54">
        <f>IFERROR(INDEX(MOTOR_RELATORIO!$AA$2:$AA$151,MATCH(6*10+1,MOTOR_RELATORIO!$AE$2:$AE$151,0)),"")</f>
        <v/>
      </c>
      <c r="B72" s="55">
        <f>IFERROR(INDEX(MOTOR_RELATORIO!$AB$2:$AB$151,MATCH(6*10+1,MOTOR_RELATORIO!$AE$2:$AE$151,0)),"")</f>
        <v/>
      </c>
    </row>
    <row r="73" ht="16" customHeight="1">
      <c r="A73" s="18" t="inlineStr">
        <is>
          <t>ITEM</t>
        </is>
      </c>
      <c r="B73" s="18" t="inlineStr">
        <is>
          <t>LINHA</t>
        </is>
      </c>
      <c r="C73" s="18" t="inlineStr">
        <is>
          <t>DESCRICAO</t>
        </is>
      </c>
      <c r="D73" s="56" t="n"/>
      <c r="E73" s="18" t="inlineStr">
        <is>
          <t>ATIVIDADE</t>
        </is>
      </c>
      <c r="F73" s="56" t="n"/>
      <c r="G73" s="18" t="inlineStr">
        <is>
          <t>UND.</t>
        </is>
      </c>
      <c r="H73" s="18" t="inlineStr">
        <is>
          <t>X</t>
        </is>
      </c>
      <c r="I73" s="18" t="inlineStr">
        <is>
          <t>Y</t>
        </is>
      </c>
      <c r="J73" s="18" t="inlineStr">
        <is>
          <t>Z</t>
        </is>
      </c>
      <c r="K73" s="18" t="inlineStr">
        <is>
          <t>RESULTADO</t>
        </is>
      </c>
    </row>
    <row r="74" ht="28" customHeight="1">
      <c r="A74" s="57">
        <f>IFERROR(INDEX(MOTOR_RELATORIO!$L$2:$L$151,MATCH(6*10+1,MOTOR_RELATORIO!$AE$2:$AE$151,0)),"")</f>
        <v/>
      </c>
      <c r="B74" s="57">
        <f>IFERROR(INDEX(MOTOR_RELATORIO!$M$2:$M$151,MATCH(6*10+1,MOTOR_RELATORIO!$AE$2:$AE$151,0)),"")</f>
        <v/>
      </c>
      <c r="C74" s="20" t="n"/>
      <c r="D74" s="20" t="n"/>
      <c r="E74" s="58">
        <f>IFERROR(INDEX(MOTOR_RELATORIO!$N$2:$N$151,MATCH(6*10+1,MOTOR_RELATORIO!$AE$2:$AE$151,0)),"")</f>
        <v/>
      </c>
      <c r="F74" s="20" t="n"/>
      <c r="G74" s="57">
        <f>IFERROR(INDEX(MOTOR_RELATORIO!$P$2:$P$151,MATCH(6*10+1,MOTOR_RELATORIO!$AE$2:$AE$151,0)),"")</f>
        <v/>
      </c>
      <c r="H74" s="20" t="n"/>
      <c r="I74" s="20" t="n"/>
      <c r="J74" s="20" t="n"/>
      <c r="K74" s="20" t="n"/>
    </row>
    <row r="75" outlineLevel="1" ht="14" customHeight="1">
      <c r="A75" s="20" t="n"/>
      <c r="B75" s="20" t="n"/>
      <c r="C75" s="28">
        <f>IFERROR(INDEX(MOTOR_RELATORIO!$O$2:$O$151,MATCH(6*10+1,MOTOR_RELATORIO!$AE$2:$AE$151,0)),"")</f>
        <v/>
      </c>
      <c r="D75" s="20" t="n"/>
      <c r="E75" s="20" t="n"/>
      <c r="F75" s="20" t="n"/>
      <c r="G75" s="20" t="n"/>
      <c r="H75" s="34">
        <f>IFERROR(INDEX(MOTOR_RELATORIO!$R$2:$R$151,MATCH(6*10+1,MOTOR_RELATORIO!$AE$2:$AE$151,0)),"")</f>
        <v/>
      </c>
      <c r="I75" s="34">
        <f>IFERROR(INDEX(MOTOR_RELATORIO!$S$2:$S$151,MATCH(6*10+1,MOTOR_RELATORIO!$AE$2:$AE$151,0)),"")</f>
        <v/>
      </c>
      <c r="J75" s="34">
        <f>IFERROR(INDEX(MOTOR_RELATORIO!$T$2:$T$151,MATCH(6*10+1,MOTOR_RELATORIO!$AE$2:$AE$151,0)),"")</f>
        <v/>
      </c>
      <c r="K75" s="34">
        <f>IFERROR(INDEX(MOTOR_RELATORIO!$U$2:$U$151,MATCH(6*10+1,MOTOR_RELATORIO!$AE$2:$AE$151,0)),"")</f>
        <v/>
      </c>
    </row>
    <row r="76" outlineLevel="1" ht="14" customHeight="1">
      <c r="A76" s="20" t="n"/>
      <c r="B76" s="20" t="n"/>
      <c r="C76" s="28">
        <f>IFERROR(INDEX(MOTOR_RELATORIO!$O$2:$O$151,MATCH(6*10+2,MOTOR_RELATORIO!$AE$2:$AE$151,0)),"")</f>
        <v/>
      </c>
      <c r="D76" s="20" t="n"/>
      <c r="E76" s="20" t="n"/>
      <c r="F76" s="20" t="n"/>
      <c r="G76" s="20" t="n"/>
      <c r="H76" s="34">
        <f>IFERROR(INDEX(MOTOR_RELATORIO!$R$2:$R$151,MATCH(6*10+2,MOTOR_RELATORIO!$AE$2:$AE$151,0)),"")</f>
        <v/>
      </c>
      <c r="I76" s="34">
        <f>IFERROR(INDEX(MOTOR_RELATORIO!$S$2:$S$151,MATCH(6*10+2,MOTOR_RELATORIO!$AE$2:$AE$151,0)),"")</f>
        <v/>
      </c>
      <c r="J76" s="34">
        <f>IFERROR(INDEX(MOTOR_RELATORIO!$T$2:$T$151,MATCH(6*10+2,MOTOR_RELATORIO!$AE$2:$AE$151,0)),"")</f>
        <v/>
      </c>
      <c r="K76" s="34">
        <f>IFERROR(INDEX(MOTOR_RELATORIO!$U$2:$U$151,MATCH(6*10+2,MOTOR_RELATORIO!$AE$2:$AE$151,0)),"")</f>
        <v/>
      </c>
    </row>
    <row r="77" outlineLevel="1" ht="14" customHeight="1">
      <c r="A77" s="20" t="n"/>
      <c r="B77" s="20" t="n"/>
      <c r="C77" s="28">
        <f>IFERROR(INDEX(MOTOR_RELATORIO!$O$2:$O$151,MATCH(6*10+3,MOTOR_RELATORIO!$AE$2:$AE$151,0)),"")</f>
        <v/>
      </c>
      <c r="D77" s="20" t="n"/>
      <c r="E77" s="20" t="n"/>
      <c r="F77" s="20" t="n"/>
      <c r="G77" s="20" t="n"/>
      <c r="H77" s="34">
        <f>IFERROR(INDEX(MOTOR_RELATORIO!$R$2:$R$151,MATCH(6*10+3,MOTOR_RELATORIO!$AE$2:$AE$151,0)),"")</f>
        <v/>
      </c>
      <c r="I77" s="34">
        <f>IFERROR(INDEX(MOTOR_RELATORIO!$S$2:$S$151,MATCH(6*10+3,MOTOR_RELATORIO!$AE$2:$AE$151,0)),"")</f>
        <v/>
      </c>
      <c r="J77" s="34">
        <f>IFERROR(INDEX(MOTOR_RELATORIO!$T$2:$T$151,MATCH(6*10+3,MOTOR_RELATORIO!$AE$2:$AE$151,0)),"")</f>
        <v/>
      </c>
      <c r="K77" s="34">
        <f>IFERROR(INDEX(MOTOR_RELATORIO!$U$2:$U$151,MATCH(6*10+3,MOTOR_RELATORIO!$AE$2:$AE$151,0)),"")</f>
        <v/>
      </c>
    </row>
    <row r="78" outlineLevel="1" ht="14" customHeight="1">
      <c r="A78" s="20" t="n"/>
      <c r="B78" s="20" t="n"/>
      <c r="C78" s="28">
        <f>IFERROR(INDEX(MOTOR_RELATORIO!$O$2:$O$151,MATCH(6*10+4,MOTOR_RELATORIO!$AE$2:$AE$151,0)),"")</f>
        <v/>
      </c>
      <c r="D78" s="20" t="n"/>
      <c r="E78" s="20" t="n"/>
      <c r="F78" s="20" t="n"/>
      <c r="G78" s="20" t="n"/>
      <c r="H78" s="34">
        <f>IFERROR(INDEX(MOTOR_RELATORIO!$R$2:$R$151,MATCH(6*10+4,MOTOR_RELATORIO!$AE$2:$AE$151,0)),"")</f>
        <v/>
      </c>
      <c r="I78" s="34">
        <f>IFERROR(INDEX(MOTOR_RELATORIO!$S$2:$S$151,MATCH(6*10+4,MOTOR_RELATORIO!$AE$2:$AE$151,0)),"")</f>
        <v/>
      </c>
      <c r="J78" s="34">
        <f>IFERROR(INDEX(MOTOR_RELATORIO!$T$2:$T$151,MATCH(6*10+4,MOTOR_RELATORIO!$AE$2:$AE$151,0)),"")</f>
        <v/>
      </c>
      <c r="K78" s="34">
        <f>IFERROR(INDEX(MOTOR_RELATORIO!$U$2:$U$151,MATCH(6*10+4,MOTOR_RELATORIO!$AE$2:$AE$151,0)),"")</f>
        <v/>
      </c>
    </row>
    <row r="79" outlineLevel="1" ht="14" customHeight="1">
      <c r="A79" s="20" t="n"/>
      <c r="B79" s="20" t="n"/>
      <c r="C79" s="28">
        <f>IFERROR(INDEX(MOTOR_RELATORIO!$O$2:$O$151,MATCH(6*10+5,MOTOR_RELATORIO!$AE$2:$AE$151,0)),"")</f>
        <v/>
      </c>
      <c r="D79" s="20" t="n"/>
      <c r="E79" s="20" t="n"/>
      <c r="F79" s="20" t="n"/>
      <c r="G79" s="20" t="n"/>
      <c r="H79" s="34">
        <f>IFERROR(INDEX(MOTOR_RELATORIO!$R$2:$R$151,MATCH(6*10+5,MOTOR_RELATORIO!$AE$2:$AE$151,0)),"")</f>
        <v/>
      </c>
      <c r="I79" s="34">
        <f>IFERROR(INDEX(MOTOR_RELATORIO!$S$2:$S$151,MATCH(6*10+5,MOTOR_RELATORIO!$AE$2:$AE$151,0)),"")</f>
        <v/>
      </c>
      <c r="J79" s="34">
        <f>IFERROR(INDEX(MOTOR_RELATORIO!$T$2:$T$151,MATCH(6*10+5,MOTOR_RELATORIO!$AE$2:$AE$151,0)),"")</f>
        <v/>
      </c>
      <c r="K79" s="34">
        <f>IFERROR(INDEX(MOTOR_RELATORIO!$U$2:$U$151,MATCH(6*10+5,MOTOR_RELATORIO!$AE$2:$AE$151,0)),"")</f>
        <v/>
      </c>
    </row>
    <row r="80" outlineLevel="1" ht="14" customHeight="1">
      <c r="A80" s="20" t="n"/>
      <c r="B80" s="20" t="n"/>
      <c r="C80" s="28">
        <f>IFERROR(INDEX(MOTOR_RELATORIO!$O$2:$O$151,MATCH(6*10+6,MOTOR_RELATORIO!$AE$2:$AE$151,0)),"")</f>
        <v/>
      </c>
      <c r="D80" s="20" t="n"/>
      <c r="E80" s="20" t="n"/>
      <c r="F80" s="20" t="n"/>
      <c r="G80" s="20" t="n"/>
      <c r="H80" s="34">
        <f>IFERROR(INDEX(MOTOR_RELATORIO!$R$2:$R$151,MATCH(6*10+6,MOTOR_RELATORIO!$AE$2:$AE$151,0)),"")</f>
        <v/>
      </c>
      <c r="I80" s="34">
        <f>IFERROR(INDEX(MOTOR_RELATORIO!$S$2:$S$151,MATCH(6*10+6,MOTOR_RELATORIO!$AE$2:$AE$151,0)),"")</f>
        <v/>
      </c>
      <c r="J80" s="34">
        <f>IFERROR(INDEX(MOTOR_RELATORIO!$T$2:$T$151,MATCH(6*10+6,MOTOR_RELATORIO!$AE$2:$AE$151,0)),"")</f>
        <v/>
      </c>
      <c r="K80" s="34">
        <f>IFERROR(INDEX(MOTOR_RELATORIO!$U$2:$U$151,MATCH(6*10+6,MOTOR_RELATORIO!$AE$2:$AE$151,0)),"")</f>
        <v/>
      </c>
    </row>
    <row r="81">
      <c r="A81" s="59" t="n"/>
      <c r="B81" s="59" t="n"/>
      <c r="C81" s="59" t="n"/>
      <c r="D81" s="59" t="n"/>
      <c r="E81" s="59" t="n"/>
      <c r="F81" s="59" t="n"/>
      <c r="G81" s="60" t="inlineStr">
        <is>
          <t>RESULTADO:</t>
        </is>
      </c>
      <c r="H81" s="59" t="n"/>
      <c r="I81" s="61">
        <f>IFERROR(INDEX(MOTOR_RELATORIO!$AF$2:$AF$151,MATCH(6*10+1,MOTOR_RELATORIO!$AE$2:$AE$151,0)),"")</f>
        <v/>
      </c>
      <c r="J81" s="59" t="n"/>
      <c r="K81" s="59" t="n"/>
    </row>
    <row r="82">
      <c r="A82" s="62" t="n"/>
      <c r="B82" s="62" t="n"/>
      <c r="C82" s="62" t="n"/>
      <c r="D82" s="62" t="n"/>
      <c r="E82" s="62" t="n"/>
      <c r="F82" s="62" t="n"/>
      <c r="G82" s="63" t="inlineStr">
        <is>
          <t>VALOR:</t>
        </is>
      </c>
      <c r="H82" s="62" t="n"/>
      <c r="I82" s="64">
        <f>IFERROR(INDEX(MOTOR_RELATORIO!$AG$2:$AG$151,MATCH(6*10+1,MOTOR_RELATORIO!$AE$2:$AE$151,0)),"")</f>
        <v/>
      </c>
      <c r="J82" s="62" t="n"/>
      <c r="K82" s="62" t="n"/>
    </row>
    <row r="83" ht="15" customHeight="1">
      <c r="A83" s="51">
        <f>IFERROR(INDEX(MOTOR_RELATORIO!$Y$2:$Y$151,MATCH(7*10+1,MOTOR_RELATORIO!$AE$2:$AE$151,0)),"")</f>
        <v/>
      </c>
      <c r="B83" s="52">
        <f>IFERROR(INDEX(MOTOR_RELATORIO!$Z$2:$Z$151,MATCH(7*10+1,MOTOR_RELATORIO!$AE$2:$AE$151,0)),"")</f>
        <v/>
      </c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</row>
    <row r="84" ht="15" customHeight="1">
      <c r="A84" s="54">
        <f>IFERROR(INDEX(MOTOR_RELATORIO!$AA$2:$AA$151,MATCH(7*10+1,MOTOR_RELATORIO!$AE$2:$AE$151,0)),"")</f>
        <v/>
      </c>
      <c r="B84" s="55">
        <f>IFERROR(INDEX(MOTOR_RELATORIO!$AB$2:$AB$151,MATCH(7*10+1,MOTOR_RELATORIO!$AE$2:$AE$151,0)),"")</f>
        <v/>
      </c>
    </row>
    <row r="85" ht="16" customHeight="1">
      <c r="A85" s="18" t="inlineStr">
        <is>
          <t>ITEM</t>
        </is>
      </c>
      <c r="B85" s="18" t="inlineStr">
        <is>
          <t>LINHA</t>
        </is>
      </c>
      <c r="C85" s="18" t="inlineStr">
        <is>
          <t>DESCRICAO</t>
        </is>
      </c>
      <c r="D85" s="56" t="n"/>
      <c r="E85" s="18" t="inlineStr">
        <is>
          <t>ATIVIDADE</t>
        </is>
      </c>
      <c r="F85" s="56" t="n"/>
      <c r="G85" s="18" t="inlineStr">
        <is>
          <t>UND.</t>
        </is>
      </c>
      <c r="H85" s="18" t="inlineStr">
        <is>
          <t>X</t>
        </is>
      </c>
      <c r="I85" s="18" t="inlineStr">
        <is>
          <t>Y</t>
        </is>
      </c>
      <c r="J85" s="18" t="inlineStr">
        <is>
          <t>Z</t>
        </is>
      </c>
      <c r="K85" s="18" t="inlineStr">
        <is>
          <t>RESULTADO</t>
        </is>
      </c>
    </row>
    <row r="86" ht="28" customHeight="1">
      <c r="A86" s="57">
        <f>IFERROR(INDEX(MOTOR_RELATORIO!$L$2:$L$151,MATCH(7*10+1,MOTOR_RELATORIO!$AE$2:$AE$151,0)),"")</f>
        <v/>
      </c>
      <c r="B86" s="57">
        <f>IFERROR(INDEX(MOTOR_RELATORIO!$M$2:$M$151,MATCH(7*10+1,MOTOR_RELATORIO!$AE$2:$AE$151,0)),"")</f>
        <v/>
      </c>
      <c r="C86" s="20" t="n"/>
      <c r="D86" s="20" t="n"/>
      <c r="E86" s="58">
        <f>IFERROR(INDEX(MOTOR_RELATORIO!$N$2:$N$151,MATCH(7*10+1,MOTOR_RELATORIO!$AE$2:$AE$151,0)),"")</f>
        <v/>
      </c>
      <c r="F86" s="20" t="n"/>
      <c r="G86" s="57">
        <f>IFERROR(INDEX(MOTOR_RELATORIO!$P$2:$P$151,MATCH(7*10+1,MOTOR_RELATORIO!$AE$2:$AE$151,0)),"")</f>
        <v/>
      </c>
      <c r="H86" s="20" t="n"/>
      <c r="I86" s="20" t="n"/>
      <c r="J86" s="20" t="n"/>
      <c r="K86" s="20" t="n"/>
    </row>
    <row r="87" outlineLevel="1" ht="14" customHeight="1">
      <c r="A87" s="20" t="n"/>
      <c r="B87" s="20" t="n"/>
      <c r="C87" s="28">
        <f>IFERROR(INDEX(MOTOR_RELATORIO!$O$2:$O$151,MATCH(7*10+1,MOTOR_RELATORIO!$AE$2:$AE$151,0)),"")</f>
        <v/>
      </c>
      <c r="D87" s="20" t="n"/>
      <c r="E87" s="20" t="n"/>
      <c r="F87" s="20" t="n"/>
      <c r="G87" s="20" t="n"/>
      <c r="H87" s="34">
        <f>IFERROR(INDEX(MOTOR_RELATORIO!$R$2:$R$151,MATCH(7*10+1,MOTOR_RELATORIO!$AE$2:$AE$151,0)),"")</f>
        <v/>
      </c>
      <c r="I87" s="34">
        <f>IFERROR(INDEX(MOTOR_RELATORIO!$S$2:$S$151,MATCH(7*10+1,MOTOR_RELATORIO!$AE$2:$AE$151,0)),"")</f>
        <v/>
      </c>
      <c r="J87" s="34">
        <f>IFERROR(INDEX(MOTOR_RELATORIO!$T$2:$T$151,MATCH(7*10+1,MOTOR_RELATORIO!$AE$2:$AE$151,0)),"")</f>
        <v/>
      </c>
      <c r="K87" s="34">
        <f>IFERROR(INDEX(MOTOR_RELATORIO!$U$2:$U$151,MATCH(7*10+1,MOTOR_RELATORIO!$AE$2:$AE$151,0)),"")</f>
        <v/>
      </c>
    </row>
    <row r="88" outlineLevel="1" ht="14" customHeight="1">
      <c r="A88" s="20" t="n"/>
      <c r="B88" s="20" t="n"/>
      <c r="C88" s="28">
        <f>IFERROR(INDEX(MOTOR_RELATORIO!$O$2:$O$151,MATCH(7*10+2,MOTOR_RELATORIO!$AE$2:$AE$151,0)),"")</f>
        <v/>
      </c>
      <c r="D88" s="20" t="n"/>
      <c r="E88" s="20" t="n"/>
      <c r="F88" s="20" t="n"/>
      <c r="G88" s="20" t="n"/>
      <c r="H88" s="34">
        <f>IFERROR(INDEX(MOTOR_RELATORIO!$R$2:$R$151,MATCH(7*10+2,MOTOR_RELATORIO!$AE$2:$AE$151,0)),"")</f>
        <v/>
      </c>
      <c r="I88" s="34">
        <f>IFERROR(INDEX(MOTOR_RELATORIO!$S$2:$S$151,MATCH(7*10+2,MOTOR_RELATORIO!$AE$2:$AE$151,0)),"")</f>
        <v/>
      </c>
      <c r="J88" s="34">
        <f>IFERROR(INDEX(MOTOR_RELATORIO!$T$2:$T$151,MATCH(7*10+2,MOTOR_RELATORIO!$AE$2:$AE$151,0)),"")</f>
        <v/>
      </c>
      <c r="K88" s="34">
        <f>IFERROR(INDEX(MOTOR_RELATORIO!$U$2:$U$151,MATCH(7*10+2,MOTOR_RELATORIO!$AE$2:$AE$151,0)),"")</f>
        <v/>
      </c>
    </row>
    <row r="89" outlineLevel="1" ht="14" customHeight="1">
      <c r="A89" s="20" t="n"/>
      <c r="B89" s="20" t="n"/>
      <c r="C89" s="28">
        <f>IFERROR(INDEX(MOTOR_RELATORIO!$O$2:$O$151,MATCH(7*10+3,MOTOR_RELATORIO!$AE$2:$AE$151,0)),"")</f>
        <v/>
      </c>
      <c r="D89" s="20" t="n"/>
      <c r="E89" s="20" t="n"/>
      <c r="F89" s="20" t="n"/>
      <c r="G89" s="20" t="n"/>
      <c r="H89" s="34">
        <f>IFERROR(INDEX(MOTOR_RELATORIO!$R$2:$R$151,MATCH(7*10+3,MOTOR_RELATORIO!$AE$2:$AE$151,0)),"")</f>
        <v/>
      </c>
      <c r="I89" s="34">
        <f>IFERROR(INDEX(MOTOR_RELATORIO!$S$2:$S$151,MATCH(7*10+3,MOTOR_RELATORIO!$AE$2:$AE$151,0)),"")</f>
        <v/>
      </c>
      <c r="J89" s="34">
        <f>IFERROR(INDEX(MOTOR_RELATORIO!$T$2:$T$151,MATCH(7*10+3,MOTOR_RELATORIO!$AE$2:$AE$151,0)),"")</f>
        <v/>
      </c>
      <c r="K89" s="34">
        <f>IFERROR(INDEX(MOTOR_RELATORIO!$U$2:$U$151,MATCH(7*10+3,MOTOR_RELATORIO!$AE$2:$AE$151,0)),"")</f>
        <v/>
      </c>
    </row>
    <row r="90" outlineLevel="1" ht="14" customHeight="1">
      <c r="A90" s="20" t="n"/>
      <c r="B90" s="20" t="n"/>
      <c r="C90" s="28">
        <f>IFERROR(INDEX(MOTOR_RELATORIO!$O$2:$O$151,MATCH(7*10+4,MOTOR_RELATORIO!$AE$2:$AE$151,0)),"")</f>
        <v/>
      </c>
      <c r="D90" s="20" t="n"/>
      <c r="E90" s="20" t="n"/>
      <c r="F90" s="20" t="n"/>
      <c r="G90" s="20" t="n"/>
      <c r="H90" s="34">
        <f>IFERROR(INDEX(MOTOR_RELATORIO!$R$2:$R$151,MATCH(7*10+4,MOTOR_RELATORIO!$AE$2:$AE$151,0)),"")</f>
        <v/>
      </c>
      <c r="I90" s="34">
        <f>IFERROR(INDEX(MOTOR_RELATORIO!$S$2:$S$151,MATCH(7*10+4,MOTOR_RELATORIO!$AE$2:$AE$151,0)),"")</f>
        <v/>
      </c>
      <c r="J90" s="34">
        <f>IFERROR(INDEX(MOTOR_RELATORIO!$T$2:$T$151,MATCH(7*10+4,MOTOR_RELATORIO!$AE$2:$AE$151,0)),"")</f>
        <v/>
      </c>
      <c r="K90" s="34">
        <f>IFERROR(INDEX(MOTOR_RELATORIO!$U$2:$U$151,MATCH(7*10+4,MOTOR_RELATORIO!$AE$2:$AE$151,0)),"")</f>
        <v/>
      </c>
    </row>
    <row r="91" outlineLevel="1" ht="14" customHeight="1">
      <c r="A91" s="20" t="n"/>
      <c r="B91" s="20" t="n"/>
      <c r="C91" s="28">
        <f>IFERROR(INDEX(MOTOR_RELATORIO!$O$2:$O$151,MATCH(7*10+5,MOTOR_RELATORIO!$AE$2:$AE$151,0)),"")</f>
        <v/>
      </c>
      <c r="D91" s="20" t="n"/>
      <c r="E91" s="20" t="n"/>
      <c r="F91" s="20" t="n"/>
      <c r="G91" s="20" t="n"/>
      <c r="H91" s="34">
        <f>IFERROR(INDEX(MOTOR_RELATORIO!$R$2:$R$151,MATCH(7*10+5,MOTOR_RELATORIO!$AE$2:$AE$151,0)),"")</f>
        <v/>
      </c>
      <c r="I91" s="34">
        <f>IFERROR(INDEX(MOTOR_RELATORIO!$S$2:$S$151,MATCH(7*10+5,MOTOR_RELATORIO!$AE$2:$AE$151,0)),"")</f>
        <v/>
      </c>
      <c r="J91" s="34">
        <f>IFERROR(INDEX(MOTOR_RELATORIO!$T$2:$T$151,MATCH(7*10+5,MOTOR_RELATORIO!$AE$2:$AE$151,0)),"")</f>
        <v/>
      </c>
      <c r="K91" s="34">
        <f>IFERROR(INDEX(MOTOR_RELATORIO!$U$2:$U$151,MATCH(7*10+5,MOTOR_RELATORIO!$AE$2:$AE$151,0)),"")</f>
        <v/>
      </c>
    </row>
    <row r="92" outlineLevel="1" ht="14" customHeight="1">
      <c r="A92" s="20" t="n"/>
      <c r="B92" s="20" t="n"/>
      <c r="C92" s="28">
        <f>IFERROR(INDEX(MOTOR_RELATORIO!$O$2:$O$151,MATCH(7*10+6,MOTOR_RELATORIO!$AE$2:$AE$151,0)),"")</f>
        <v/>
      </c>
      <c r="D92" s="20" t="n"/>
      <c r="E92" s="20" t="n"/>
      <c r="F92" s="20" t="n"/>
      <c r="G92" s="20" t="n"/>
      <c r="H92" s="34">
        <f>IFERROR(INDEX(MOTOR_RELATORIO!$R$2:$R$151,MATCH(7*10+6,MOTOR_RELATORIO!$AE$2:$AE$151,0)),"")</f>
        <v/>
      </c>
      <c r="I92" s="34">
        <f>IFERROR(INDEX(MOTOR_RELATORIO!$S$2:$S$151,MATCH(7*10+6,MOTOR_RELATORIO!$AE$2:$AE$151,0)),"")</f>
        <v/>
      </c>
      <c r="J92" s="34">
        <f>IFERROR(INDEX(MOTOR_RELATORIO!$T$2:$T$151,MATCH(7*10+6,MOTOR_RELATORIO!$AE$2:$AE$151,0)),"")</f>
        <v/>
      </c>
      <c r="K92" s="34">
        <f>IFERROR(INDEX(MOTOR_RELATORIO!$U$2:$U$151,MATCH(7*10+6,MOTOR_RELATORIO!$AE$2:$AE$151,0)),"")</f>
        <v/>
      </c>
    </row>
    <row r="93">
      <c r="A93" s="59" t="n"/>
      <c r="B93" s="59" t="n"/>
      <c r="C93" s="59" t="n"/>
      <c r="D93" s="59" t="n"/>
      <c r="E93" s="59" t="n"/>
      <c r="F93" s="59" t="n"/>
      <c r="G93" s="60" t="inlineStr">
        <is>
          <t>RESULTADO:</t>
        </is>
      </c>
      <c r="H93" s="59" t="n"/>
      <c r="I93" s="61">
        <f>IFERROR(INDEX(MOTOR_RELATORIO!$AF$2:$AF$151,MATCH(7*10+1,MOTOR_RELATORIO!$AE$2:$AE$151,0)),"")</f>
        <v/>
      </c>
      <c r="J93" s="59" t="n"/>
      <c r="K93" s="59" t="n"/>
    </row>
    <row r="94">
      <c r="A94" s="62" t="n"/>
      <c r="B94" s="62" t="n"/>
      <c r="C94" s="62" t="n"/>
      <c r="D94" s="62" t="n"/>
      <c r="E94" s="62" t="n"/>
      <c r="F94" s="62" t="n"/>
      <c r="G94" s="63" t="inlineStr">
        <is>
          <t>VALOR:</t>
        </is>
      </c>
      <c r="H94" s="62" t="n"/>
      <c r="I94" s="64">
        <f>IFERROR(INDEX(MOTOR_RELATORIO!$AG$2:$AG$151,MATCH(7*10+1,MOTOR_RELATORIO!$AE$2:$AE$151,0)),"")</f>
        <v/>
      </c>
      <c r="J94" s="62" t="n"/>
      <c r="K94" s="62" t="n"/>
    </row>
    <row r="95" ht="15" customHeight="1">
      <c r="A95" s="51">
        <f>IFERROR(INDEX(MOTOR_RELATORIO!$Y$2:$Y$151,MATCH(8*10+1,MOTOR_RELATORIO!$AE$2:$AE$151,0)),"")</f>
        <v/>
      </c>
      <c r="B95" s="52">
        <f>IFERROR(INDEX(MOTOR_RELATORIO!$Z$2:$Z$151,MATCH(8*10+1,MOTOR_RELATORIO!$AE$2:$AE$151,0)),"")</f>
        <v/>
      </c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</row>
    <row r="96" ht="15" customHeight="1">
      <c r="A96" s="54">
        <f>IFERROR(INDEX(MOTOR_RELATORIO!$AA$2:$AA$151,MATCH(8*10+1,MOTOR_RELATORIO!$AE$2:$AE$151,0)),"")</f>
        <v/>
      </c>
      <c r="B96" s="55">
        <f>IFERROR(INDEX(MOTOR_RELATORIO!$AB$2:$AB$151,MATCH(8*10+1,MOTOR_RELATORIO!$AE$2:$AE$151,0)),"")</f>
        <v/>
      </c>
    </row>
    <row r="97" ht="16" customHeight="1">
      <c r="A97" s="18" t="inlineStr">
        <is>
          <t>ITEM</t>
        </is>
      </c>
      <c r="B97" s="18" t="inlineStr">
        <is>
          <t>LINHA</t>
        </is>
      </c>
      <c r="C97" s="18" t="inlineStr">
        <is>
          <t>DESCRICAO</t>
        </is>
      </c>
      <c r="D97" s="56" t="n"/>
      <c r="E97" s="18" t="inlineStr">
        <is>
          <t>ATIVIDADE</t>
        </is>
      </c>
      <c r="F97" s="56" t="n"/>
      <c r="G97" s="18" t="inlineStr">
        <is>
          <t>UND.</t>
        </is>
      </c>
      <c r="H97" s="18" t="inlineStr">
        <is>
          <t>X</t>
        </is>
      </c>
      <c r="I97" s="18" t="inlineStr">
        <is>
          <t>Y</t>
        </is>
      </c>
      <c r="J97" s="18" t="inlineStr">
        <is>
          <t>Z</t>
        </is>
      </c>
      <c r="K97" s="18" t="inlineStr">
        <is>
          <t>RESULTADO</t>
        </is>
      </c>
    </row>
    <row r="98" ht="28" customHeight="1">
      <c r="A98" s="57">
        <f>IFERROR(INDEX(MOTOR_RELATORIO!$L$2:$L$151,MATCH(8*10+1,MOTOR_RELATORIO!$AE$2:$AE$151,0)),"")</f>
        <v/>
      </c>
      <c r="B98" s="57">
        <f>IFERROR(INDEX(MOTOR_RELATORIO!$M$2:$M$151,MATCH(8*10+1,MOTOR_RELATORIO!$AE$2:$AE$151,0)),"")</f>
        <v/>
      </c>
      <c r="C98" s="20" t="n"/>
      <c r="D98" s="20" t="n"/>
      <c r="E98" s="58">
        <f>IFERROR(INDEX(MOTOR_RELATORIO!$N$2:$N$151,MATCH(8*10+1,MOTOR_RELATORIO!$AE$2:$AE$151,0)),"")</f>
        <v/>
      </c>
      <c r="F98" s="20" t="n"/>
      <c r="G98" s="57">
        <f>IFERROR(INDEX(MOTOR_RELATORIO!$P$2:$P$151,MATCH(8*10+1,MOTOR_RELATORIO!$AE$2:$AE$151,0)),"")</f>
        <v/>
      </c>
      <c r="H98" s="20" t="n"/>
      <c r="I98" s="20" t="n"/>
      <c r="J98" s="20" t="n"/>
      <c r="K98" s="20" t="n"/>
    </row>
    <row r="99" outlineLevel="1" ht="14" customHeight="1">
      <c r="A99" s="20" t="n"/>
      <c r="B99" s="20" t="n"/>
      <c r="C99" s="28">
        <f>IFERROR(INDEX(MOTOR_RELATORIO!$O$2:$O$151,MATCH(8*10+1,MOTOR_RELATORIO!$AE$2:$AE$151,0)),"")</f>
        <v/>
      </c>
      <c r="D99" s="20" t="n"/>
      <c r="E99" s="20" t="n"/>
      <c r="F99" s="20" t="n"/>
      <c r="G99" s="20" t="n"/>
      <c r="H99" s="34">
        <f>IFERROR(INDEX(MOTOR_RELATORIO!$R$2:$R$151,MATCH(8*10+1,MOTOR_RELATORIO!$AE$2:$AE$151,0)),"")</f>
        <v/>
      </c>
      <c r="I99" s="34">
        <f>IFERROR(INDEX(MOTOR_RELATORIO!$S$2:$S$151,MATCH(8*10+1,MOTOR_RELATORIO!$AE$2:$AE$151,0)),"")</f>
        <v/>
      </c>
      <c r="J99" s="34">
        <f>IFERROR(INDEX(MOTOR_RELATORIO!$T$2:$T$151,MATCH(8*10+1,MOTOR_RELATORIO!$AE$2:$AE$151,0)),"")</f>
        <v/>
      </c>
      <c r="K99" s="34">
        <f>IFERROR(INDEX(MOTOR_RELATORIO!$U$2:$U$151,MATCH(8*10+1,MOTOR_RELATORIO!$AE$2:$AE$151,0)),"")</f>
        <v/>
      </c>
    </row>
    <row r="100" outlineLevel="1" ht="14" customHeight="1">
      <c r="A100" s="20" t="n"/>
      <c r="B100" s="20" t="n"/>
      <c r="C100" s="28">
        <f>IFERROR(INDEX(MOTOR_RELATORIO!$O$2:$O$151,MATCH(8*10+2,MOTOR_RELATORIO!$AE$2:$AE$151,0)),"")</f>
        <v/>
      </c>
      <c r="D100" s="20" t="n"/>
      <c r="E100" s="20" t="n"/>
      <c r="F100" s="20" t="n"/>
      <c r="G100" s="20" t="n"/>
      <c r="H100" s="34">
        <f>IFERROR(INDEX(MOTOR_RELATORIO!$R$2:$R$151,MATCH(8*10+2,MOTOR_RELATORIO!$AE$2:$AE$151,0)),"")</f>
        <v/>
      </c>
      <c r="I100" s="34">
        <f>IFERROR(INDEX(MOTOR_RELATORIO!$S$2:$S$151,MATCH(8*10+2,MOTOR_RELATORIO!$AE$2:$AE$151,0)),"")</f>
        <v/>
      </c>
      <c r="J100" s="34">
        <f>IFERROR(INDEX(MOTOR_RELATORIO!$T$2:$T$151,MATCH(8*10+2,MOTOR_RELATORIO!$AE$2:$AE$151,0)),"")</f>
        <v/>
      </c>
      <c r="K100" s="34">
        <f>IFERROR(INDEX(MOTOR_RELATORIO!$U$2:$U$151,MATCH(8*10+2,MOTOR_RELATORIO!$AE$2:$AE$151,0)),"")</f>
        <v/>
      </c>
    </row>
    <row r="101" outlineLevel="1" ht="14" customHeight="1">
      <c r="A101" s="20" t="n"/>
      <c r="B101" s="20" t="n"/>
      <c r="C101" s="28">
        <f>IFERROR(INDEX(MOTOR_RELATORIO!$O$2:$O$151,MATCH(8*10+3,MOTOR_RELATORIO!$AE$2:$AE$151,0)),"")</f>
        <v/>
      </c>
      <c r="D101" s="20" t="n"/>
      <c r="E101" s="20" t="n"/>
      <c r="F101" s="20" t="n"/>
      <c r="G101" s="20" t="n"/>
      <c r="H101" s="34">
        <f>IFERROR(INDEX(MOTOR_RELATORIO!$R$2:$R$151,MATCH(8*10+3,MOTOR_RELATORIO!$AE$2:$AE$151,0)),"")</f>
        <v/>
      </c>
      <c r="I101" s="34">
        <f>IFERROR(INDEX(MOTOR_RELATORIO!$S$2:$S$151,MATCH(8*10+3,MOTOR_RELATORIO!$AE$2:$AE$151,0)),"")</f>
        <v/>
      </c>
      <c r="J101" s="34">
        <f>IFERROR(INDEX(MOTOR_RELATORIO!$T$2:$T$151,MATCH(8*10+3,MOTOR_RELATORIO!$AE$2:$AE$151,0)),"")</f>
        <v/>
      </c>
      <c r="K101" s="34">
        <f>IFERROR(INDEX(MOTOR_RELATORIO!$U$2:$U$151,MATCH(8*10+3,MOTOR_RELATORIO!$AE$2:$AE$151,0)),"")</f>
        <v/>
      </c>
    </row>
    <row r="102" outlineLevel="1" ht="14" customHeight="1">
      <c r="A102" s="20" t="n"/>
      <c r="B102" s="20" t="n"/>
      <c r="C102" s="28">
        <f>IFERROR(INDEX(MOTOR_RELATORIO!$O$2:$O$151,MATCH(8*10+4,MOTOR_RELATORIO!$AE$2:$AE$151,0)),"")</f>
        <v/>
      </c>
      <c r="D102" s="20" t="n"/>
      <c r="E102" s="20" t="n"/>
      <c r="F102" s="20" t="n"/>
      <c r="G102" s="20" t="n"/>
      <c r="H102" s="34">
        <f>IFERROR(INDEX(MOTOR_RELATORIO!$R$2:$R$151,MATCH(8*10+4,MOTOR_RELATORIO!$AE$2:$AE$151,0)),"")</f>
        <v/>
      </c>
      <c r="I102" s="34">
        <f>IFERROR(INDEX(MOTOR_RELATORIO!$S$2:$S$151,MATCH(8*10+4,MOTOR_RELATORIO!$AE$2:$AE$151,0)),"")</f>
        <v/>
      </c>
      <c r="J102" s="34">
        <f>IFERROR(INDEX(MOTOR_RELATORIO!$T$2:$T$151,MATCH(8*10+4,MOTOR_RELATORIO!$AE$2:$AE$151,0)),"")</f>
        <v/>
      </c>
      <c r="K102" s="34">
        <f>IFERROR(INDEX(MOTOR_RELATORIO!$U$2:$U$151,MATCH(8*10+4,MOTOR_RELATORIO!$AE$2:$AE$151,0)),"")</f>
        <v/>
      </c>
    </row>
    <row r="103" outlineLevel="1" ht="14" customHeight="1">
      <c r="A103" s="20" t="n"/>
      <c r="B103" s="20" t="n"/>
      <c r="C103" s="28">
        <f>IFERROR(INDEX(MOTOR_RELATORIO!$O$2:$O$151,MATCH(8*10+5,MOTOR_RELATORIO!$AE$2:$AE$151,0)),"")</f>
        <v/>
      </c>
      <c r="D103" s="20" t="n"/>
      <c r="E103" s="20" t="n"/>
      <c r="F103" s="20" t="n"/>
      <c r="G103" s="20" t="n"/>
      <c r="H103" s="34">
        <f>IFERROR(INDEX(MOTOR_RELATORIO!$R$2:$R$151,MATCH(8*10+5,MOTOR_RELATORIO!$AE$2:$AE$151,0)),"")</f>
        <v/>
      </c>
      <c r="I103" s="34">
        <f>IFERROR(INDEX(MOTOR_RELATORIO!$S$2:$S$151,MATCH(8*10+5,MOTOR_RELATORIO!$AE$2:$AE$151,0)),"")</f>
        <v/>
      </c>
      <c r="J103" s="34">
        <f>IFERROR(INDEX(MOTOR_RELATORIO!$T$2:$T$151,MATCH(8*10+5,MOTOR_RELATORIO!$AE$2:$AE$151,0)),"")</f>
        <v/>
      </c>
      <c r="K103" s="34">
        <f>IFERROR(INDEX(MOTOR_RELATORIO!$U$2:$U$151,MATCH(8*10+5,MOTOR_RELATORIO!$AE$2:$AE$151,0)),"")</f>
        <v/>
      </c>
    </row>
    <row r="104" outlineLevel="1" ht="14" customHeight="1">
      <c r="A104" s="20" t="n"/>
      <c r="B104" s="20" t="n"/>
      <c r="C104" s="28">
        <f>IFERROR(INDEX(MOTOR_RELATORIO!$O$2:$O$151,MATCH(8*10+6,MOTOR_RELATORIO!$AE$2:$AE$151,0)),"")</f>
        <v/>
      </c>
      <c r="D104" s="20" t="n"/>
      <c r="E104" s="20" t="n"/>
      <c r="F104" s="20" t="n"/>
      <c r="G104" s="20" t="n"/>
      <c r="H104" s="34">
        <f>IFERROR(INDEX(MOTOR_RELATORIO!$R$2:$R$151,MATCH(8*10+6,MOTOR_RELATORIO!$AE$2:$AE$151,0)),"")</f>
        <v/>
      </c>
      <c r="I104" s="34">
        <f>IFERROR(INDEX(MOTOR_RELATORIO!$S$2:$S$151,MATCH(8*10+6,MOTOR_RELATORIO!$AE$2:$AE$151,0)),"")</f>
        <v/>
      </c>
      <c r="J104" s="34">
        <f>IFERROR(INDEX(MOTOR_RELATORIO!$T$2:$T$151,MATCH(8*10+6,MOTOR_RELATORIO!$AE$2:$AE$151,0)),"")</f>
        <v/>
      </c>
      <c r="K104" s="34">
        <f>IFERROR(INDEX(MOTOR_RELATORIO!$U$2:$U$151,MATCH(8*10+6,MOTOR_RELATORIO!$AE$2:$AE$151,0)),"")</f>
        <v/>
      </c>
    </row>
    <row r="105">
      <c r="A105" s="59" t="n"/>
      <c r="B105" s="59" t="n"/>
      <c r="C105" s="59" t="n"/>
      <c r="D105" s="59" t="n"/>
      <c r="E105" s="59" t="n"/>
      <c r="F105" s="59" t="n"/>
      <c r="G105" s="60" t="inlineStr">
        <is>
          <t>RESULTADO:</t>
        </is>
      </c>
      <c r="H105" s="59" t="n"/>
      <c r="I105" s="61">
        <f>IFERROR(INDEX(MOTOR_RELATORIO!$AF$2:$AF$151,MATCH(8*10+1,MOTOR_RELATORIO!$AE$2:$AE$151,0)),"")</f>
        <v/>
      </c>
      <c r="J105" s="59" t="n"/>
      <c r="K105" s="59" t="n"/>
    </row>
    <row r="106">
      <c r="A106" s="62" t="n"/>
      <c r="B106" s="62" t="n"/>
      <c r="C106" s="62" t="n"/>
      <c r="D106" s="62" t="n"/>
      <c r="E106" s="62" t="n"/>
      <c r="F106" s="62" t="n"/>
      <c r="G106" s="63" t="inlineStr">
        <is>
          <t>VALOR:</t>
        </is>
      </c>
      <c r="H106" s="62" t="n"/>
      <c r="I106" s="64">
        <f>IFERROR(INDEX(MOTOR_RELATORIO!$AG$2:$AG$151,MATCH(8*10+1,MOTOR_RELATORIO!$AE$2:$AE$151,0)),"")</f>
        <v/>
      </c>
      <c r="J106" s="62" t="n"/>
      <c r="K106" s="62" t="n"/>
    </row>
    <row r="107" ht="15" customHeight="1">
      <c r="A107" s="51">
        <f>IFERROR(INDEX(MOTOR_RELATORIO!$Y$2:$Y$151,MATCH(9*10+1,MOTOR_RELATORIO!$AE$2:$AE$151,0)),"")</f>
        <v/>
      </c>
      <c r="B107" s="52">
        <f>IFERROR(INDEX(MOTOR_RELATORIO!$Z$2:$Z$151,MATCH(9*10+1,MOTOR_RELATORIO!$AE$2:$AE$151,0)),"")</f>
        <v/>
      </c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</row>
    <row r="108" ht="15" customHeight="1">
      <c r="A108" s="54">
        <f>IFERROR(INDEX(MOTOR_RELATORIO!$AA$2:$AA$151,MATCH(9*10+1,MOTOR_RELATORIO!$AE$2:$AE$151,0)),"")</f>
        <v/>
      </c>
      <c r="B108" s="55">
        <f>IFERROR(INDEX(MOTOR_RELATORIO!$AB$2:$AB$151,MATCH(9*10+1,MOTOR_RELATORIO!$AE$2:$AE$151,0)),"")</f>
        <v/>
      </c>
    </row>
    <row r="109" ht="16" customHeight="1">
      <c r="A109" s="18" t="inlineStr">
        <is>
          <t>ITEM</t>
        </is>
      </c>
      <c r="B109" s="18" t="inlineStr">
        <is>
          <t>LINHA</t>
        </is>
      </c>
      <c r="C109" s="18" t="inlineStr">
        <is>
          <t>DESCRICAO</t>
        </is>
      </c>
      <c r="D109" s="56" t="n"/>
      <c r="E109" s="18" t="inlineStr">
        <is>
          <t>ATIVIDADE</t>
        </is>
      </c>
      <c r="F109" s="56" t="n"/>
      <c r="G109" s="18" t="inlineStr">
        <is>
          <t>UND.</t>
        </is>
      </c>
      <c r="H109" s="18" t="inlineStr">
        <is>
          <t>X</t>
        </is>
      </c>
      <c r="I109" s="18" t="inlineStr">
        <is>
          <t>Y</t>
        </is>
      </c>
      <c r="J109" s="18" t="inlineStr">
        <is>
          <t>Z</t>
        </is>
      </c>
      <c r="K109" s="18" t="inlineStr">
        <is>
          <t>RESULTADO</t>
        </is>
      </c>
    </row>
    <row r="110" ht="28" customHeight="1">
      <c r="A110" s="57">
        <f>IFERROR(INDEX(MOTOR_RELATORIO!$L$2:$L$151,MATCH(9*10+1,MOTOR_RELATORIO!$AE$2:$AE$151,0)),"")</f>
        <v/>
      </c>
      <c r="B110" s="57">
        <f>IFERROR(INDEX(MOTOR_RELATORIO!$M$2:$M$151,MATCH(9*10+1,MOTOR_RELATORIO!$AE$2:$AE$151,0)),"")</f>
        <v/>
      </c>
      <c r="C110" s="20" t="n"/>
      <c r="D110" s="20" t="n"/>
      <c r="E110" s="58">
        <f>IFERROR(INDEX(MOTOR_RELATORIO!$N$2:$N$151,MATCH(9*10+1,MOTOR_RELATORIO!$AE$2:$AE$151,0)),"")</f>
        <v/>
      </c>
      <c r="F110" s="20" t="n"/>
      <c r="G110" s="57">
        <f>IFERROR(INDEX(MOTOR_RELATORIO!$P$2:$P$151,MATCH(9*10+1,MOTOR_RELATORIO!$AE$2:$AE$151,0)),"")</f>
        <v/>
      </c>
      <c r="H110" s="20" t="n"/>
      <c r="I110" s="20" t="n"/>
      <c r="J110" s="20" t="n"/>
      <c r="K110" s="20" t="n"/>
    </row>
    <row r="111" outlineLevel="1" ht="14" customHeight="1">
      <c r="A111" s="20" t="n"/>
      <c r="B111" s="20" t="n"/>
      <c r="C111" s="28">
        <f>IFERROR(INDEX(MOTOR_RELATORIO!$O$2:$O$151,MATCH(9*10+1,MOTOR_RELATORIO!$AE$2:$AE$151,0)),"")</f>
        <v/>
      </c>
      <c r="D111" s="20" t="n"/>
      <c r="E111" s="20" t="n"/>
      <c r="F111" s="20" t="n"/>
      <c r="G111" s="20" t="n"/>
      <c r="H111" s="34">
        <f>IFERROR(INDEX(MOTOR_RELATORIO!$R$2:$R$151,MATCH(9*10+1,MOTOR_RELATORIO!$AE$2:$AE$151,0)),"")</f>
        <v/>
      </c>
      <c r="I111" s="34">
        <f>IFERROR(INDEX(MOTOR_RELATORIO!$S$2:$S$151,MATCH(9*10+1,MOTOR_RELATORIO!$AE$2:$AE$151,0)),"")</f>
        <v/>
      </c>
      <c r="J111" s="34">
        <f>IFERROR(INDEX(MOTOR_RELATORIO!$T$2:$T$151,MATCH(9*10+1,MOTOR_RELATORIO!$AE$2:$AE$151,0)),"")</f>
        <v/>
      </c>
      <c r="K111" s="34">
        <f>IFERROR(INDEX(MOTOR_RELATORIO!$U$2:$U$151,MATCH(9*10+1,MOTOR_RELATORIO!$AE$2:$AE$151,0)),"")</f>
        <v/>
      </c>
    </row>
    <row r="112" outlineLevel="1" ht="14" customHeight="1">
      <c r="A112" s="20" t="n"/>
      <c r="B112" s="20" t="n"/>
      <c r="C112" s="28">
        <f>IFERROR(INDEX(MOTOR_RELATORIO!$O$2:$O$151,MATCH(9*10+2,MOTOR_RELATORIO!$AE$2:$AE$151,0)),"")</f>
        <v/>
      </c>
      <c r="D112" s="20" t="n"/>
      <c r="E112" s="20" t="n"/>
      <c r="F112" s="20" t="n"/>
      <c r="G112" s="20" t="n"/>
      <c r="H112" s="34">
        <f>IFERROR(INDEX(MOTOR_RELATORIO!$R$2:$R$151,MATCH(9*10+2,MOTOR_RELATORIO!$AE$2:$AE$151,0)),"")</f>
        <v/>
      </c>
      <c r="I112" s="34">
        <f>IFERROR(INDEX(MOTOR_RELATORIO!$S$2:$S$151,MATCH(9*10+2,MOTOR_RELATORIO!$AE$2:$AE$151,0)),"")</f>
        <v/>
      </c>
      <c r="J112" s="34">
        <f>IFERROR(INDEX(MOTOR_RELATORIO!$T$2:$T$151,MATCH(9*10+2,MOTOR_RELATORIO!$AE$2:$AE$151,0)),"")</f>
        <v/>
      </c>
      <c r="K112" s="34">
        <f>IFERROR(INDEX(MOTOR_RELATORIO!$U$2:$U$151,MATCH(9*10+2,MOTOR_RELATORIO!$AE$2:$AE$151,0)),"")</f>
        <v/>
      </c>
    </row>
    <row r="113" outlineLevel="1" ht="14" customHeight="1">
      <c r="A113" s="20" t="n"/>
      <c r="B113" s="20" t="n"/>
      <c r="C113" s="28">
        <f>IFERROR(INDEX(MOTOR_RELATORIO!$O$2:$O$151,MATCH(9*10+3,MOTOR_RELATORIO!$AE$2:$AE$151,0)),"")</f>
        <v/>
      </c>
      <c r="D113" s="20" t="n"/>
      <c r="E113" s="20" t="n"/>
      <c r="F113" s="20" t="n"/>
      <c r="G113" s="20" t="n"/>
      <c r="H113" s="34">
        <f>IFERROR(INDEX(MOTOR_RELATORIO!$R$2:$R$151,MATCH(9*10+3,MOTOR_RELATORIO!$AE$2:$AE$151,0)),"")</f>
        <v/>
      </c>
      <c r="I113" s="34">
        <f>IFERROR(INDEX(MOTOR_RELATORIO!$S$2:$S$151,MATCH(9*10+3,MOTOR_RELATORIO!$AE$2:$AE$151,0)),"")</f>
        <v/>
      </c>
      <c r="J113" s="34">
        <f>IFERROR(INDEX(MOTOR_RELATORIO!$T$2:$T$151,MATCH(9*10+3,MOTOR_RELATORIO!$AE$2:$AE$151,0)),"")</f>
        <v/>
      </c>
      <c r="K113" s="34">
        <f>IFERROR(INDEX(MOTOR_RELATORIO!$U$2:$U$151,MATCH(9*10+3,MOTOR_RELATORIO!$AE$2:$AE$151,0)),"")</f>
        <v/>
      </c>
    </row>
    <row r="114" outlineLevel="1" ht="14" customHeight="1">
      <c r="A114" s="20" t="n"/>
      <c r="B114" s="20" t="n"/>
      <c r="C114" s="28">
        <f>IFERROR(INDEX(MOTOR_RELATORIO!$O$2:$O$151,MATCH(9*10+4,MOTOR_RELATORIO!$AE$2:$AE$151,0)),"")</f>
        <v/>
      </c>
      <c r="D114" s="20" t="n"/>
      <c r="E114" s="20" t="n"/>
      <c r="F114" s="20" t="n"/>
      <c r="G114" s="20" t="n"/>
      <c r="H114" s="34">
        <f>IFERROR(INDEX(MOTOR_RELATORIO!$R$2:$R$151,MATCH(9*10+4,MOTOR_RELATORIO!$AE$2:$AE$151,0)),"")</f>
        <v/>
      </c>
      <c r="I114" s="34">
        <f>IFERROR(INDEX(MOTOR_RELATORIO!$S$2:$S$151,MATCH(9*10+4,MOTOR_RELATORIO!$AE$2:$AE$151,0)),"")</f>
        <v/>
      </c>
      <c r="J114" s="34">
        <f>IFERROR(INDEX(MOTOR_RELATORIO!$T$2:$T$151,MATCH(9*10+4,MOTOR_RELATORIO!$AE$2:$AE$151,0)),"")</f>
        <v/>
      </c>
      <c r="K114" s="34">
        <f>IFERROR(INDEX(MOTOR_RELATORIO!$U$2:$U$151,MATCH(9*10+4,MOTOR_RELATORIO!$AE$2:$AE$151,0)),"")</f>
        <v/>
      </c>
    </row>
    <row r="115" outlineLevel="1" ht="14" customHeight="1">
      <c r="A115" s="20" t="n"/>
      <c r="B115" s="20" t="n"/>
      <c r="C115" s="28">
        <f>IFERROR(INDEX(MOTOR_RELATORIO!$O$2:$O$151,MATCH(9*10+5,MOTOR_RELATORIO!$AE$2:$AE$151,0)),"")</f>
        <v/>
      </c>
      <c r="D115" s="20" t="n"/>
      <c r="E115" s="20" t="n"/>
      <c r="F115" s="20" t="n"/>
      <c r="G115" s="20" t="n"/>
      <c r="H115" s="34">
        <f>IFERROR(INDEX(MOTOR_RELATORIO!$R$2:$R$151,MATCH(9*10+5,MOTOR_RELATORIO!$AE$2:$AE$151,0)),"")</f>
        <v/>
      </c>
      <c r="I115" s="34">
        <f>IFERROR(INDEX(MOTOR_RELATORIO!$S$2:$S$151,MATCH(9*10+5,MOTOR_RELATORIO!$AE$2:$AE$151,0)),"")</f>
        <v/>
      </c>
      <c r="J115" s="34">
        <f>IFERROR(INDEX(MOTOR_RELATORIO!$T$2:$T$151,MATCH(9*10+5,MOTOR_RELATORIO!$AE$2:$AE$151,0)),"")</f>
        <v/>
      </c>
      <c r="K115" s="34">
        <f>IFERROR(INDEX(MOTOR_RELATORIO!$U$2:$U$151,MATCH(9*10+5,MOTOR_RELATORIO!$AE$2:$AE$151,0)),"")</f>
        <v/>
      </c>
    </row>
    <row r="116" outlineLevel="1" ht="14" customHeight="1">
      <c r="A116" s="20" t="n"/>
      <c r="B116" s="20" t="n"/>
      <c r="C116" s="28">
        <f>IFERROR(INDEX(MOTOR_RELATORIO!$O$2:$O$151,MATCH(9*10+6,MOTOR_RELATORIO!$AE$2:$AE$151,0)),"")</f>
        <v/>
      </c>
      <c r="D116" s="20" t="n"/>
      <c r="E116" s="20" t="n"/>
      <c r="F116" s="20" t="n"/>
      <c r="G116" s="20" t="n"/>
      <c r="H116" s="34">
        <f>IFERROR(INDEX(MOTOR_RELATORIO!$R$2:$R$151,MATCH(9*10+6,MOTOR_RELATORIO!$AE$2:$AE$151,0)),"")</f>
        <v/>
      </c>
      <c r="I116" s="34">
        <f>IFERROR(INDEX(MOTOR_RELATORIO!$S$2:$S$151,MATCH(9*10+6,MOTOR_RELATORIO!$AE$2:$AE$151,0)),"")</f>
        <v/>
      </c>
      <c r="J116" s="34">
        <f>IFERROR(INDEX(MOTOR_RELATORIO!$T$2:$T$151,MATCH(9*10+6,MOTOR_RELATORIO!$AE$2:$AE$151,0)),"")</f>
        <v/>
      </c>
      <c r="K116" s="34">
        <f>IFERROR(INDEX(MOTOR_RELATORIO!$U$2:$U$151,MATCH(9*10+6,MOTOR_RELATORIO!$AE$2:$AE$151,0)),"")</f>
        <v/>
      </c>
    </row>
    <row r="117">
      <c r="A117" s="59" t="n"/>
      <c r="B117" s="59" t="n"/>
      <c r="C117" s="59" t="n"/>
      <c r="D117" s="59" t="n"/>
      <c r="E117" s="59" t="n"/>
      <c r="F117" s="59" t="n"/>
      <c r="G117" s="60" t="inlineStr">
        <is>
          <t>RESULTADO:</t>
        </is>
      </c>
      <c r="H117" s="59" t="n"/>
      <c r="I117" s="61">
        <f>IFERROR(INDEX(MOTOR_RELATORIO!$AF$2:$AF$151,MATCH(9*10+1,MOTOR_RELATORIO!$AE$2:$AE$151,0)),"")</f>
        <v/>
      </c>
      <c r="J117" s="59" t="n"/>
      <c r="K117" s="59" t="n"/>
    </row>
    <row r="118">
      <c r="A118" s="62" t="n"/>
      <c r="B118" s="62" t="n"/>
      <c r="C118" s="62" t="n"/>
      <c r="D118" s="62" t="n"/>
      <c r="E118" s="62" t="n"/>
      <c r="F118" s="62" t="n"/>
      <c r="G118" s="63" t="inlineStr">
        <is>
          <t>VALOR:</t>
        </is>
      </c>
      <c r="H118" s="62" t="n"/>
      <c r="I118" s="64">
        <f>IFERROR(INDEX(MOTOR_RELATORIO!$AG$2:$AG$151,MATCH(9*10+1,MOTOR_RELATORIO!$AE$2:$AE$151,0)),"")</f>
        <v/>
      </c>
      <c r="J118" s="62" t="n"/>
      <c r="K118" s="62" t="n"/>
    </row>
    <row r="119" ht="15" customHeight="1">
      <c r="A119" s="51">
        <f>IFERROR(INDEX(MOTOR_RELATORIO!$Y$2:$Y$151,MATCH(10*10+1,MOTOR_RELATORIO!$AE$2:$AE$151,0)),"")</f>
        <v/>
      </c>
      <c r="B119" s="52">
        <f>IFERROR(INDEX(MOTOR_RELATORIO!$Z$2:$Z$151,MATCH(10*10+1,MOTOR_RELATORIO!$AE$2:$AE$151,0)),"")</f>
        <v/>
      </c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</row>
    <row r="120" ht="15" customHeight="1">
      <c r="A120" s="54">
        <f>IFERROR(INDEX(MOTOR_RELATORIO!$AA$2:$AA$151,MATCH(10*10+1,MOTOR_RELATORIO!$AE$2:$AE$151,0)),"")</f>
        <v/>
      </c>
      <c r="B120" s="55">
        <f>IFERROR(INDEX(MOTOR_RELATORIO!$AB$2:$AB$151,MATCH(10*10+1,MOTOR_RELATORIO!$AE$2:$AE$151,0)),"")</f>
        <v/>
      </c>
    </row>
    <row r="121" ht="16" customHeight="1">
      <c r="A121" s="18" t="inlineStr">
        <is>
          <t>ITEM</t>
        </is>
      </c>
      <c r="B121" s="18" t="inlineStr">
        <is>
          <t>LINHA</t>
        </is>
      </c>
      <c r="C121" s="18" t="inlineStr">
        <is>
          <t>DESCRICAO</t>
        </is>
      </c>
      <c r="D121" s="56" t="n"/>
      <c r="E121" s="18" t="inlineStr">
        <is>
          <t>ATIVIDADE</t>
        </is>
      </c>
      <c r="F121" s="56" t="n"/>
      <c r="G121" s="18" t="inlineStr">
        <is>
          <t>UND.</t>
        </is>
      </c>
      <c r="H121" s="18" t="inlineStr">
        <is>
          <t>X</t>
        </is>
      </c>
      <c r="I121" s="18" t="inlineStr">
        <is>
          <t>Y</t>
        </is>
      </c>
      <c r="J121" s="18" t="inlineStr">
        <is>
          <t>Z</t>
        </is>
      </c>
      <c r="K121" s="18" t="inlineStr">
        <is>
          <t>RESULTADO</t>
        </is>
      </c>
    </row>
    <row r="122" ht="28" customHeight="1">
      <c r="A122" s="57">
        <f>IFERROR(INDEX(MOTOR_RELATORIO!$L$2:$L$151,MATCH(10*10+1,MOTOR_RELATORIO!$AE$2:$AE$151,0)),"")</f>
        <v/>
      </c>
      <c r="B122" s="57">
        <f>IFERROR(INDEX(MOTOR_RELATORIO!$M$2:$M$151,MATCH(10*10+1,MOTOR_RELATORIO!$AE$2:$AE$151,0)),"")</f>
        <v/>
      </c>
      <c r="C122" s="20" t="n"/>
      <c r="D122" s="20" t="n"/>
      <c r="E122" s="58">
        <f>IFERROR(INDEX(MOTOR_RELATORIO!$N$2:$N$151,MATCH(10*10+1,MOTOR_RELATORIO!$AE$2:$AE$151,0)),"")</f>
        <v/>
      </c>
      <c r="F122" s="20" t="n"/>
      <c r="G122" s="57">
        <f>IFERROR(INDEX(MOTOR_RELATORIO!$P$2:$P$151,MATCH(10*10+1,MOTOR_RELATORIO!$AE$2:$AE$151,0)),"")</f>
        <v/>
      </c>
      <c r="H122" s="20" t="n"/>
      <c r="I122" s="20" t="n"/>
      <c r="J122" s="20" t="n"/>
      <c r="K122" s="20" t="n"/>
    </row>
    <row r="123" outlineLevel="1" ht="14" customHeight="1">
      <c r="A123" s="20" t="n"/>
      <c r="B123" s="20" t="n"/>
      <c r="C123" s="28">
        <f>IFERROR(INDEX(MOTOR_RELATORIO!$O$2:$O$151,MATCH(10*10+1,MOTOR_RELATORIO!$AE$2:$AE$151,0)),"")</f>
        <v/>
      </c>
      <c r="D123" s="20" t="n"/>
      <c r="E123" s="20" t="n"/>
      <c r="F123" s="20" t="n"/>
      <c r="G123" s="20" t="n"/>
      <c r="H123" s="34">
        <f>IFERROR(INDEX(MOTOR_RELATORIO!$R$2:$R$151,MATCH(10*10+1,MOTOR_RELATORIO!$AE$2:$AE$151,0)),"")</f>
        <v/>
      </c>
      <c r="I123" s="34">
        <f>IFERROR(INDEX(MOTOR_RELATORIO!$S$2:$S$151,MATCH(10*10+1,MOTOR_RELATORIO!$AE$2:$AE$151,0)),"")</f>
        <v/>
      </c>
      <c r="J123" s="34">
        <f>IFERROR(INDEX(MOTOR_RELATORIO!$T$2:$T$151,MATCH(10*10+1,MOTOR_RELATORIO!$AE$2:$AE$151,0)),"")</f>
        <v/>
      </c>
      <c r="K123" s="34">
        <f>IFERROR(INDEX(MOTOR_RELATORIO!$U$2:$U$151,MATCH(10*10+1,MOTOR_RELATORIO!$AE$2:$AE$151,0)),"")</f>
        <v/>
      </c>
    </row>
    <row r="124" outlineLevel="1" ht="14" customHeight="1">
      <c r="A124" s="20" t="n"/>
      <c r="B124" s="20" t="n"/>
      <c r="C124" s="28">
        <f>IFERROR(INDEX(MOTOR_RELATORIO!$O$2:$O$151,MATCH(10*10+2,MOTOR_RELATORIO!$AE$2:$AE$151,0)),"")</f>
        <v/>
      </c>
      <c r="D124" s="20" t="n"/>
      <c r="E124" s="20" t="n"/>
      <c r="F124" s="20" t="n"/>
      <c r="G124" s="20" t="n"/>
      <c r="H124" s="34">
        <f>IFERROR(INDEX(MOTOR_RELATORIO!$R$2:$R$151,MATCH(10*10+2,MOTOR_RELATORIO!$AE$2:$AE$151,0)),"")</f>
        <v/>
      </c>
      <c r="I124" s="34">
        <f>IFERROR(INDEX(MOTOR_RELATORIO!$S$2:$S$151,MATCH(10*10+2,MOTOR_RELATORIO!$AE$2:$AE$151,0)),"")</f>
        <v/>
      </c>
      <c r="J124" s="34">
        <f>IFERROR(INDEX(MOTOR_RELATORIO!$T$2:$T$151,MATCH(10*10+2,MOTOR_RELATORIO!$AE$2:$AE$151,0)),"")</f>
        <v/>
      </c>
      <c r="K124" s="34">
        <f>IFERROR(INDEX(MOTOR_RELATORIO!$U$2:$U$151,MATCH(10*10+2,MOTOR_RELATORIO!$AE$2:$AE$151,0)),"")</f>
        <v/>
      </c>
    </row>
    <row r="125" outlineLevel="1" ht="14" customHeight="1">
      <c r="A125" s="20" t="n"/>
      <c r="B125" s="20" t="n"/>
      <c r="C125" s="28">
        <f>IFERROR(INDEX(MOTOR_RELATORIO!$O$2:$O$151,MATCH(10*10+3,MOTOR_RELATORIO!$AE$2:$AE$151,0)),"")</f>
        <v/>
      </c>
      <c r="D125" s="20" t="n"/>
      <c r="E125" s="20" t="n"/>
      <c r="F125" s="20" t="n"/>
      <c r="G125" s="20" t="n"/>
      <c r="H125" s="34">
        <f>IFERROR(INDEX(MOTOR_RELATORIO!$R$2:$R$151,MATCH(10*10+3,MOTOR_RELATORIO!$AE$2:$AE$151,0)),"")</f>
        <v/>
      </c>
      <c r="I125" s="34">
        <f>IFERROR(INDEX(MOTOR_RELATORIO!$S$2:$S$151,MATCH(10*10+3,MOTOR_RELATORIO!$AE$2:$AE$151,0)),"")</f>
        <v/>
      </c>
      <c r="J125" s="34">
        <f>IFERROR(INDEX(MOTOR_RELATORIO!$T$2:$T$151,MATCH(10*10+3,MOTOR_RELATORIO!$AE$2:$AE$151,0)),"")</f>
        <v/>
      </c>
      <c r="K125" s="34">
        <f>IFERROR(INDEX(MOTOR_RELATORIO!$U$2:$U$151,MATCH(10*10+3,MOTOR_RELATORIO!$AE$2:$AE$151,0)),"")</f>
        <v/>
      </c>
    </row>
    <row r="126" outlineLevel="1" ht="14" customHeight="1">
      <c r="A126" s="20" t="n"/>
      <c r="B126" s="20" t="n"/>
      <c r="C126" s="28">
        <f>IFERROR(INDEX(MOTOR_RELATORIO!$O$2:$O$151,MATCH(10*10+4,MOTOR_RELATORIO!$AE$2:$AE$151,0)),"")</f>
        <v/>
      </c>
      <c r="D126" s="20" t="n"/>
      <c r="E126" s="20" t="n"/>
      <c r="F126" s="20" t="n"/>
      <c r="G126" s="20" t="n"/>
      <c r="H126" s="34">
        <f>IFERROR(INDEX(MOTOR_RELATORIO!$R$2:$R$151,MATCH(10*10+4,MOTOR_RELATORIO!$AE$2:$AE$151,0)),"")</f>
        <v/>
      </c>
      <c r="I126" s="34">
        <f>IFERROR(INDEX(MOTOR_RELATORIO!$S$2:$S$151,MATCH(10*10+4,MOTOR_RELATORIO!$AE$2:$AE$151,0)),"")</f>
        <v/>
      </c>
      <c r="J126" s="34">
        <f>IFERROR(INDEX(MOTOR_RELATORIO!$T$2:$T$151,MATCH(10*10+4,MOTOR_RELATORIO!$AE$2:$AE$151,0)),"")</f>
        <v/>
      </c>
      <c r="K126" s="34">
        <f>IFERROR(INDEX(MOTOR_RELATORIO!$U$2:$U$151,MATCH(10*10+4,MOTOR_RELATORIO!$AE$2:$AE$151,0)),"")</f>
        <v/>
      </c>
    </row>
    <row r="127" outlineLevel="1" ht="14" customHeight="1">
      <c r="A127" s="20" t="n"/>
      <c r="B127" s="20" t="n"/>
      <c r="C127" s="28">
        <f>IFERROR(INDEX(MOTOR_RELATORIO!$O$2:$O$151,MATCH(10*10+5,MOTOR_RELATORIO!$AE$2:$AE$151,0)),"")</f>
        <v/>
      </c>
      <c r="D127" s="20" t="n"/>
      <c r="E127" s="20" t="n"/>
      <c r="F127" s="20" t="n"/>
      <c r="G127" s="20" t="n"/>
      <c r="H127" s="34">
        <f>IFERROR(INDEX(MOTOR_RELATORIO!$R$2:$R$151,MATCH(10*10+5,MOTOR_RELATORIO!$AE$2:$AE$151,0)),"")</f>
        <v/>
      </c>
      <c r="I127" s="34">
        <f>IFERROR(INDEX(MOTOR_RELATORIO!$S$2:$S$151,MATCH(10*10+5,MOTOR_RELATORIO!$AE$2:$AE$151,0)),"")</f>
        <v/>
      </c>
      <c r="J127" s="34">
        <f>IFERROR(INDEX(MOTOR_RELATORIO!$T$2:$T$151,MATCH(10*10+5,MOTOR_RELATORIO!$AE$2:$AE$151,0)),"")</f>
        <v/>
      </c>
      <c r="K127" s="34">
        <f>IFERROR(INDEX(MOTOR_RELATORIO!$U$2:$U$151,MATCH(10*10+5,MOTOR_RELATORIO!$AE$2:$AE$151,0)),"")</f>
        <v/>
      </c>
    </row>
    <row r="128" outlineLevel="1" ht="14" customHeight="1">
      <c r="A128" s="20" t="n"/>
      <c r="B128" s="20" t="n"/>
      <c r="C128" s="28">
        <f>IFERROR(INDEX(MOTOR_RELATORIO!$O$2:$O$151,MATCH(10*10+6,MOTOR_RELATORIO!$AE$2:$AE$151,0)),"")</f>
        <v/>
      </c>
      <c r="D128" s="20" t="n"/>
      <c r="E128" s="20" t="n"/>
      <c r="F128" s="20" t="n"/>
      <c r="G128" s="20" t="n"/>
      <c r="H128" s="34">
        <f>IFERROR(INDEX(MOTOR_RELATORIO!$R$2:$R$151,MATCH(10*10+6,MOTOR_RELATORIO!$AE$2:$AE$151,0)),"")</f>
        <v/>
      </c>
      <c r="I128" s="34">
        <f>IFERROR(INDEX(MOTOR_RELATORIO!$S$2:$S$151,MATCH(10*10+6,MOTOR_RELATORIO!$AE$2:$AE$151,0)),"")</f>
        <v/>
      </c>
      <c r="J128" s="34">
        <f>IFERROR(INDEX(MOTOR_RELATORIO!$T$2:$T$151,MATCH(10*10+6,MOTOR_RELATORIO!$AE$2:$AE$151,0)),"")</f>
        <v/>
      </c>
      <c r="K128" s="34">
        <f>IFERROR(INDEX(MOTOR_RELATORIO!$U$2:$U$151,MATCH(10*10+6,MOTOR_RELATORIO!$AE$2:$AE$151,0)),"")</f>
        <v/>
      </c>
    </row>
    <row r="129">
      <c r="A129" s="59" t="n"/>
      <c r="B129" s="59" t="n"/>
      <c r="C129" s="59" t="n"/>
      <c r="D129" s="59" t="n"/>
      <c r="E129" s="59" t="n"/>
      <c r="F129" s="59" t="n"/>
      <c r="G129" s="60" t="inlineStr">
        <is>
          <t>RESULTADO:</t>
        </is>
      </c>
      <c r="H129" s="59" t="n"/>
      <c r="I129" s="61">
        <f>IFERROR(INDEX(MOTOR_RELATORIO!$AF$2:$AF$151,MATCH(10*10+1,MOTOR_RELATORIO!$AE$2:$AE$151,0)),"")</f>
        <v/>
      </c>
      <c r="J129" s="59" t="n"/>
      <c r="K129" s="59" t="n"/>
    </row>
    <row r="130">
      <c r="A130" s="62" t="n"/>
      <c r="B130" s="62" t="n"/>
      <c r="C130" s="62" t="n"/>
      <c r="D130" s="62" t="n"/>
      <c r="E130" s="62" t="n"/>
      <c r="F130" s="62" t="n"/>
      <c r="G130" s="63" t="inlineStr">
        <is>
          <t>VALOR:</t>
        </is>
      </c>
      <c r="H130" s="62" t="n"/>
      <c r="I130" s="64">
        <f>IFERROR(INDEX(MOTOR_RELATORIO!$AG$2:$AG$151,MATCH(10*10+1,MOTOR_RELATORIO!$AE$2:$AE$151,0)),"")</f>
        <v/>
      </c>
      <c r="J130" s="62" t="n"/>
      <c r="K130" s="62" t="n"/>
    </row>
    <row r="131" ht="15" customHeight="1">
      <c r="A131" s="51">
        <f>IFERROR(INDEX(MOTOR_RELATORIO!$Y$2:$Y$151,MATCH(11*10+1,MOTOR_RELATORIO!$AE$2:$AE$151,0)),"")</f>
        <v/>
      </c>
      <c r="B131" s="52">
        <f>IFERROR(INDEX(MOTOR_RELATORIO!$Z$2:$Z$151,MATCH(11*10+1,MOTOR_RELATORIO!$AE$2:$AE$151,0)),"")</f>
        <v/>
      </c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</row>
    <row r="132" ht="15" customHeight="1">
      <c r="A132" s="54">
        <f>IFERROR(INDEX(MOTOR_RELATORIO!$AA$2:$AA$151,MATCH(11*10+1,MOTOR_RELATORIO!$AE$2:$AE$151,0)),"")</f>
        <v/>
      </c>
      <c r="B132" s="55">
        <f>IFERROR(INDEX(MOTOR_RELATORIO!$AB$2:$AB$151,MATCH(11*10+1,MOTOR_RELATORIO!$AE$2:$AE$151,0)),"")</f>
        <v/>
      </c>
    </row>
    <row r="133" ht="16" customHeight="1">
      <c r="A133" s="18" t="inlineStr">
        <is>
          <t>ITEM</t>
        </is>
      </c>
      <c r="B133" s="18" t="inlineStr">
        <is>
          <t>LINHA</t>
        </is>
      </c>
      <c r="C133" s="18" t="inlineStr">
        <is>
          <t>DESCRICAO</t>
        </is>
      </c>
      <c r="D133" s="56" t="n"/>
      <c r="E133" s="18" t="inlineStr">
        <is>
          <t>ATIVIDADE</t>
        </is>
      </c>
      <c r="F133" s="56" t="n"/>
      <c r="G133" s="18" t="inlineStr">
        <is>
          <t>UND.</t>
        </is>
      </c>
      <c r="H133" s="18" t="inlineStr">
        <is>
          <t>X</t>
        </is>
      </c>
      <c r="I133" s="18" t="inlineStr">
        <is>
          <t>Y</t>
        </is>
      </c>
      <c r="J133" s="18" t="inlineStr">
        <is>
          <t>Z</t>
        </is>
      </c>
      <c r="K133" s="18" t="inlineStr">
        <is>
          <t>RESULTADO</t>
        </is>
      </c>
    </row>
    <row r="134" ht="28" customHeight="1">
      <c r="A134" s="57">
        <f>IFERROR(INDEX(MOTOR_RELATORIO!$L$2:$L$151,MATCH(11*10+1,MOTOR_RELATORIO!$AE$2:$AE$151,0)),"")</f>
        <v/>
      </c>
      <c r="B134" s="57">
        <f>IFERROR(INDEX(MOTOR_RELATORIO!$M$2:$M$151,MATCH(11*10+1,MOTOR_RELATORIO!$AE$2:$AE$151,0)),"")</f>
        <v/>
      </c>
      <c r="C134" s="20" t="n"/>
      <c r="D134" s="20" t="n"/>
      <c r="E134" s="58">
        <f>IFERROR(INDEX(MOTOR_RELATORIO!$N$2:$N$151,MATCH(11*10+1,MOTOR_RELATORIO!$AE$2:$AE$151,0)),"")</f>
        <v/>
      </c>
      <c r="F134" s="20" t="n"/>
      <c r="G134" s="57">
        <f>IFERROR(INDEX(MOTOR_RELATORIO!$P$2:$P$151,MATCH(11*10+1,MOTOR_RELATORIO!$AE$2:$AE$151,0)),"")</f>
        <v/>
      </c>
      <c r="H134" s="20" t="n"/>
      <c r="I134" s="20" t="n"/>
      <c r="J134" s="20" t="n"/>
      <c r="K134" s="20" t="n"/>
    </row>
    <row r="135" outlineLevel="1" ht="14" customHeight="1">
      <c r="A135" s="20" t="n"/>
      <c r="B135" s="20" t="n"/>
      <c r="C135" s="28">
        <f>IFERROR(INDEX(MOTOR_RELATORIO!$O$2:$O$151,MATCH(11*10+1,MOTOR_RELATORIO!$AE$2:$AE$151,0)),"")</f>
        <v/>
      </c>
      <c r="D135" s="20" t="n"/>
      <c r="E135" s="20" t="n"/>
      <c r="F135" s="20" t="n"/>
      <c r="G135" s="20" t="n"/>
      <c r="H135" s="34">
        <f>IFERROR(INDEX(MOTOR_RELATORIO!$R$2:$R$151,MATCH(11*10+1,MOTOR_RELATORIO!$AE$2:$AE$151,0)),"")</f>
        <v/>
      </c>
      <c r="I135" s="34">
        <f>IFERROR(INDEX(MOTOR_RELATORIO!$S$2:$S$151,MATCH(11*10+1,MOTOR_RELATORIO!$AE$2:$AE$151,0)),"")</f>
        <v/>
      </c>
      <c r="J135" s="34">
        <f>IFERROR(INDEX(MOTOR_RELATORIO!$T$2:$T$151,MATCH(11*10+1,MOTOR_RELATORIO!$AE$2:$AE$151,0)),"")</f>
        <v/>
      </c>
      <c r="K135" s="34">
        <f>IFERROR(INDEX(MOTOR_RELATORIO!$U$2:$U$151,MATCH(11*10+1,MOTOR_RELATORIO!$AE$2:$AE$151,0)),"")</f>
        <v/>
      </c>
    </row>
    <row r="136" outlineLevel="1" ht="14" customHeight="1">
      <c r="A136" s="20" t="n"/>
      <c r="B136" s="20" t="n"/>
      <c r="C136" s="28">
        <f>IFERROR(INDEX(MOTOR_RELATORIO!$O$2:$O$151,MATCH(11*10+2,MOTOR_RELATORIO!$AE$2:$AE$151,0)),"")</f>
        <v/>
      </c>
      <c r="D136" s="20" t="n"/>
      <c r="E136" s="20" t="n"/>
      <c r="F136" s="20" t="n"/>
      <c r="G136" s="20" t="n"/>
      <c r="H136" s="34">
        <f>IFERROR(INDEX(MOTOR_RELATORIO!$R$2:$R$151,MATCH(11*10+2,MOTOR_RELATORIO!$AE$2:$AE$151,0)),"")</f>
        <v/>
      </c>
      <c r="I136" s="34">
        <f>IFERROR(INDEX(MOTOR_RELATORIO!$S$2:$S$151,MATCH(11*10+2,MOTOR_RELATORIO!$AE$2:$AE$151,0)),"")</f>
        <v/>
      </c>
      <c r="J136" s="34">
        <f>IFERROR(INDEX(MOTOR_RELATORIO!$T$2:$T$151,MATCH(11*10+2,MOTOR_RELATORIO!$AE$2:$AE$151,0)),"")</f>
        <v/>
      </c>
      <c r="K136" s="34">
        <f>IFERROR(INDEX(MOTOR_RELATORIO!$U$2:$U$151,MATCH(11*10+2,MOTOR_RELATORIO!$AE$2:$AE$151,0)),"")</f>
        <v/>
      </c>
    </row>
    <row r="137" outlineLevel="1" ht="14" customHeight="1">
      <c r="A137" s="20" t="n"/>
      <c r="B137" s="20" t="n"/>
      <c r="C137" s="28">
        <f>IFERROR(INDEX(MOTOR_RELATORIO!$O$2:$O$151,MATCH(11*10+3,MOTOR_RELATORIO!$AE$2:$AE$151,0)),"")</f>
        <v/>
      </c>
      <c r="D137" s="20" t="n"/>
      <c r="E137" s="20" t="n"/>
      <c r="F137" s="20" t="n"/>
      <c r="G137" s="20" t="n"/>
      <c r="H137" s="34">
        <f>IFERROR(INDEX(MOTOR_RELATORIO!$R$2:$R$151,MATCH(11*10+3,MOTOR_RELATORIO!$AE$2:$AE$151,0)),"")</f>
        <v/>
      </c>
      <c r="I137" s="34">
        <f>IFERROR(INDEX(MOTOR_RELATORIO!$S$2:$S$151,MATCH(11*10+3,MOTOR_RELATORIO!$AE$2:$AE$151,0)),"")</f>
        <v/>
      </c>
      <c r="J137" s="34">
        <f>IFERROR(INDEX(MOTOR_RELATORIO!$T$2:$T$151,MATCH(11*10+3,MOTOR_RELATORIO!$AE$2:$AE$151,0)),"")</f>
        <v/>
      </c>
      <c r="K137" s="34">
        <f>IFERROR(INDEX(MOTOR_RELATORIO!$U$2:$U$151,MATCH(11*10+3,MOTOR_RELATORIO!$AE$2:$AE$151,0)),"")</f>
        <v/>
      </c>
    </row>
    <row r="138" outlineLevel="1" ht="14" customHeight="1">
      <c r="A138" s="20" t="n"/>
      <c r="B138" s="20" t="n"/>
      <c r="C138" s="28">
        <f>IFERROR(INDEX(MOTOR_RELATORIO!$O$2:$O$151,MATCH(11*10+4,MOTOR_RELATORIO!$AE$2:$AE$151,0)),"")</f>
        <v/>
      </c>
      <c r="D138" s="20" t="n"/>
      <c r="E138" s="20" t="n"/>
      <c r="F138" s="20" t="n"/>
      <c r="G138" s="20" t="n"/>
      <c r="H138" s="34">
        <f>IFERROR(INDEX(MOTOR_RELATORIO!$R$2:$R$151,MATCH(11*10+4,MOTOR_RELATORIO!$AE$2:$AE$151,0)),"")</f>
        <v/>
      </c>
      <c r="I138" s="34">
        <f>IFERROR(INDEX(MOTOR_RELATORIO!$S$2:$S$151,MATCH(11*10+4,MOTOR_RELATORIO!$AE$2:$AE$151,0)),"")</f>
        <v/>
      </c>
      <c r="J138" s="34">
        <f>IFERROR(INDEX(MOTOR_RELATORIO!$T$2:$T$151,MATCH(11*10+4,MOTOR_RELATORIO!$AE$2:$AE$151,0)),"")</f>
        <v/>
      </c>
      <c r="K138" s="34">
        <f>IFERROR(INDEX(MOTOR_RELATORIO!$U$2:$U$151,MATCH(11*10+4,MOTOR_RELATORIO!$AE$2:$AE$151,0)),"")</f>
        <v/>
      </c>
    </row>
    <row r="139" outlineLevel="1" ht="14" customHeight="1">
      <c r="A139" s="20" t="n"/>
      <c r="B139" s="20" t="n"/>
      <c r="C139" s="28">
        <f>IFERROR(INDEX(MOTOR_RELATORIO!$O$2:$O$151,MATCH(11*10+5,MOTOR_RELATORIO!$AE$2:$AE$151,0)),"")</f>
        <v/>
      </c>
      <c r="D139" s="20" t="n"/>
      <c r="E139" s="20" t="n"/>
      <c r="F139" s="20" t="n"/>
      <c r="G139" s="20" t="n"/>
      <c r="H139" s="34">
        <f>IFERROR(INDEX(MOTOR_RELATORIO!$R$2:$R$151,MATCH(11*10+5,MOTOR_RELATORIO!$AE$2:$AE$151,0)),"")</f>
        <v/>
      </c>
      <c r="I139" s="34">
        <f>IFERROR(INDEX(MOTOR_RELATORIO!$S$2:$S$151,MATCH(11*10+5,MOTOR_RELATORIO!$AE$2:$AE$151,0)),"")</f>
        <v/>
      </c>
      <c r="J139" s="34">
        <f>IFERROR(INDEX(MOTOR_RELATORIO!$T$2:$T$151,MATCH(11*10+5,MOTOR_RELATORIO!$AE$2:$AE$151,0)),"")</f>
        <v/>
      </c>
      <c r="K139" s="34">
        <f>IFERROR(INDEX(MOTOR_RELATORIO!$U$2:$U$151,MATCH(11*10+5,MOTOR_RELATORIO!$AE$2:$AE$151,0)),"")</f>
        <v/>
      </c>
    </row>
    <row r="140" outlineLevel="1" ht="14" customHeight="1">
      <c r="A140" s="20" t="n"/>
      <c r="B140" s="20" t="n"/>
      <c r="C140" s="28">
        <f>IFERROR(INDEX(MOTOR_RELATORIO!$O$2:$O$151,MATCH(11*10+6,MOTOR_RELATORIO!$AE$2:$AE$151,0)),"")</f>
        <v/>
      </c>
      <c r="D140" s="20" t="n"/>
      <c r="E140" s="20" t="n"/>
      <c r="F140" s="20" t="n"/>
      <c r="G140" s="20" t="n"/>
      <c r="H140" s="34">
        <f>IFERROR(INDEX(MOTOR_RELATORIO!$R$2:$R$151,MATCH(11*10+6,MOTOR_RELATORIO!$AE$2:$AE$151,0)),"")</f>
        <v/>
      </c>
      <c r="I140" s="34">
        <f>IFERROR(INDEX(MOTOR_RELATORIO!$S$2:$S$151,MATCH(11*10+6,MOTOR_RELATORIO!$AE$2:$AE$151,0)),"")</f>
        <v/>
      </c>
      <c r="J140" s="34">
        <f>IFERROR(INDEX(MOTOR_RELATORIO!$T$2:$T$151,MATCH(11*10+6,MOTOR_RELATORIO!$AE$2:$AE$151,0)),"")</f>
        <v/>
      </c>
      <c r="K140" s="34">
        <f>IFERROR(INDEX(MOTOR_RELATORIO!$U$2:$U$151,MATCH(11*10+6,MOTOR_RELATORIO!$AE$2:$AE$151,0)),"")</f>
        <v/>
      </c>
    </row>
    <row r="141">
      <c r="A141" s="59" t="n"/>
      <c r="B141" s="59" t="n"/>
      <c r="C141" s="59" t="n"/>
      <c r="D141" s="59" t="n"/>
      <c r="E141" s="59" t="n"/>
      <c r="F141" s="59" t="n"/>
      <c r="G141" s="60" t="inlineStr">
        <is>
          <t>RESULTADO:</t>
        </is>
      </c>
      <c r="H141" s="59" t="n"/>
      <c r="I141" s="61">
        <f>IFERROR(INDEX(MOTOR_RELATORIO!$AF$2:$AF$151,MATCH(11*10+1,MOTOR_RELATORIO!$AE$2:$AE$151,0)),"")</f>
        <v/>
      </c>
      <c r="J141" s="59" t="n"/>
      <c r="K141" s="59" t="n"/>
    </row>
    <row r="142">
      <c r="A142" s="62" t="n"/>
      <c r="B142" s="62" t="n"/>
      <c r="C142" s="62" t="n"/>
      <c r="D142" s="62" t="n"/>
      <c r="E142" s="62" t="n"/>
      <c r="F142" s="62" t="n"/>
      <c r="G142" s="63" t="inlineStr">
        <is>
          <t>VALOR:</t>
        </is>
      </c>
      <c r="H142" s="62" t="n"/>
      <c r="I142" s="64">
        <f>IFERROR(INDEX(MOTOR_RELATORIO!$AG$2:$AG$151,MATCH(11*10+1,MOTOR_RELATORIO!$AE$2:$AE$151,0)),"")</f>
        <v/>
      </c>
      <c r="J142" s="62" t="n"/>
      <c r="K142" s="62" t="n"/>
    </row>
    <row r="143" ht="15" customHeight="1">
      <c r="A143" s="51">
        <f>IFERROR(INDEX(MOTOR_RELATORIO!$Y$2:$Y$151,MATCH(12*10+1,MOTOR_RELATORIO!$AE$2:$AE$151,0)),"")</f>
        <v/>
      </c>
      <c r="B143" s="52">
        <f>IFERROR(INDEX(MOTOR_RELATORIO!$Z$2:$Z$151,MATCH(12*10+1,MOTOR_RELATORIO!$AE$2:$AE$151,0)),"")</f>
        <v/>
      </c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</row>
    <row r="144" ht="15" customHeight="1">
      <c r="A144" s="54">
        <f>IFERROR(INDEX(MOTOR_RELATORIO!$AA$2:$AA$151,MATCH(12*10+1,MOTOR_RELATORIO!$AE$2:$AE$151,0)),"")</f>
        <v/>
      </c>
      <c r="B144" s="55">
        <f>IFERROR(INDEX(MOTOR_RELATORIO!$AB$2:$AB$151,MATCH(12*10+1,MOTOR_RELATORIO!$AE$2:$AE$151,0)),"")</f>
        <v/>
      </c>
    </row>
    <row r="145" ht="16" customHeight="1">
      <c r="A145" s="18" t="inlineStr">
        <is>
          <t>ITEM</t>
        </is>
      </c>
      <c r="B145" s="18" t="inlineStr">
        <is>
          <t>LINHA</t>
        </is>
      </c>
      <c r="C145" s="18" t="inlineStr">
        <is>
          <t>DESCRICAO</t>
        </is>
      </c>
      <c r="D145" s="56" t="n"/>
      <c r="E145" s="18" t="inlineStr">
        <is>
          <t>ATIVIDADE</t>
        </is>
      </c>
      <c r="F145" s="56" t="n"/>
      <c r="G145" s="18" t="inlineStr">
        <is>
          <t>UND.</t>
        </is>
      </c>
      <c r="H145" s="18" t="inlineStr">
        <is>
          <t>X</t>
        </is>
      </c>
      <c r="I145" s="18" t="inlineStr">
        <is>
          <t>Y</t>
        </is>
      </c>
      <c r="J145" s="18" t="inlineStr">
        <is>
          <t>Z</t>
        </is>
      </c>
      <c r="K145" s="18" t="inlineStr">
        <is>
          <t>RESULTADO</t>
        </is>
      </c>
    </row>
    <row r="146" ht="28" customHeight="1">
      <c r="A146" s="57">
        <f>IFERROR(INDEX(MOTOR_RELATORIO!$L$2:$L$151,MATCH(12*10+1,MOTOR_RELATORIO!$AE$2:$AE$151,0)),"")</f>
        <v/>
      </c>
      <c r="B146" s="57">
        <f>IFERROR(INDEX(MOTOR_RELATORIO!$M$2:$M$151,MATCH(12*10+1,MOTOR_RELATORIO!$AE$2:$AE$151,0)),"")</f>
        <v/>
      </c>
      <c r="C146" s="20" t="n"/>
      <c r="D146" s="20" t="n"/>
      <c r="E146" s="58">
        <f>IFERROR(INDEX(MOTOR_RELATORIO!$N$2:$N$151,MATCH(12*10+1,MOTOR_RELATORIO!$AE$2:$AE$151,0)),"")</f>
        <v/>
      </c>
      <c r="F146" s="20" t="n"/>
      <c r="G146" s="57">
        <f>IFERROR(INDEX(MOTOR_RELATORIO!$P$2:$P$151,MATCH(12*10+1,MOTOR_RELATORIO!$AE$2:$AE$151,0)),"")</f>
        <v/>
      </c>
      <c r="H146" s="20" t="n"/>
      <c r="I146" s="20" t="n"/>
      <c r="J146" s="20" t="n"/>
      <c r="K146" s="20" t="n"/>
    </row>
    <row r="147" outlineLevel="1" ht="14" customHeight="1">
      <c r="A147" s="20" t="n"/>
      <c r="B147" s="20" t="n"/>
      <c r="C147" s="28">
        <f>IFERROR(INDEX(MOTOR_RELATORIO!$O$2:$O$151,MATCH(12*10+1,MOTOR_RELATORIO!$AE$2:$AE$151,0)),"")</f>
        <v/>
      </c>
      <c r="D147" s="20" t="n"/>
      <c r="E147" s="20" t="n"/>
      <c r="F147" s="20" t="n"/>
      <c r="G147" s="20" t="n"/>
      <c r="H147" s="34">
        <f>IFERROR(INDEX(MOTOR_RELATORIO!$R$2:$R$151,MATCH(12*10+1,MOTOR_RELATORIO!$AE$2:$AE$151,0)),"")</f>
        <v/>
      </c>
      <c r="I147" s="34">
        <f>IFERROR(INDEX(MOTOR_RELATORIO!$S$2:$S$151,MATCH(12*10+1,MOTOR_RELATORIO!$AE$2:$AE$151,0)),"")</f>
        <v/>
      </c>
      <c r="J147" s="34">
        <f>IFERROR(INDEX(MOTOR_RELATORIO!$T$2:$T$151,MATCH(12*10+1,MOTOR_RELATORIO!$AE$2:$AE$151,0)),"")</f>
        <v/>
      </c>
      <c r="K147" s="34">
        <f>IFERROR(INDEX(MOTOR_RELATORIO!$U$2:$U$151,MATCH(12*10+1,MOTOR_RELATORIO!$AE$2:$AE$151,0)),"")</f>
        <v/>
      </c>
    </row>
    <row r="148" outlineLevel="1" ht="14" customHeight="1">
      <c r="A148" s="20" t="n"/>
      <c r="B148" s="20" t="n"/>
      <c r="C148" s="28">
        <f>IFERROR(INDEX(MOTOR_RELATORIO!$O$2:$O$151,MATCH(12*10+2,MOTOR_RELATORIO!$AE$2:$AE$151,0)),"")</f>
        <v/>
      </c>
      <c r="D148" s="20" t="n"/>
      <c r="E148" s="20" t="n"/>
      <c r="F148" s="20" t="n"/>
      <c r="G148" s="20" t="n"/>
      <c r="H148" s="34">
        <f>IFERROR(INDEX(MOTOR_RELATORIO!$R$2:$R$151,MATCH(12*10+2,MOTOR_RELATORIO!$AE$2:$AE$151,0)),"")</f>
        <v/>
      </c>
      <c r="I148" s="34">
        <f>IFERROR(INDEX(MOTOR_RELATORIO!$S$2:$S$151,MATCH(12*10+2,MOTOR_RELATORIO!$AE$2:$AE$151,0)),"")</f>
        <v/>
      </c>
      <c r="J148" s="34">
        <f>IFERROR(INDEX(MOTOR_RELATORIO!$T$2:$T$151,MATCH(12*10+2,MOTOR_RELATORIO!$AE$2:$AE$151,0)),"")</f>
        <v/>
      </c>
      <c r="K148" s="34">
        <f>IFERROR(INDEX(MOTOR_RELATORIO!$U$2:$U$151,MATCH(12*10+2,MOTOR_RELATORIO!$AE$2:$AE$151,0)),"")</f>
        <v/>
      </c>
    </row>
    <row r="149" outlineLevel="1" ht="14" customHeight="1">
      <c r="A149" s="20" t="n"/>
      <c r="B149" s="20" t="n"/>
      <c r="C149" s="28">
        <f>IFERROR(INDEX(MOTOR_RELATORIO!$O$2:$O$151,MATCH(12*10+3,MOTOR_RELATORIO!$AE$2:$AE$151,0)),"")</f>
        <v/>
      </c>
      <c r="D149" s="20" t="n"/>
      <c r="E149" s="20" t="n"/>
      <c r="F149" s="20" t="n"/>
      <c r="G149" s="20" t="n"/>
      <c r="H149" s="34">
        <f>IFERROR(INDEX(MOTOR_RELATORIO!$R$2:$R$151,MATCH(12*10+3,MOTOR_RELATORIO!$AE$2:$AE$151,0)),"")</f>
        <v/>
      </c>
      <c r="I149" s="34">
        <f>IFERROR(INDEX(MOTOR_RELATORIO!$S$2:$S$151,MATCH(12*10+3,MOTOR_RELATORIO!$AE$2:$AE$151,0)),"")</f>
        <v/>
      </c>
      <c r="J149" s="34">
        <f>IFERROR(INDEX(MOTOR_RELATORIO!$T$2:$T$151,MATCH(12*10+3,MOTOR_RELATORIO!$AE$2:$AE$151,0)),"")</f>
        <v/>
      </c>
      <c r="K149" s="34">
        <f>IFERROR(INDEX(MOTOR_RELATORIO!$U$2:$U$151,MATCH(12*10+3,MOTOR_RELATORIO!$AE$2:$AE$151,0)),"")</f>
        <v/>
      </c>
    </row>
    <row r="150" outlineLevel="1" ht="14" customHeight="1">
      <c r="A150" s="20" t="n"/>
      <c r="B150" s="20" t="n"/>
      <c r="C150" s="28">
        <f>IFERROR(INDEX(MOTOR_RELATORIO!$O$2:$O$151,MATCH(12*10+4,MOTOR_RELATORIO!$AE$2:$AE$151,0)),"")</f>
        <v/>
      </c>
      <c r="D150" s="20" t="n"/>
      <c r="E150" s="20" t="n"/>
      <c r="F150" s="20" t="n"/>
      <c r="G150" s="20" t="n"/>
      <c r="H150" s="34">
        <f>IFERROR(INDEX(MOTOR_RELATORIO!$R$2:$R$151,MATCH(12*10+4,MOTOR_RELATORIO!$AE$2:$AE$151,0)),"")</f>
        <v/>
      </c>
      <c r="I150" s="34">
        <f>IFERROR(INDEX(MOTOR_RELATORIO!$S$2:$S$151,MATCH(12*10+4,MOTOR_RELATORIO!$AE$2:$AE$151,0)),"")</f>
        <v/>
      </c>
      <c r="J150" s="34">
        <f>IFERROR(INDEX(MOTOR_RELATORIO!$T$2:$T$151,MATCH(12*10+4,MOTOR_RELATORIO!$AE$2:$AE$151,0)),"")</f>
        <v/>
      </c>
      <c r="K150" s="34">
        <f>IFERROR(INDEX(MOTOR_RELATORIO!$U$2:$U$151,MATCH(12*10+4,MOTOR_RELATORIO!$AE$2:$AE$151,0)),"")</f>
        <v/>
      </c>
    </row>
    <row r="151" outlineLevel="1" ht="14" customHeight="1">
      <c r="A151" s="20" t="n"/>
      <c r="B151" s="20" t="n"/>
      <c r="C151" s="28">
        <f>IFERROR(INDEX(MOTOR_RELATORIO!$O$2:$O$151,MATCH(12*10+5,MOTOR_RELATORIO!$AE$2:$AE$151,0)),"")</f>
        <v/>
      </c>
      <c r="D151" s="20" t="n"/>
      <c r="E151" s="20" t="n"/>
      <c r="F151" s="20" t="n"/>
      <c r="G151" s="20" t="n"/>
      <c r="H151" s="34">
        <f>IFERROR(INDEX(MOTOR_RELATORIO!$R$2:$R$151,MATCH(12*10+5,MOTOR_RELATORIO!$AE$2:$AE$151,0)),"")</f>
        <v/>
      </c>
      <c r="I151" s="34">
        <f>IFERROR(INDEX(MOTOR_RELATORIO!$S$2:$S$151,MATCH(12*10+5,MOTOR_RELATORIO!$AE$2:$AE$151,0)),"")</f>
        <v/>
      </c>
      <c r="J151" s="34">
        <f>IFERROR(INDEX(MOTOR_RELATORIO!$T$2:$T$151,MATCH(12*10+5,MOTOR_RELATORIO!$AE$2:$AE$151,0)),"")</f>
        <v/>
      </c>
      <c r="K151" s="34">
        <f>IFERROR(INDEX(MOTOR_RELATORIO!$U$2:$U$151,MATCH(12*10+5,MOTOR_RELATORIO!$AE$2:$AE$151,0)),"")</f>
        <v/>
      </c>
    </row>
    <row r="152" outlineLevel="1" ht="14" customHeight="1">
      <c r="A152" s="20" t="n"/>
      <c r="B152" s="20" t="n"/>
      <c r="C152" s="28">
        <f>IFERROR(INDEX(MOTOR_RELATORIO!$O$2:$O$151,MATCH(12*10+6,MOTOR_RELATORIO!$AE$2:$AE$151,0)),"")</f>
        <v/>
      </c>
      <c r="D152" s="20" t="n"/>
      <c r="E152" s="20" t="n"/>
      <c r="F152" s="20" t="n"/>
      <c r="G152" s="20" t="n"/>
      <c r="H152" s="34">
        <f>IFERROR(INDEX(MOTOR_RELATORIO!$R$2:$R$151,MATCH(12*10+6,MOTOR_RELATORIO!$AE$2:$AE$151,0)),"")</f>
        <v/>
      </c>
      <c r="I152" s="34">
        <f>IFERROR(INDEX(MOTOR_RELATORIO!$S$2:$S$151,MATCH(12*10+6,MOTOR_RELATORIO!$AE$2:$AE$151,0)),"")</f>
        <v/>
      </c>
      <c r="J152" s="34">
        <f>IFERROR(INDEX(MOTOR_RELATORIO!$T$2:$T$151,MATCH(12*10+6,MOTOR_RELATORIO!$AE$2:$AE$151,0)),"")</f>
        <v/>
      </c>
      <c r="K152" s="34">
        <f>IFERROR(INDEX(MOTOR_RELATORIO!$U$2:$U$151,MATCH(12*10+6,MOTOR_RELATORIO!$AE$2:$AE$151,0)),"")</f>
        <v/>
      </c>
    </row>
    <row r="153">
      <c r="A153" s="59" t="n"/>
      <c r="B153" s="59" t="n"/>
      <c r="C153" s="59" t="n"/>
      <c r="D153" s="59" t="n"/>
      <c r="E153" s="59" t="n"/>
      <c r="F153" s="59" t="n"/>
      <c r="G153" s="60" t="inlineStr">
        <is>
          <t>RESULTADO:</t>
        </is>
      </c>
      <c r="H153" s="59" t="n"/>
      <c r="I153" s="61">
        <f>IFERROR(INDEX(MOTOR_RELATORIO!$AF$2:$AF$151,MATCH(12*10+1,MOTOR_RELATORIO!$AE$2:$AE$151,0)),"")</f>
        <v/>
      </c>
      <c r="J153" s="59" t="n"/>
      <c r="K153" s="59" t="n"/>
    </row>
    <row r="154">
      <c r="A154" s="62" t="n"/>
      <c r="B154" s="62" t="n"/>
      <c r="C154" s="62" t="n"/>
      <c r="D154" s="62" t="n"/>
      <c r="E154" s="62" t="n"/>
      <c r="F154" s="62" t="n"/>
      <c r="G154" s="63" t="inlineStr">
        <is>
          <t>VALOR:</t>
        </is>
      </c>
      <c r="H154" s="62" t="n"/>
      <c r="I154" s="64">
        <f>IFERROR(INDEX(MOTOR_RELATORIO!$AG$2:$AG$151,MATCH(12*10+1,MOTOR_RELATORIO!$AE$2:$AE$151,0)),"")</f>
        <v/>
      </c>
      <c r="J154" s="62" t="n"/>
      <c r="K154" s="62" t="n"/>
    </row>
    <row r="155" ht="15" customHeight="1">
      <c r="A155" s="51">
        <f>IFERROR(INDEX(MOTOR_RELATORIO!$Y$2:$Y$151,MATCH(13*10+1,MOTOR_RELATORIO!$AE$2:$AE$151,0)),"")</f>
        <v/>
      </c>
      <c r="B155" s="52">
        <f>IFERROR(INDEX(MOTOR_RELATORIO!$Z$2:$Z$151,MATCH(13*10+1,MOTOR_RELATORIO!$AE$2:$AE$151,0)),"")</f>
        <v/>
      </c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</row>
    <row r="156" ht="15" customHeight="1">
      <c r="A156" s="54">
        <f>IFERROR(INDEX(MOTOR_RELATORIO!$AA$2:$AA$151,MATCH(13*10+1,MOTOR_RELATORIO!$AE$2:$AE$151,0)),"")</f>
        <v/>
      </c>
      <c r="B156" s="55">
        <f>IFERROR(INDEX(MOTOR_RELATORIO!$AB$2:$AB$151,MATCH(13*10+1,MOTOR_RELATORIO!$AE$2:$AE$151,0)),"")</f>
        <v/>
      </c>
    </row>
    <row r="157" ht="16" customHeight="1">
      <c r="A157" s="18" t="inlineStr">
        <is>
          <t>ITEM</t>
        </is>
      </c>
      <c r="B157" s="18" t="inlineStr">
        <is>
          <t>LINHA</t>
        </is>
      </c>
      <c r="C157" s="18" t="inlineStr">
        <is>
          <t>DESCRICAO</t>
        </is>
      </c>
      <c r="D157" s="56" t="n"/>
      <c r="E157" s="18" t="inlineStr">
        <is>
          <t>ATIVIDADE</t>
        </is>
      </c>
      <c r="F157" s="56" t="n"/>
      <c r="G157" s="18" t="inlineStr">
        <is>
          <t>UND.</t>
        </is>
      </c>
      <c r="H157" s="18" t="inlineStr">
        <is>
          <t>X</t>
        </is>
      </c>
      <c r="I157" s="18" t="inlineStr">
        <is>
          <t>Y</t>
        </is>
      </c>
      <c r="J157" s="18" t="inlineStr">
        <is>
          <t>Z</t>
        </is>
      </c>
      <c r="K157" s="18" t="inlineStr">
        <is>
          <t>RESULTADO</t>
        </is>
      </c>
    </row>
    <row r="158" ht="28" customHeight="1">
      <c r="A158" s="57">
        <f>IFERROR(INDEX(MOTOR_RELATORIO!$L$2:$L$151,MATCH(13*10+1,MOTOR_RELATORIO!$AE$2:$AE$151,0)),"")</f>
        <v/>
      </c>
      <c r="B158" s="57">
        <f>IFERROR(INDEX(MOTOR_RELATORIO!$M$2:$M$151,MATCH(13*10+1,MOTOR_RELATORIO!$AE$2:$AE$151,0)),"")</f>
        <v/>
      </c>
      <c r="C158" s="20" t="n"/>
      <c r="D158" s="20" t="n"/>
      <c r="E158" s="58">
        <f>IFERROR(INDEX(MOTOR_RELATORIO!$N$2:$N$151,MATCH(13*10+1,MOTOR_RELATORIO!$AE$2:$AE$151,0)),"")</f>
        <v/>
      </c>
      <c r="F158" s="20" t="n"/>
      <c r="G158" s="57">
        <f>IFERROR(INDEX(MOTOR_RELATORIO!$P$2:$P$151,MATCH(13*10+1,MOTOR_RELATORIO!$AE$2:$AE$151,0)),"")</f>
        <v/>
      </c>
      <c r="H158" s="20" t="n"/>
      <c r="I158" s="20" t="n"/>
      <c r="J158" s="20" t="n"/>
      <c r="K158" s="20" t="n"/>
    </row>
    <row r="159" outlineLevel="1" ht="14" customHeight="1">
      <c r="A159" s="20" t="n"/>
      <c r="B159" s="20" t="n"/>
      <c r="C159" s="28">
        <f>IFERROR(INDEX(MOTOR_RELATORIO!$O$2:$O$151,MATCH(13*10+1,MOTOR_RELATORIO!$AE$2:$AE$151,0)),"")</f>
        <v/>
      </c>
      <c r="D159" s="20" t="n"/>
      <c r="E159" s="20" t="n"/>
      <c r="F159" s="20" t="n"/>
      <c r="G159" s="20" t="n"/>
      <c r="H159" s="34">
        <f>IFERROR(INDEX(MOTOR_RELATORIO!$R$2:$R$151,MATCH(13*10+1,MOTOR_RELATORIO!$AE$2:$AE$151,0)),"")</f>
        <v/>
      </c>
      <c r="I159" s="34">
        <f>IFERROR(INDEX(MOTOR_RELATORIO!$S$2:$S$151,MATCH(13*10+1,MOTOR_RELATORIO!$AE$2:$AE$151,0)),"")</f>
        <v/>
      </c>
      <c r="J159" s="34">
        <f>IFERROR(INDEX(MOTOR_RELATORIO!$T$2:$T$151,MATCH(13*10+1,MOTOR_RELATORIO!$AE$2:$AE$151,0)),"")</f>
        <v/>
      </c>
      <c r="K159" s="34">
        <f>IFERROR(INDEX(MOTOR_RELATORIO!$U$2:$U$151,MATCH(13*10+1,MOTOR_RELATORIO!$AE$2:$AE$151,0)),"")</f>
        <v/>
      </c>
    </row>
    <row r="160" outlineLevel="1" ht="14" customHeight="1">
      <c r="A160" s="20" t="n"/>
      <c r="B160" s="20" t="n"/>
      <c r="C160" s="28">
        <f>IFERROR(INDEX(MOTOR_RELATORIO!$O$2:$O$151,MATCH(13*10+2,MOTOR_RELATORIO!$AE$2:$AE$151,0)),"")</f>
        <v/>
      </c>
      <c r="D160" s="20" t="n"/>
      <c r="E160" s="20" t="n"/>
      <c r="F160" s="20" t="n"/>
      <c r="G160" s="20" t="n"/>
      <c r="H160" s="34">
        <f>IFERROR(INDEX(MOTOR_RELATORIO!$R$2:$R$151,MATCH(13*10+2,MOTOR_RELATORIO!$AE$2:$AE$151,0)),"")</f>
        <v/>
      </c>
      <c r="I160" s="34">
        <f>IFERROR(INDEX(MOTOR_RELATORIO!$S$2:$S$151,MATCH(13*10+2,MOTOR_RELATORIO!$AE$2:$AE$151,0)),"")</f>
        <v/>
      </c>
      <c r="J160" s="34">
        <f>IFERROR(INDEX(MOTOR_RELATORIO!$T$2:$T$151,MATCH(13*10+2,MOTOR_RELATORIO!$AE$2:$AE$151,0)),"")</f>
        <v/>
      </c>
      <c r="K160" s="34">
        <f>IFERROR(INDEX(MOTOR_RELATORIO!$U$2:$U$151,MATCH(13*10+2,MOTOR_RELATORIO!$AE$2:$AE$151,0)),"")</f>
        <v/>
      </c>
    </row>
    <row r="161" outlineLevel="1" ht="14" customHeight="1">
      <c r="A161" s="20" t="n"/>
      <c r="B161" s="20" t="n"/>
      <c r="C161" s="28">
        <f>IFERROR(INDEX(MOTOR_RELATORIO!$O$2:$O$151,MATCH(13*10+3,MOTOR_RELATORIO!$AE$2:$AE$151,0)),"")</f>
        <v/>
      </c>
      <c r="D161" s="20" t="n"/>
      <c r="E161" s="20" t="n"/>
      <c r="F161" s="20" t="n"/>
      <c r="G161" s="20" t="n"/>
      <c r="H161" s="34">
        <f>IFERROR(INDEX(MOTOR_RELATORIO!$R$2:$R$151,MATCH(13*10+3,MOTOR_RELATORIO!$AE$2:$AE$151,0)),"")</f>
        <v/>
      </c>
      <c r="I161" s="34">
        <f>IFERROR(INDEX(MOTOR_RELATORIO!$S$2:$S$151,MATCH(13*10+3,MOTOR_RELATORIO!$AE$2:$AE$151,0)),"")</f>
        <v/>
      </c>
      <c r="J161" s="34">
        <f>IFERROR(INDEX(MOTOR_RELATORIO!$T$2:$T$151,MATCH(13*10+3,MOTOR_RELATORIO!$AE$2:$AE$151,0)),"")</f>
        <v/>
      </c>
      <c r="K161" s="34">
        <f>IFERROR(INDEX(MOTOR_RELATORIO!$U$2:$U$151,MATCH(13*10+3,MOTOR_RELATORIO!$AE$2:$AE$151,0)),"")</f>
        <v/>
      </c>
    </row>
    <row r="162" outlineLevel="1" ht="14" customHeight="1">
      <c r="A162" s="20" t="n"/>
      <c r="B162" s="20" t="n"/>
      <c r="C162" s="28">
        <f>IFERROR(INDEX(MOTOR_RELATORIO!$O$2:$O$151,MATCH(13*10+4,MOTOR_RELATORIO!$AE$2:$AE$151,0)),"")</f>
        <v/>
      </c>
      <c r="D162" s="20" t="n"/>
      <c r="E162" s="20" t="n"/>
      <c r="F162" s="20" t="n"/>
      <c r="G162" s="20" t="n"/>
      <c r="H162" s="34">
        <f>IFERROR(INDEX(MOTOR_RELATORIO!$R$2:$R$151,MATCH(13*10+4,MOTOR_RELATORIO!$AE$2:$AE$151,0)),"")</f>
        <v/>
      </c>
      <c r="I162" s="34">
        <f>IFERROR(INDEX(MOTOR_RELATORIO!$S$2:$S$151,MATCH(13*10+4,MOTOR_RELATORIO!$AE$2:$AE$151,0)),"")</f>
        <v/>
      </c>
      <c r="J162" s="34">
        <f>IFERROR(INDEX(MOTOR_RELATORIO!$T$2:$T$151,MATCH(13*10+4,MOTOR_RELATORIO!$AE$2:$AE$151,0)),"")</f>
        <v/>
      </c>
      <c r="K162" s="34">
        <f>IFERROR(INDEX(MOTOR_RELATORIO!$U$2:$U$151,MATCH(13*10+4,MOTOR_RELATORIO!$AE$2:$AE$151,0)),"")</f>
        <v/>
      </c>
    </row>
    <row r="163" outlineLevel="1" ht="14" customHeight="1">
      <c r="A163" s="20" t="n"/>
      <c r="B163" s="20" t="n"/>
      <c r="C163" s="28">
        <f>IFERROR(INDEX(MOTOR_RELATORIO!$O$2:$O$151,MATCH(13*10+5,MOTOR_RELATORIO!$AE$2:$AE$151,0)),"")</f>
        <v/>
      </c>
      <c r="D163" s="20" t="n"/>
      <c r="E163" s="20" t="n"/>
      <c r="F163" s="20" t="n"/>
      <c r="G163" s="20" t="n"/>
      <c r="H163" s="34">
        <f>IFERROR(INDEX(MOTOR_RELATORIO!$R$2:$R$151,MATCH(13*10+5,MOTOR_RELATORIO!$AE$2:$AE$151,0)),"")</f>
        <v/>
      </c>
      <c r="I163" s="34">
        <f>IFERROR(INDEX(MOTOR_RELATORIO!$S$2:$S$151,MATCH(13*10+5,MOTOR_RELATORIO!$AE$2:$AE$151,0)),"")</f>
        <v/>
      </c>
      <c r="J163" s="34">
        <f>IFERROR(INDEX(MOTOR_RELATORIO!$T$2:$T$151,MATCH(13*10+5,MOTOR_RELATORIO!$AE$2:$AE$151,0)),"")</f>
        <v/>
      </c>
      <c r="K163" s="34">
        <f>IFERROR(INDEX(MOTOR_RELATORIO!$U$2:$U$151,MATCH(13*10+5,MOTOR_RELATORIO!$AE$2:$AE$151,0)),"")</f>
        <v/>
      </c>
    </row>
    <row r="164" outlineLevel="1" ht="14" customHeight="1">
      <c r="A164" s="20" t="n"/>
      <c r="B164" s="20" t="n"/>
      <c r="C164" s="28">
        <f>IFERROR(INDEX(MOTOR_RELATORIO!$O$2:$O$151,MATCH(13*10+6,MOTOR_RELATORIO!$AE$2:$AE$151,0)),"")</f>
        <v/>
      </c>
      <c r="D164" s="20" t="n"/>
      <c r="E164" s="20" t="n"/>
      <c r="F164" s="20" t="n"/>
      <c r="G164" s="20" t="n"/>
      <c r="H164" s="34">
        <f>IFERROR(INDEX(MOTOR_RELATORIO!$R$2:$R$151,MATCH(13*10+6,MOTOR_RELATORIO!$AE$2:$AE$151,0)),"")</f>
        <v/>
      </c>
      <c r="I164" s="34">
        <f>IFERROR(INDEX(MOTOR_RELATORIO!$S$2:$S$151,MATCH(13*10+6,MOTOR_RELATORIO!$AE$2:$AE$151,0)),"")</f>
        <v/>
      </c>
      <c r="J164" s="34">
        <f>IFERROR(INDEX(MOTOR_RELATORIO!$T$2:$T$151,MATCH(13*10+6,MOTOR_RELATORIO!$AE$2:$AE$151,0)),"")</f>
        <v/>
      </c>
      <c r="K164" s="34">
        <f>IFERROR(INDEX(MOTOR_RELATORIO!$U$2:$U$151,MATCH(13*10+6,MOTOR_RELATORIO!$AE$2:$AE$151,0)),"")</f>
        <v/>
      </c>
    </row>
    <row r="165">
      <c r="A165" s="59" t="n"/>
      <c r="B165" s="59" t="n"/>
      <c r="C165" s="59" t="n"/>
      <c r="D165" s="59" t="n"/>
      <c r="E165" s="59" t="n"/>
      <c r="F165" s="59" t="n"/>
      <c r="G165" s="60" t="inlineStr">
        <is>
          <t>RESULTADO:</t>
        </is>
      </c>
      <c r="H165" s="59" t="n"/>
      <c r="I165" s="61">
        <f>IFERROR(INDEX(MOTOR_RELATORIO!$AF$2:$AF$151,MATCH(13*10+1,MOTOR_RELATORIO!$AE$2:$AE$151,0)),"")</f>
        <v/>
      </c>
      <c r="J165" s="59" t="n"/>
      <c r="K165" s="59" t="n"/>
    </row>
    <row r="166">
      <c r="A166" s="62" t="n"/>
      <c r="B166" s="62" t="n"/>
      <c r="C166" s="62" t="n"/>
      <c r="D166" s="62" t="n"/>
      <c r="E166" s="62" t="n"/>
      <c r="F166" s="62" t="n"/>
      <c r="G166" s="63" t="inlineStr">
        <is>
          <t>VALOR:</t>
        </is>
      </c>
      <c r="H166" s="62" t="n"/>
      <c r="I166" s="64">
        <f>IFERROR(INDEX(MOTOR_RELATORIO!$AG$2:$AG$151,MATCH(13*10+1,MOTOR_RELATORIO!$AE$2:$AE$151,0)),"")</f>
        <v/>
      </c>
      <c r="J166" s="62" t="n"/>
      <c r="K166" s="62" t="n"/>
    </row>
    <row r="167" ht="15" customHeight="1">
      <c r="A167" s="51">
        <f>IFERROR(INDEX(MOTOR_RELATORIO!$Y$2:$Y$151,MATCH(14*10+1,MOTOR_RELATORIO!$AE$2:$AE$151,0)),"")</f>
        <v/>
      </c>
      <c r="B167" s="52">
        <f>IFERROR(INDEX(MOTOR_RELATORIO!$Z$2:$Z$151,MATCH(14*10+1,MOTOR_RELATORIO!$AE$2:$AE$151,0)),"")</f>
        <v/>
      </c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</row>
    <row r="168" ht="15" customHeight="1">
      <c r="A168" s="54">
        <f>IFERROR(INDEX(MOTOR_RELATORIO!$AA$2:$AA$151,MATCH(14*10+1,MOTOR_RELATORIO!$AE$2:$AE$151,0)),"")</f>
        <v/>
      </c>
      <c r="B168" s="55">
        <f>IFERROR(INDEX(MOTOR_RELATORIO!$AB$2:$AB$151,MATCH(14*10+1,MOTOR_RELATORIO!$AE$2:$AE$151,0)),"")</f>
        <v/>
      </c>
    </row>
    <row r="169" ht="16" customHeight="1">
      <c r="A169" s="18" t="inlineStr">
        <is>
          <t>ITEM</t>
        </is>
      </c>
      <c r="B169" s="18" t="inlineStr">
        <is>
          <t>LINHA</t>
        </is>
      </c>
      <c r="C169" s="18" t="inlineStr">
        <is>
          <t>DESCRICAO</t>
        </is>
      </c>
      <c r="D169" s="56" t="n"/>
      <c r="E169" s="18" t="inlineStr">
        <is>
          <t>ATIVIDADE</t>
        </is>
      </c>
      <c r="F169" s="56" t="n"/>
      <c r="G169" s="18" t="inlineStr">
        <is>
          <t>UND.</t>
        </is>
      </c>
      <c r="H169" s="18" t="inlineStr">
        <is>
          <t>X</t>
        </is>
      </c>
      <c r="I169" s="18" t="inlineStr">
        <is>
          <t>Y</t>
        </is>
      </c>
      <c r="J169" s="18" t="inlineStr">
        <is>
          <t>Z</t>
        </is>
      </c>
      <c r="K169" s="18" t="inlineStr">
        <is>
          <t>RESULTADO</t>
        </is>
      </c>
    </row>
    <row r="170" ht="28" customHeight="1">
      <c r="A170" s="57">
        <f>IFERROR(INDEX(MOTOR_RELATORIO!$L$2:$L$151,MATCH(14*10+1,MOTOR_RELATORIO!$AE$2:$AE$151,0)),"")</f>
        <v/>
      </c>
      <c r="B170" s="57">
        <f>IFERROR(INDEX(MOTOR_RELATORIO!$M$2:$M$151,MATCH(14*10+1,MOTOR_RELATORIO!$AE$2:$AE$151,0)),"")</f>
        <v/>
      </c>
      <c r="C170" s="20" t="n"/>
      <c r="D170" s="20" t="n"/>
      <c r="E170" s="58">
        <f>IFERROR(INDEX(MOTOR_RELATORIO!$N$2:$N$151,MATCH(14*10+1,MOTOR_RELATORIO!$AE$2:$AE$151,0)),"")</f>
        <v/>
      </c>
      <c r="F170" s="20" t="n"/>
      <c r="G170" s="57">
        <f>IFERROR(INDEX(MOTOR_RELATORIO!$P$2:$P$151,MATCH(14*10+1,MOTOR_RELATORIO!$AE$2:$AE$151,0)),"")</f>
        <v/>
      </c>
      <c r="H170" s="20" t="n"/>
      <c r="I170" s="20" t="n"/>
      <c r="J170" s="20" t="n"/>
      <c r="K170" s="20" t="n"/>
    </row>
    <row r="171" outlineLevel="1" ht="14" customHeight="1">
      <c r="A171" s="20" t="n"/>
      <c r="B171" s="20" t="n"/>
      <c r="C171" s="28">
        <f>IFERROR(INDEX(MOTOR_RELATORIO!$O$2:$O$151,MATCH(14*10+1,MOTOR_RELATORIO!$AE$2:$AE$151,0)),"")</f>
        <v/>
      </c>
      <c r="D171" s="20" t="n"/>
      <c r="E171" s="20" t="n"/>
      <c r="F171" s="20" t="n"/>
      <c r="G171" s="20" t="n"/>
      <c r="H171" s="34">
        <f>IFERROR(INDEX(MOTOR_RELATORIO!$R$2:$R$151,MATCH(14*10+1,MOTOR_RELATORIO!$AE$2:$AE$151,0)),"")</f>
        <v/>
      </c>
      <c r="I171" s="34">
        <f>IFERROR(INDEX(MOTOR_RELATORIO!$S$2:$S$151,MATCH(14*10+1,MOTOR_RELATORIO!$AE$2:$AE$151,0)),"")</f>
        <v/>
      </c>
      <c r="J171" s="34">
        <f>IFERROR(INDEX(MOTOR_RELATORIO!$T$2:$T$151,MATCH(14*10+1,MOTOR_RELATORIO!$AE$2:$AE$151,0)),"")</f>
        <v/>
      </c>
      <c r="K171" s="34">
        <f>IFERROR(INDEX(MOTOR_RELATORIO!$U$2:$U$151,MATCH(14*10+1,MOTOR_RELATORIO!$AE$2:$AE$151,0)),"")</f>
        <v/>
      </c>
    </row>
    <row r="172" outlineLevel="1" ht="14" customHeight="1">
      <c r="A172" s="20" t="n"/>
      <c r="B172" s="20" t="n"/>
      <c r="C172" s="28">
        <f>IFERROR(INDEX(MOTOR_RELATORIO!$O$2:$O$151,MATCH(14*10+2,MOTOR_RELATORIO!$AE$2:$AE$151,0)),"")</f>
        <v/>
      </c>
      <c r="D172" s="20" t="n"/>
      <c r="E172" s="20" t="n"/>
      <c r="F172" s="20" t="n"/>
      <c r="G172" s="20" t="n"/>
      <c r="H172" s="34">
        <f>IFERROR(INDEX(MOTOR_RELATORIO!$R$2:$R$151,MATCH(14*10+2,MOTOR_RELATORIO!$AE$2:$AE$151,0)),"")</f>
        <v/>
      </c>
      <c r="I172" s="34">
        <f>IFERROR(INDEX(MOTOR_RELATORIO!$S$2:$S$151,MATCH(14*10+2,MOTOR_RELATORIO!$AE$2:$AE$151,0)),"")</f>
        <v/>
      </c>
      <c r="J172" s="34">
        <f>IFERROR(INDEX(MOTOR_RELATORIO!$T$2:$T$151,MATCH(14*10+2,MOTOR_RELATORIO!$AE$2:$AE$151,0)),"")</f>
        <v/>
      </c>
      <c r="K172" s="34">
        <f>IFERROR(INDEX(MOTOR_RELATORIO!$U$2:$U$151,MATCH(14*10+2,MOTOR_RELATORIO!$AE$2:$AE$151,0)),"")</f>
        <v/>
      </c>
    </row>
    <row r="173" outlineLevel="1" ht="14" customHeight="1">
      <c r="A173" s="20" t="n"/>
      <c r="B173" s="20" t="n"/>
      <c r="C173" s="28">
        <f>IFERROR(INDEX(MOTOR_RELATORIO!$O$2:$O$151,MATCH(14*10+3,MOTOR_RELATORIO!$AE$2:$AE$151,0)),"")</f>
        <v/>
      </c>
      <c r="D173" s="20" t="n"/>
      <c r="E173" s="20" t="n"/>
      <c r="F173" s="20" t="n"/>
      <c r="G173" s="20" t="n"/>
      <c r="H173" s="34">
        <f>IFERROR(INDEX(MOTOR_RELATORIO!$R$2:$R$151,MATCH(14*10+3,MOTOR_RELATORIO!$AE$2:$AE$151,0)),"")</f>
        <v/>
      </c>
      <c r="I173" s="34">
        <f>IFERROR(INDEX(MOTOR_RELATORIO!$S$2:$S$151,MATCH(14*10+3,MOTOR_RELATORIO!$AE$2:$AE$151,0)),"")</f>
        <v/>
      </c>
      <c r="J173" s="34">
        <f>IFERROR(INDEX(MOTOR_RELATORIO!$T$2:$T$151,MATCH(14*10+3,MOTOR_RELATORIO!$AE$2:$AE$151,0)),"")</f>
        <v/>
      </c>
      <c r="K173" s="34">
        <f>IFERROR(INDEX(MOTOR_RELATORIO!$U$2:$U$151,MATCH(14*10+3,MOTOR_RELATORIO!$AE$2:$AE$151,0)),"")</f>
        <v/>
      </c>
    </row>
    <row r="174" outlineLevel="1" ht="14" customHeight="1">
      <c r="A174" s="20" t="n"/>
      <c r="B174" s="20" t="n"/>
      <c r="C174" s="28">
        <f>IFERROR(INDEX(MOTOR_RELATORIO!$O$2:$O$151,MATCH(14*10+4,MOTOR_RELATORIO!$AE$2:$AE$151,0)),"")</f>
        <v/>
      </c>
      <c r="D174" s="20" t="n"/>
      <c r="E174" s="20" t="n"/>
      <c r="F174" s="20" t="n"/>
      <c r="G174" s="20" t="n"/>
      <c r="H174" s="34">
        <f>IFERROR(INDEX(MOTOR_RELATORIO!$R$2:$R$151,MATCH(14*10+4,MOTOR_RELATORIO!$AE$2:$AE$151,0)),"")</f>
        <v/>
      </c>
      <c r="I174" s="34">
        <f>IFERROR(INDEX(MOTOR_RELATORIO!$S$2:$S$151,MATCH(14*10+4,MOTOR_RELATORIO!$AE$2:$AE$151,0)),"")</f>
        <v/>
      </c>
      <c r="J174" s="34">
        <f>IFERROR(INDEX(MOTOR_RELATORIO!$T$2:$T$151,MATCH(14*10+4,MOTOR_RELATORIO!$AE$2:$AE$151,0)),"")</f>
        <v/>
      </c>
      <c r="K174" s="34">
        <f>IFERROR(INDEX(MOTOR_RELATORIO!$U$2:$U$151,MATCH(14*10+4,MOTOR_RELATORIO!$AE$2:$AE$151,0)),"")</f>
        <v/>
      </c>
    </row>
    <row r="175" outlineLevel="1" ht="14" customHeight="1">
      <c r="A175" s="20" t="n"/>
      <c r="B175" s="20" t="n"/>
      <c r="C175" s="28">
        <f>IFERROR(INDEX(MOTOR_RELATORIO!$O$2:$O$151,MATCH(14*10+5,MOTOR_RELATORIO!$AE$2:$AE$151,0)),"")</f>
        <v/>
      </c>
      <c r="D175" s="20" t="n"/>
      <c r="E175" s="20" t="n"/>
      <c r="F175" s="20" t="n"/>
      <c r="G175" s="20" t="n"/>
      <c r="H175" s="34">
        <f>IFERROR(INDEX(MOTOR_RELATORIO!$R$2:$R$151,MATCH(14*10+5,MOTOR_RELATORIO!$AE$2:$AE$151,0)),"")</f>
        <v/>
      </c>
      <c r="I175" s="34">
        <f>IFERROR(INDEX(MOTOR_RELATORIO!$S$2:$S$151,MATCH(14*10+5,MOTOR_RELATORIO!$AE$2:$AE$151,0)),"")</f>
        <v/>
      </c>
      <c r="J175" s="34">
        <f>IFERROR(INDEX(MOTOR_RELATORIO!$T$2:$T$151,MATCH(14*10+5,MOTOR_RELATORIO!$AE$2:$AE$151,0)),"")</f>
        <v/>
      </c>
      <c r="K175" s="34">
        <f>IFERROR(INDEX(MOTOR_RELATORIO!$U$2:$U$151,MATCH(14*10+5,MOTOR_RELATORIO!$AE$2:$AE$151,0)),"")</f>
        <v/>
      </c>
    </row>
    <row r="176" outlineLevel="1" ht="14" customHeight="1">
      <c r="A176" s="20" t="n"/>
      <c r="B176" s="20" t="n"/>
      <c r="C176" s="28">
        <f>IFERROR(INDEX(MOTOR_RELATORIO!$O$2:$O$151,MATCH(14*10+6,MOTOR_RELATORIO!$AE$2:$AE$151,0)),"")</f>
        <v/>
      </c>
      <c r="D176" s="20" t="n"/>
      <c r="E176" s="20" t="n"/>
      <c r="F176" s="20" t="n"/>
      <c r="G176" s="20" t="n"/>
      <c r="H176" s="34">
        <f>IFERROR(INDEX(MOTOR_RELATORIO!$R$2:$R$151,MATCH(14*10+6,MOTOR_RELATORIO!$AE$2:$AE$151,0)),"")</f>
        <v/>
      </c>
      <c r="I176" s="34">
        <f>IFERROR(INDEX(MOTOR_RELATORIO!$S$2:$S$151,MATCH(14*10+6,MOTOR_RELATORIO!$AE$2:$AE$151,0)),"")</f>
        <v/>
      </c>
      <c r="J176" s="34">
        <f>IFERROR(INDEX(MOTOR_RELATORIO!$T$2:$T$151,MATCH(14*10+6,MOTOR_RELATORIO!$AE$2:$AE$151,0)),"")</f>
        <v/>
      </c>
      <c r="K176" s="34">
        <f>IFERROR(INDEX(MOTOR_RELATORIO!$U$2:$U$151,MATCH(14*10+6,MOTOR_RELATORIO!$AE$2:$AE$151,0)),"")</f>
        <v/>
      </c>
    </row>
    <row r="177">
      <c r="A177" s="59" t="n"/>
      <c r="B177" s="59" t="n"/>
      <c r="C177" s="59" t="n"/>
      <c r="D177" s="59" t="n"/>
      <c r="E177" s="59" t="n"/>
      <c r="F177" s="59" t="n"/>
      <c r="G177" s="60" t="inlineStr">
        <is>
          <t>RESULTADO:</t>
        </is>
      </c>
      <c r="H177" s="59" t="n"/>
      <c r="I177" s="61">
        <f>IFERROR(INDEX(MOTOR_RELATORIO!$AF$2:$AF$151,MATCH(14*10+1,MOTOR_RELATORIO!$AE$2:$AE$151,0)),"")</f>
        <v/>
      </c>
      <c r="J177" s="59" t="n"/>
      <c r="K177" s="59" t="n"/>
    </row>
    <row r="178">
      <c r="A178" s="62" t="n"/>
      <c r="B178" s="62" t="n"/>
      <c r="C178" s="62" t="n"/>
      <c r="D178" s="62" t="n"/>
      <c r="E178" s="62" t="n"/>
      <c r="F178" s="62" t="n"/>
      <c r="G178" s="63" t="inlineStr">
        <is>
          <t>VALOR:</t>
        </is>
      </c>
      <c r="H178" s="62" t="n"/>
      <c r="I178" s="64">
        <f>IFERROR(INDEX(MOTOR_RELATORIO!$AG$2:$AG$151,MATCH(14*10+1,MOTOR_RELATORIO!$AE$2:$AE$151,0)),"")</f>
        <v/>
      </c>
      <c r="J178" s="62" t="n"/>
      <c r="K178" s="62" t="n"/>
    </row>
    <row r="179" ht="15" customHeight="1">
      <c r="A179" s="51">
        <f>IFERROR(INDEX(MOTOR_RELATORIO!$Y$2:$Y$151,MATCH(15*10+1,MOTOR_RELATORIO!$AE$2:$AE$151,0)),"")</f>
        <v/>
      </c>
      <c r="B179" s="52">
        <f>IFERROR(INDEX(MOTOR_RELATORIO!$Z$2:$Z$151,MATCH(15*10+1,MOTOR_RELATORIO!$AE$2:$AE$151,0)),"")</f>
        <v/>
      </c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</row>
    <row r="180" ht="15" customHeight="1">
      <c r="A180" s="54">
        <f>IFERROR(INDEX(MOTOR_RELATORIO!$AA$2:$AA$151,MATCH(15*10+1,MOTOR_RELATORIO!$AE$2:$AE$151,0)),"")</f>
        <v/>
      </c>
      <c r="B180" s="55">
        <f>IFERROR(INDEX(MOTOR_RELATORIO!$AB$2:$AB$151,MATCH(15*10+1,MOTOR_RELATORIO!$AE$2:$AE$151,0)),"")</f>
        <v/>
      </c>
    </row>
    <row r="181" ht="16" customHeight="1">
      <c r="A181" s="18" t="inlineStr">
        <is>
          <t>ITEM</t>
        </is>
      </c>
      <c r="B181" s="18" t="inlineStr">
        <is>
          <t>LINHA</t>
        </is>
      </c>
      <c r="C181" s="18" t="inlineStr">
        <is>
          <t>DESCRICAO</t>
        </is>
      </c>
      <c r="D181" s="56" t="n"/>
      <c r="E181" s="18" t="inlineStr">
        <is>
          <t>ATIVIDADE</t>
        </is>
      </c>
      <c r="F181" s="56" t="n"/>
      <c r="G181" s="18" t="inlineStr">
        <is>
          <t>UND.</t>
        </is>
      </c>
      <c r="H181" s="18" t="inlineStr">
        <is>
          <t>X</t>
        </is>
      </c>
      <c r="I181" s="18" t="inlineStr">
        <is>
          <t>Y</t>
        </is>
      </c>
      <c r="J181" s="18" t="inlineStr">
        <is>
          <t>Z</t>
        </is>
      </c>
      <c r="K181" s="18" t="inlineStr">
        <is>
          <t>RESULTADO</t>
        </is>
      </c>
    </row>
    <row r="182" ht="28" customHeight="1">
      <c r="A182" s="57">
        <f>IFERROR(INDEX(MOTOR_RELATORIO!$L$2:$L$151,MATCH(15*10+1,MOTOR_RELATORIO!$AE$2:$AE$151,0)),"")</f>
        <v/>
      </c>
      <c r="B182" s="57">
        <f>IFERROR(INDEX(MOTOR_RELATORIO!$M$2:$M$151,MATCH(15*10+1,MOTOR_RELATORIO!$AE$2:$AE$151,0)),"")</f>
        <v/>
      </c>
      <c r="C182" s="20" t="n"/>
      <c r="D182" s="20" t="n"/>
      <c r="E182" s="58">
        <f>IFERROR(INDEX(MOTOR_RELATORIO!$N$2:$N$151,MATCH(15*10+1,MOTOR_RELATORIO!$AE$2:$AE$151,0)),"")</f>
        <v/>
      </c>
      <c r="F182" s="20" t="n"/>
      <c r="G182" s="57">
        <f>IFERROR(INDEX(MOTOR_RELATORIO!$P$2:$P$151,MATCH(15*10+1,MOTOR_RELATORIO!$AE$2:$AE$151,0)),"")</f>
        <v/>
      </c>
      <c r="H182" s="20" t="n"/>
      <c r="I182" s="20" t="n"/>
      <c r="J182" s="20" t="n"/>
      <c r="K182" s="20" t="n"/>
    </row>
    <row r="183" outlineLevel="1" ht="14" customHeight="1">
      <c r="A183" s="20" t="n"/>
      <c r="B183" s="20" t="n"/>
      <c r="C183" s="28">
        <f>IFERROR(INDEX(MOTOR_RELATORIO!$O$2:$O$151,MATCH(15*10+1,MOTOR_RELATORIO!$AE$2:$AE$151,0)),"")</f>
        <v/>
      </c>
      <c r="D183" s="20" t="n"/>
      <c r="E183" s="20" t="n"/>
      <c r="F183" s="20" t="n"/>
      <c r="G183" s="20" t="n"/>
      <c r="H183" s="34">
        <f>IFERROR(INDEX(MOTOR_RELATORIO!$R$2:$R$151,MATCH(15*10+1,MOTOR_RELATORIO!$AE$2:$AE$151,0)),"")</f>
        <v/>
      </c>
      <c r="I183" s="34">
        <f>IFERROR(INDEX(MOTOR_RELATORIO!$S$2:$S$151,MATCH(15*10+1,MOTOR_RELATORIO!$AE$2:$AE$151,0)),"")</f>
        <v/>
      </c>
      <c r="J183" s="34">
        <f>IFERROR(INDEX(MOTOR_RELATORIO!$T$2:$T$151,MATCH(15*10+1,MOTOR_RELATORIO!$AE$2:$AE$151,0)),"")</f>
        <v/>
      </c>
      <c r="K183" s="34">
        <f>IFERROR(INDEX(MOTOR_RELATORIO!$U$2:$U$151,MATCH(15*10+1,MOTOR_RELATORIO!$AE$2:$AE$151,0)),"")</f>
        <v/>
      </c>
    </row>
    <row r="184" outlineLevel="1" ht="14" customHeight="1">
      <c r="A184" s="20" t="n"/>
      <c r="B184" s="20" t="n"/>
      <c r="C184" s="28">
        <f>IFERROR(INDEX(MOTOR_RELATORIO!$O$2:$O$151,MATCH(15*10+2,MOTOR_RELATORIO!$AE$2:$AE$151,0)),"")</f>
        <v/>
      </c>
      <c r="D184" s="20" t="n"/>
      <c r="E184" s="20" t="n"/>
      <c r="F184" s="20" t="n"/>
      <c r="G184" s="20" t="n"/>
      <c r="H184" s="34">
        <f>IFERROR(INDEX(MOTOR_RELATORIO!$R$2:$R$151,MATCH(15*10+2,MOTOR_RELATORIO!$AE$2:$AE$151,0)),"")</f>
        <v/>
      </c>
      <c r="I184" s="34">
        <f>IFERROR(INDEX(MOTOR_RELATORIO!$S$2:$S$151,MATCH(15*10+2,MOTOR_RELATORIO!$AE$2:$AE$151,0)),"")</f>
        <v/>
      </c>
      <c r="J184" s="34">
        <f>IFERROR(INDEX(MOTOR_RELATORIO!$T$2:$T$151,MATCH(15*10+2,MOTOR_RELATORIO!$AE$2:$AE$151,0)),"")</f>
        <v/>
      </c>
      <c r="K184" s="34">
        <f>IFERROR(INDEX(MOTOR_RELATORIO!$U$2:$U$151,MATCH(15*10+2,MOTOR_RELATORIO!$AE$2:$AE$151,0)),"")</f>
        <v/>
      </c>
    </row>
    <row r="185" outlineLevel="1" ht="14" customHeight="1">
      <c r="A185" s="20" t="n"/>
      <c r="B185" s="20" t="n"/>
      <c r="C185" s="28">
        <f>IFERROR(INDEX(MOTOR_RELATORIO!$O$2:$O$151,MATCH(15*10+3,MOTOR_RELATORIO!$AE$2:$AE$151,0)),"")</f>
        <v/>
      </c>
      <c r="D185" s="20" t="n"/>
      <c r="E185" s="20" t="n"/>
      <c r="F185" s="20" t="n"/>
      <c r="G185" s="20" t="n"/>
      <c r="H185" s="34">
        <f>IFERROR(INDEX(MOTOR_RELATORIO!$R$2:$R$151,MATCH(15*10+3,MOTOR_RELATORIO!$AE$2:$AE$151,0)),"")</f>
        <v/>
      </c>
      <c r="I185" s="34">
        <f>IFERROR(INDEX(MOTOR_RELATORIO!$S$2:$S$151,MATCH(15*10+3,MOTOR_RELATORIO!$AE$2:$AE$151,0)),"")</f>
        <v/>
      </c>
      <c r="J185" s="34">
        <f>IFERROR(INDEX(MOTOR_RELATORIO!$T$2:$T$151,MATCH(15*10+3,MOTOR_RELATORIO!$AE$2:$AE$151,0)),"")</f>
        <v/>
      </c>
      <c r="K185" s="34">
        <f>IFERROR(INDEX(MOTOR_RELATORIO!$U$2:$U$151,MATCH(15*10+3,MOTOR_RELATORIO!$AE$2:$AE$151,0)),"")</f>
        <v/>
      </c>
    </row>
    <row r="186" outlineLevel="1" ht="14" customHeight="1">
      <c r="A186" s="20" t="n"/>
      <c r="B186" s="20" t="n"/>
      <c r="C186" s="28">
        <f>IFERROR(INDEX(MOTOR_RELATORIO!$O$2:$O$151,MATCH(15*10+4,MOTOR_RELATORIO!$AE$2:$AE$151,0)),"")</f>
        <v/>
      </c>
      <c r="D186" s="20" t="n"/>
      <c r="E186" s="20" t="n"/>
      <c r="F186" s="20" t="n"/>
      <c r="G186" s="20" t="n"/>
      <c r="H186" s="34">
        <f>IFERROR(INDEX(MOTOR_RELATORIO!$R$2:$R$151,MATCH(15*10+4,MOTOR_RELATORIO!$AE$2:$AE$151,0)),"")</f>
        <v/>
      </c>
      <c r="I186" s="34">
        <f>IFERROR(INDEX(MOTOR_RELATORIO!$S$2:$S$151,MATCH(15*10+4,MOTOR_RELATORIO!$AE$2:$AE$151,0)),"")</f>
        <v/>
      </c>
      <c r="J186" s="34">
        <f>IFERROR(INDEX(MOTOR_RELATORIO!$T$2:$T$151,MATCH(15*10+4,MOTOR_RELATORIO!$AE$2:$AE$151,0)),"")</f>
        <v/>
      </c>
      <c r="K186" s="34">
        <f>IFERROR(INDEX(MOTOR_RELATORIO!$U$2:$U$151,MATCH(15*10+4,MOTOR_RELATORIO!$AE$2:$AE$151,0)),"")</f>
        <v/>
      </c>
    </row>
    <row r="187" outlineLevel="1" ht="14" customHeight="1">
      <c r="A187" s="20" t="n"/>
      <c r="B187" s="20" t="n"/>
      <c r="C187" s="28">
        <f>IFERROR(INDEX(MOTOR_RELATORIO!$O$2:$O$151,MATCH(15*10+5,MOTOR_RELATORIO!$AE$2:$AE$151,0)),"")</f>
        <v/>
      </c>
      <c r="D187" s="20" t="n"/>
      <c r="E187" s="20" t="n"/>
      <c r="F187" s="20" t="n"/>
      <c r="G187" s="20" t="n"/>
      <c r="H187" s="34">
        <f>IFERROR(INDEX(MOTOR_RELATORIO!$R$2:$R$151,MATCH(15*10+5,MOTOR_RELATORIO!$AE$2:$AE$151,0)),"")</f>
        <v/>
      </c>
      <c r="I187" s="34">
        <f>IFERROR(INDEX(MOTOR_RELATORIO!$S$2:$S$151,MATCH(15*10+5,MOTOR_RELATORIO!$AE$2:$AE$151,0)),"")</f>
        <v/>
      </c>
      <c r="J187" s="34">
        <f>IFERROR(INDEX(MOTOR_RELATORIO!$T$2:$T$151,MATCH(15*10+5,MOTOR_RELATORIO!$AE$2:$AE$151,0)),"")</f>
        <v/>
      </c>
      <c r="K187" s="34">
        <f>IFERROR(INDEX(MOTOR_RELATORIO!$U$2:$U$151,MATCH(15*10+5,MOTOR_RELATORIO!$AE$2:$AE$151,0)),"")</f>
        <v/>
      </c>
    </row>
    <row r="188" outlineLevel="1" ht="14" customHeight="1">
      <c r="A188" s="20" t="n"/>
      <c r="B188" s="20" t="n"/>
      <c r="C188" s="28">
        <f>IFERROR(INDEX(MOTOR_RELATORIO!$O$2:$O$151,MATCH(15*10+6,MOTOR_RELATORIO!$AE$2:$AE$151,0)),"")</f>
        <v/>
      </c>
      <c r="D188" s="20" t="n"/>
      <c r="E188" s="20" t="n"/>
      <c r="F188" s="20" t="n"/>
      <c r="G188" s="20" t="n"/>
      <c r="H188" s="34">
        <f>IFERROR(INDEX(MOTOR_RELATORIO!$R$2:$R$151,MATCH(15*10+6,MOTOR_RELATORIO!$AE$2:$AE$151,0)),"")</f>
        <v/>
      </c>
      <c r="I188" s="34">
        <f>IFERROR(INDEX(MOTOR_RELATORIO!$S$2:$S$151,MATCH(15*10+6,MOTOR_RELATORIO!$AE$2:$AE$151,0)),"")</f>
        <v/>
      </c>
      <c r="J188" s="34">
        <f>IFERROR(INDEX(MOTOR_RELATORIO!$T$2:$T$151,MATCH(15*10+6,MOTOR_RELATORIO!$AE$2:$AE$151,0)),"")</f>
        <v/>
      </c>
      <c r="K188" s="34">
        <f>IFERROR(INDEX(MOTOR_RELATORIO!$U$2:$U$151,MATCH(15*10+6,MOTOR_RELATORIO!$AE$2:$AE$151,0)),"")</f>
        <v/>
      </c>
    </row>
    <row r="189">
      <c r="A189" s="59" t="n"/>
      <c r="B189" s="59" t="n"/>
      <c r="C189" s="59" t="n"/>
      <c r="D189" s="59" t="n"/>
      <c r="E189" s="59" t="n"/>
      <c r="F189" s="59" t="n"/>
      <c r="G189" s="60" t="inlineStr">
        <is>
          <t>RESULTADO:</t>
        </is>
      </c>
      <c r="H189" s="59" t="n"/>
      <c r="I189" s="61">
        <f>IFERROR(INDEX(MOTOR_RELATORIO!$AF$2:$AF$151,MATCH(15*10+1,MOTOR_RELATORIO!$AE$2:$AE$151,0)),"")</f>
        <v/>
      </c>
      <c r="J189" s="59" t="n"/>
      <c r="K189" s="59" t="n"/>
    </row>
    <row r="190">
      <c r="A190" s="62" t="n"/>
      <c r="B190" s="62" t="n"/>
      <c r="C190" s="62" t="n"/>
      <c r="D190" s="62" t="n"/>
      <c r="E190" s="62" t="n"/>
      <c r="F190" s="62" t="n"/>
      <c r="G190" s="63" t="inlineStr">
        <is>
          <t>VALOR:</t>
        </is>
      </c>
      <c r="H190" s="62" t="n"/>
      <c r="I190" s="64">
        <f>IFERROR(INDEX(MOTOR_RELATORIO!$AG$2:$AG$151,MATCH(15*10+1,MOTOR_RELATORIO!$AE$2:$AE$151,0)),"")</f>
        <v/>
      </c>
      <c r="J190" s="62" t="n"/>
      <c r="K190" s="62" t="n"/>
    </row>
    <row r="191" ht="15" customHeight="1">
      <c r="A191" s="51">
        <f>IFERROR(INDEX(MOTOR_RELATORIO!$Y$2:$Y$151,MATCH(16*10+1,MOTOR_RELATORIO!$AE$2:$AE$151,0)),"")</f>
        <v/>
      </c>
      <c r="B191" s="52">
        <f>IFERROR(INDEX(MOTOR_RELATORIO!$Z$2:$Z$151,MATCH(16*10+1,MOTOR_RELATORIO!$AE$2:$AE$151,0)),"")</f>
        <v/>
      </c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</row>
    <row r="192" ht="15" customHeight="1">
      <c r="A192" s="54">
        <f>IFERROR(INDEX(MOTOR_RELATORIO!$AA$2:$AA$151,MATCH(16*10+1,MOTOR_RELATORIO!$AE$2:$AE$151,0)),"")</f>
        <v/>
      </c>
      <c r="B192" s="55">
        <f>IFERROR(INDEX(MOTOR_RELATORIO!$AB$2:$AB$151,MATCH(16*10+1,MOTOR_RELATORIO!$AE$2:$AE$151,0)),"")</f>
        <v/>
      </c>
    </row>
    <row r="193" ht="16" customHeight="1">
      <c r="A193" s="18" t="inlineStr">
        <is>
          <t>ITEM</t>
        </is>
      </c>
      <c r="B193" s="18" t="inlineStr">
        <is>
          <t>LINHA</t>
        </is>
      </c>
      <c r="C193" s="18" t="inlineStr">
        <is>
          <t>DESCRICAO</t>
        </is>
      </c>
      <c r="D193" s="56" t="n"/>
      <c r="E193" s="18" t="inlineStr">
        <is>
          <t>ATIVIDADE</t>
        </is>
      </c>
      <c r="F193" s="56" t="n"/>
      <c r="G193" s="18" t="inlineStr">
        <is>
          <t>UND.</t>
        </is>
      </c>
      <c r="H193" s="18" t="inlineStr">
        <is>
          <t>X</t>
        </is>
      </c>
      <c r="I193" s="18" t="inlineStr">
        <is>
          <t>Y</t>
        </is>
      </c>
      <c r="J193" s="18" t="inlineStr">
        <is>
          <t>Z</t>
        </is>
      </c>
      <c r="K193" s="18" t="inlineStr">
        <is>
          <t>RESULTADO</t>
        </is>
      </c>
    </row>
    <row r="194" ht="28" customHeight="1">
      <c r="A194" s="57">
        <f>IFERROR(INDEX(MOTOR_RELATORIO!$L$2:$L$151,MATCH(16*10+1,MOTOR_RELATORIO!$AE$2:$AE$151,0)),"")</f>
        <v/>
      </c>
      <c r="B194" s="57">
        <f>IFERROR(INDEX(MOTOR_RELATORIO!$M$2:$M$151,MATCH(16*10+1,MOTOR_RELATORIO!$AE$2:$AE$151,0)),"")</f>
        <v/>
      </c>
      <c r="C194" s="20" t="n"/>
      <c r="D194" s="20" t="n"/>
      <c r="E194" s="58">
        <f>IFERROR(INDEX(MOTOR_RELATORIO!$N$2:$N$151,MATCH(16*10+1,MOTOR_RELATORIO!$AE$2:$AE$151,0)),"")</f>
        <v/>
      </c>
      <c r="F194" s="20" t="n"/>
      <c r="G194" s="57">
        <f>IFERROR(INDEX(MOTOR_RELATORIO!$P$2:$P$151,MATCH(16*10+1,MOTOR_RELATORIO!$AE$2:$AE$151,0)),"")</f>
        <v/>
      </c>
      <c r="H194" s="20" t="n"/>
      <c r="I194" s="20" t="n"/>
      <c r="J194" s="20" t="n"/>
      <c r="K194" s="20" t="n"/>
    </row>
    <row r="195" outlineLevel="1" ht="14" customHeight="1">
      <c r="A195" s="20" t="n"/>
      <c r="B195" s="20" t="n"/>
      <c r="C195" s="28">
        <f>IFERROR(INDEX(MOTOR_RELATORIO!$O$2:$O$151,MATCH(16*10+1,MOTOR_RELATORIO!$AE$2:$AE$151,0)),"")</f>
        <v/>
      </c>
      <c r="D195" s="20" t="n"/>
      <c r="E195" s="20" t="n"/>
      <c r="F195" s="20" t="n"/>
      <c r="G195" s="20" t="n"/>
      <c r="H195" s="34">
        <f>IFERROR(INDEX(MOTOR_RELATORIO!$R$2:$R$151,MATCH(16*10+1,MOTOR_RELATORIO!$AE$2:$AE$151,0)),"")</f>
        <v/>
      </c>
      <c r="I195" s="34">
        <f>IFERROR(INDEX(MOTOR_RELATORIO!$S$2:$S$151,MATCH(16*10+1,MOTOR_RELATORIO!$AE$2:$AE$151,0)),"")</f>
        <v/>
      </c>
      <c r="J195" s="34">
        <f>IFERROR(INDEX(MOTOR_RELATORIO!$T$2:$T$151,MATCH(16*10+1,MOTOR_RELATORIO!$AE$2:$AE$151,0)),"")</f>
        <v/>
      </c>
      <c r="K195" s="34">
        <f>IFERROR(INDEX(MOTOR_RELATORIO!$U$2:$U$151,MATCH(16*10+1,MOTOR_RELATORIO!$AE$2:$AE$151,0)),"")</f>
        <v/>
      </c>
    </row>
    <row r="196" outlineLevel="1" ht="14" customHeight="1">
      <c r="A196" s="20" t="n"/>
      <c r="B196" s="20" t="n"/>
      <c r="C196" s="28">
        <f>IFERROR(INDEX(MOTOR_RELATORIO!$O$2:$O$151,MATCH(16*10+2,MOTOR_RELATORIO!$AE$2:$AE$151,0)),"")</f>
        <v/>
      </c>
      <c r="D196" s="20" t="n"/>
      <c r="E196" s="20" t="n"/>
      <c r="F196" s="20" t="n"/>
      <c r="G196" s="20" t="n"/>
      <c r="H196" s="34">
        <f>IFERROR(INDEX(MOTOR_RELATORIO!$R$2:$R$151,MATCH(16*10+2,MOTOR_RELATORIO!$AE$2:$AE$151,0)),"")</f>
        <v/>
      </c>
      <c r="I196" s="34">
        <f>IFERROR(INDEX(MOTOR_RELATORIO!$S$2:$S$151,MATCH(16*10+2,MOTOR_RELATORIO!$AE$2:$AE$151,0)),"")</f>
        <v/>
      </c>
      <c r="J196" s="34">
        <f>IFERROR(INDEX(MOTOR_RELATORIO!$T$2:$T$151,MATCH(16*10+2,MOTOR_RELATORIO!$AE$2:$AE$151,0)),"")</f>
        <v/>
      </c>
      <c r="K196" s="34">
        <f>IFERROR(INDEX(MOTOR_RELATORIO!$U$2:$U$151,MATCH(16*10+2,MOTOR_RELATORIO!$AE$2:$AE$151,0)),"")</f>
        <v/>
      </c>
    </row>
    <row r="197" outlineLevel="1" ht="14" customHeight="1">
      <c r="A197" s="20" t="n"/>
      <c r="B197" s="20" t="n"/>
      <c r="C197" s="28">
        <f>IFERROR(INDEX(MOTOR_RELATORIO!$O$2:$O$151,MATCH(16*10+3,MOTOR_RELATORIO!$AE$2:$AE$151,0)),"")</f>
        <v/>
      </c>
      <c r="D197" s="20" t="n"/>
      <c r="E197" s="20" t="n"/>
      <c r="F197" s="20" t="n"/>
      <c r="G197" s="20" t="n"/>
      <c r="H197" s="34">
        <f>IFERROR(INDEX(MOTOR_RELATORIO!$R$2:$R$151,MATCH(16*10+3,MOTOR_RELATORIO!$AE$2:$AE$151,0)),"")</f>
        <v/>
      </c>
      <c r="I197" s="34">
        <f>IFERROR(INDEX(MOTOR_RELATORIO!$S$2:$S$151,MATCH(16*10+3,MOTOR_RELATORIO!$AE$2:$AE$151,0)),"")</f>
        <v/>
      </c>
      <c r="J197" s="34">
        <f>IFERROR(INDEX(MOTOR_RELATORIO!$T$2:$T$151,MATCH(16*10+3,MOTOR_RELATORIO!$AE$2:$AE$151,0)),"")</f>
        <v/>
      </c>
      <c r="K197" s="34">
        <f>IFERROR(INDEX(MOTOR_RELATORIO!$U$2:$U$151,MATCH(16*10+3,MOTOR_RELATORIO!$AE$2:$AE$151,0)),"")</f>
        <v/>
      </c>
    </row>
    <row r="198" outlineLevel="1" ht="14" customHeight="1">
      <c r="A198" s="20" t="n"/>
      <c r="B198" s="20" t="n"/>
      <c r="C198" s="28">
        <f>IFERROR(INDEX(MOTOR_RELATORIO!$O$2:$O$151,MATCH(16*10+4,MOTOR_RELATORIO!$AE$2:$AE$151,0)),"")</f>
        <v/>
      </c>
      <c r="D198" s="20" t="n"/>
      <c r="E198" s="20" t="n"/>
      <c r="F198" s="20" t="n"/>
      <c r="G198" s="20" t="n"/>
      <c r="H198" s="34">
        <f>IFERROR(INDEX(MOTOR_RELATORIO!$R$2:$R$151,MATCH(16*10+4,MOTOR_RELATORIO!$AE$2:$AE$151,0)),"")</f>
        <v/>
      </c>
      <c r="I198" s="34">
        <f>IFERROR(INDEX(MOTOR_RELATORIO!$S$2:$S$151,MATCH(16*10+4,MOTOR_RELATORIO!$AE$2:$AE$151,0)),"")</f>
        <v/>
      </c>
      <c r="J198" s="34">
        <f>IFERROR(INDEX(MOTOR_RELATORIO!$T$2:$T$151,MATCH(16*10+4,MOTOR_RELATORIO!$AE$2:$AE$151,0)),"")</f>
        <v/>
      </c>
      <c r="K198" s="34">
        <f>IFERROR(INDEX(MOTOR_RELATORIO!$U$2:$U$151,MATCH(16*10+4,MOTOR_RELATORIO!$AE$2:$AE$151,0)),"")</f>
        <v/>
      </c>
    </row>
    <row r="199" outlineLevel="1" ht="14" customHeight="1">
      <c r="A199" s="20" t="n"/>
      <c r="B199" s="20" t="n"/>
      <c r="C199" s="28">
        <f>IFERROR(INDEX(MOTOR_RELATORIO!$O$2:$O$151,MATCH(16*10+5,MOTOR_RELATORIO!$AE$2:$AE$151,0)),"")</f>
        <v/>
      </c>
      <c r="D199" s="20" t="n"/>
      <c r="E199" s="20" t="n"/>
      <c r="F199" s="20" t="n"/>
      <c r="G199" s="20" t="n"/>
      <c r="H199" s="34">
        <f>IFERROR(INDEX(MOTOR_RELATORIO!$R$2:$R$151,MATCH(16*10+5,MOTOR_RELATORIO!$AE$2:$AE$151,0)),"")</f>
        <v/>
      </c>
      <c r="I199" s="34">
        <f>IFERROR(INDEX(MOTOR_RELATORIO!$S$2:$S$151,MATCH(16*10+5,MOTOR_RELATORIO!$AE$2:$AE$151,0)),"")</f>
        <v/>
      </c>
      <c r="J199" s="34">
        <f>IFERROR(INDEX(MOTOR_RELATORIO!$T$2:$T$151,MATCH(16*10+5,MOTOR_RELATORIO!$AE$2:$AE$151,0)),"")</f>
        <v/>
      </c>
      <c r="K199" s="34">
        <f>IFERROR(INDEX(MOTOR_RELATORIO!$U$2:$U$151,MATCH(16*10+5,MOTOR_RELATORIO!$AE$2:$AE$151,0)),"")</f>
        <v/>
      </c>
    </row>
    <row r="200" outlineLevel="1" ht="14" customHeight="1">
      <c r="A200" s="20" t="n"/>
      <c r="B200" s="20" t="n"/>
      <c r="C200" s="28">
        <f>IFERROR(INDEX(MOTOR_RELATORIO!$O$2:$O$151,MATCH(16*10+6,MOTOR_RELATORIO!$AE$2:$AE$151,0)),"")</f>
        <v/>
      </c>
      <c r="D200" s="20" t="n"/>
      <c r="E200" s="20" t="n"/>
      <c r="F200" s="20" t="n"/>
      <c r="G200" s="20" t="n"/>
      <c r="H200" s="34">
        <f>IFERROR(INDEX(MOTOR_RELATORIO!$R$2:$R$151,MATCH(16*10+6,MOTOR_RELATORIO!$AE$2:$AE$151,0)),"")</f>
        <v/>
      </c>
      <c r="I200" s="34">
        <f>IFERROR(INDEX(MOTOR_RELATORIO!$S$2:$S$151,MATCH(16*10+6,MOTOR_RELATORIO!$AE$2:$AE$151,0)),"")</f>
        <v/>
      </c>
      <c r="J200" s="34">
        <f>IFERROR(INDEX(MOTOR_RELATORIO!$T$2:$T$151,MATCH(16*10+6,MOTOR_RELATORIO!$AE$2:$AE$151,0)),"")</f>
        <v/>
      </c>
      <c r="K200" s="34">
        <f>IFERROR(INDEX(MOTOR_RELATORIO!$U$2:$U$151,MATCH(16*10+6,MOTOR_RELATORIO!$AE$2:$AE$151,0)),"")</f>
        <v/>
      </c>
    </row>
    <row r="201">
      <c r="A201" s="59" t="n"/>
      <c r="B201" s="59" t="n"/>
      <c r="C201" s="59" t="n"/>
      <c r="D201" s="59" t="n"/>
      <c r="E201" s="59" t="n"/>
      <c r="F201" s="59" t="n"/>
      <c r="G201" s="60" t="inlineStr">
        <is>
          <t>RESULTADO:</t>
        </is>
      </c>
      <c r="H201" s="59" t="n"/>
      <c r="I201" s="61">
        <f>IFERROR(INDEX(MOTOR_RELATORIO!$AF$2:$AF$151,MATCH(16*10+1,MOTOR_RELATORIO!$AE$2:$AE$151,0)),"")</f>
        <v/>
      </c>
      <c r="J201" s="59" t="n"/>
      <c r="K201" s="59" t="n"/>
    </row>
    <row r="202">
      <c r="A202" s="62" t="n"/>
      <c r="B202" s="62" t="n"/>
      <c r="C202" s="62" t="n"/>
      <c r="D202" s="62" t="n"/>
      <c r="E202" s="62" t="n"/>
      <c r="F202" s="62" t="n"/>
      <c r="G202" s="63" t="inlineStr">
        <is>
          <t>VALOR:</t>
        </is>
      </c>
      <c r="H202" s="62" t="n"/>
      <c r="I202" s="64">
        <f>IFERROR(INDEX(MOTOR_RELATORIO!$AG$2:$AG$151,MATCH(16*10+1,MOTOR_RELATORIO!$AE$2:$AE$151,0)),"")</f>
        <v/>
      </c>
      <c r="J202" s="62" t="n"/>
      <c r="K202" s="62" t="n"/>
    </row>
    <row r="203" ht="15" customHeight="1">
      <c r="A203" s="51">
        <f>IFERROR(INDEX(MOTOR_RELATORIO!$Y$2:$Y$151,MATCH(17*10+1,MOTOR_RELATORIO!$AE$2:$AE$151,0)),"")</f>
        <v/>
      </c>
      <c r="B203" s="52">
        <f>IFERROR(INDEX(MOTOR_RELATORIO!$Z$2:$Z$151,MATCH(17*10+1,MOTOR_RELATORIO!$AE$2:$AE$151,0)),"")</f>
        <v/>
      </c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</row>
    <row r="204" ht="15" customHeight="1">
      <c r="A204" s="54">
        <f>IFERROR(INDEX(MOTOR_RELATORIO!$AA$2:$AA$151,MATCH(17*10+1,MOTOR_RELATORIO!$AE$2:$AE$151,0)),"")</f>
        <v/>
      </c>
      <c r="B204" s="55">
        <f>IFERROR(INDEX(MOTOR_RELATORIO!$AB$2:$AB$151,MATCH(17*10+1,MOTOR_RELATORIO!$AE$2:$AE$151,0)),"")</f>
        <v/>
      </c>
    </row>
    <row r="205" ht="16" customHeight="1">
      <c r="A205" s="18" t="inlineStr">
        <is>
          <t>ITEM</t>
        </is>
      </c>
      <c r="B205" s="18" t="inlineStr">
        <is>
          <t>LINHA</t>
        </is>
      </c>
      <c r="C205" s="18" t="inlineStr">
        <is>
          <t>DESCRICAO</t>
        </is>
      </c>
      <c r="D205" s="56" t="n"/>
      <c r="E205" s="18" t="inlineStr">
        <is>
          <t>ATIVIDADE</t>
        </is>
      </c>
      <c r="F205" s="56" t="n"/>
      <c r="G205" s="18" t="inlineStr">
        <is>
          <t>UND.</t>
        </is>
      </c>
      <c r="H205" s="18" t="inlineStr">
        <is>
          <t>X</t>
        </is>
      </c>
      <c r="I205" s="18" t="inlineStr">
        <is>
          <t>Y</t>
        </is>
      </c>
      <c r="J205" s="18" t="inlineStr">
        <is>
          <t>Z</t>
        </is>
      </c>
      <c r="K205" s="18" t="inlineStr">
        <is>
          <t>RESULTADO</t>
        </is>
      </c>
    </row>
    <row r="206" ht="28" customHeight="1">
      <c r="A206" s="57">
        <f>IFERROR(INDEX(MOTOR_RELATORIO!$L$2:$L$151,MATCH(17*10+1,MOTOR_RELATORIO!$AE$2:$AE$151,0)),"")</f>
        <v/>
      </c>
      <c r="B206" s="57">
        <f>IFERROR(INDEX(MOTOR_RELATORIO!$M$2:$M$151,MATCH(17*10+1,MOTOR_RELATORIO!$AE$2:$AE$151,0)),"")</f>
        <v/>
      </c>
      <c r="C206" s="20" t="n"/>
      <c r="D206" s="20" t="n"/>
      <c r="E206" s="58">
        <f>IFERROR(INDEX(MOTOR_RELATORIO!$N$2:$N$151,MATCH(17*10+1,MOTOR_RELATORIO!$AE$2:$AE$151,0)),"")</f>
        <v/>
      </c>
      <c r="F206" s="20" t="n"/>
      <c r="G206" s="57">
        <f>IFERROR(INDEX(MOTOR_RELATORIO!$P$2:$P$151,MATCH(17*10+1,MOTOR_RELATORIO!$AE$2:$AE$151,0)),"")</f>
        <v/>
      </c>
      <c r="H206" s="20" t="n"/>
      <c r="I206" s="20" t="n"/>
      <c r="J206" s="20" t="n"/>
      <c r="K206" s="20" t="n"/>
    </row>
    <row r="207" outlineLevel="1" ht="14" customHeight="1">
      <c r="A207" s="20" t="n"/>
      <c r="B207" s="20" t="n"/>
      <c r="C207" s="28">
        <f>IFERROR(INDEX(MOTOR_RELATORIO!$O$2:$O$151,MATCH(17*10+1,MOTOR_RELATORIO!$AE$2:$AE$151,0)),"")</f>
        <v/>
      </c>
      <c r="D207" s="20" t="n"/>
      <c r="E207" s="20" t="n"/>
      <c r="F207" s="20" t="n"/>
      <c r="G207" s="20" t="n"/>
      <c r="H207" s="34">
        <f>IFERROR(INDEX(MOTOR_RELATORIO!$R$2:$R$151,MATCH(17*10+1,MOTOR_RELATORIO!$AE$2:$AE$151,0)),"")</f>
        <v/>
      </c>
      <c r="I207" s="34">
        <f>IFERROR(INDEX(MOTOR_RELATORIO!$S$2:$S$151,MATCH(17*10+1,MOTOR_RELATORIO!$AE$2:$AE$151,0)),"")</f>
        <v/>
      </c>
      <c r="J207" s="34">
        <f>IFERROR(INDEX(MOTOR_RELATORIO!$T$2:$T$151,MATCH(17*10+1,MOTOR_RELATORIO!$AE$2:$AE$151,0)),"")</f>
        <v/>
      </c>
      <c r="K207" s="34">
        <f>IFERROR(INDEX(MOTOR_RELATORIO!$U$2:$U$151,MATCH(17*10+1,MOTOR_RELATORIO!$AE$2:$AE$151,0)),"")</f>
        <v/>
      </c>
    </row>
    <row r="208" outlineLevel="1" ht="14" customHeight="1">
      <c r="A208" s="20" t="n"/>
      <c r="B208" s="20" t="n"/>
      <c r="C208" s="28">
        <f>IFERROR(INDEX(MOTOR_RELATORIO!$O$2:$O$151,MATCH(17*10+2,MOTOR_RELATORIO!$AE$2:$AE$151,0)),"")</f>
        <v/>
      </c>
      <c r="D208" s="20" t="n"/>
      <c r="E208" s="20" t="n"/>
      <c r="F208" s="20" t="n"/>
      <c r="G208" s="20" t="n"/>
      <c r="H208" s="34">
        <f>IFERROR(INDEX(MOTOR_RELATORIO!$R$2:$R$151,MATCH(17*10+2,MOTOR_RELATORIO!$AE$2:$AE$151,0)),"")</f>
        <v/>
      </c>
      <c r="I208" s="34">
        <f>IFERROR(INDEX(MOTOR_RELATORIO!$S$2:$S$151,MATCH(17*10+2,MOTOR_RELATORIO!$AE$2:$AE$151,0)),"")</f>
        <v/>
      </c>
      <c r="J208" s="34">
        <f>IFERROR(INDEX(MOTOR_RELATORIO!$T$2:$T$151,MATCH(17*10+2,MOTOR_RELATORIO!$AE$2:$AE$151,0)),"")</f>
        <v/>
      </c>
      <c r="K208" s="34">
        <f>IFERROR(INDEX(MOTOR_RELATORIO!$U$2:$U$151,MATCH(17*10+2,MOTOR_RELATORIO!$AE$2:$AE$151,0)),"")</f>
        <v/>
      </c>
    </row>
    <row r="209" outlineLevel="1" ht="14" customHeight="1">
      <c r="A209" s="20" t="n"/>
      <c r="B209" s="20" t="n"/>
      <c r="C209" s="28">
        <f>IFERROR(INDEX(MOTOR_RELATORIO!$O$2:$O$151,MATCH(17*10+3,MOTOR_RELATORIO!$AE$2:$AE$151,0)),"")</f>
        <v/>
      </c>
      <c r="D209" s="20" t="n"/>
      <c r="E209" s="20" t="n"/>
      <c r="F209" s="20" t="n"/>
      <c r="G209" s="20" t="n"/>
      <c r="H209" s="34">
        <f>IFERROR(INDEX(MOTOR_RELATORIO!$R$2:$R$151,MATCH(17*10+3,MOTOR_RELATORIO!$AE$2:$AE$151,0)),"")</f>
        <v/>
      </c>
      <c r="I209" s="34">
        <f>IFERROR(INDEX(MOTOR_RELATORIO!$S$2:$S$151,MATCH(17*10+3,MOTOR_RELATORIO!$AE$2:$AE$151,0)),"")</f>
        <v/>
      </c>
      <c r="J209" s="34">
        <f>IFERROR(INDEX(MOTOR_RELATORIO!$T$2:$T$151,MATCH(17*10+3,MOTOR_RELATORIO!$AE$2:$AE$151,0)),"")</f>
        <v/>
      </c>
      <c r="K209" s="34">
        <f>IFERROR(INDEX(MOTOR_RELATORIO!$U$2:$U$151,MATCH(17*10+3,MOTOR_RELATORIO!$AE$2:$AE$151,0)),"")</f>
        <v/>
      </c>
    </row>
    <row r="210" outlineLevel="1" ht="14" customHeight="1">
      <c r="A210" s="20" t="n"/>
      <c r="B210" s="20" t="n"/>
      <c r="C210" s="28">
        <f>IFERROR(INDEX(MOTOR_RELATORIO!$O$2:$O$151,MATCH(17*10+4,MOTOR_RELATORIO!$AE$2:$AE$151,0)),"")</f>
        <v/>
      </c>
      <c r="D210" s="20" t="n"/>
      <c r="E210" s="20" t="n"/>
      <c r="F210" s="20" t="n"/>
      <c r="G210" s="20" t="n"/>
      <c r="H210" s="34">
        <f>IFERROR(INDEX(MOTOR_RELATORIO!$R$2:$R$151,MATCH(17*10+4,MOTOR_RELATORIO!$AE$2:$AE$151,0)),"")</f>
        <v/>
      </c>
      <c r="I210" s="34">
        <f>IFERROR(INDEX(MOTOR_RELATORIO!$S$2:$S$151,MATCH(17*10+4,MOTOR_RELATORIO!$AE$2:$AE$151,0)),"")</f>
        <v/>
      </c>
      <c r="J210" s="34">
        <f>IFERROR(INDEX(MOTOR_RELATORIO!$T$2:$T$151,MATCH(17*10+4,MOTOR_RELATORIO!$AE$2:$AE$151,0)),"")</f>
        <v/>
      </c>
      <c r="K210" s="34">
        <f>IFERROR(INDEX(MOTOR_RELATORIO!$U$2:$U$151,MATCH(17*10+4,MOTOR_RELATORIO!$AE$2:$AE$151,0)),"")</f>
        <v/>
      </c>
    </row>
    <row r="211" outlineLevel="1" ht="14" customHeight="1">
      <c r="A211" s="20" t="n"/>
      <c r="B211" s="20" t="n"/>
      <c r="C211" s="28">
        <f>IFERROR(INDEX(MOTOR_RELATORIO!$O$2:$O$151,MATCH(17*10+5,MOTOR_RELATORIO!$AE$2:$AE$151,0)),"")</f>
        <v/>
      </c>
      <c r="D211" s="20" t="n"/>
      <c r="E211" s="20" t="n"/>
      <c r="F211" s="20" t="n"/>
      <c r="G211" s="20" t="n"/>
      <c r="H211" s="34">
        <f>IFERROR(INDEX(MOTOR_RELATORIO!$R$2:$R$151,MATCH(17*10+5,MOTOR_RELATORIO!$AE$2:$AE$151,0)),"")</f>
        <v/>
      </c>
      <c r="I211" s="34">
        <f>IFERROR(INDEX(MOTOR_RELATORIO!$S$2:$S$151,MATCH(17*10+5,MOTOR_RELATORIO!$AE$2:$AE$151,0)),"")</f>
        <v/>
      </c>
      <c r="J211" s="34">
        <f>IFERROR(INDEX(MOTOR_RELATORIO!$T$2:$T$151,MATCH(17*10+5,MOTOR_RELATORIO!$AE$2:$AE$151,0)),"")</f>
        <v/>
      </c>
      <c r="K211" s="34">
        <f>IFERROR(INDEX(MOTOR_RELATORIO!$U$2:$U$151,MATCH(17*10+5,MOTOR_RELATORIO!$AE$2:$AE$151,0)),"")</f>
        <v/>
      </c>
    </row>
    <row r="212" outlineLevel="1" ht="14" customHeight="1">
      <c r="A212" s="20" t="n"/>
      <c r="B212" s="20" t="n"/>
      <c r="C212" s="28">
        <f>IFERROR(INDEX(MOTOR_RELATORIO!$O$2:$O$151,MATCH(17*10+6,MOTOR_RELATORIO!$AE$2:$AE$151,0)),"")</f>
        <v/>
      </c>
      <c r="D212" s="20" t="n"/>
      <c r="E212" s="20" t="n"/>
      <c r="F212" s="20" t="n"/>
      <c r="G212" s="20" t="n"/>
      <c r="H212" s="34">
        <f>IFERROR(INDEX(MOTOR_RELATORIO!$R$2:$R$151,MATCH(17*10+6,MOTOR_RELATORIO!$AE$2:$AE$151,0)),"")</f>
        <v/>
      </c>
      <c r="I212" s="34">
        <f>IFERROR(INDEX(MOTOR_RELATORIO!$S$2:$S$151,MATCH(17*10+6,MOTOR_RELATORIO!$AE$2:$AE$151,0)),"")</f>
        <v/>
      </c>
      <c r="J212" s="34">
        <f>IFERROR(INDEX(MOTOR_RELATORIO!$T$2:$T$151,MATCH(17*10+6,MOTOR_RELATORIO!$AE$2:$AE$151,0)),"")</f>
        <v/>
      </c>
      <c r="K212" s="34">
        <f>IFERROR(INDEX(MOTOR_RELATORIO!$U$2:$U$151,MATCH(17*10+6,MOTOR_RELATORIO!$AE$2:$AE$151,0)),"")</f>
        <v/>
      </c>
    </row>
    <row r="213">
      <c r="A213" s="59" t="n"/>
      <c r="B213" s="59" t="n"/>
      <c r="C213" s="59" t="n"/>
      <c r="D213" s="59" t="n"/>
      <c r="E213" s="59" t="n"/>
      <c r="F213" s="59" t="n"/>
      <c r="G213" s="60" t="inlineStr">
        <is>
          <t>RESULTADO:</t>
        </is>
      </c>
      <c r="H213" s="59" t="n"/>
      <c r="I213" s="61">
        <f>IFERROR(INDEX(MOTOR_RELATORIO!$AF$2:$AF$151,MATCH(17*10+1,MOTOR_RELATORIO!$AE$2:$AE$151,0)),"")</f>
        <v/>
      </c>
      <c r="J213" s="59" t="n"/>
      <c r="K213" s="59" t="n"/>
    </row>
    <row r="214">
      <c r="A214" s="62" t="n"/>
      <c r="B214" s="62" t="n"/>
      <c r="C214" s="62" t="n"/>
      <c r="D214" s="62" t="n"/>
      <c r="E214" s="62" t="n"/>
      <c r="F214" s="62" t="n"/>
      <c r="G214" s="63" t="inlineStr">
        <is>
          <t>VALOR:</t>
        </is>
      </c>
      <c r="H214" s="62" t="n"/>
      <c r="I214" s="64">
        <f>IFERROR(INDEX(MOTOR_RELATORIO!$AG$2:$AG$151,MATCH(17*10+1,MOTOR_RELATORIO!$AE$2:$AE$151,0)),"")</f>
        <v/>
      </c>
      <c r="J214" s="62" t="n"/>
      <c r="K214" s="62" t="n"/>
    </row>
    <row r="215" ht="15" customHeight="1">
      <c r="A215" s="51">
        <f>IFERROR(INDEX(MOTOR_RELATORIO!$Y$2:$Y$151,MATCH(18*10+1,MOTOR_RELATORIO!$AE$2:$AE$151,0)),"")</f>
        <v/>
      </c>
      <c r="B215" s="52">
        <f>IFERROR(INDEX(MOTOR_RELATORIO!$Z$2:$Z$151,MATCH(18*10+1,MOTOR_RELATORIO!$AE$2:$AE$151,0)),"")</f>
        <v/>
      </c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</row>
    <row r="216" ht="15" customHeight="1">
      <c r="A216" s="54">
        <f>IFERROR(INDEX(MOTOR_RELATORIO!$AA$2:$AA$151,MATCH(18*10+1,MOTOR_RELATORIO!$AE$2:$AE$151,0)),"")</f>
        <v/>
      </c>
      <c r="B216" s="55">
        <f>IFERROR(INDEX(MOTOR_RELATORIO!$AB$2:$AB$151,MATCH(18*10+1,MOTOR_RELATORIO!$AE$2:$AE$151,0)),"")</f>
        <v/>
      </c>
    </row>
    <row r="217" ht="16" customHeight="1">
      <c r="A217" s="18" t="inlineStr">
        <is>
          <t>ITEM</t>
        </is>
      </c>
      <c r="B217" s="18" t="inlineStr">
        <is>
          <t>LINHA</t>
        </is>
      </c>
      <c r="C217" s="18" t="inlineStr">
        <is>
          <t>DESCRICAO</t>
        </is>
      </c>
      <c r="D217" s="56" t="n"/>
      <c r="E217" s="18" t="inlineStr">
        <is>
          <t>ATIVIDADE</t>
        </is>
      </c>
      <c r="F217" s="56" t="n"/>
      <c r="G217" s="18" t="inlineStr">
        <is>
          <t>UND.</t>
        </is>
      </c>
      <c r="H217" s="18" t="inlineStr">
        <is>
          <t>X</t>
        </is>
      </c>
      <c r="I217" s="18" t="inlineStr">
        <is>
          <t>Y</t>
        </is>
      </c>
      <c r="J217" s="18" t="inlineStr">
        <is>
          <t>Z</t>
        </is>
      </c>
      <c r="K217" s="18" t="inlineStr">
        <is>
          <t>RESULTADO</t>
        </is>
      </c>
    </row>
    <row r="218" ht="28" customHeight="1">
      <c r="A218" s="57">
        <f>IFERROR(INDEX(MOTOR_RELATORIO!$L$2:$L$151,MATCH(18*10+1,MOTOR_RELATORIO!$AE$2:$AE$151,0)),"")</f>
        <v/>
      </c>
      <c r="B218" s="57">
        <f>IFERROR(INDEX(MOTOR_RELATORIO!$M$2:$M$151,MATCH(18*10+1,MOTOR_RELATORIO!$AE$2:$AE$151,0)),"")</f>
        <v/>
      </c>
      <c r="C218" s="20" t="n"/>
      <c r="D218" s="20" t="n"/>
      <c r="E218" s="58">
        <f>IFERROR(INDEX(MOTOR_RELATORIO!$N$2:$N$151,MATCH(18*10+1,MOTOR_RELATORIO!$AE$2:$AE$151,0)),"")</f>
        <v/>
      </c>
      <c r="F218" s="20" t="n"/>
      <c r="G218" s="57">
        <f>IFERROR(INDEX(MOTOR_RELATORIO!$P$2:$P$151,MATCH(18*10+1,MOTOR_RELATORIO!$AE$2:$AE$151,0)),"")</f>
        <v/>
      </c>
      <c r="H218" s="20" t="n"/>
      <c r="I218" s="20" t="n"/>
      <c r="J218" s="20" t="n"/>
      <c r="K218" s="20" t="n"/>
    </row>
    <row r="219" outlineLevel="1" ht="14" customHeight="1">
      <c r="A219" s="20" t="n"/>
      <c r="B219" s="20" t="n"/>
      <c r="C219" s="28">
        <f>IFERROR(INDEX(MOTOR_RELATORIO!$O$2:$O$151,MATCH(18*10+1,MOTOR_RELATORIO!$AE$2:$AE$151,0)),"")</f>
        <v/>
      </c>
      <c r="D219" s="20" t="n"/>
      <c r="E219" s="20" t="n"/>
      <c r="F219" s="20" t="n"/>
      <c r="G219" s="20" t="n"/>
      <c r="H219" s="34">
        <f>IFERROR(INDEX(MOTOR_RELATORIO!$R$2:$R$151,MATCH(18*10+1,MOTOR_RELATORIO!$AE$2:$AE$151,0)),"")</f>
        <v/>
      </c>
      <c r="I219" s="34">
        <f>IFERROR(INDEX(MOTOR_RELATORIO!$S$2:$S$151,MATCH(18*10+1,MOTOR_RELATORIO!$AE$2:$AE$151,0)),"")</f>
        <v/>
      </c>
      <c r="J219" s="34">
        <f>IFERROR(INDEX(MOTOR_RELATORIO!$T$2:$T$151,MATCH(18*10+1,MOTOR_RELATORIO!$AE$2:$AE$151,0)),"")</f>
        <v/>
      </c>
      <c r="K219" s="34">
        <f>IFERROR(INDEX(MOTOR_RELATORIO!$U$2:$U$151,MATCH(18*10+1,MOTOR_RELATORIO!$AE$2:$AE$151,0)),"")</f>
        <v/>
      </c>
    </row>
    <row r="220" outlineLevel="1" ht="14" customHeight="1">
      <c r="A220" s="20" t="n"/>
      <c r="B220" s="20" t="n"/>
      <c r="C220" s="28">
        <f>IFERROR(INDEX(MOTOR_RELATORIO!$O$2:$O$151,MATCH(18*10+2,MOTOR_RELATORIO!$AE$2:$AE$151,0)),"")</f>
        <v/>
      </c>
      <c r="D220" s="20" t="n"/>
      <c r="E220" s="20" t="n"/>
      <c r="F220" s="20" t="n"/>
      <c r="G220" s="20" t="n"/>
      <c r="H220" s="34">
        <f>IFERROR(INDEX(MOTOR_RELATORIO!$R$2:$R$151,MATCH(18*10+2,MOTOR_RELATORIO!$AE$2:$AE$151,0)),"")</f>
        <v/>
      </c>
      <c r="I220" s="34">
        <f>IFERROR(INDEX(MOTOR_RELATORIO!$S$2:$S$151,MATCH(18*10+2,MOTOR_RELATORIO!$AE$2:$AE$151,0)),"")</f>
        <v/>
      </c>
      <c r="J220" s="34">
        <f>IFERROR(INDEX(MOTOR_RELATORIO!$T$2:$T$151,MATCH(18*10+2,MOTOR_RELATORIO!$AE$2:$AE$151,0)),"")</f>
        <v/>
      </c>
      <c r="K220" s="34">
        <f>IFERROR(INDEX(MOTOR_RELATORIO!$U$2:$U$151,MATCH(18*10+2,MOTOR_RELATORIO!$AE$2:$AE$151,0)),"")</f>
        <v/>
      </c>
    </row>
    <row r="221" outlineLevel="1" ht="14" customHeight="1">
      <c r="A221" s="20" t="n"/>
      <c r="B221" s="20" t="n"/>
      <c r="C221" s="28">
        <f>IFERROR(INDEX(MOTOR_RELATORIO!$O$2:$O$151,MATCH(18*10+3,MOTOR_RELATORIO!$AE$2:$AE$151,0)),"")</f>
        <v/>
      </c>
      <c r="D221" s="20" t="n"/>
      <c r="E221" s="20" t="n"/>
      <c r="F221" s="20" t="n"/>
      <c r="G221" s="20" t="n"/>
      <c r="H221" s="34">
        <f>IFERROR(INDEX(MOTOR_RELATORIO!$R$2:$R$151,MATCH(18*10+3,MOTOR_RELATORIO!$AE$2:$AE$151,0)),"")</f>
        <v/>
      </c>
      <c r="I221" s="34">
        <f>IFERROR(INDEX(MOTOR_RELATORIO!$S$2:$S$151,MATCH(18*10+3,MOTOR_RELATORIO!$AE$2:$AE$151,0)),"")</f>
        <v/>
      </c>
      <c r="J221" s="34">
        <f>IFERROR(INDEX(MOTOR_RELATORIO!$T$2:$T$151,MATCH(18*10+3,MOTOR_RELATORIO!$AE$2:$AE$151,0)),"")</f>
        <v/>
      </c>
      <c r="K221" s="34">
        <f>IFERROR(INDEX(MOTOR_RELATORIO!$U$2:$U$151,MATCH(18*10+3,MOTOR_RELATORIO!$AE$2:$AE$151,0)),"")</f>
        <v/>
      </c>
    </row>
    <row r="222" outlineLevel="1" ht="14" customHeight="1">
      <c r="A222" s="20" t="n"/>
      <c r="B222" s="20" t="n"/>
      <c r="C222" s="28">
        <f>IFERROR(INDEX(MOTOR_RELATORIO!$O$2:$O$151,MATCH(18*10+4,MOTOR_RELATORIO!$AE$2:$AE$151,0)),"")</f>
        <v/>
      </c>
      <c r="D222" s="20" t="n"/>
      <c r="E222" s="20" t="n"/>
      <c r="F222" s="20" t="n"/>
      <c r="G222" s="20" t="n"/>
      <c r="H222" s="34">
        <f>IFERROR(INDEX(MOTOR_RELATORIO!$R$2:$R$151,MATCH(18*10+4,MOTOR_RELATORIO!$AE$2:$AE$151,0)),"")</f>
        <v/>
      </c>
      <c r="I222" s="34">
        <f>IFERROR(INDEX(MOTOR_RELATORIO!$S$2:$S$151,MATCH(18*10+4,MOTOR_RELATORIO!$AE$2:$AE$151,0)),"")</f>
        <v/>
      </c>
      <c r="J222" s="34">
        <f>IFERROR(INDEX(MOTOR_RELATORIO!$T$2:$T$151,MATCH(18*10+4,MOTOR_RELATORIO!$AE$2:$AE$151,0)),"")</f>
        <v/>
      </c>
      <c r="K222" s="34">
        <f>IFERROR(INDEX(MOTOR_RELATORIO!$U$2:$U$151,MATCH(18*10+4,MOTOR_RELATORIO!$AE$2:$AE$151,0)),"")</f>
        <v/>
      </c>
    </row>
    <row r="223" outlineLevel="1" ht="14" customHeight="1">
      <c r="A223" s="20" t="n"/>
      <c r="B223" s="20" t="n"/>
      <c r="C223" s="28">
        <f>IFERROR(INDEX(MOTOR_RELATORIO!$O$2:$O$151,MATCH(18*10+5,MOTOR_RELATORIO!$AE$2:$AE$151,0)),"")</f>
        <v/>
      </c>
      <c r="D223" s="20" t="n"/>
      <c r="E223" s="20" t="n"/>
      <c r="F223" s="20" t="n"/>
      <c r="G223" s="20" t="n"/>
      <c r="H223" s="34">
        <f>IFERROR(INDEX(MOTOR_RELATORIO!$R$2:$R$151,MATCH(18*10+5,MOTOR_RELATORIO!$AE$2:$AE$151,0)),"")</f>
        <v/>
      </c>
      <c r="I223" s="34">
        <f>IFERROR(INDEX(MOTOR_RELATORIO!$S$2:$S$151,MATCH(18*10+5,MOTOR_RELATORIO!$AE$2:$AE$151,0)),"")</f>
        <v/>
      </c>
      <c r="J223" s="34">
        <f>IFERROR(INDEX(MOTOR_RELATORIO!$T$2:$T$151,MATCH(18*10+5,MOTOR_RELATORIO!$AE$2:$AE$151,0)),"")</f>
        <v/>
      </c>
      <c r="K223" s="34">
        <f>IFERROR(INDEX(MOTOR_RELATORIO!$U$2:$U$151,MATCH(18*10+5,MOTOR_RELATORIO!$AE$2:$AE$151,0)),"")</f>
        <v/>
      </c>
    </row>
    <row r="224" outlineLevel="1" ht="14" customHeight="1">
      <c r="A224" s="20" t="n"/>
      <c r="B224" s="20" t="n"/>
      <c r="C224" s="28">
        <f>IFERROR(INDEX(MOTOR_RELATORIO!$O$2:$O$151,MATCH(18*10+6,MOTOR_RELATORIO!$AE$2:$AE$151,0)),"")</f>
        <v/>
      </c>
      <c r="D224" s="20" t="n"/>
      <c r="E224" s="20" t="n"/>
      <c r="F224" s="20" t="n"/>
      <c r="G224" s="20" t="n"/>
      <c r="H224" s="34">
        <f>IFERROR(INDEX(MOTOR_RELATORIO!$R$2:$R$151,MATCH(18*10+6,MOTOR_RELATORIO!$AE$2:$AE$151,0)),"")</f>
        <v/>
      </c>
      <c r="I224" s="34">
        <f>IFERROR(INDEX(MOTOR_RELATORIO!$S$2:$S$151,MATCH(18*10+6,MOTOR_RELATORIO!$AE$2:$AE$151,0)),"")</f>
        <v/>
      </c>
      <c r="J224" s="34">
        <f>IFERROR(INDEX(MOTOR_RELATORIO!$T$2:$T$151,MATCH(18*10+6,MOTOR_RELATORIO!$AE$2:$AE$151,0)),"")</f>
        <v/>
      </c>
      <c r="K224" s="34">
        <f>IFERROR(INDEX(MOTOR_RELATORIO!$U$2:$U$151,MATCH(18*10+6,MOTOR_RELATORIO!$AE$2:$AE$151,0)),"")</f>
        <v/>
      </c>
    </row>
    <row r="225">
      <c r="A225" s="59" t="n"/>
      <c r="B225" s="59" t="n"/>
      <c r="C225" s="59" t="n"/>
      <c r="D225" s="59" t="n"/>
      <c r="E225" s="59" t="n"/>
      <c r="F225" s="59" t="n"/>
      <c r="G225" s="60" t="inlineStr">
        <is>
          <t>RESULTADO:</t>
        </is>
      </c>
      <c r="H225" s="59" t="n"/>
      <c r="I225" s="61">
        <f>IFERROR(INDEX(MOTOR_RELATORIO!$AF$2:$AF$151,MATCH(18*10+1,MOTOR_RELATORIO!$AE$2:$AE$151,0)),"")</f>
        <v/>
      </c>
      <c r="J225" s="59" t="n"/>
      <c r="K225" s="59" t="n"/>
    </row>
    <row r="226">
      <c r="A226" s="62" t="n"/>
      <c r="B226" s="62" t="n"/>
      <c r="C226" s="62" t="n"/>
      <c r="D226" s="62" t="n"/>
      <c r="E226" s="62" t="n"/>
      <c r="F226" s="62" t="n"/>
      <c r="G226" s="63" t="inlineStr">
        <is>
          <t>VALOR:</t>
        </is>
      </c>
      <c r="H226" s="62" t="n"/>
      <c r="I226" s="64">
        <f>IFERROR(INDEX(MOTOR_RELATORIO!$AG$2:$AG$151,MATCH(18*10+1,MOTOR_RELATORIO!$AE$2:$AE$151,0)),"")</f>
        <v/>
      </c>
      <c r="J226" s="62" t="n"/>
      <c r="K226" s="62" t="n"/>
    </row>
    <row r="227" ht="15" customHeight="1">
      <c r="A227" s="51">
        <f>IFERROR(INDEX(MOTOR_RELATORIO!$Y$2:$Y$151,MATCH(19*10+1,MOTOR_RELATORIO!$AE$2:$AE$151,0)),"")</f>
        <v/>
      </c>
      <c r="B227" s="52">
        <f>IFERROR(INDEX(MOTOR_RELATORIO!$Z$2:$Z$151,MATCH(19*10+1,MOTOR_RELATORIO!$AE$2:$AE$151,0)),"")</f>
        <v/>
      </c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</row>
    <row r="228" ht="15" customHeight="1">
      <c r="A228" s="54">
        <f>IFERROR(INDEX(MOTOR_RELATORIO!$AA$2:$AA$151,MATCH(19*10+1,MOTOR_RELATORIO!$AE$2:$AE$151,0)),"")</f>
        <v/>
      </c>
      <c r="B228" s="55">
        <f>IFERROR(INDEX(MOTOR_RELATORIO!$AB$2:$AB$151,MATCH(19*10+1,MOTOR_RELATORIO!$AE$2:$AE$151,0)),"")</f>
        <v/>
      </c>
    </row>
    <row r="229" ht="16" customHeight="1">
      <c r="A229" s="18" t="inlineStr">
        <is>
          <t>ITEM</t>
        </is>
      </c>
      <c r="B229" s="18" t="inlineStr">
        <is>
          <t>LINHA</t>
        </is>
      </c>
      <c r="C229" s="18" t="inlineStr">
        <is>
          <t>DESCRICAO</t>
        </is>
      </c>
      <c r="D229" s="56" t="n"/>
      <c r="E229" s="18" t="inlineStr">
        <is>
          <t>ATIVIDADE</t>
        </is>
      </c>
      <c r="F229" s="56" t="n"/>
      <c r="G229" s="18" t="inlineStr">
        <is>
          <t>UND.</t>
        </is>
      </c>
      <c r="H229" s="18" t="inlineStr">
        <is>
          <t>X</t>
        </is>
      </c>
      <c r="I229" s="18" t="inlineStr">
        <is>
          <t>Y</t>
        </is>
      </c>
      <c r="J229" s="18" t="inlineStr">
        <is>
          <t>Z</t>
        </is>
      </c>
      <c r="K229" s="18" t="inlineStr">
        <is>
          <t>RESULTADO</t>
        </is>
      </c>
    </row>
    <row r="230" ht="28" customHeight="1">
      <c r="A230" s="57">
        <f>IFERROR(INDEX(MOTOR_RELATORIO!$L$2:$L$151,MATCH(19*10+1,MOTOR_RELATORIO!$AE$2:$AE$151,0)),"")</f>
        <v/>
      </c>
      <c r="B230" s="57">
        <f>IFERROR(INDEX(MOTOR_RELATORIO!$M$2:$M$151,MATCH(19*10+1,MOTOR_RELATORIO!$AE$2:$AE$151,0)),"")</f>
        <v/>
      </c>
      <c r="C230" s="20" t="n"/>
      <c r="D230" s="20" t="n"/>
      <c r="E230" s="58">
        <f>IFERROR(INDEX(MOTOR_RELATORIO!$N$2:$N$151,MATCH(19*10+1,MOTOR_RELATORIO!$AE$2:$AE$151,0)),"")</f>
        <v/>
      </c>
      <c r="F230" s="20" t="n"/>
      <c r="G230" s="57">
        <f>IFERROR(INDEX(MOTOR_RELATORIO!$P$2:$P$151,MATCH(19*10+1,MOTOR_RELATORIO!$AE$2:$AE$151,0)),"")</f>
        <v/>
      </c>
      <c r="H230" s="20" t="n"/>
      <c r="I230" s="20" t="n"/>
      <c r="J230" s="20" t="n"/>
      <c r="K230" s="20" t="n"/>
    </row>
    <row r="231" outlineLevel="1" ht="14" customHeight="1">
      <c r="A231" s="20" t="n"/>
      <c r="B231" s="20" t="n"/>
      <c r="C231" s="28">
        <f>IFERROR(INDEX(MOTOR_RELATORIO!$O$2:$O$151,MATCH(19*10+1,MOTOR_RELATORIO!$AE$2:$AE$151,0)),"")</f>
        <v/>
      </c>
      <c r="D231" s="20" t="n"/>
      <c r="E231" s="20" t="n"/>
      <c r="F231" s="20" t="n"/>
      <c r="G231" s="20" t="n"/>
      <c r="H231" s="34">
        <f>IFERROR(INDEX(MOTOR_RELATORIO!$R$2:$R$151,MATCH(19*10+1,MOTOR_RELATORIO!$AE$2:$AE$151,0)),"")</f>
        <v/>
      </c>
      <c r="I231" s="34">
        <f>IFERROR(INDEX(MOTOR_RELATORIO!$S$2:$S$151,MATCH(19*10+1,MOTOR_RELATORIO!$AE$2:$AE$151,0)),"")</f>
        <v/>
      </c>
      <c r="J231" s="34">
        <f>IFERROR(INDEX(MOTOR_RELATORIO!$T$2:$T$151,MATCH(19*10+1,MOTOR_RELATORIO!$AE$2:$AE$151,0)),"")</f>
        <v/>
      </c>
      <c r="K231" s="34">
        <f>IFERROR(INDEX(MOTOR_RELATORIO!$U$2:$U$151,MATCH(19*10+1,MOTOR_RELATORIO!$AE$2:$AE$151,0)),"")</f>
        <v/>
      </c>
    </row>
    <row r="232" outlineLevel="1" ht="14" customHeight="1">
      <c r="A232" s="20" t="n"/>
      <c r="B232" s="20" t="n"/>
      <c r="C232" s="28">
        <f>IFERROR(INDEX(MOTOR_RELATORIO!$O$2:$O$151,MATCH(19*10+2,MOTOR_RELATORIO!$AE$2:$AE$151,0)),"")</f>
        <v/>
      </c>
      <c r="D232" s="20" t="n"/>
      <c r="E232" s="20" t="n"/>
      <c r="F232" s="20" t="n"/>
      <c r="G232" s="20" t="n"/>
      <c r="H232" s="34">
        <f>IFERROR(INDEX(MOTOR_RELATORIO!$R$2:$R$151,MATCH(19*10+2,MOTOR_RELATORIO!$AE$2:$AE$151,0)),"")</f>
        <v/>
      </c>
      <c r="I232" s="34">
        <f>IFERROR(INDEX(MOTOR_RELATORIO!$S$2:$S$151,MATCH(19*10+2,MOTOR_RELATORIO!$AE$2:$AE$151,0)),"")</f>
        <v/>
      </c>
      <c r="J232" s="34">
        <f>IFERROR(INDEX(MOTOR_RELATORIO!$T$2:$T$151,MATCH(19*10+2,MOTOR_RELATORIO!$AE$2:$AE$151,0)),"")</f>
        <v/>
      </c>
      <c r="K232" s="34">
        <f>IFERROR(INDEX(MOTOR_RELATORIO!$U$2:$U$151,MATCH(19*10+2,MOTOR_RELATORIO!$AE$2:$AE$151,0)),"")</f>
        <v/>
      </c>
    </row>
    <row r="233" outlineLevel="1" ht="14" customHeight="1">
      <c r="A233" s="20" t="n"/>
      <c r="B233" s="20" t="n"/>
      <c r="C233" s="28">
        <f>IFERROR(INDEX(MOTOR_RELATORIO!$O$2:$O$151,MATCH(19*10+3,MOTOR_RELATORIO!$AE$2:$AE$151,0)),"")</f>
        <v/>
      </c>
      <c r="D233" s="20" t="n"/>
      <c r="E233" s="20" t="n"/>
      <c r="F233" s="20" t="n"/>
      <c r="G233" s="20" t="n"/>
      <c r="H233" s="34">
        <f>IFERROR(INDEX(MOTOR_RELATORIO!$R$2:$R$151,MATCH(19*10+3,MOTOR_RELATORIO!$AE$2:$AE$151,0)),"")</f>
        <v/>
      </c>
      <c r="I233" s="34">
        <f>IFERROR(INDEX(MOTOR_RELATORIO!$S$2:$S$151,MATCH(19*10+3,MOTOR_RELATORIO!$AE$2:$AE$151,0)),"")</f>
        <v/>
      </c>
      <c r="J233" s="34">
        <f>IFERROR(INDEX(MOTOR_RELATORIO!$T$2:$T$151,MATCH(19*10+3,MOTOR_RELATORIO!$AE$2:$AE$151,0)),"")</f>
        <v/>
      </c>
      <c r="K233" s="34">
        <f>IFERROR(INDEX(MOTOR_RELATORIO!$U$2:$U$151,MATCH(19*10+3,MOTOR_RELATORIO!$AE$2:$AE$151,0)),"")</f>
        <v/>
      </c>
    </row>
    <row r="234" outlineLevel="1" ht="14" customHeight="1">
      <c r="A234" s="20" t="n"/>
      <c r="B234" s="20" t="n"/>
      <c r="C234" s="28">
        <f>IFERROR(INDEX(MOTOR_RELATORIO!$O$2:$O$151,MATCH(19*10+4,MOTOR_RELATORIO!$AE$2:$AE$151,0)),"")</f>
        <v/>
      </c>
      <c r="D234" s="20" t="n"/>
      <c r="E234" s="20" t="n"/>
      <c r="F234" s="20" t="n"/>
      <c r="G234" s="20" t="n"/>
      <c r="H234" s="34">
        <f>IFERROR(INDEX(MOTOR_RELATORIO!$R$2:$R$151,MATCH(19*10+4,MOTOR_RELATORIO!$AE$2:$AE$151,0)),"")</f>
        <v/>
      </c>
      <c r="I234" s="34">
        <f>IFERROR(INDEX(MOTOR_RELATORIO!$S$2:$S$151,MATCH(19*10+4,MOTOR_RELATORIO!$AE$2:$AE$151,0)),"")</f>
        <v/>
      </c>
      <c r="J234" s="34">
        <f>IFERROR(INDEX(MOTOR_RELATORIO!$T$2:$T$151,MATCH(19*10+4,MOTOR_RELATORIO!$AE$2:$AE$151,0)),"")</f>
        <v/>
      </c>
      <c r="K234" s="34">
        <f>IFERROR(INDEX(MOTOR_RELATORIO!$U$2:$U$151,MATCH(19*10+4,MOTOR_RELATORIO!$AE$2:$AE$151,0)),"")</f>
        <v/>
      </c>
    </row>
    <row r="235" outlineLevel="1" ht="14" customHeight="1">
      <c r="A235" s="20" t="n"/>
      <c r="B235" s="20" t="n"/>
      <c r="C235" s="28">
        <f>IFERROR(INDEX(MOTOR_RELATORIO!$O$2:$O$151,MATCH(19*10+5,MOTOR_RELATORIO!$AE$2:$AE$151,0)),"")</f>
        <v/>
      </c>
      <c r="D235" s="20" t="n"/>
      <c r="E235" s="20" t="n"/>
      <c r="F235" s="20" t="n"/>
      <c r="G235" s="20" t="n"/>
      <c r="H235" s="34">
        <f>IFERROR(INDEX(MOTOR_RELATORIO!$R$2:$R$151,MATCH(19*10+5,MOTOR_RELATORIO!$AE$2:$AE$151,0)),"")</f>
        <v/>
      </c>
      <c r="I235" s="34">
        <f>IFERROR(INDEX(MOTOR_RELATORIO!$S$2:$S$151,MATCH(19*10+5,MOTOR_RELATORIO!$AE$2:$AE$151,0)),"")</f>
        <v/>
      </c>
      <c r="J235" s="34">
        <f>IFERROR(INDEX(MOTOR_RELATORIO!$T$2:$T$151,MATCH(19*10+5,MOTOR_RELATORIO!$AE$2:$AE$151,0)),"")</f>
        <v/>
      </c>
      <c r="K235" s="34">
        <f>IFERROR(INDEX(MOTOR_RELATORIO!$U$2:$U$151,MATCH(19*10+5,MOTOR_RELATORIO!$AE$2:$AE$151,0)),"")</f>
        <v/>
      </c>
    </row>
    <row r="236" outlineLevel="1" ht="14" customHeight="1">
      <c r="A236" s="20" t="n"/>
      <c r="B236" s="20" t="n"/>
      <c r="C236" s="28">
        <f>IFERROR(INDEX(MOTOR_RELATORIO!$O$2:$O$151,MATCH(19*10+6,MOTOR_RELATORIO!$AE$2:$AE$151,0)),"")</f>
        <v/>
      </c>
      <c r="D236" s="20" t="n"/>
      <c r="E236" s="20" t="n"/>
      <c r="F236" s="20" t="n"/>
      <c r="G236" s="20" t="n"/>
      <c r="H236" s="34">
        <f>IFERROR(INDEX(MOTOR_RELATORIO!$R$2:$R$151,MATCH(19*10+6,MOTOR_RELATORIO!$AE$2:$AE$151,0)),"")</f>
        <v/>
      </c>
      <c r="I236" s="34">
        <f>IFERROR(INDEX(MOTOR_RELATORIO!$S$2:$S$151,MATCH(19*10+6,MOTOR_RELATORIO!$AE$2:$AE$151,0)),"")</f>
        <v/>
      </c>
      <c r="J236" s="34">
        <f>IFERROR(INDEX(MOTOR_RELATORIO!$T$2:$T$151,MATCH(19*10+6,MOTOR_RELATORIO!$AE$2:$AE$151,0)),"")</f>
        <v/>
      </c>
      <c r="K236" s="34">
        <f>IFERROR(INDEX(MOTOR_RELATORIO!$U$2:$U$151,MATCH(19*10+6,MOTOR_RELATORIO!$AE$2:$AE$151,0)),"")</f>
        <v/>
      </c>
    </row>
    <row r="237">
      <c r="A237" s="59" t="n"/>
      <c r="B237" s="59" t="n"/>
      <c r="C237" s="59" t="n"/>
      <c r="D237" s="59" t="n"/>
      <c r="E237" s="59" t="n"/>
      <c r="F237" s="59" t="n"/>
      <c r="G237" s="60" t="inlineStr">
        <is>
          <t>RESULTADO:</t>
        </is>
      </c>
      <c r="H237" s="59" t="n"/>
      <c r="I237" s="61">
        <f>IFERROR(INDEX(MOTOR_RELATORIO!$AF$2:$AF$151,MATCH(19*10+1,MOTOR_RELATORIO!$AE$2:$AE$151,0)),"")</f>
        <v/>
      </c>
      <c r="J237" s="59" t="n"/>
      <c r="K237" s="59" t="n"/>
    </row>
    <row r="238">
      <c r="A238" s="62" t="n"/>
      <c r="B238" s="62" t="n"/>
      <c r="C238" s="62" t="n"/>
      <c r="D238" s="62" t="n"/>
      <c r="E238" s="62" t="n"/>
      <c r="F238" s="62" t="n"/>
      <c r="G238" s="63" t="inlineStr">
        <is>
          <t>VALOR:</t>
        </is>
      </c>
      <c r="H238" s="62" t="n"/>
      <c r="I238" s="64">
        <f>IFERROR(INDEX(MOTOR_RELATORIO!$AG$2:$AG$151,MATCH(19*10+1,MOTOR_RELATORIO!$AE$2:$AE$151,0)),"")</f>
        <v/>
      </c>
      <c r="J238" s="62" t="n"/>
      <c r="K238" s="62" t="n"/>
    </row>
    <row r="239" ht="15" customHeight="1">
      <c r="A239" s="51">
        <f>IFERROR(INDEX(MOTOR_RELATORIO!$Y$2:$Y$151,MATCH(20*10+1,MOTOR_RELATORIO!$AE$2:$AE$151,0)),"")</f>
        <v/>
      </c>
      <c r="B239" s="52">
        <f>IFERROR(INDEX(MOTOR_RELATORIO!$Z$2:$Z$151,MATCH(20*10+1,MOTOR_RELATORIO!$AE$2:$AE$151,0)),"")</f>
        <v/>
      </c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</row>
    <row r="240" ht="15" customHeight="1">
      <c r="A240" s="54">
        <f>IFERROR(INDEX(MOTOR_RELATORIO!$AA$2:$AA$151,MATCH(20*10+1,MOTOR_RELATORIO!$AE$2:$AE$151,0)),"")</f>
        <v/>
      </c>
      <c r="B240" s="55">
        <f>IFERROR(INDEX(MOTOR_RELATORIO!$AB$2:$AB$151,MATCH(20*10+1,MOTOR_RELATORIO!$AE$2:$AE$151,0)),"")</f>
        <v/>
      </c>
    </row>
    <row r="241" ht="16" customHeight="1">
      <c r="A241" s="18" t="inlineStr">
        <is>
          <t>ITEM</t>
        </is>
      </c>
      <c r="B241" s="18" t="inlineStr">
        <is>
          <t>LINHA</t>
        </is>
      </c>
      <c r="C241" s="18" t="inlineStr">
        <is>
          <t>DESCRICAO</t>
        </is>
      </c>
      <c r="D241" s="56" t="n"/>
      <c r="E241" s="18" t="inlineStr">
        <is>
          <t>ATIVIDADE</t>
        </is>
      </c>
      <c r="F241" s="56" t="n"/>
      <c r="G241" s="18" t="inlineStr">
        <is>
          <t>UND.</t>
        </is>
      </c>
      <c r="H241" s="18" t="inlineStr">
        <is>
          <t>X</t>
        </is>
      </c>
      <c r="I241" s="18" t="inlineStr">
        <is>
          <t>Y</t>
        </is>
      </c>
      <c r="J241" s="18" t="inlineStr">
        <is>
          <t>Z</t>
        </is>
      </c>
      <c r="K241" s="18" t="inlineStr">
        <is>
          <t>RESULTADO</t>
        </is>
      </c>
    </row>
    <row r="242" ht="28" customHeight="1">
      <c r="A242" s="57">
        <f>IFERROR(INDEX(MOTOR_RELATORIO!$L$2:$L$151,MATCH(20*10+1,MOTOR_RELATORIO!$AE$2:$AE$151,0)),"")</f>
        <v/>
      </c>
      <c r="B242" s="57">
        <f>IFERROR(INDEX(MOTOR_RELATORIO!$M$2:$M$151,MATCH(20*10+1,MOTOR_RELATORIO!$AE$2:$AE$151,0)),"")</f>
        <v/>
      </c>
      <c r="C242" s="20" t="n"/>
      <c r="D242" s="20" t="n"/>
      <c r="E242" s="58">
        <f>IFERROR(INDEX(MOTOR_RELATORIO!$N$2:$N$151,MATCH(20*10+1,MOTOR_RELATORIO!$AE$2:$AE$151,0)),"")</f>
        <v/>
      </c>
      <c r="F242" s="20" t="n"/>
      <c r="G242" s="57">
        <f>IFERROR(INDEX(MOTOR_RELATORIO!$P$2:$P$151,MATCH(20*10+1,MOTOR_RELATORIO!$AE$2:$AE$151,0)),"")</f>
        <v/>
      </c>
      <c r="H242" s="20" t="n"/>
      <c r="I242" s="20" t="n"/>
      <c r="J242" s="20" t="n"/>
      <c r="K242" s="20" t="n"/>
    </row>
    <row r="243" outlineLevel="1" ht="14" customHeight="1">
      <c r="A243" s="20" t="n"/>
      <c r="B243" s="20" t="n"/>
      <c r="C243" s="28">
        <f>IFERROR(INDEX(MOTOR_RELATORIO!$O$2:$O$151,MATCH(20*10+1,MOTOR_RELATORIO!$AE$2:$AE$151,0)),"")</f>
        <v/>
      </c>
      <c r="D243" s="20" t="n"/>
      <c r="E243" s="20" t="n"/>
      <c r="F243" s="20" t="n"/>
      <c r="G243" s="20" t="n"/>
      <c r="H243" s="34">
        <f>IFERROR(INDEX(MOTOR_RELATORIO!$R$2:$R$151,MATCH(20*10+1,MOTOR_RELATORIO!$AE$2:$AE$151,0)),"")</f>
        <v/>
      </c>
      <c r="I243" s="34">
        <f>IFERROR(INDEX(MOTOR_RELATORIO!$S$2:$S$151,MATCH(20*10+1,MOTOR_RELATORIO!$AE$2:$AE$151,0)),"")</f>
        <v/>
      </c>
      <c r="J243" s="34">
        <f>IFERROR(INDEX(MOTOR_RELATORIO!$T$2:$T$151,MATCH(20*10+1,MOTOR_RELATORIO!$AE$2:$AE$151,0)),"")</f>
        <v/>
      </c>
      <c r="K243" s="34">
        <f>IFERROR(INDEX(MOTOR_RELATORIO!$U$2:$U$151,MATCH(20*10+1,MOTOR_RELATORIO!$AE$2:$AE$151,0)),"")</f>
        <v/>
      </c>
    </row>
    <row r="244" outlineLevel="1" ht="14" customHeight="1">
      <c r="A244" s="20" t="n"/>
      <c r="B244" s="20" t="n"/>
      <c r="C244" s="28">
        <f>IFERROR(INDEX(MOTOR_RELATORIO!$O$2:$O$151,MATCH(20*10+2,MOTOR_RELATORIO!$AE$2:$AE$151,0)),"")</f>
        <v/>
      </c>
      <c r="D244" s="20" t="n"/>
      <c r="E244" s="20" t="n"/>
      <c r="F244" s="20" t="n"/>
      <c r="G244" s="20" t="n"/>
      <c r="H244" s="34">
        <f>IFERROR(INDEX(MOTOR_RELATORIO!$R$2:$R$151,MATCH(20*10+2,MOTOR_RELATORIO!$AE$2:$AE$151,0)),"")</f>
        <v/>
      </c>
      <c r="I244" s="34">
        <f>IFERROR(INDEX(MOTOR_RELATORIO!$S$2:$S$151,MATCH(20*10+2,MOTOR_RELATORIO!$AE$2:$AE$151,0)),"")</f>
        <v/>
      </c>
      <c r="J244" s="34">
        <f>IFERROR(INDEX(MOTOR_RELATORIO!$T$2:$T$151,MATCH(20*10+2,MOTOR_RELATORIO!$AE$2:$AE$151,0)),"")</f>
        <v/>
      </c>
      <c r="K244" s="34">
        <f>IFERROR(INDEX(MOTOR_RELATORIO!$U$2:$U$151,MATCH(20*10+2,MOTOR_RELATORIO!$AE$2:$AE$151,0)),"")</f>
        <v/>
      </c>
    </row>
    <row r="245" outlineLevel="1" ht="14" customHeight="1">
      <c r="A245" s="20" t="n"/>
      <c r="B245" s="20" t="n"/>
      <c r="C245" s="28">
        <f>IFERROR(INDEX(MOTOR_RELATORIO!$O$2:$O$151,MATCH(20*10+3,MOTOR_RELATORIO!$AE$2:$AE$151,0)),"")</f>
        <v/>
      </c>
      <c r="D245" s="20" t="n"/>
      <c r="E245" s="20" t="n"/>
      <c r="F245" s="20" t="n"/>
      <c r="G245" s="20" t="n"/>
      <c r="H245" s="34">
        <f>IFERROR(INDEX(MOTOR_RELATORIO!$R$2:$R$151,MATCH(20*10+3,MOTOR_RELATORIO!$AE$2:$AE$151,0)),"")</f>
        <v/>
      </c>
      <c r="I245" s="34">
        <f>IFERROR(INDEX(MOTOR_RELATORIO!$S$2:$S$151,MATCH(20*10+3,MOTOR_RELATORIO!$AE$2:$AE$151,0)),"")</f>
        <v/>
      </c>
      <c r="J245" s="34">
        <f>IFERROR(INDEX(MOTOR_RELATORIO!$T$2:$T$151,MATCH(20*10+3,MOTOR_RELATORIO!$AE$2:$AE$151,0)),"")</f>
        <v/>
      </c>
      <c r="K245" s="34">
        <f>IFERROR(INDEX(MOTOR_RELATORIO!$U$2:$U$151,MATCH(20*10+3,MOTOR_RELATORIO!$AE$2:$AE$151,0)),"")</f>
        <v/>
      </c>
    </row>
    <row r="246" outlineLevel="1" ht="14" customHeight="1">
      <c r="A246" s="20" t="n"/>
      <c r="B246" s="20" t="n"/>
      <c r="C246" s="28">
        <f>IFERROR(INDEX(MOTOR_RELATORIO!$O$2:$O$151,MATCH(20*10+4,MOTOR_RELATORIO!$AE$2:$AE$151,0)),"")</f>
        <v/>
      </c>
      <c r="D246" s="20" t="n"/>
      <c r="E246" s="20" t="n"/>
      <c r="F246" s="20" t="n"/>
      <c r="G246" s="20" t="n"/>
      <c r="H246" s="34">
        <f>IFERROR(INDEX(MOTOR_RELATORIO!$R$2:$R$151,MATCH(20*10+4,MOTOR_RELATORIO!$AE$2:$AE$151,0)),"")</f>
        <v/>
      </c>
      <c r="I246" s="34">
        <f>IFERROR(INDEX(MOTOR_RELATORIO!$S$2:$S$151,MATCH(20*10+4,MOTOR_RELATORIO!$AE$2:$AE$151,0)),"")</f>
        <v/>
      </c>
      <c r="J246" s="34">
        <f>IFERROR(INDEX(MOTOR_RELATORIO!$T$2:$T$151,MATCH(20*10+4,MOTOR_RELATORIO!$AE$2:$AE$151,0)),"")</f>
        <v/>
      </c>
      <c r="K246" s="34">
        <f>IFERROR(INDEX(MOTOR_RELATORIO!$U$2:$U$151,MATCH(20*10+4,MOTOR_RELATORIO!$AE$2:$AE$151,0)),"")</f>
        <v/>
      </c>
    </row>
    <row r="247" outlineLevel="1" ht="14" customHeight="1">
      <c r="A247" s="20" t="n"/>
      <c r="B247" s="20" t="n"/>
      <c r="C247" s="28">
        <f>IFERROR(INDEX(MOTOR_RELATORIO!$O$2:$O$151,MATCH(20*10+5,MOTOR_RELATORIO!$AE$2:$AE$151,0)),"")</f>
        <v/>
      </c>
      <c r="D247" s="20" t="n"/>
      <c r="E247" s="20" t="n"/>
      <c r="F247" s="20" t="n"/>
      <c r="G247" s="20" t="n"/>
      <c r="H247" s="34">
        <f>IFERROR(INDEX(MOTOR_RELATORIO!$R$2:$R$151,MATCH(20*10+5,MOTOR_RELATORIO!$AE$2:$AE$151,0)),"")</f>
        <v/>
      </c>
      <c r="I247" s="34">
        <f>IFERROR(INDEX(MOTOR_RELATORIO!$S$2:$S$151,MATCH(20*10+5,MOTOR_RELATORIO!$AE$2:$AE$151,0)),"")</f>
        <v/>
      </c>
      <c r="J247" s="34">
        <f>IFERROR(INDEX(MOTOR_RELATORIO!$T$2:$T$151,MATCH(20*10+5,MOTOR_RELATORIO!$AE$2:$AE$151,0)),"")</f>
        <v/>
      </c>
      <c r="K247" s="34">
        <f>IFERROR(INDEX(MOTOR_RELATORIO!$U$2:$U$151,MATCH(20*10+5,MOTOR_RELATORIO!$AE$2:$AE$151,0)),"")</f>
        <v/>
      </c>
    </row>
    <row r="248" outlineLevel="1" ht="14" customHeight="1">
      <c r="A248" s="20" t="n"/>
      <c r="B248" s="20" t="n"/>
      <c r="C248" s="28">
        <f>IFERROR(INDEX(MOTOR_RELATORIO!$O$2:$O$151,MATCH(20*10+6,MOTOR_RELATORIO!$AE$2:$AE$151,0)),"")</f>
        <v/>
      </c>
      <c r="D248" s="20" t="n"/>
      <c r="E248" s="20" t="n"/>
      <c r="F248" s="20" t="n"/>
      <c r="G248" s="20" t="n"/>
      <c r="H248" s="34">
        <f>IFERROR(INDEX(MOTOR_RELATORIO!$R$2:$R$151,MATCH(20*10+6,MOTOR_RELATORIO!$AE$2:$AE$151,0)),"")</f>
        <v/>
      </c>
      <c r="I248" s="34">
        <f>IFERROR(INDEX(MOTOR_RELATORIO!$S$2:$S$151,MATCH(20*10+6,MOTOR_RELATORIO!$AE$2:$AE$151,0)),"")</f>
        <v/>
      </c>
      <c r="J248" s="34">
        <f>IFERROR(INDEX(MOTOR_RELATORIO!$T$2:$T$151,MATCH(20*10+6,MOTOR_RELATORIO!$AE$2:$AE$151,0)),"")</f>
        <v/>
      </c>
      <c r="K248" s="34">
        <f>IFERROR(INDEX(MOTOR_RELATORIO!$U$2:$U$151,MATCH(20*10+6,MOTOR_RELATORIO!$AE$2:$AE$151,0)),"")</f>
        <v/>
      </c>
    </row>
    <row r="249">
      <c r="A249" s="59" t="n"/>
      <c r="B249" s="59" t="n"/>
      <c r="C249" s="59" t="n"/>
      <c r="D249" s="59" t="n"/>
      <c r="E249" s="59" t="n"/>
      <c r="F249" s="59" t="n"/>
      <c r="G249" s="60" t="inlineStr">
        <is>
          <t>RESULTADO:</t>
        </is>
      </c>
      <c r="H249" s="59" t="n"/>
      <c r="I249" s="61">
        <f>IFERROR(INDEX(MOTOR_RELATORIO!$AF$2:$AF$151,MATCH(20*10+1,MOTOR_RELATORIO!$AE$2:$AE$151,0)),"")</f>
        <v/>
      </c>
      <c r="J249" s="59" t="n"/>
      <c r="K249" s="59" t="n"/>
    </row>
    <row r="250">
      <c r="A250" s="62" t="n"/>
      <c r="B250" s="62" t="n"/>
      <c r="C250" s="62" t="n"/>
      <c r="D250" s="62" t="n"/>
      <c r="E250" s="62" t="n"/>
      <c r="F250" s="62" t="n"/>
      <c r="G250" s="63" t="inlineStr">
        <is>
          <t>VALOR:</t>
        </is>
      </c>
      <c r="H250" s="62" t="n"/>
      <c r="I250" s="64">
        <f>IFERROR(INDEX(MOTOR_RELATORIO!$AG$2:$AG$151,MATCH(20*10+1,MOTOR_RELATORIO!$AE$2:$AE$151,0)),"")</f>
        <v/>
      </c>
      <c r="J250" s="62" t="n"/>
      <c r="K250" s="62" t="n"/>
    </row>
    <row r="252" ht="24" customHeight="1">
      <c r="A252" s="65" t="inlineStr">
        <is>
          <t>TOTAL GERAL</t>
        </is>
      </c>
      <c r="B252" s="66" t="n"/>
      <c r="C252" s="66" t="n"/>
      <c r="D252" s="66" t="n"/>
      <c r="E252" s="66" t="n"/>
      <c r="F252" s="66" t="n"/>
      <c r="G252" s="66" t="n"/>
      <c r="H252" s="66" t="n"/>
      <c r="I252" s="67">
        <f>SUMIFS(HISTORICO!$T$3:$T$2002,HISTORICO!$A$3:$A$2002,$C$5,HISTORICO!$C$3:$C$2002,$F$5)</f>
        <v/>
      </c>
      <c r="J252" s="66" t="n"/>
      <c r="K252" s="66" t="n"/>
    </row>
    <row r="254">
      <c r="A254" s="68" t="inlineStr">
        <is>
          <t>IMAGENS / MEMORIA FOTOGRAFICA: anexar/colar imagens de apoio abaixo desta linha, se necessario.</t>
        </is>
      </c>
    </row>
    <row r="269">
      <c r="A269" s="69" t="inlineStr">
        <is>
          <t>Classificacao da informacao: ( ) Confidencial   ( ) Restrita   ( X ) Uso Interno   ( ) Publica</t>
        </is>
      </c>
    </row>
    <row r="270">
      <c r="A270" s="70">
        <f>NOW()</f>
        <v/>
      </c>
    </row>
  </sheetData>
  <mergeCells count="322">
    <mergeCell ref="C15:D15"/>
    <mergeCell ref="C234:D234"/>
    <mergeCell ref="C172:D172"/>
    <mergeCell ref="B204:K204"/>
    <mergeCell ref="C79:D79"/>
    <mergeCell ref="C184:D184"/>
    <mergeCell ref="C73:D73"/>
    <mergeCell ref="E73:F73"/>
    <mergeCell ref="I106:J106"/>
    <mergeCell ref="C171:D171"/>
    <mergeCell ref="C121:D121"/>
    <mergeCell ref="B227:K227"/>
    <mergeCell ref="C173:D173"/>
    <mergeCell ref="E229:F229"/>
    <mergeCell ref="B72:K72"/>
    <mergeCell ref="C148:D148"/>
    <mergeCell ref="B228:K228"/>
    <mergeCell ref="A269:K269"/>
    <mergeCell ref="G213:H213"/>
    <mergeCell ref="C28:D28"/>
    <mergeCell ref="C92:D92"/>
    <mergeCell ref="C30:D30"/>
    <mergeCell ref="G117:H117"/>
    <mergeCell ref="I46:J46"/>
    <mergeCell ref="B83:K83"/>
    <mergeCell ref="C97:D97"/>
    <mergeCell ref="A4:C4"/>
    <mergeCell ref="C244:D244"/>
    <mergeCell ref="C123:D123"/>
    <mergeCell ref="C181:D181"/>
    <mergeCell ref="E110:F110"/>
    <mergeCell ref="G201:H201"/>
    <mergeCell ref="G250:H250"/>
    <mergeCell ref="I201:J201"/>
    <mergeCell ref="C174:D174"/>
    <mergeCell ref="C18:D18"/>
    <mergeCell ref="G238:H238"/>
    <mergeCell ref="C128:D128"/>
    <mergeCell ref="C113:D113"/>
    <mergeCell ref="C29:D29"/>
    <mergeCell ref="C100:D100"/>
    <mergeCell ref="C205:D205"/>
    <mergeCell ref="C65:D65"/>
    <mergeCell ref="E205:F205"/>
    <mergeCell ref="C44:D44"/>
    <mergeCell ref="G69:H69"/>
    <mergeCell ref="C31:D31"/>
    <mergeCell ref="C80:D80"/>
    <mergeCell ref="B156:K156"/>
    <mergeCell ref="E158:F158"/>
    <mergeCell ref="B155:K155"/>
    <mergeCell ref="E133:F133"/>
    <mergeCell ref="G153:H153"/>
    <mergeCell ref="I153:J153"/>
    <mergeCell ref="A1:F1"/>
    <mergeCell ref="D5:E5"/>
    <mergeCell ref="G226:H226"/>
    <mergeCell ref="I7:K7"/>
    <mergeCell ref="C49:D49"/>
    <mergeCell ref="C245:D245"/>
    <mergeCell ref="C195:D195"/>
    <mergeCell ref="C42:D42"/>
    <mergeCell ref="C88:D88"/>
    <mergeCell ref="C126:D126"/>
    <mergeCell ref="C197:D197"/>
    <mergeCell ref="G82:H82"/>
    <mergeCell ref="B35:K35"/>
    <mergeCell ref="C55:D55"/>
    <mergeCell ref="G190:H190"/>
    <mergeCell ref="E182:F182"/>
    <mergeCell ref="C115:D115"/>
    <mergeCell ref="B180:K180"/>
    <mergeCell ref="C52:D52"/>
    <mergeCell ref="C150:D150"/>
    <mergeCell ref="C39:D39"/>
    <mergeCell ref="C37:D37"/>
    <mergeCell ref="C208:D208"/>
    <mergeCell ref="E37:F37"/>
    <mergeCell ref="E97:F97"/>
    <mergeCell ref="E109:F109"/>
    <mergeCell ref="C145:D145"/>
    <mergeCell ref="E145:F145"/>
    <mergeCell ref="C210:D210"/>
    <mergeCell ref="I225:J225"/>
    <mergeCell ref="I129:J129"/>
    <mergeCell ref="C63:D63"/>
    <mergeCell ref="I8:K8"/>
    <mergeCell ref="I58:J58"/>
    <mergeCell ref="C163:D163"/>
    <mergeCell ref="C138:D138"/>
    <mergeCell ref="C27:D27"/>
    <mergeCell ref="C76:D76"/>
    <mergeCell ref="A2:K2"/>
    <mergeCell ref="B120:K120"/>
    <mergeCell ref="B107:K107"/>
    <mergeCell ref="E85:F85"/>
    <mergeCell ref="E193:F193"/>
    <mergeCell ref="G22:H22"/>
    <mergeCell ref="B9:K9"/>
    <mergeCell ref="E122:F122"/>
    <mergeCell ref="I213:J213"/>
    <mergeCell ref="G178:H178"/>
    <mergeCell ref="B36:K36"/>
    <mergeCell ref="C109:D109"/>
    <mergeCell ref="E38:F38"/>
    <mergeCell ref="C147:D147"/>
    <mergeCell ref="C40:D40"/>
    <mergeCell ref="C211:D211"/>
    <mergeCell ref="G177:H177"/>
    <mergeCell ref="G33:H33"/>
    <mergeCell ref="I177:J177"/>
    <mergeCell ref="I33:J33"/>
    <mergeCell ref="I226:J226"/>
    <mergeCell ref="B191:K191"/>
    <mergeCell ref="C66:D66"/>
    <mergeCell ref="A10:K10"/>
    <mergeCell ref="C53:D53"/>
    <mergeCell ref="C102:D102"/>
    <mergeCell ref="C229:D229"/>
    <mergeCell ref="C77:D77"/>
    <mergeCell ref="C68:D68"/>
    <mergeCell ref="G130:H130"/>
    <mergeCell ref="C160:D160"/>
    <mergeCell ref="B192:K192"/>
    <mergeCell ref="I165:J165"/>
    <mergeCell ref="I21:J21"/>
    <mergeCell ref="I252:K252"/>
    <mergeCell ref="A5:B5"/>
    <mergeCell ref="B12:K12"/>
    <mergeCell ref="C61:D61"/>
    <mergeCell ref="E61:F61"/>
    <mergeCell ref="C219:D219"/>
    <mergeCell ref="C125:D125"/>
    <mergeCell ref="C161:D161"/>
    <mergeCell ref="G106:H106"/>
    <mergeCell ref="I178:J178"/>
    <mergeCell ref="G105:H105"/>
    <mergeCell ref="I34:J34"/>
    <mergeCell ref="G214:H214"/>
    <mergeCell ref="I105:J105"/>
    <mergeCell ref="C16:D16"/>
    <mergeCell ref="C103:D103"/>
    <mergeCell ref="E230:F230"/>
    <mergeCell ref="C232:D232"/>
    <mergeCell ref="B71:K71"/>
    <mergeCell ref="B131:K131"/>
    <mergeCell ref="C207:D207"/>
    <mergeCell ref="C169:D169"/>
    <mergeCell ref="E169:F169"/>
    <mergeCell ref="G225:H225"/>
    <mergeCell ref="B60:K60"/>
    <mergeCell ref="C233:D233"/>
    <mergeCell ref="G202:H202"/>
    <mergeCell ref="I202:J202"/>
    <mergeCell ref="C87:D87"/>
    <mergeCell ref="B84:K84"/>
    <mergeCell ref="E62:F62"/>
    <mergeCell ref="C89:D89"/>
    <mergeCell ref="C116:D116"/>
    <mergeCell ref="C187:D187"/>
    <mergeCell ref="C64:D64"/>
    <mergeCell ref="C162:D162"/>
    <mergeCell ref="G57:H57"/>
    <mergeCell ref="B144:K144"/>
    <mergeCell ref="C164:D164"/>
    <mergeCell ref="E157:F157"/>
    <mergeCell ref="C222:D222"/>
    <mergeCell ref="G58:H58"/>
    <mergeCell ref="C17:D17"/>
    <mergeCell ref="I250:J250"/>
    <mergeCell ref="I166:J166"/>
    <mergeCell ref="C19:D19"/>
    <mergeCell ref="E146:F146"/>
    <mergeCell ref="C111:D111"/>
    <mergeCell ref="C248:D248"/>
    <mergeCell ref="C175:D175"/>
    <mergeCell ref="A270:E270"/>
    <mergeCell ref="C235:D235"/>
    <mergeCell ref="B239:K239"/>
    <mergeCell ref="C185:D185"/>
    <mergeCell ref="E14:F14"/>
    <mergeCell ref="G70:H70"/>
    <mergeCell ref="I70:J70"/>
    <mergeCell ref="I57:J57"/>
    <mergeCell ref="B203:K203"/>
    <mergeCell ref="A252:H252"/>
    <mergeCell ref="E170:F170"/>
    <mergeCell ref="C137:D137"/>
    <mergeCell ref="C124:D124"/>
    <mergeCell ref="B215:K215"/>
    <mergeCell ref="C90:D90"/>
    <mergeCell ref="C139:D139"/>
    <mergeCell ref="C188:D188"/>
    <mergeCell ref="G154:H154"/>
    <mergeCell ref="B23:K23"/>
    <mergeCell ref="G129:H129"/>
    <mergeCell ref="E25:F25"/>
    <mergeCell ref="G1:K1"/>
    <mergeCell ref="I189:J189"/>
    <mergeCell ref="I45:J45"/>
    <mergeCell ref="C20:D20"/>
    <mergeCell ref="C85:D85"/>
    <mergeCell ref="C112:D112"/>
    <mergeCell ref="G5:I5"/>
    <mergeCell ref="C183:D183"/>
    <mergeCell ref="C133:D133"/>
    <mergeCell ref="E13:F13"/>
    <mergeCell ref="C193:D193"/>
    <mergeCell ref="C127:D127"/>
    <mergeCell ref="C176:D176"/>
    <mergeCell ref="C114:D114"/>
    <mergeCell ref="C247:D247"/>
    <mergeCell ref="G249:H249"/>
    <mergeCell ref="E241:F241"/>
    <mergeCell ref="E86:F86"/>
    <mergeCell ref="C51:D51"/>
    <mergeCell ref="G142:H142"/>
    <mergeCell ref="I142:J142"/>
    <mergeCell ref="D4:K4"/>
    <mergeCell ref="B240:K240"/>
    <mergeCell ref="C209:D209"/>
    <mergeCell ref="C140:D140"/>
    <mergeCell ref="J5:K5"/>
    <mergeCell ref="C104:D104"/>
    <mergeCell ref="B24:K24"/>
    <mergeCell ref="B95:K95"/>
    <mergeCell ref="C231:D231"/>
    <mergeCell ref="A6:K6"/>
    <mergeCell ref="E206:F206"/>
    <mergeCell ref="C99:D99"/>
    <mergeCell ref="E74:F74"/>
    <mergeCell ref="I130:J130"/>
    <mergeCell ref="I190:J190"/>
    <mergeCell ref="A3:K3"/>
    <mergeCell ref="I117:J117"/>
    <mergeCell ref="C135:D135"/>
    <mergeCell ref="C159:D159"/>
    <mergeCell ref="C224:D224"/>
    <mergeCell ref="B179:K179"/>
    <mergeCell ref="C199:D199"/>
    <mergeCell ref="C186:D186"/>
    <mergeCell ref="C217:D217"/>
    <mergeCell ref="E242:F242"/>
    <mergeCell ref="E217:F217"/>
    <mergeCell ref="C136:D136"/>
    <mergeCell ref="G21:H21"/>
    <mergeCell ref="B108:K108"/>
    <mergeCell ref="G81:H81"/>
    <mergeCell ref="B168:K168"/>
    <mergeCell ref="I81:J81"/>
    <mergeCell ref="B143:K143"/>
    <mergeCell ref="E194:F194"/>
    <mergeCell ref="E181:F181"/>
    <mergeCell ref="G237:H237"/>
    <mergeCell ref="I237:J237"/>
    <mergeCell ref="C54:D54"/>
    <mergeCell ref="C41:D41"/>
    <mergeCell ref="C212:D212"/>
    <mergeCell ref="G189:H189"/>
    <mergeCell ref="C56:D56"/>
    <mergeCell ref="I214:J214"/>
    <mergeCell ref="I238:J238"/>
    <mergeCell ref="C43:D43"/>
    <mergeCell ref="G34:H34"/>
    <mergeCell ref="B96:K96"/>
    <mergeCell ref="B167:K167"/>
    <mergeCell ref="E49:F49"/>
    <mergeCell ref="C149:D149"/>
    <mergeCell ref="C67:D67"/>
    <mergeCell ref="G94:H94"/>
    <mergeCell ref="G165:H165"/>
    <mergeCell ref="I94:J94"/>
    <mergeCell ref="I69:J69"/>
    <mergeCell ref="C200:D200"/>
    <mergeCell ref="B216:K216"/>
    <mergeCell ref="B47:K47"/>
    <mergeCell ref="B59:K59"/>
    <mergeCell ref="B48:K48"/>
    <mergeCell ref="E26:F26"/>
    <mergeCell ref="I82:J82"/>
    <mergeCell ref="C91:D91"/>
    <mergeCell ref="C220:D220"/>
    <mergeCell ref="E50:F50"/>
    <mergeCell ref="E121:F121"/>
    <mergeCell ref="C157:D157"/>
    <mergeCell ref="C151:D151"/>
    <mergeCell ref="F7:G7"/>
    <mergeCell ref="G166:H166"/>
    <mergeCell ref="G141:H141"/>
    <mergeCell ref="C152:D152"/>
    <mergeCell ref="I141:J141"/>
    <mergeCell ref="C75:D75"/>
    <mergeCell ref="G118:H118"/>
    <mergeCell ref="F8:G8"/>
    <mergeCell ref="C241:D241"/>
    <mergeCell ref="I249:J249"/>
    <mergeCell ref="C32:D32"/>
    <mergeCell ref="B132:K132"/>
    <mergeCell ref="B119:K119"/>
    <mergeCell ref="E134:F134"/>
    <mergeCell ref="C243:D243"/>
    <mergeCell ref="C101:D101"/>
    <mergeCell ref="E98:F98"/>
    <mergeCell ref="I154:J154"/>
    <mergeCell ref="C246:D246"/>
    <mergeCell ref="C221:D221"/>
    <mergeCell ref="C25:D25"/>
    <mergeCell ref="C196:D196"/>
    <mergeCell ref="G93:H93"/>
    <mergeCell ref="I22:J22"/>
    <mergeCell ref="I93:J93"/>
    <mergeCell ref="C236:D236"/>
    <mergeCell ref="C223:D223"/>
    <mergeCell ref="C198:D198"/>
    <mergeCell ref="I118:J118"/>
    <mergeCell ref="G45:H45"/>
    <mergeCell ref="A254:K254"/>
    <mergeCell ref="B11:K11"/>
    <mergeCell ref="E218:F218"/>
    <mergeCell ref="C13:D13"/>
    <mergeCell ref="G46:H46"/>
    <mergeCell ref="C78:D78"/>
  </mergeCells>
  <dataValidations count="2">
    <dataValidation sqref="F5" showDropDown="0" showInputMessage="0" showErrorMessage="0" allowBlank="1" type="list">
      <formula1>=LISTA_MEDICOES</formula1>
    </dataValidation>
    <dataValidation sqref="C5" showDropDown="0" showInputMessage="0" showErrorMessage="0" allowBlank="1" errorTitle="NOTA invalida" error="Informe um numero de NOTA valido (numero inteiro &gt; 0)." type="whole" operator="greaterThan">
      <formula1>0</formula1>
    </dataValidation>
  </dataValidations>
  <pageMargins left="0.4" right="0.4" top="0.5" bottom="0.5" header="0.2" footer="0.2"/>
  <pageSetup orientation="portrait" paperSize="9" fitToHeight="0" fitToWidth="1"/>
</worksheet>
</file>

<file path=xl/worksheets/sheet6.xml><?xml version="1.0" encoding="utf-8"?>
<worksheet xmlns="http://schemas.openxmlformats.org/spreadsheetml/2006/main">
  <sheetPr>
    <tabColor rgb="00777777"/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55" customWidth="1" min="4" max="4"/>
    <col width="12" customWidth="1" min="5" max="5"/>
    <col width="55" customWidth="1" min="6" max="6"/>
    <col width="10" customWidth="1" min="7" max="7"/>
    <col width="55" customWidth="1" min="8" max="8"/>
    <col width="14" customWidth="1" min="9" max="9"/>
    <col width="16" customWidth="1" min="10" max="10"/>
  </cols>
  <sheetData>
    <row r="1" ht="22" customHeight="1">
      <c r="A1" s="1" t="inlineStr">
        <is>
          <t>CONFIGURACOES / LISTAS AUXILIARES</t>
        </is>
      </c>
    </row>
    <row r="2">
      <c r="A2" s="24" t="inlineStr">
        <is>
          <t>Dados de apoio ao sistema: unidades, status, dados da empresa e catalogo de itens. O catalogo alimenta o preenchimento automatico no CADASTRO e no HISTORICO.</t>
        </is>
      </c>
    </row>
    <row r="4">
      <c r="B4" s="71" t="inlineStr">
        <is>
          <t>DADOS PADRAO DA EMPRESA / CONTRATO</t>
        </is>
      </c>
    </row>
    <row r="5">
      <c r="B5" s="26" t="inlineStr">
        <is>
          <t>EMPRESA:</t>
        </is>
      </c>
      <c r="C5" s="72" t="inlineStr">
        <is>
          <t>ENGECOM</t>
        </is>
      </c>
    </row>
    <row r="6">
      <c r="B6" s="26" t="inlineStr">
        <is>
          <t>CONTRATO Nº:</t>
        </is>
      </c>
      <c r="C6" s="72" t="inlineStr">
        <is>
          <t>4600185906</t>
        </is>
      </c>
    </row>
    <row r="7">
      <c r="B7" s="26" t="inlineStr">
        <is>
          <t>TITULO DO RELATORIO:</t>
        </is>
      </c>
      <c r="C7" s="72" t="inlineStr">
        <is>
          <t>MEMORIA DE QUANTIDADES - MANUTENCAO CIVIL</t>
        </is>
      </c>
    </row>
    <row r="9">
      <c r="B9" s="71" t="inlineStr">
        <is>
          <t>UNIDADES</t>
        </is>
      </c>
      <c r="D9" s="71" t="inlineStr">
        <is>
          <t>STATUS DA MEDICAO</t>
        </is>
      </c>
      <c r="G9" s="71" t="inlineStr">
        <is>
          <t>MEDICOES (1 a 24)</t>
        </is>
      </c>
    </row>
    <row r="10">
      <c r="B10" s="20" t="inlineStr">
        <is>
          <t>UN</t>
        </is>
      </c>
      <c r="D10" s="20" t="inlineStr">
        <is>
          <t>Pendente</t>
        </is>
      </c>
      <c r="G10" s="20" t="n">
        <v>1</v>
      </c>
    </row>
    <row r="11">
      <c r="B11" s="20" t="inlineStr">
        <is>
          <t>L</t>
        </is>
      </c>
      <c r="D11" s="20" t="inlineStr">
        <is>
          <t>Aprovado</t>
        </is>
      </c>
      <c r="G11" s="20" t="n">
        <v>2</v>
      </c>
    </row>
    <row r="12">
      <c r="B12" s="20" t="inlineStr">
        <is>
          <t>M</t>
        </is>
      </c>
      <c r="D12" s="20" t="inlineStr">
        <is>
          <t>Reprovado / Nao conforme</t>
        </is>
      </c>
      <c r="G12" s="20" t="n">
        <v>3</v>
      </c>
    </row>
    <row r="13">
      <c r="B13" s="20" t="inlineStr">
        <is>
          <t>M2</t>
        </is>
      </c>
      <c r="G13" s="20" t="n">
        <v>4</v>
      </c>
    </row>
    <row r="14">
      <c r="B14" s="20" t="inlineStr">
        <is>
          <t>M3</t>
        </is>
      </c>
      <c r="G14" s="20" t="n">
        <v>5</v>
      </c>
    </row>
    <row r="15">
      <c r="B15" s="20" t="inlineStr">
        <is>
          <t>KG</t>
        </is>
      </c>
      <c r="G15" s="20" t="n">
        <v>6</v>
      </c>
    </row>
    <row r="16">
      <c r="B16" s="20" t="inlineStr">
        <is>
          <t>OUTROS</t>
        </is>
      </c>
      <c r="G16" s="20" t="n">
        <v>7</v>
      </c>
    </row>
    <row r="17">
      <c r="G17" s="20" t="n">
        <v>8</v>
      </c>
    </row>
    <row r="18">
      <c r="G18" s="20" t="n">
        <v>9</v>
      </c>
    </row>
    <row r="19">
      <c r="G19" s="20" t="n">
        <v>10</v>
      </c>
    </row>
    <row r="20">
      <c r="G20" s="20" t="n">
        <v>11</v>
      </c>
    </row>
    <row r="21">
      <c r="G21" s="20" t="n">
        <v>12</v>
      </c>
    </row>
    <row r="22">
      <c r="G22" s="20" t="n">
        <v>13</v>
      </c>
    </row>
    <row r="23">
      <c r="G23" s="20" t="n">
        <v>14</v>
      </c>
    </row>
    <row r="24">
      <c r="G24" s="20" t="n">
        <v>15</v>
      </c>
    </row>
    <row r="25">
      <c r="G25" s="20" t="n">
        <v>16</v>
      </c>
    </row>
    <row r="26">
      <c r="G26" s="20" t="n">
        <v>17</v>
      </c>
    </row>
    <row r="27">
      <c r="G27" s="20" t="n">
        <v>18</v>
      </c>
    </row>
    <row r="28">
      <c r="G28" s="20" t="n">
        <v>19</v>
      </c>
    </row>
    <row r="29">
      <c r="G29" s="20" t="n">
        <v>20</v>
      </c>
    </row>
    <row r="30">
      <c r="G30" s="20" t="n">
        <v>21</v>
      </c>
    </row>
    <row r="31">
      <c r="G31" s="20" t="n">
        <v>22</v>
      </c>
    </row>
    <row r="32">
      <c r="G32" s="20" t="n">
        <v>23</v>
      </c>
    </row>
    <row r="33">
      <c r="G33" s="20" t="n">
        <v>24</v>
      </c>
    </row>
    <row r="35">
      <c r="B35" s="71" t="inlineStr">
        <is>
          <t>CATALOGO DE ITENS (CADASTRO BASE) - alimenta o preenchimento automatico</t>
        </is>
      </c>
    </row>
    <row r="36">
      <c r="B36" s="73" t="inlineStr">
        <is>
          <t>ITEM</t>
        </is>
      </c>
      <c r="C36" s="73" t="inlineStr">
        <is>
          <t>NIVEL 1 (COD)</t>
        </is>
      </c>
      <c r="D36" s="73" t="inlineStr">
        <is>
          <t>NIVEL 1 (TEXTO)</t>
        </is>
      </c>
      <c r="E36" s="73" t="inlineStr">
        <is>
          <t>NIVEL 2 (COD)</t>
        </is>
      </c>
      <c r="F36" s="73" t="inlineStr">
        <is>
          <t>NIVEL 2 (TEXTO)</t>
        </is>
      </c>
      <c r="G36" s="73" t="inlineStr">
        <is>
          <t>LINHA</t>
        </is>
      </c>
      <c r="H36" s="73" t="inlineStr">
        <is>
          <t>ATIVIDADE</t>
        </is>
      </c>
      <c r="I36" s="73" t="inlineStr">
        <is>
          <t>UND.</t>
        </is>
      </c>
      <c r="J36" s="73" t="inlineStr">
        <is>
          <t>PRECO UNITARIO</t>
        </is>
      </c>
    </row>
    <row r="37">
      <c r="B37" s="74" t="inlineStr">
        <is>
          <t>19.12.4</t>
        </is>
      </c>
      <c r="C37" s="74" t="inlineStr">
        <is>
          <t>19</t>
        </is>
      </c>
      <c r="D37" s="75" t="inlineStr">
        <is>
          <t>DEMOLICOES / CORTES:</t>
        </is>
      </c>
      <c r="E37" s="74" t="inlineStr">
        <is>
          <t>19.12</t>
        </is>
      </c>
      <c r="F37" s="75" t="inlineStr">
        <is>
          <t>Cortes em Concreto</t>
        </is>
      </c>
      <c r="G37" s="74" t="n">
        <v>2950</v>
      </c>
      <c r="H37" s="75" t="inlineStr">
        <is>
          <t>Rastreamento com aparelho de sondagem Radio detection, fornecido pela USIMINAS, por eletricista e ajudante</t>
        </is>
      </c>
      <c r="I37" s="74" t="inlineStr">
        <is>
          <t>H</t>
        </is>
      </c>
      <c r="J37" s="76" t="n">
        <v>181.18</v>
      </c>
    </row>
    <row r="38">
      <c r="B38" s="74" t="inlineStr">
        <is>
          <t>19.1.2</t>
        </is>
      </c>
      <c r="C38" s="74" t="inlineStr">
        <is>
          <t>19</t>
        </is>
      </c>
      <c r="D38" s="75" t="inlineStr">
        <is>
          <t>DEMOLICOES / CORTES:</t>
        </is>
      </c>
      <c r="E38" s="74" t="inlineStr">
        <is>
          <t>19.1</t>
        </is>
      </c>
      <c r="F38" s="75" t="inlineStr">
        <is>
          <t>Concreto simples:</t>
        </is>
      </c>
      <c r="G38" s="74" t="n">
        <v>2690</v>
      </c>
      <c r="H38" s="75" t="inlineStr">
        <is>
          <t>Mecanica com martelete</t>
        </is>
      </c>
      <c r="I38" s="74" t="inlineStr">
        <is>
          <t>M3</t>
        </is>
      </c>
      <c r="J38" s="76" t="n">
        <v>960.634921</v>
      </c>
    </row>
    <row r="39">
      <c r="B39" s="74" t="inlineStr">
        <is>
          <t>3.1.1</t>
        </is>
      </c>
      <c r="C39" s="74" t="inlineStr">
        <is>
          <t>3</t>
        </is>
      </c>
      <c r="D39" s="75" t="inlineStr">
        <is>
          <t>FORMAS:</t>
        </is>
      </c>
      <c r="E39" s="74" t="inlineStr">
        <is>
          <t>3.1</t>
        </is>
      </c>
      <c r="F39" s="75" t="inlineStr">
        <is>
          <t>Confeccao e assentamento de formas de madeira, inclusive escoramento e desforma, com fornecimento de material pela Contratada:</t>
        </is>
      </c>
      <c r="G39" s="74" t="n">
        <v>300</v>
      </c>
      <c r="H39" s="75" t="inlineStr">
        <is>
          <t>Tabuas de pinho</t>
        </is>
      </c>
      <c r="I39" s="74" t="inlineStr">
        <is>
          <t>M2</t>
        </is>
      </c>
      <c r="J39" s="76" t="n">
        <v>574.209354</v>
      </c>
    </row>
    <row r="40">
      <c r="B40" s="74" t="inlineStr">
        <is>
          <t>4.1.4</t>
        </is>
      </c>
      <c r="C40" s="74" t="inlineStr">
        <is>
          <t>4</t>
        </is>
      </c>
      <c r="D40" s="75" t="inlineStr">
        <is>
          <t>FERRAGEM:</t>
        </is>
      </c>
      <c r="E40" s="74" t="inlineStr">
        <is>
          <t>4.1</t>
        </is>
      </c>
      <c r="F40" s="75" t="inlineStr">
        <is>
          <t>Fornecimento, estira, corte, dobra e colocacao de armacoes de aco tipo 25/50/60 em estruturas de concreto armado nos seguintes diametros:</t>
        </is>
      </c>
      <c r="G40" s="74" t="n">
        <v>380</v>
      </c>
      <c r="H40" s="75" t="inlineStr">
        <is>
          <t>Tela soldada (Tela de aco ou Malha de aco soldada nervurada com espacamento a ser definido conforme projeto - Tipo "Gerdau" ou similar)</t>
        </is>
      </c>
      <c r="I40" s="74" t="inlineStr">
        <is>
          <t>Kg</t>
        </is>
      </c>
      <c r="J40" s="76" t="n">
        <v>60.29601</v>
      </c>
    </row>
    <row r="41">
      <c r="B41" s="74" t="inlineStr">
        <is>
          <t>6.3</t>
        </is>
      </c>
      <c r="C41" s="74" t="inlineStr">
        <is>
          <t>6</t>
        </is>
      </c>
      <c r="D41" s="75" t="inlineStr">
        <is>
          <t>GRAUTES:</t>
        </is>
      </c>
      <c r="E41" s="74" t="inlineStr"/>
      <c r="F41" s="75" t="inlineStr"/>
      <c r="G41" s="74" t="n">
        <v>5450</v>
      </c>
      <c r="H41" s="75" t="inlineStr">
        <is>
          <t>Preparo, transporte e lancamento de graute com resistencia final de ate 40 Mpa, Marca ENGEGROUT 500, ou equivalente fornecimento Contratada:</t>
        </is>
      </c>
      <c r="I41" s="74" t="inlineStr">
        <is>
          <t>m3</t>
        </is>
      </c>
      <c r="J41" s="76" t="n">
        <v>21246.666667</v>
      </c>
    </row>
    <row r="42">
      <c r="B42" s="74" t="inlineStr">
        <is>
          <t>7.1</t>
        </is>
      </c>
      <c r="C42" s="74" t="inlineStr">
        <is>
          <t>7</t>
        </is>
      </c>
      <c r="D42" s="75" t="inlineStr">
        <is>
          <t>ADESIVOS PARA CONCRETO:</t>
        </is>
      </c>
      <c r="E42" s="74" t="inlineStr"/>
      <c r="F42" s="75" t="inlineStr"/>
      <c r="G42" s="74" t="n">
        <v>670</v>
      </c>
      <c r="H42" s="75" t="inlineStr">
        <is>
          <t>Fornecimento e aplicacao de adesivos para concreto (Tipo Sikadur 31/32 Compound Adesivo e similares)</t>
        </is>
      </c>
      <c r="I42" s="74" t="inlineStr">
        <is>
          <t>Kg</t>
        </is>
      </c>
      <c r="J42" s="76" t="n">
        <v>851.95</v>
      </c>
    </row>
    <row r="44">
      <c r="B44" s="77" t="inlineStr">
        <is>
          <t>DADOS DE TESTE: catalogo e lancamentos de exemplo (aba HISTORICO) foram extraidos do PDF de referencia ENG003341 (NOTA 29655103) apenas para validar o sistema. Substitua/edite livremente.</t>
        </is>
      </c>
    </row>
  </sheetData>
  <mergeCells count="8">
    <mergeCell ref="A1:J1"/>
    <mergeCell ref="B4:E4"/>
    <mergeCell ref="C5:E5"/>
    <mergeCell ref="B35:J35"/>
    <mergeCell ref="A2:J2"/>
    <mergeCell ref="C7:E7"/>
    <mergeCell ref="B44:J44"/>
    <mergeCell ref="C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AAAAA"/>
    <outlinePr summaryBelow="1" summaryRight="1"/>
    <pageSetUpPr/>
  </sheetPr>
  <dimension ref="A1:A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POS</t>
        </is>
      </c>
      <c r="C1" t="inlineStr">
        <is>
          <t>NOTA</t>
        </is>
      </c>
      <c r="D1" t="inlineStr">
        <is>
          <t>MED</t>
        </is>
      </c>
      <c r="E1" t="inlineStr">
        <is>
          <t>FISCAL</t>
        </is>
      </c>
      <c r="F1" t="inlineStr">
        <is>
          <t>CT</t>
        </is>
      </c>
      <c r="G1" t="inlineStr">
        <is>
          <t>OBRA</t>
        </is>
      </c>
      <c r="H1" t="inlineStr">
        <is>
          <t>SUPER</t>
        </is>
      </c>
      <c r="I1" t="inlineStr">
        <is>
          <t>ELAB</t>
        </is>
      </c>
      <c r="J1" t="inlineStr">
        <is>
          <t>TMED</t>
        </is>
      </c>
      <c r="K1" t="inlineStr">
        <is>
          <t>DATA</t>
        </is>
      </c>
      <c r="L1" t="inlineStr">
        <is>
          <t>ITEM</t>
        </is>
      </c>
      <c r="M1" t="inlineStr">
        <is>
          <t>LINHA</t>
        </is>
      </c>
      <c r="N1" t="inlineStr">
        <is>
          <t>ATIVIDADE</t>
        </is>
      </c>
      <c r="O1" t="inlineStr">
        <is>
          <t>DESCRICAO</t>
        </is>
      </c>
      <c r="P1" t="inlineStr">
        <is>
          <t>UND</t>
        </is>
      </c>
      <c r="Q1" t="inlineStr">
        <is>
          <t>QTD</t>
        </is>
      </c>
      <c r="R1" t="inlineStr">
        <is>
          <t>X</t>
        </is>
      </c>
      <c r="S1" t="inlineStr">
        <is>
          <t>Y</t>
        </is>
      </c>
      <c r="T1" t="inlineStr">
        <is>
          <t>Z</t>
        </is>
      </c>
      <c r="U1" t="inlineStr">
        <is>
          <t>RESULTADO</t>
        </is>
      </c>
      <c r="V1" t="inlineStr">
        <is>
          <t>PU</t>
        </is>
      </c>
      <c r="W1" t="inlineStr">
        <is>
          <t>VALOR</t>
        </is>
      </c>
      <c r="X1" t="inlineStr">
        <is>
          <t>CHAVE_GRUPO</t>
        </is>
      </c>
      <c r="Y1" t="inlineStr">
        <is>
          <t>N1C</t>
        </is>
      </c>
      <c r="Z1" t="inlineStr">
        <is>
          <t>N1T</t>
        </is>
      </c>
      <c r="AA1" t="inlineStr">
        <is>
          <t>N2C</t>
        </is>
      </c>
      <c r="AB1" t="inlineStr">
        <is>
          <t>N2T</t>
        </is>
      </c>
      <c r="AC1" t="inlineStr">
        <is>
          <t>BLOCO</t>
        </is>
      </c>
      <c r="AD1" t="inlineStr">
        <is>
          <t>FORMA_IDX</t>
        </is>
      </c>
      <c r="AE1" t="inlineStr">
        <is>
          <t>KEY</t>
        </is>
      </c>
      <c r="AF1" t="inlineStr">
        <is>
          <t>GRUPO_RESULTADO</t>
        </is>
      </c>
      <c r="AG1" t="inlineStr">
        <is>
          <t>GRUPO_VALOR</t>
        </is>
      </c>
    </row>
    <row r="2">
      <c r="A2" t="n">
        <v>1</v>
      </c>
      <c r="B2">
        <f>IFERROR(MATCH($A2,HISTORICO!$Y$3:$Y$2002,0),"")</f>
        <v/>
      </c>
      <c r="C2">
        <f>IF($B2="","",INDEX(HISTORICO!$A$3:$A$2002,$B2))</f>
        <v/>
      </c>
      <c r="D2">
        <f>IF($B2="","",INDEX(HISTORICO!$C$3:$C$2002,$B2))</f>
        <v/>
      </c>
      <c r="E2">
        <f>IF($B2="","",INDEX(HISTORICO!$F$3:$F$2002,$B2))</f>
        <v/>
      </c>
      <c r="F2">
        <f>IF($B2="","",INDEX(HISTORICO!$G$3:$G$2002,$B2))</f>
        <v/>
      </c>
      <c r="G2">
        <f>IF($B2="","",INDEX(HISTORICO!$E$3:$E$2002,$B2))</f>
        <v/>
      </c>
      <c r="H2">
        <f>IF($B2="","",INDEX(HISTORICO!$H$3:$H$2002,$B2))</f>
        <v/>
      </c>
      <c r="I2">
        <f>IF($B2="","",INDEX(HISTORICO!$D$3:$D$2002,$B2))</f>
        <v/>
      </c>
      <c r="J2">
        <f>IF($B2="","",INDEX(HISTORICO!$B$3:$B$2002,$B2))</f>
        <v/>
      </c>
      <c r="K2">
        <f>IF($B2="","",INDEX(HISTORICO!$U$3:$U$2002,$B2))</f>
        <v/>
      </c>
      <c r="L2">
        <f>IF($B2="","",INDEX(HISTORICO!$I$3:$I$2002,$B2))</f>
        <v/>
      </c>
      <c r="M2">
        <f>IF($B2="","",INDEX(HISTORICO!$J$3:$J$2002,$B2))</f>
        <v/>
      </c>
      <c r="N2">
        <f>IF($B2="","",INDEX(HISTORICO!$K$3:$K$2002,$B2))</f>
        <v/>
      </c>
      <c r="O2">
        <f>IF($B2="","",INDEX(HISTORICO!$L$3:$L$2002,$B2))</f>
        <v/>
      </c>
      <c r="P2">
        <f>IF($B2="","",INDEX(HISTORICO!$M$3:$M$2002,$B2))</f>
        <v/>
      </c>
      <c r="Q2">
        <f>IF($B2="","",INDEX(HISTORICO!$N$3:$N$2002,$B2))</f>
        <v/>
      </c>
      <c r="R2">
        <f>IF($B2="","",INDEX(HISTORICO!$Q$3:$Q$2002,$B2))</f>
        <v/>
      </c>
      <c r="S2">
        <f>IF($B2="","",INDEX(HISTORICO!$P$3:$P$2002,$B2))</f>
        <v/>
      </c>
      <c r="T2">
        <f>IF($B2="","",INDEX(HISTORICO!$O$3:$O$2002,$B2))</f>
        <v/>
      </c>
      <c r="U2">
        <f>IF($B2="","",INDEX(HISTORICO!$R$3:$R$2002,$B2))</f>
        <v/>
      </c>
      <c r="V2">
        <f>IF($B2="","",INDEX(HISTORICO!$S$3:$S$2002,$B2))</f>
        <v/>
      </c>
      <c r="W2">
        <f>IF($B2="","",INDEX(HISTORICO!$T$3:$T$2002,$B2))</f>
        <v/>
      </c>
      <c r="X2">
        <f>IF($B2="","",INDEX(HISTORICO!$X$3:$X$2002,$B2))</f>
        <v/>
      </c>
      <c r="Y2">
        <f>IF($L2="","",IFERROR(INDEX(CONFIGURACOES!$C$37:$C$300,MATCH($L2,CONFIGURACOES!$B$37:$B$300,0)),""))</f>
        <v/>
      </c>
      <c r="Z2">
        <f>IF($L2="","",IFERROR(INDEX(CONFIGURACOES!$D$37:$D$300,MATCH($L2,CONFIGURACOES!$B$37:$B$300,0)),""))</f>
        <v/>
      </c>
      <c r="AA2">
        <f>IF($L2="","",IFERROR(INDEX(CONFIGURACOES!$E$37:$E$300,MATCH($L2,CONFIGURACOES!$B$37:$B$300,0)),""))</f>
        <v/>
      </c>
      <c r="AB2">
        <f>IF($L2="","",IFERROR(INDEX(CONFIGURACOES!$F$37:$F$300,MATCH($L2,CONFIGURACOES!$B$37:$B$300,0)),""))</f>
        <v/>
      </c>
      <c r="AC2">
        <f>IF($L2="","",1)</f>
        <v/>
      </c>
      <c r="AD2">
        <f>IF($L2="","",1)</f>
        <v/>
      </c>
      <c r="AE2">
        <f>IF($L2="","",$AC2*10+$AD2)</f>
        <v/>
      </c>
      <c r="AF2">
        <f>IF($L2="","",SUMIF($X$2:$X$151,$X2,$U$2:$U$151))</f>
        <v/>
      </c>
      <c r="AG2">
        <f>IF($L2="","",SUMIF($X$2:$X$151,$X2,$W$2:$W$151))</f>
        <v/>
      </c>
    </row>
    <row r="3">
      <c r="A3" t="n">
        <v>2</v>
      </c>
      <c r="B3">
        <f>IFERROR(MATCH($A3,HISTORICO!$Y$3:$Y$2002,0),"")</f>
        <v/>
      </c>
      <c r="C3">
        <f>IF($B3="","",INDEX(HISTORICO!$A$3:$A$2002,$B3))</f>
        <v/>
      </c>
      <c r="D3">
        <f>IF($B3="","",INDEX(HISTORICO!$C$3:$C$2002,$B3))</f>
        <v/>
      </c>
      <c r="E3">
        <f>IF($B3="","",INDEX(HISTORICO!$F$3:$F$2002,$B3))</f>
        <v/>
      </c>
      <c r="F3">
        <f>IF($B3="","",INDEX(HISTORICO!$G$3:$G$2002,$B3))</f>
        <v/>
      </c>
      <c r="G3">
        <f>IF($B3="","",INDEX(HISTORICO!$E$3:$E$2002,$B3))</f>
        <v/>
      </c>
      <c r="H3">
        <f>IF($B3="","",INDEX(HISTORICO!$H$3:$H$2002,$B3))</f>
        <v/>
      </c>
      <c r="I3">
        <f>IF($B3="","",INDEX(HISTORICO!$D$3:$D$2002,$B3))</f>
        <v/>
      </c>
      <c r="J3">
        <f>IF($B3="","",INDEX(HISTORICO!$B$3:$B$2002,$B3))</f>
        <v/>
      </c>
      <c r="K3">
        <f>IF($B3="","",INDEX(HISTORICO!$U$3:$U$2002,$B3))</f>
        <v/>
      </c>
      <c r="L3">
        <f>IF($B3="","",INDEX(HISTORICO!$I$3:$I$2002,$B3))</f>
        <v/>
      </c>
      <c r="M3">
        <f>IF($B3="","",INDEX(HISTORICO!$J$3:$J$2002,$B3))</f>
        <v/>
      </c>
      <c r="N3">
        <f>IF($B3="","",INDEX(HISTORICO!$K$3:$K$2002,$B3))</f>
        <v/>
      </c>
      <c r="O3">
        <f>IF($B3="","",INDEX(HISTORICO!$L$3:$L$2002,$B3))</f>
        <v/>
      </c>
      <c r="P3">
        <f>IF($B3="","",INDEX(HISTORICO!$M$3:$M$2002,$B3))</f>
        <v/>
      </c>
      <c r="Q3">
        <f>IF($B3="","",INDEX(HISTORICO!$N$3:$N$2002,$B3))</f>
        <v/>
      </c>
      <c r="R3">
        <f>IF($B3="","",INDEX(HISTORICO!$Q$3:$Q$2002,$B3))</f>
        <v/>
      </c>
      <c r="S3">
        <f>IF($B3="","",INDEX(HISTORICO!$P$3:$P$2002,$B3))</f>
        <v/>
      </c>
      <c r="T3">
        <f>IF($B3="","",INDEX(HISTORICO!$O$3:$O$2002,$B3))</f>
        <v/>
      </c>
      <c r="U3">
        <f>IF($B3="","",INDEX(HISTORICO!$R$3:$R$2002,$B3))</f>
        <v/>
      </c>
      <c r="V3">
        <f>IF($B3="","",INDEX(HISTORICO!$S$3:$S$2002,$B3))</f>
        <v/>
      </c>
      <c r="W3">
        <f>IF($B3="","",INDEX(HISTORICO!$T$3:$T$2002,$B3))</f>
        <v/>
      </c>
      <c r="X3">
        <f>IF($B3="","",INDEX(HISTORICO!$X$3:$X$2002,$B3))</f>
        <v/>
      </c>
      <c r="Y3">
        <f>IF($L3="","",IFERROR(INDEX(CONFIGURACOES!$C$37:$C$300,MATCH($L3,CONFIGURACOES!$B$37:$B$300,0)),""))</f>
        <v/>
      </c>
      <c r="Z3">
        <f>IF($L3="","",IFERROR(INDEX(CONFIGURACOES!$D$37:$D$300,MATCH($L3,CONFIGURACOES!$B$37:$B$300,0)),""))</f>
        <v/>
      </c>
      <c r="AA3">
        <f>IF($L3="","",IFERROR(INDEX(CONFIGURACOES!$E$37:$E$300,MATCH($L3,CONFIGURACOES!$B$37:$B$300,0)),""))</f>
        <v/>
      </c>
      <c r="AB3">
        <f>IF($L3="","",IFERROR(INDEX(CONFIGURACOES!$F$37:$F$300,MATCH($L3,CONFIGURACOES!$B$37:$B$300,0)),""))</f>
        <v/>
      </c>
      <c r="AC3">
        <f>IF($L3="","",IF($X3&lt;&gt;$X2,$AC2+1,$AC2))</f>
        <v/>
      </c>
      <c r="AD3">
        <f>IF($L3="","",IF($X3&lt;&gt;$X2,1,$AD2+1))</f>
        <v/>
      </c>
      <c r="AE3">
        <f>IF($L3="","",$AC3*10+$AD3)</f>
        <v/>
      </c>
      <c r="AF3">
        <f>IF($L3="","",SUMIF($X$2:$X$151,$X3,$U$2:$U$151))</f>
        <v/>
      </c>
      <c r="AG3">
        <f>IF($L3="","",SUMIF($X$2:$X$151,$X3,$W$2:$W$151))</f>
        <v/>
      </c>
    </row>
    <row r="4">
      <c r="A4" t="n">
        <v>3</v>
      </c>
      <c r="B4">
        <f>IFERROR(MATCH($A4,HISTORICO!$Y$3:$Y$2002,0),"")</f>
        <v/>
      </c>
      <c r="C4">
        <f>IF($B4="","",INDEX(HISTORICO!$A$3:$A$2002,$B4))</f>
        <v/>
      </c>
      <c r="D4">
        <f>IF($B4="","",INDEX(HISTORICO!$C$3:$C$2002,$B4))</f>
        <v/>
      </c>
      <c r="E4">
        <f>IF($B4="","",INDEX(HISTORICO!$F$3:$F$2002,$B4))</f>
        <v/>
      </c>
      <c r="F4">
        <f>IF($B4="","",INDEX(HISTORICO!$G$3:$G$2002,$B4))</f>
        <v/>
      </c>
      <c r="G4">
        <f>IF($B4="","",INDEX(HISTORICO!$E$3:$E$2002,$B4))</f>
        <v/>
      </c>
      <c r="H4">
        <f>IF($B4="","",INDEX(HISTORICO!$H$3:$H$2002,$B4))</f>
        <v/>
      </c>
      <c r="I4">
        <f>IF($B4="","",INDEX(HISTORICO!$D$3:$D$2002,$B4))</f>
        <v/>
      </c>
      <c r="J4">
        <f>IF($B4="","",INDEX(HISTORICO!$B$3:$B$2002,$B4))</f>
        <v/>
      </c>
      <c r="K4">
        <f>IF($B4="","",INDEX(HISTORICO!$U$3:$U$2002,$B4))</f>
        <v/>
      </c>
      <c r="L4">
        <f>IF($B4="","",INDEX(HISTORICO!$I$3:$I$2002,$B4))</f>
        <v/>
      </c>
      <c r="M4">
        <f>IF($B4="","",INDEX(HISTORICO!$J$3:$J$2002,$B4))</f>
        <v/>
      </c>
      <c r="N4">
        <f>IF($B4="","",INDEX(HISTORICO!$K$3:$K$2002,$B4))</f>
        <v/>
      </c>
      <c r="O4">
        <f>IF($B4="","",INDEX(HISTORICO!$L$3:$L$2002,$B4))</f>
        <v/>
      </c>
      <c r="P4">
        <f>IF($B4="","",INDEX(HISTORICO!$M$3:$M$2002,$B4))</f>
        <v/>
      </c>
      <c r="Q4">
        <f>IF($B4="","",INDEX(HISTORICO!$N$3:$N$2002,$B4))</f>
        <v/>
      </c>
      <c r="R4">
        <f>IF($B4="","",INDEX(HISTORICO!$Q$3:$Q$2002,$B4))</f>
        <v/>
      </c>
      <c r="S4">
        <f>IF($B4="","",INDEX(HISTORICO!$P$3:$P$2002,$B4))</f>
        <v/>
      </c>
      <c r="T4">
        <f>IF($B4="","",INDEX(HISTORICO!$O$3:$O$2002,$B4))</f>
        <v/>
      </c>
      <c r="U4">
        <f>IF($B4="","",INDEX(HISTORICO!$R$3:$R$2002,$B4))</f>
        <v/>
      </c>
      <c r="V4">
        <f>IF($B4="","",INDEX(HISTORICO!$S$3:$S$2002,$B4))</f>
        <v/>
      </c>
      <c r="W4">
        <f>IF($B4="","",INDEX(HISTORICO!$T$3:$T$2002,$B4))</f>
        <v/>
      </c>
      <c r="X4">
        <f>IF($B4="","",INDEX(HISTORICO!$X$3:$X$2002,$B4))</f>
        <v/>
      </c>
      <c r="Y4">
        <f>IF($L4="","",IFERROR(INDEX(CONFIGURACOES!$C$37:$C$300,MATCH($L4,CONFIGURACOES!$B$37:$B$300,0)),""))</f>
        <v/>
      </c>
      <c r="Z4">
        <f>IF($L4="","",IFERROR(INDEX(CONFIGURACOES!$D$37:$D$300,MATCH($L4,CONFIGURACOES!$B$37:$B$300,0)),""))</f>
        <v/>
      </c>
      <c r="AA4">
        <f>IF($L4="","",IFERROR(INDEX(CONFIGURACOES!$E$37:$E$300,MATCH($L4,CONFIGURACOES!$B$37:$B$300,0)),""))</f>
        <v/>
      </c>
      <c r="AB4">
        <f>IF($L4="","",IFERROR(INDEX(CONFIGURACOES!$F$37:$F$300,MATCH($L4,CONFIGURACOES!$B$37:$B$300,0)),""))</f>
        <v/>
      </c>
      <c r="AC4">
        <f>IF($L4="","",IF($X4&lt;&gt;$X3,$AC3+1,$AC3))</f>
        <v/>
      </c>
      <c r="AD4">
        <f>IF($L4="","",IF($X4&lt;&gt;$X3,1,$AD3+1))</f>
        <v/>
      </c>
      <c r="AE4">
        <f>IF($L4="","",$AC4*10+$AD4)</f>
        <v/>
      </c>
      <c r="AF4">
        <f>IF($L4="","",SUMIF($X$2:$X$151,$X4,$U$2:$U$151))</f>
        <v/>
      </c>
      <c r="AG4">
        <f>IF($L4="","",SUMIF($X$2:$X$151,$X4,$W$2:$W$151))</f>
        <v/>
      </c>
    </row>
    <row r="5">
      <c r="A5" t="n">
        <v>4</v>
      </c>
      <c r="B5">
        <f>IFERROR(MATCH($A5,HISTORICO!$Y$3:$Y$2002,0),"")</f>
        <v/>
      </c>
      <c r="C5">
        <f>IF($B5="","",INDEX(HISTORICO!$A$3:$A$2002,$B5))</f>
        <v/>
      </c>
      <c r="D5">
        <f>IF($B5="","",INDEX(HISTORICO!$C$3:$C$2002,$B5))</f>
        <v/>
      </c>
      <c r="E5">
        <f>IF($B5="","",INDEX(HISTORICO!$F$3:$F$2002,$B5))</f>
        <v/>
      </c>
      <c r="F5">
        <f>IF($B5="","",INDEX(HISTORICO!$G$3:$G$2002,$B5))</f>
        <v/>
      </c>
      <c r="G5">
        <f>IF($B5="","",INDEX(HISTORICO!$E$3:$E$2002,$B5))</f>
        <v/>
      </c>
      <c r="H5">
        <f>IF($B5="","",INDEX(HISTORICO!$H$3:$H$2002,$B5))</f>
        <v/>
      </c>
      <c r="I5">
        <f>IF($B5="","",INDEX(HISTORICO!$D$3:$D$2002,$B5))</f>
        <v/>
      </c>
      <c r="J5">
        <f>IF($B5="","",INDEX(HISTORICO!$B$3:$B$2002,$B5))</f>
        <v/>
      </c>
      <c r="K5">
        <f>IF($B5="","",INDEX(HISTORICO!$U$3:$U$2002,$B5))</f>
        <v/>
      </c>
      <c r="L5">
        <f>IF($B5="","",INDEX(HISTORICO!$I$3:$I$2002,$B5))</f>
        <v/>
      </c>
      <c r="M5">
        <f>IF($B5="","",INDEX(HISTORICO!$J$3:$J$2002,$B5))</f>
        <v/>
      </c>
      <c r="N5">
        <f>IF($B5="","",INDEX(HISTORICO!$K$3:$K$2002,$B5))</f>
        <v/>
      </c>
      <c r="O5">
        <f>IF($B5="","",INDEX(HISTORICO!$L$3:$L$2002,$B5))</f>
        <v/>
      </c>
      <c r="P5">
        <f>IF($B5="","",INDEX(HISTORICO!$M$3:$M$2002,$B5))</f>
        <v/>
      </c>
      <c r="Q5">
        <f>IF($B5="","",INDEX(HISTORICO!$N$3:$N$2002,$B5))</f>
        <v/>
      </c>
      <c r="R5">
        <f>IF($B5="","",INDEX(HISTORICO!$Q$3:$Q$2002,$B5))</f>
        <v/>
      </c>
      <c r="S5">
        <f>IF($B5="","",INDEX(HISTORICO!$P$3:$P$2002,$B5))</f>
        <v/>
      </c>
      <c r="T5">
        <f>IF($B5="","",INDEX(HISTORICO!$O$3:$O$2002,$B5))</f>
        <v/>
      </c>
      <c r="U5">
        <f>IF($B5="","",INDEX(HISTORICO!$R$3:$R$2002,$B5))</f>
        <v/>
      </c>
      <c r="V5">
        <f>IF($B5="","",INDEX(HISTORICO!$S$3:$S$2002,$B5))</f>
        <v/>
      </c>
      <c r="W5">
        <f>IF($B5="","",INDEX(HISTORICO!$T$3:$T$2002,$B5))</f>
        <v/>
      </c>
      <c r="X5">
        <f>IF($B5="","",INDEX(HISTORICO!$X$3:$X$2002,$B5))</f>
        <v/>
      </c>
      <c r="Y5">
        <f>IF($L5="","",IFERROR(INDEX(CONFIGURACOES!$C$37:$C$300,MATCH($L5,CONFIGURACOES!$B$37:$B$300,0)),""))</f>
        <v/>
      </c>
      <c r="Z5">
        <f>IF($L5="","",IFERROR(INDEX(CONFIGURACOES!$D$37:$D$300,MATCH($L5,CONFIGURACOES!$B$37:$B$300,0)),""))</f>
        <v/>
      </c>
      <c r="AA5">
        <f>IF($L5="","",IFERROR(INDEX(CONFIGURACOES!$E$37:$E$300,MATCH($L5,CONFIGURACOES!$B$37:$B$300,0)),""))</f>
        <v/>
      </c>
      <c r="AB5">
        <f>IF($L5="","",IFERROR(INDEX(CONFIGURACOES!$F$37:$F$300,MATCH($L5,CONFIGURACOES!$B$37:$B$300,0)),""))</f>
        <v/>
      </c>
      <c r="AC5">
        <f>IF($L5="","",IF($X5&lt;&gt;$X4,$AC4+1,$AC4))</f>
        <v/>
      </c>
      <c r="AD5">
        <f>IF($L5="","",IF($X5&lt;&gt;$X4,1,$AD4+1))</f>
        <v/>
      </c>
      <c r="AE5">
        <f>IF($L5="","",$AC5*10+$AD5)</f>
        <v/>
      </c>
      <c r="AF5">
        <f>IF($L5="","",SUMIF($X$2:$X$151,$X5,$U$2:$U$151))</f>
        <v/>
      </c>
      <c r="AG5">
        <f>IF($L5="","",SUMIF($X$2:$X$151,$X5,$W$2:$W$151))</f>
        <v/>
      </c>
    </row>
    <row r="6">
      <c r="A6" t="n">
        <v>5</v>
      </c>
      <c r="B6">
        <f>IFERROR(MATCH($A6,HISTORICO!$Y$3:$Y$2002,0),"")</f>
        <v/>
      </c>
      <c r="C6">
        <f>IF($B6="","",INDEX(HISTORICO!$A$3:$A$2002,$B6))</f>
        <v/>
      </c>
      <c r="D6">
        <f>IF($B6="","",INDEX(HISTORICO!$C$3:$C$2002,$B6))</f>
        <v/>
      </c>
      <c r="E6">
        <f>IF($B6="","",INDEX(HISTORICO!$F$3:$F$2002,$B6))</f>
        <v/>
      </c>
      <c r="F6">
        <f>IF($B6="","",INDEX(HISTORICO!$G$3:$G$2002,$B6))</f>
        <v/>
      </c>
      <c r="G6">
        <f>IF($B6="","",INDEX(HISTORICO!$E$3:$E$2002,$B6))</f>
        <v/>
      </c>
      <c r="H6">
        <f>IF($B6="","",INDEX(HISTORICO!$H$3:$H$2002,$B6))</f>
        <v/>
      </c>
      <c r="I6">
        <f>IF($B6="","",INDEX(HISTORICO!$D$3:$D$2002,$B6))</f>
        <v/>
      </c>
      <c r="J6">
        <f>IF($B6="","",INDEX(HISTORICO!$B$3:$B$2002,$B6))</f>
        <v/>
      </c>
      <c r="K6">
        <f>IF($B6="","",INDEX(HISTORICO!$U$3:$U$2002,$B6))</f>
        <v/>
      </c>
      <c r="L6">
        <f>IF($B6="","",INDEX(HISTORICO!$I$3:$I$2002,$B6))</f>
        <v/>
      </c>
      <c r="M6">
        <f>IF($B6="","",INDEX(HISTORICO!$J$3:$J$2002,$B6))</f>
        <v/>
      </c>
      <c r="N6">
        <f>IF($B6="","",INDEX(HISTORICO!$K$3:$K$2002,$B6))</f>
        <v/>
      </c>
      <c r="O6">
        <f>IF($B6="","",INDEX(HISTORICO!$L$3:$L$2002,$B6))</f>
        <v/>
      </c>
      <c r="P6">
        <f>IF($B6="","",INDEX(HISTORICO!$M$3:$M$2002,$B6))</f>
        <v/>
      </c>
      <c r="Q6">
        <f>IF($B6="","",INDEX(HISTORICO!$N$3:$N$2002,$B6))</f>
        <v/>
      </c>
      <c r="R6">
        <f>IF($B6="","",INDEX(HISTORICO!$Q$3:$Q$2002,$B6))</f>
        <v/>
      </c>
      <c r="S6">
        <f>IF($B6="","",INDEX(HISTORICO!$P$3:$P$2002,$B6))</f>
        <v/>
      </c>
      <c r="T6">
        <f>IF($B6="","",INDEX(HISTORICO!$O$3:$O$2002,$B6))</f>
        <v/>
      </c>
      <c r="U6">
        <f>IF($B6="","",INDEX(HISTORICO!$R$3:$R$2002,$B6))</f>
        <v/>
      </c>
      <c r="V6">
        <f>IF($B6="","",INDEX(HISTORICO!$S$3:$S$2002,$B6))</f>
        <v/>
      </c>
      <c r="W6">
        <f>IF($B6="","",INDEX(HISTORICO!$T$3:$T$2002,$B6))</f>
        <v/>
      </c>
      <c r="X6">
        <f>IF($B6="","",INDEX(HISTORICO!$X$3:$X$2002,$B6))</f>
        <v/>
      </c>
      <c r="Y6">
        <f>IF($L6="","",IFERROR(INDEX(CONFIGURACOES!$C$37:$C$300,MATCH($L6,CONFIGURACOES!$B$37:$B$300,0)),""))</f>
        <v/>
      </c>
      <c r="Z6">
        <f>IF($L6="","",IFERROR(INDEX(CONFIGURACOES!$D$37:$D$300,MATCH($L6,CONFIGURACOES!$B$37:$B$300,0)),""))</f>
        <v/>
      </c>
      <c r="AA6">
        <f>IF($L6="","",IFERROR(INDEX(CONFIGURACOES!$E$37:$E$300,MATCH($L6,CONFIGURACOES!$B$37:$B$300,0)),""))</f>
        <v/>
      </c>
      <c r="AB6">
        <f>IF($L6="","",IFERROR(INDEX(CONFIGURACOES!$F$37:$F$300,MATCH($L6,CONFIGURACOES!$B$37:$B$300,0)),""))</f>
        <v/>
      </c>
      <c r="AC6">
        <f>IF($L6="","",IF($X6&lt;&gt;$X5,$AC5+1,$AC5))</f>
        <v/>
      </c>
      <c r="AD6">
        <f>IF($L6="","",IF($X6&lt;&gt;$X5,1,$AD5+1))</f>
        <v/>
      </c>
      <c r="AE6">
        <f>IF($L6="","",$AC6*10+$AD6)</f>
        <v/>
      </c>
      <c r="AF6">
        <f>IF($L6="","",SUMIF($X$2:$X$151,$X6,$U$2:$U$151))</f>
        <v/>
      </c>
      <c r="AG6">
        <f>IF($L6="","",SUMIF($X$2:$X$151,$X6,$W$2:$W$151))</f>
        <v/>
      </c>
    </row>
    <row r="7">
      <c r="A7" t="n">
        <v>6</v>
      </c>
      <c r="B7">
        <f>IFERROR(MATCH($A7,HISTORICO!$Y$3:$Y$2002,0),"")</f>
        <v/>
      </c>
      <c r="C7">
        <f>IF($B7="","",INDEX(HISTORICO!$A$3:$A$2002,$B7))</f>
        <v/>
      </c>
      <c r="D7">
        <f>IF($B7="","",INDEX(HISTORICO!$C$3:$C$2002,$B7))</f>
        <v/>
      </c>
      <c r="E7">
        <f>IF($B7="","",INDEX(HISTORICO!$F$3:$F$2002,$B7))</f>
        <v/>
      </c>
      <c r="F7">
        <f>IF($B7="","",INDEX(HISTORICO!$G$3:$G$2002,$B7))</f>
        <v/>
      </c>
      <c r="G7">
        <f>IF($B7="","",INDEX(HISTORICO!$E$3:$E$2002,$B7))</f>
        <v/>
      </c>
      <c r="H7">
        <f>IF($B7="","",INDEX(HISTORICO!$H$3:$H$2002,$B7))</f>
        <v/>
      </c>
      <c r="I7">
        <f>IF($B7="","",INDEX(HISTORICO!$D$3:$D$2002,$B7))</f>
        <v/>
      </c>
      <c r="J7">
        <f>IF($B7="","",INDEX(HISTORICO!$B$3:$B$2002,$B7))</f>
        <v/>
      </c>
      <c r="K7">
        <f>IF($B7="","",INDEX(HISTORICO!$U$3:$U$2002,$B7))</f>
        <v/>
      </c>
      <c r="L7">
        <f>IF($B7="","",INDEX(HISTORICO!$I$3:$I$2002,$B7))</f>
        <v/>
      </c>
      <c r="M7">
        <f>IF($B7="","",INDEX(HISTORICO!$J$3:$J$2002,$B7))</f>
        <v/>
      </c>
      <c r="N7">
        <f>IF($B7="","",INDEX(HISTORICO!$K$3:$K$2002,$B7))</f>
        <v/>
      </c>
      <c r="O7">
        <f>IF($B7="","",INDEX(HISTORICO!$L$3:$L$2002,$B7))</f>
        <v/>
      </c>
      <c r="P7">
        <f>IF($B7="","",INDEX(HISTORICO!$M$3:$M$2002,$B7))</f>
        <v/>
      </c>
      <c r="Q7">
        <f>IF($B7="","",INDEX(HISTORICO!$N$3:$N$2002,$B7))</f>
        <v/>
      </c>
      <c r="R7">
        <f>IF($B7="","",INDEX(HISTORICO!$Q$3:$Q$2002,$B7))</f>
        <v/>
      </c>
      <c r="S7">
        <f>IF($B7="","",INDEX(HISTORICO!$P$3:$P$2002,$B7))</f>
        <v/>
      </c>
      <c r="T7">
        <f>IF($B7="","",INDEX(HISTORICO!$O$3:$O$2002,$B7))</f>
        <v/>
      </c>
      <c r="U7">
        <f>IF($B7="","",INDEX(HISTORICO!$R$3:$R$2002,$B7))</f>
        <v/>
      </c>
      <c r="V7">
        <f>IF($B7="","",INDEX(HISTORICO!$S$3:$S$2002,$B7))</f>
        <v/>
      </c>
      <c r="W7">
        <f>IF($B7="","",INDEX(HISTORICO!$T$3:$T$2002,$B7))</f>
        <v/>
      </c>
      <c r="X7">
        <f>IF($B7="","",INDEX(HISTORICO!$X$3:$X$2002,$B7))</f>
        <v/>
      </c>
      <c r="Y7">
        <f>IF($L7="","",IFERROR(INDEX(CONFIGURACOES!$C$37:$C$300,MATCH($L7,CONFIGURACOES!$B$37:$B$300,0)),""))</f>
        <v/>
      </c>
      <c r="Z7">
        <f>IF($L7="","",IFERROR(INDEX(CONFIGURACOES!$D$37:$D$300,MATCH($L7,CONFIGURACOES!$B$37:$B$300,0)),""))</f>
        <v/>
      </c>
      <c r="AA7">
        <f>IF($L7="","",IFERROR(INDEX(CONFIGURACOES!$E$37:$E$300,MATCH($L7,CONFIGURACOES!$B$37:$B$300,0)),""))</f>
        <v/>
      </c>
      <c r="AB7">
        <f>IF($L7="","",IFERROR(INDEX(CONFIGURACOES!$F$37:$F$300,MATCH($L7,CONFIGURACOES!$B$37:$B$300,0)),""))</f>
        <v/>
      </c>
      <c r="AC7">
        <f>IF($L7="","",IF($X7&lt;&gt;$X6,$AC6+1,$AC6))</f>
        <v/>
      </c>
      <c r="AD7">
        <f>IF($L7="","",IF($X7&lt;&gt;$X6,1,$AD6+1))</f>
        <v/>
      </c>
      <c r="AE7">
        <f>IF($L7="","",$AC7*10+$AD7)</f>
        <v/>
      </c>
      <c r="AF7">
        <f>IF($L7="","",SUMIF($X$2:$X$151,$X7,$U$2:$U$151))</f>
        <v/>
      </c>
      <c r="AG7">
        <f>IF($L7="","",SUMIF($X$2:$X$151,$X7,$W$2:$W$151))</f>
        <v/>
      </c>
    </row>
    <row r="8">
      <c r="A8" t="n">
        <v>7</v>
      </c>
      <c r="B8">
        <f>IFERROR(MATCH($A8,HISTORICO!$Y$3:$Y$2002,0),"")</f>
        <v/>
      </c>
      <c r="C8">
        <f>IF($B8="","",INDEX(HISTORICO!$A$3:$A$2002,$B8))</f>
        <v/>
      </c>
      <c r="D8">
        <f>IF($B8="","",INDEX(HISTORICO!$C$3:$C$2002,$B8))</f>
        <v/>
      </c>
      <c r="E8">
        <f>IF($B8="","",INDEX(HISTORICO!$F$3:$F$2002,$B8))</f>
        <v/>
      </c>
      <c r="F8">
        <f>IF($B8="","",INDEX(HISTORICO!$G$3:$G$2002,$B8))</f>
        <v/>
      </c>
      <c r="G8">
        <f>IF($B8="","",INDEX(HISTORICO!$E$3:$E$2002,$B8))</f>
        <v/>
      </c>
      <c r="H8">
        <f>IF($B8="","",INDEX(HISTORICO!$H$3:$H$2002,$B8))</f>
        <v/>
      </c>
      <c r="I8">
        <f>IF($B8="","",INDEX(HISTORICO!$D$3:$D$2002,$B8))</f>
        <v/>
      </c>
      <c r="J8">
        <f>IF($B8="","",INDEX(HISTORICO!$B$3:$B$2002,$B8))</f>
        <v/>
      </c>
      <c r="K8">
        <f>IF($B8="","",INDEX(HISTORICO!$U$3:$U$2002,$B8))</f>
        <v/>
      </c>
      <c r="L8">
        <f>IF($B8="","",INDEX(HISTORICO!$I$3:$I$2002,$B8))</f>
        <v/>
      </c>
      <c r="M8">
        <f>IF($B8="","",INDEX(HISTORICO!$J$3:$J$2002,$B8))</f>
        <v/>
      </c>
      <c r="N8">
        <f>IF($B8="","",INDEX(HISTORICO!$K$3:$K$2002,$B8))</f>
        <v/>
      </c>
      <c r="O8">
        <f>IF($B8="","",INDEX(HISTORICO!$L$3:$L$2002,$B8))</f>
        <v/>
      </c>
      <c r="P8">
        <f>IF($B8="","",INDEX(HISTORICO!$M$3:$M$2002,$B8))</f>
        <v/>
      </c>
      <c r="Q8">
        <f>IF($B8="","",INDEX(HISTORICO!$N$3:$N$2002,$B8))</f>
        <v/>
      </c>
      <c r="R8">
        <f>IF($B8="","",INDEX(HISTORICO!$Q$3:$Q$2002,$B8))</f>
        <v/>
      </c>
      <c r="S8">
        <f>IF($B8="","",INDEX(HISTORICO!$P$3:$P$2002,$B8))</f>
        <v/>
      </c>
      <c r="T8">
        <f>IF($B8="","",INDEX(HISTORICO!$O$3:$O$2002,$B8))</f>
        <v/>
      </c>
      <c r="U8">
        <f>IF($B8="","",INDEX(HISTORICO!$R$3:$R$2002,$B8))</f>
        <v/>
      </c>
      <c r="V8">
        <f>IF($B8="","",INDEX(HISTORICO!$S$3:$S$2002,$B8))</f>
        <v/>
      </c>
      <c r="W8">
        <f>IF($B8="","",INDEX(HISTORICO!$T$3:$T$2002,$B8))</f>
        <v/>
      </c>
      <c r="X8">
        <f>IF($B8="","",INDEX(HISTORICO!$X$3:$X$2002,$B8))</f>
        <v/>
      </c>
      <c r="Y8">
        <f>IF($L8="","",IFERROR(INDEX(CONFIGURACOES!$C$37:$C$300,MATCH($L8,CONFIGURACOES!$B$37:$B$300,0)),""))</f>
        <v/>
      </c>
      <c r="Z8">
        <f>IF($L8="","",IFERROR(INDEX(CONFIGURACOES!$D$37:$D$300,MATCH($L8,CONFIGURACOES!$B$37:$B$300,0)),""))</f>
        <v/>
      </c>
      <c r="AA8">
        <f>IF($L8="","",IFERROR(INDEX(CONFIGURACOES!$E$37:$E$300,MATCH($L8,CONFIGURACOES!$B$37:$B$300,0)),""))</f>
        <v/>
      </c>
      <c r="AB8">
        <f>IF($L8="","",IFERROR(INDEX(CONFIGURACOES!$F$37:$F$300,MATCH($L8,CONFIGURACOES!$B$37:$B$300,0)),""))</f>
        <v/>
      </c>
      <c r="AC8">
        <f>IF($L8="","",IF($X8&lt;&gt;$X7,$AC7+1,$AC7))</f>
        <v/>
      </c>
      <c r="AD8">
        <f>IF($L8="","",IF($X8&lt;&gt;$X7,1,$AD7+1))</f>
        <v/>
      </c>
      <c r="AE8">
        <f>IF($L8="","",$AC8*10+$AD8)</f>
        <v/>
      </c>
      <c r="AF8">
        <f>IF($L8="","",SUMIF($X$2:$X$151,$X8,$U$2:$U$151))</f>
        <v/>
      </c>
      <c r="AG8">
        <f>IF($L8="","",SUMIF($X$2:$X$151,$X8,$W$2:$W$151))</f>
        <v/>
      </c>
    </row>
    <row r="9">
      <c r="A9" t="n">
        <v>8</v>
      </c>
      <c r="B9">
        <f>IFERROR(MATCH($A9,HISTORICO!$Y$3:$Y$2002,0),"")</f>
        <v/>
      </c>
      <c r="C9">
        <f>IF($B9="","",INDEX(HISTORICO!$A$3:$A$2002,$B9))</f>
        <v/>
      </c>
      <c r="D9">
        <f>IF($B9="","",INDEX(HISTORICO!$C$3:$C$2002,$B9))</f>
        <v/>
      </c>
      <c r="E9">
        <f>IF($B9="","",INDEX(HISTORICO!$F$3:$F$2002,$B9))</f>
        <v/>
      </c>
      <c r="F9">
        <f>IF($B9="","",INDEX(HISTORICO!$G$3:$G$2002,$B9))</f>
        <v/>
      </c>
      <c r="G9">
        <f>IF($B9="","",INDEX(HISTORICO!$E$3:$E$2002,$B9))</f>
        <v/>
      </c>
      <c r="H9">
        <f>IF($B9="","",INDEX(HISTORICO!$H$3:$H$2002,$B9))</f>
        <v/>
      </c>
      <c r="I9">
        <f>IF($B9="","",INDEX(HISTORICO!$D$3:$D$2002,$B9))</f>
        <v/>
      </c>
      <c r="J9">
        <f>IF($B9="","",INDEX(HISTORICO!$B$3:$B$2002,$B9))</f>
        <v/>
      </c>
      <c r="K9">
        <f>IF($B9="","",INDEX(HISTORICO!$U$3:$U$2002,$B9))</f>
        <v/>
      </c>
      <c r="L9">
        <f>IF($B9="","",INDEX(HISTORICO!$I$3:$I$2002,$B9))</f>
        <v/>
      </c>
      <c r="M9">
        <f>IF($B9="","",INDEX(HISTORICO!$J$3:$J$2002,$B9))</f>
        <v/>
      </c>
      <c r="N9">
        <f>IF($B9="","",INDEX(HISTORICO!$K$3:$K$2002,$B9))</f>
        <v/>
      </c>
      <c r="O9">
        <f>IF($B9="","",INDEX(HISTORICO!$L$3:$L$2002,$B9))</f>
        <v/>
      </c>
      <c r="P9">
        <f>IF($B9="","",INDEX(HISTORICO!$M$3:$M$2002,$B9))</f>
        <v/>
      </c>
      <c r="Q9">
        <f>IF($B9="","",INDEX(HISTORICO!$N$3:$N$2002,$B9))</f>
        <v/>
      </c>
      <c r="R9">
        <f>IF($B9="","",INDEX(HISTORICO!$Q$3:$Q$2002,$B9))</f>
        <v/>
      </c>
      <c r="S9">
        <f>IF($B9="","",INDEX(HISTORICO!$P$3:$P$2002,$B9))</f>
        <v/>
      </c>
      <c r="T9">
        <f>IF($B9="","",INDEX(HISTORICO!$O$3:$O$2002,$B9))</f>
        <v/>
      </c>
      <c r="U9">
        <f>IF($B9="","",INDEX(HISTORICO!$R$3:$R$2002,$B9))</f>
        <v/>
      </c>
      <c r="V9">
        <f>IF($B9="","",INDEX(HISTORICO!$S$3:$S$2002,$B9))</f>
        <v/>
      </c>
      <c r="W9">
        <f>IF($B9="","",INDEX(HISTORICO!$T$3:$T$2002,$B9))</f>
        <v/>
      </c>
      <c r="X9">
        <f>IF($B9="","",INDEX(HISTORICO!$X$3:$X$2002,$B9))</f>
        <v/>
      </c>
      <c r="Y9">
        <f>IF($L9="","",IFERROR(INDEX(CONFIGURACOES!$C$37:$C$300,MATCH($L9,CONFIGURACOES!$B$37:$B$300,0)),""))</f>
        <v/>
      </c>
      <c r="Z9">
        <f>IF($L9="","",IFERROR(INDEX(CONFIGURACOES!$D$37:$D$300,MATCH($L9,CONFIGURACOES!$B$37:$B$300,0)),""))</f>
        <v/>
      </c>
      <c r="AA9">
        <f>IF($L9="","",IFERROR(INDEX(CONFIGURACOES!$E$37:$E$300,MATCH($L9,CONFIGURACOES!$B$37:$B$300,0)),""))</f>
        <v/>
      </c>
      <c r="AB9">
        <f>IF($L9="","",IFERROR(INDEX(CONFIGURACOES!$F$37:$F$300,MATCH($L9,CONFIGURACOES!$B$37:$B$300,0)),""))</f>
        <v/>
      </c>
      <c r="AC9">
        <f>IF($L9="","",IF($X9&lt;&gt;$X8,$AC8+1,$AC8))</f>
        <v/>
      </c>
      <c r="AD9">
        <f>IF($L9="","",IF($X9&lt;&gt;$X8,1,$AD8+1))</f>
        <v/>
      </c>
      <c r="AE9">
        <f>IF($L9="","",$AC9*10+$AD9)</f>
        <v/>
      </c>
      <c r="AF9">
        <f>IF($L9="","",SUMIF($X$2:$X$151,$X9,$U$2:$U$151))</f>
        <v/>
      </c>
      <c r="AG9">
        <f>IF($L9="","",SUMIF($X$2:$X$151,$X9,$W$2:$W$151))</f>
        <v/>
      </c>
    </row>
    <row r="10">
      <c r="A10" t="n">
        <v>9</v>
      </c>
      <c r="B10">
        <f>IFERROR(MATCH($A10,HISTORICO!$Y$3:$Y$2002,0),"")</f>
        <v/>
      </c>
      <c r="C10">
        <f>IF($B10="","",INDEX(HISTORICO!$A$3:$A$2002,$B10))</f>
        <v/>
      </c>
      <c r="D10">
        <f>IF($B10="","",INDEX(HISTORICO!$C$3:$C$2002,$B10))</f>
        <v/>
      </c>
      <c r="E10">
        <f>IF($B10="","",INDEX(HISTORICO!$F$3:$F$2002,$B10))</f>
        <v/>
      </c>
      <c r="F10">
        <f>IF($B10="","",INDEX(HISTORICO!$G$3:$G$2002,$B10))</f>
        <v/>
      </c>
      <c r="G10">
        <f>IF($B10="","",INDEX(HISTORICO!$E$3:$E$2002,$B10))</f>
        <v/>
      </c>
      <c r="H10">
        <f>IF($B10="","",INDEX(HISTORICO!$H$3:$H$2002,$B10))</f>
        <v/>
      </c>
      <c r="I10">
        <f>IF($B10="","",INDEX(HISTORICO!$D$3:$D$2002,$B10))</f>
        <v/>
      </c>
      <c r="J10">
        <f>IF($B10="","",INDEX(HISTORICO!$B$3:$B$2002,$B10))</f>
        <v/>
      </c>
      <c r="K10">
        <f>IF($B10="","",INDEX(HISTORICO!$U$3:$U$2002,$B10))</f>
        <v/>
      </c>
      <c r="L10">
        <f>IF($B10="","",INDEX(HISTORICO!$I$3:$I$2002,$B10))</f>
        <v/>
      </c>
      <c r="M10">
        <f>IF($B10="","",INDEX(HISTORICO!$J$3:$J$2002,$B10))</f>
        <v/>
      </c>
      <c r="N10">
        <f>IF($B10="","",INDEX(HISTORICO!$K$3:$K$2002,$B10))</f>
        <v/>
      </c>
      <c r="O10">
        <f>IF($B10="","",INDEX(HISTORICO!$L$3:$L$2002,$B10))</f>
        <v/>
      </c>
      <c r="P10">
        <f>IF($B10="","",INDEX(HISTORICO!$M$3:$M$2002,$B10))</f>
        <v/>
      </c>
      <c r="Q10">
        <f>IF($B10="","",INDEX(HISTORICO!$N$3:$N$2002,$B10))</f>
        <v/>
      </c>
      <c r="R10">
        <f>IF($B10="","",INDEX(HISTORICO!$Q$3:$Q$2002,$B10))</f>
        <v/>
      </c>
      <c r="S10">
        <f>IF($B10="","",INDEX(HISTORICO!$P$3:$P$2002,$B10))</f>
        <v/>
      </c>
      <c r="T10">
        <f>IF($B10="","",INDEX(HISTORICO!$O$3:$O$2002,$B10))</f>
        <v/>
      </c>
      <c r="U10">
        <f>IF($B10="","",INDEX(HISTORICO!$R$3:$R$2002,$B10))</f>
        <v/>
      </c>
      <c r="V10">
        <f>IF($B10="","",INDEX(HISTORICO!$S$3:$S$2002,$B10))</f>
        <v/>
      </c>
      <c r="W10">
        <f>IF($B10="","",INDEX(HISTORICO!$T$3:$T$2002,$B10))</f>
        <v/>
      </c>
      <c r="X10">
        <f>IF($B10="","",INDEX(HISTORICO!$X$3:$X$2002,$B10))</f>
        <v/>
      </c>
      <c r="Y10">
        <f>IF($L10="","",IFERROR(INDEX(CONFIGURACOES!$C$37:$C$300,MATCH($L10,CONFIGURACOES!$B$37:$B$300,0)),""))</f>
        <v/>
      </c>
      <c r="Z10">
        <f>IF($L10="","",IFERROR(INDEX(CONFIGURACOES!$D$37:$D$300,MATCH($L10,CONFIGURACOES!$B$37:$B$300,0)),""))</f>
        <v/>
      </c>
      <c r="AA10">
        <f>IF($L10="","",IFERROR(INDEX(CONFIGURACOES!$E$37:$E$300,MATCH($L10,CONFIGURACOES!$B$37:$B$300,0)),""))</f>
        <v/>
      </c>
      <c r="AB10">
        <f>IF($L10="","",IFERROR(INDEX(CONFIGURACOES!$F$37:$F$300,MATCH($L10,CONFIGURACOES!$B$37:$B$300,0)),""))</f>
        <v/>
      </c>
      <c r="AC10">
        <f>IF($L10="","",IF($X10&lt;&gt;$X9,$AC9+1,$AC9))</f>
        <v/>
      </c>
      <c r="AD10">
        <f>IF($L10="","",IF($X10&lt;&gt;$X9,1,$AD9+1))</f>
        <v/>
      </c>
      <c r="AE10">
        <f>IF($L10="","",$AC10*10+$AD10)</f>
        <v/>
      </c>
      <c r="AF10">
        <f>IF($L10="","",SUMIF($X$2:$X$151,$X10,$U$2:$U$151))</f>
        <v/>
      </c>
      <c r="AG10">
        <f>IF($L10="","",SUMIF($X$2:$X$151,$X10,$W$2:$W$151))</f>
        <v/>
      </c>
    </row>
    <row r="11">
      <c r="A11" t="n">
        <v>10</v>
      </c>
      <c r="B11">
        <f>IFERROR(MATCH($A11,HISTORICO!$Y$3:$Y$2002,0),"")</f>
        <v/>
      </c>
      <c r="C11">
        <f>IF($B11="","",INDEX(HISTORICO!$A$3:$A$2002,$B11))</f>
        <v/>
      </c>
      <c r="D11">
        <f>IF($B11="","",INDEX(HISTORICO!$C$3:$C$2002,$B11))</f>
        <v/>
      </c>
      <c r="E11">
        <f>IF($B11="","",INDEX(HISTORICO!$F$3:$F$2002,$B11))</f>
        <v/>
      </c>
      <c r="F11">
        <f>IF($B11="","",INDEX(HISTORICO!$G$3:$G$2002,$B11))</f>
        <v/>
      </c>
      <c r="G11">
        <f>IF($B11="","",INDEX(HISTORICO!$E$3:$E$2002,$B11))</f>
        <v/>
      </c>
      <c r="H11">
        <f>IF($B11="","",INDEX(HISTORICO!$H$3:$H$2002,$B11))</f>
        <v/>
      </c>
      <c r="I11">
        <f>IF($B11="","",INDEX(HISTORICO!$D$3:$D$2002,$B11))</f>
        <v/>
      </c>
      <c r="J11">
        <f>IF($B11="","",INDEX(HISTORICO!$B$3:$B$2002,$B11))</f>
        <v/>
      </c>
      <c r="K11">
        <f>IF($B11="","",INDEX(HISTORICO!$U$3:$U$2002,$B11))</f>
        <v/>
      </c>
      <c r="L11">
        <f>IF($B11="","",INDEX(HISTORICO!$I$3:$I$2002,$B11))</f>
        <v/>
      </c>
      <c r="M11">
        <f>IF($B11="","",INDEX(HISTORICO!$J$3:$J$2002,$B11))</f>
        <v/>
      </c>
      <c r="N11">
        <f>IF($B11="","",INDEX(HISTORICO!$K$3:$K$2002,$B11))</f>
        <v/>
      </c>
      <c r="O11">
        <f>IF($B11="","",INDEX(HISTORICO!$L$3:$L$2002,$B11))</f>
        <v/>
      </c>
      <c r="P11">
        <f>IF($B11="","",INDEX(HISTORICO!$M$3:$M$2002,$B11))</f>
        <v/>
      </c>
      <c r="Q11">
        <f>IF($B11="","",INDEX(HISTORICO!$N$3:$N$2002,$B11))</f>
        <v/>
      </c>
      <c r="R11">
        <f>IF($B11="","",INDEX(HISTORICO!$Q$3:$Q$2002,$B11))</f>
        <v/>
      </c>
      <c r="S11">
        <f>IF($B11="","",INDEX(HISTORICO!$P$3:$P$2002,$B11))</f>
        <v/>
      </c>
      <c r="T11">
        <f>IF($B11="","",INDEX(HISTORICO!$O$3:$O$2002,$B11))</f>
        <v/>
      </c>
      <c r="U11">
        <f>IF($B11="","",INDEX(HISTORICO!$R$3:$R$2002,$B11))</f>
        <v/>
      </c>
      <c r="V11">
        <f>IF($B11="","",INDEX(HISTORICO!$S$3:$S$2002,$B11))</f>
        <v/>
      </c>
      <c r="W11">
        <f>IF($B11="","",INDEX(HISTORICO!$T$3:$T$2002,$B11))</f>
        <v/>
      </c>
      <c r="X11">
        <f>IF($B11="","",INDEX(HISTORICO!$X$3:$X$2002,$B11))</f>
        <v/>
      </c>
      <c r="Y11">
        <f>IF($L11="","",IFERROR(INDEX(CONFIGURACOES!$C$37:$C$300,MATCH($L11,CONFIGURACOES!$B$37:$B$300,0)),""))</f>
        <v/>
      </c>
      <c r="Z11">
        <f>IF($L11="","",IFERROR(INDEX(CONFIGURACOES!$D$37:$D$300,MATCH($L11,CONFIGURACOES!$B$37:$B$300,0)),""))</f>
        <v/>
      </c>
      <c r="AA11">
        <f>IF($L11="","",IFERROR(INDEX(CONFIGURACOES!$E$37:$E$300,MATCH($L11,CONFIGURACOES!$B$37:$B$300,0)),""))</f>
        <v/>
      </c>
      <c r="AB11">
        <f>IF($L11="","",IFERROR(INDEX(CONFIGURACOES!$F$37:$F$300,MATCH($L11,CONFIGURACOES!$B$37:$B$300,0)),""))</f>
        <v/>
      </c>
      <c r="AC11">
        <f>IF($L11="","",IF($X11&lt;&gt;$X10,$AC10+1,$AC10))</f>
        <v/>
      </c>
      <c r="AD11">
        <f>IF($L11="","",IF($X11&lt;&gt;$X10,1,$AD10+1))</f>
        <v/>
      </c>
      <c r="AE11">
        <f>IF($L11="","",$AC11*10+$AD11)</f>
        <v/>
      </c>
      <c r="AF11">
        <f>IF($L11="","",SUMIF($X$2:$X$151,$X11,$U$2:$U$151))</f>
        <v/>
      </c>
      <c r="AG11">
        <f>IF($L11="","",SUMIF($X$2:$X$151,$X11,$W$2:$W$151))</f>
        <v/>
      </c>
    </row>
    <row r="12">
      <c r="A12" t="n">
        <v>11</v>
      </c>
      <c r="B12">
        <f>IFERROR(MATCH($A12,HISTORICO!$Y$3:$Y$2002,0),"")</f>
        <v/>
      </c>
      <c r="C12">
        <f>IF($B12="","",INDEX(HISTORICO!$A$3:$A$2002,$B12))</f>
        <v/>
      </c>
      <c r="D12">
        <f>IF($B12="","",INDEX(HISTORICO!$C$3:$C$2002,$B12))</f>
        <v/>
      </c>
      <c r="E12">
        <f>IF($B12="","",INDEX(HISTORICO!$F$3:$F$2002,$B12))</f>
        <v/>
      </c>
      <c r="F12">
        <f>IF($B12="","",INDEX(HISTORICO!$G$3:$G$2002,$B12))</f>
        <v/>
      </c>
      <c r="G12">
        <f>IF($B12="","",INDEX(HISTORICO!$E$3:$E$2002,$B12))</f>
        <v/>
      </c>
      <c r="H12">
        <f>IF($B12="","",INDEX(HISTORICO!$H$3:$H$2002,$B12))</f>
        <v/>
      </c>
      <c r="I12">
        <f>IF($B12="","",INDEX(HISTORICO!$D$3:$D$2002,$B12))</f>
        <v/>
      </c>
      <c r="J12">
        <f>IF($B12="","",INDEX(HISTORICO!$B$3:$B$2002,$B12))</f>
        <v/>
      </c>
      <c r="K12">
        <f>IF($B12="","",INDEX(HISTORICO!$U$3:$U$2002,$B12))</f>
        <v/>
      </c>
      <c r="L12">
        <f>IF($B12="","",INDEX(HISTORICO!$I$3:$I$2002,$B12))</f>
        <v/>
      </c>
      <c r="M12">
        <f>IF($B12="","",INDEX(HISTORICO!$J$3:$J$2002,$B12))</f>
        <v/>
      </c>
      <c r="N12">
        <f>IF($B12="","",INDEX(HISTORICO!$K$3:$K$2002,$B12))</f>
        <v/>
      </c>
      <c r="O12">
        <f>IF($B12="","",INDEX(HISTORICO!$L$3:$L$2002,$B12))</f>
        <v/>
      </c>
      <c r="P12">
        <f>IF($B12="","",INDEX(HISTORICO!$M$3:$M$2002,$B12))</f>
        <v/>
      </c>
      <c r="Q12">
        <f>IF($B12="","",INDEX(HISTORICO!$N$3:$N$2002,$B12))</f>
        <v/>
      </c>
      <c r="R12">
        <f>IF($B12="","",INDEX(HISTORICO!$Q$3:$Q$2002,$B12))</f>
        <v/>
      </c>
      <c r="S12">
        <f>IF($B12="","",INDEX(HISTORICO!$P$3:$P$2002,$B12))</f>
        <v/>
      </c>
      <c r="T12">
        <f>IF($B12="","",INDEX(HISTORICO!$O$3:$O$2002,$B12))</f>
        <v/>
      </c>
      <c r="U12">
        <f>IF($B12="","",INDEX(HISTORICO!$R$3:$R$2002,$B12))</f>
        <v/>
      </c>
      <c r="V12">
        <f>IF($B12="","",INDEX(HISTORICO!$S$3:$S$2002,$B12))</f>
        <v/>
      </c>
      <c r="W12">
        <f>IF($B12="","",INDEX(HISTORICO!$T$3:$T$2002,$B12))</f>
        <v/>
      </c>
      <c r="X12">
        <f>IF($B12="","",INDEX(HISTORICO!$X$3:$X$2002,$B12))</f>
        <v/>
      </c>
      <c r="Y12">
        <f>IF($L12="","",IFERROR(INDEX(CONFIGURACOES!$C$37:$C$300,MATCH($L12,CONFIGURACOES!$B$37:$B$300,0)),""))</f>
        <v/>
      </c>
      <c r="Z12">
        <f>IF($L12="","",IFERROR(INDEX(CONFIGURACOES!$D$37:$D$300,MATCH($L12,CONFIGURACOES!$B$37:$B$300,0)),""))</f>
        <v/>
      </c>
      <c r="AA12">
        <f>IF($L12="","",IFERROR(INDEX(CONFIGURACOES!$E$37:$E$300,MATCH($L12,CONFIGURACOES!$B$37:$B$300,0)),""))</f>
        <v/>
      </c>
      <c r="AB12">
        <f>IF($L12="","",IFERROR(INDEX(CONFIGURACOES!$F$37:$F$300,MATCH($L12,CONFIGURACOES!$B$37:$B$300,0)),""))</f>
        <v/>
      </c>
      <c r="AC12">
        <f>IF($L12="","",IF($X12&lt;&gt;$X11,$AC11+1,$AC11))</f>
        <v/>
      </c>
      <c r="AD12">
        <f>IF($L12="","",IF($X12&lt;&gt;$X11,1,$AD11+1))</f>
        <v/>
      </c>
      <c r="AE12">
        <f>IF($L12="","",$AC12*10+$AD12)</f>
        <v/>
      </c>
      <c r="AF12">
        <f>IF($L12="","",SUMIF($X$2:$X$151,$X12,$U$2:$U$151))</f>
        <v/>
      </c>
      <c r="AG12">
        <f>IF($L12="","",SUMIF($X$2:$X$151,$X12,$W$2:$W$151))</f>
        <v/>
      </c>
    </row>
    <row r="13">
      <c r="A13" t="n">
        <v>12</v>
      </c>
      <c r="B13">
        <f>IFERROR(MATCH($A13,HISTORICO!$Y$3:$Y$2002,0),"")</f>
        <v/>
      </c>
      <c r="C13">
        <f>IF($B13="","",INDEX(HISTORICO!$A$3:$A$2002,$B13))</f>
        <v/>
      </c>
      <c r="D13">
        <f>IF($B13="","",INDEX(HISTORICO!$C$3:$C$2002,$B13))</f>
        <v/>
      </c>
      <c r="E13">
        <f>IF($B13="","",INDEX(HISTORICO!$F$3:$F$2002,$B13))</f>
        <v/>
      </c>
      <c r="F13">
        <f>IF($B13="","",INDEX(HISTORICO!$G$3:$G$2002,$B13))</f>
        <v/>
      </c>
      <c r="G13">
        <f>IF($B13="","",INDEX(HISTORICO!$E$3:$E$2002,$B13))</f>
        <v/>
      </c>
      <c r="H13">
        <f>IF($B13="","",INDEX(HISTORICO!$H$3:$H$2002,$B13))</f>
        <v/>
      </c>
      <c r="I13">
        <f>IF($B13="","",INDEX(HISTORICO!$D$3:$D$2002,$B13))</f>
        <v/>
      </c>
      <c r="J13">
        <f>IF($B13="","",INDEX(HISTORICO!$B$3:$B$2002,$B13))</f>
        <v/>
      </c>
      <c r="K13">
        <f>IF($B13="","",INDEX(HISTORICO!$U$3:$U$2002,$B13))</f>
        <v/>
      </c>
      <c r="L13">
        <f>IF($B13="","",INDEX(HISTORICO!$I$3:$I$2002,$B13))</f>
        <v/>
      </c>
      <c r="M13">
        <f>IF($B13="","",INDEX(HISTORICO!$J$3:$J$2002,$B13))</f>
        <v/>
      </c>
      <c r="N13">
        <f>IF($B13="","",INDEX(HISTORICO!$K$3:$K$2002,$B13))</f>
        <v/>
      </c>
      <c r="O13">
        <f>IF($B13="","",INDEX(HISTORICO!$L$3:$L$2002,$B13))</f>
        <v/>
      </c>
      <c r="P13">
        <f>IF($B13="","",INDEX(HISTORICO!$M$3:$M$2002,$B13))</f>
        <v/>
      </c>
      <c r="Q13">
        <f>IF($B13="","",INDEX(HISTORICO!$N$3:$N$2002,$B13))</f>
        <v/>
      </c>
      <c r="R13">
        <f>IF($B13="","",INDEX(HISTORICO!$Q$3:$Q$2002,$B13))</f>
        <v/>
      </c>
      <c r="S13">
        <f>IF($B13="","",INDEX(HISTORICO!$P$3:$P$2002,$B13))</f>
        <v/>
      </c>
      <c r="T13">
        <f>IF($B13="","",INDEX(HISTORICO!$O$3:$O$2002,$B13))</f>
        <v/>
      </c>
      <c r="U13">
        <f>IF($B13="","",INDEX(HISTORICO!$R$3:$R$2002,$B13))</f>
        <v/>
      </c>
      <c r="V13">
        <f>IF($B13="","",INDEX(HISTORICO!$S$3:$S$2002,$B13))</f>
        <v/>
      </c>
      <c r="W13">
        <f>IF($B13="","",INDEX(HISTORICO!$T$3:$T$2002,$B13))</f>
        <v/>
      </c>
      <c r="X13">
        <f>IF($B13="","",INDEX(HISTORICO!$X$3:$X$2002,$B13))</f>
        <v/>
      </c>
      <c r="Y13">
        <f>IF($L13="","",IFERROR(INDEX(CONFIGURACOES!$C$37:$C$300,MATCH($L13,CONFIGURACOES!$B$37:$B$300,0)),""))</f>
        <v/>
      </c>
      <c r="Z13">
        <f>IF($L13="","",IFERROR(INDEX(CONFIGURACOES!$D$37:$D$300,MATCH($L13,CONFIGURACOES!$B$37:$B$300,0)),""))</f>
        <v/>
      </c>
      <c r="AA13">
        <f>IF($L13="","",IFERROR(INDEX(CONFIGURACOES!$E$37:$E$300,MATCH($L13,CONFIGURACOES!$B$37:$B$300,0)),""))</f>
        <v/>
      </c>
      <c r="AB13">
        <f>IF($L13="","",IFERROR(INDEX(CONFIGURACOES!$F$37:$F$300,MATCH($L13,CONFIGURACOES!$B$37:$B$300,0)),""))</f>
        <v/>
      </c>
      <c r="AC13">
        <f>IF($L13="","",IF($X13&lt;&gt;$X12,$AC12+1,$AC12))</f>
        <v/>
      </c>
      <c r="AD13">
        <f>IF($L13="","",IF($X13&lt;&gt;$X12,1,$AD12+1))</f>
        <v/>
      </c>
      <c r="AE13">
        <f>IF($L13="","",$AC13*10+$AD13)</f>
        <v/>
      </c>
      <c r="AF13">
        <f>IF($L13="","",SUMIF($X$2:$X$151,$X13,$U$2:$U$151))</f>
        <v/>
      </c>
      <c r="AG13">
        <f>IF($L13="","",SUMIF($X$2:$X$151,$X13,$W$2:$W$151))</f>
        <v/>
      </c>
    </row>
    <row r="14">
      <c r="A14" t="n">
        <v>13</v>
      </c>
      <c r="B14">
        <f>IFERROR(MATCH($A14,HISTORICO!$Y$3:$Y$2002,0),"")</f>
        <v/>
      </c>
      <c r="C14">
        <f>IF($B14="","",INDEX(HISTORICO!$A$3:$A$2002,$B14))</f>
        <v/>
      </c>
      <c r="D14">
        <f>IF($B14="","",INDEX(HISTORICO!$C$3:$C$2002,$B14))</f>
        <v/>
      </c>
      <c r="E14">
        <f>IF($B14="","",INDEX(HISTORICO!$F$3:$F$2002,$B14))</f>
        <v/>
      </c>
      <c r="F14">
        <f>IF($B14="","",INDEX(HISTORICO!$G$3:$G$2002,$B14))</f>
        <v/>
      </c>
      <c r="G14">
        <f>IF($B14="","",INDEX(HISTORICO!$E$3:$E$2002,$B14))</f>
        <v/>
      </c>
      <c r="H14">
        <f>IF($B14="","",INDEX(HISTORICO!$H$3:$H$2002,$B14))</f>
        <v/>
      </c>
      <c r="I14">
        <f>IF($B14="","",INDEX(HISTORICO!$D$3:$D$2002,$B14))</f>
        <v/>
      </c>
      <c r="J14">
        <f>IF($B14="","",INDEX(HISTORICO!$B$3:$B$2002,$B14))</f>
        <v/>
      </c>
      <c r="K14">
        <f>IF($B14="","",INDEX(HISTORICO!$U$3:$U$2002,$B14))</f>
        <v/>
      </c>
      <c r="L14">
        <f>IF($B14="","",INDEX(HISTORICO!$I$3:$I$2002,$B14))</f>
        <v/>
      </c>
      <c r="M14">
        <f>IF($B14="","",INDEX(HISTORICO!$J$3:$J$2002,$B14))</f>
        <v/>
      </c>
      <c r="N14">
        <f>IF($B14="","",INDEX(HISTORICO!$K$3:$K$2002,$B14))</f>
        <v/>
      </c>
      <c r="O14">
        <f>IF($B14="","",INDEX(HISTORICO!$L$3:$L$2002,$B14))</f>
        <v/>
      </c>
      <c r="P14">
        <f>IF($B14="","",INDEX(HISTORICO!$M$3:$M$2002,$B14))</f>
        <v/>
      </c>
      <c r="Q14">
        <f>IF($B14="","",INDEX(HISTORICO!$N$3:$N$2002,$B14))</f>
        <v/>
      </c>
      <c r="R14">
        <f>IF($B14="","",INDEX(HISTORICO!$Q$3:$Q$2002,$B14))</f>
        <v/>
      </c>
      <c r="S14">
        <f>IF($B14="","",INDEX(HISTORICO!$P$3:$P$2002,$B14))</f>
        <v/>
      </c>
      <c r="T14">
        <f>IF($B14="","",INDEX(HISTORICO!$O$3:$O$2002,$B14))</f>
        <v/>
      </c>
      <c r="U14">
        <f>IF($B14="","",INDEX(HISTORICO!$R$3:$R$2002,$B14))</f>
        <v/>
      </c>
      <c r="V14">
        <f>IF($B14="","",INDEX(HISTORICO!$S$3:$S$2002,$B14))</f>
        <v/>
      </c>
      <c r="W14">
        <f>IF($B14="","",INDEX(HISTORICO!$T$3:$T$2002,$B14))</f>
        <v/>
      </c>
      <c r="X14">
        <f>IF($B14="","",INDEX(HISTORICO!$X$3:$X$2002,$B14))</f>
        <v/>
      </c>
      <c r="Y14">
        <f>IF($L14="","",IFERROR(INDEX(CONFIGURACOES!$C$37:$C$300,MATCH($L14,CONFIGURACOES!$B$37:$B$300,0)),""))</f>
        <v/>
      </c>
      <c r="Z14">
        <f>IF($L14="","",IFERROR(INDEX(CONFIGURACOES!$D$37:$D$300,MATCH($L14,CONFIGURACOES!$B$37:$B$300,0)),""))</f>
        <v/>
      </c>
      <c r="AA14">
        <f>IF($L14="","",IFERROR(INDEX(CONFIGURACOES!$E$37:$E$300,MATCH($L14,CONFIGURACOES!$B$37:$B$300,0)),""))</f>
        <v/>
      </c>
      <c r="AB14">
        <f>IF($L14="","",IFERROR(INDEX(CONFIGURACOES!$F$37:$F$300,MATCH($L14,CONFIGURACOES!$B$37:$B$300,0)),""))</f>
        <v/>
      </c>
      <c r="AC14">
        <f>IF($L14="","",IF($X14&lt;&gt;$X13,$AC13+1,$AC13))</f>
        <v/>
      </c>
      <c r="AD14">
        <f>IF($L14="","",IF($X14&lt;&gt;$X13,1,$AD13+1))</f>
        <v/>
      </c>
      <c r="AE14">
        <f>IF($L14="","",$AC14*10+$AD14)</f>
        <v/>
      </c>
      <c r="AF14">
        <f>IF($L14="","",SUMIF($X$2:$X$151,$X14,$U$2:$U$151))</f>
        <v/>
      </c>
      <c r="AG14">
        <f>IF($L14="","",SUMIF($X$2:$X$151,$X14,$W$2:$W$151))</f>
        <v/>
      </c>
    </row>
    <row r="15">
      <c r="A15" t="n">
        <v>14</v>
      </c>
      <c r="B15">
        <f>IFERROR(MATCH($A15,HISTORICO!$Y$3:$Y$2002,0),"")</f>
        <v/>
      </c>
      <c r="C15">
        <f>IF($B15="","",INDEX(HISTORICO!$A$3:$A$2002,$B15))</f>
        <v/>
      </c>
      <c r="D15">
        <f>IF($B15="","",INDEX(HISTORICO!$C$3:$C$2002,$B15))</f>
        <v/>
      </c>
      <c r="E15">
        <f>IF($B15="","",INDEX(HISTORICO!$F$3:$F$2002,$B15))</f>
        <v/>
      </c>
      <c r="F15">
        <f>IF($B15="","",INDEX(HISTORICO!$G$3:$G$2002,$B15))</f>
        <v/>
      </c>
      <c r="G15">
        <f>IF($B15="","",INDEX(HISTORICO!$E$3:$E$2002,$B15))</f>
        <v/>
      </c>
      <c r="H15">
        <f>IF($B15="","",INDEX(HISTORICO!$H$3:$H$2002,$B15))</f>
        <v/>
      </c>
      <c r="I15">
        <f>IF($B15="","",INDEX(HISTORICO!$D$3:$D$2002,$B15))</f>
        <v/>
      </c>
      <c r="J15">
        <f>IF($B15="","",INDEX(HISTORICO!$B$3:$B$2002,$B15))</f>
        <v/>
      </c>
      <c r="K15">
        <f>IF($B15="","",INDEX(HISTORICO!$U$3:$U$2002,$B15))</f>
        <v/>
      </c>
      <c r="L15">
        <f>IF($B15="","",INDEX(HISTORICO!$I$3:$I$2002,$B15))</f>
        <v/>
      </c>
      <c r="M15">
        <f>IF($B15="","",INDEX(HISTORICO!$J$3:$J$2002,$B15))</f>
        <v/>
      </c>
      <c r="N15">
        <f>IF($B15="","",INDEX(HISTORICO!$K$3:$K$2002,$B15))</f>
        <v/>
      </c>
      <c r="O15">
        <f>IF($B15="","",INDEX(HISTORICO!$L$3:$L$2002,$B15))</f>
        <v/>
      </c>
      <c r="P15">
        <f>IF($B15="","",INDEX(HISTORICO!$M$3:$M$2002,$B15))</f>
        <v/>
      </c>
      <c r="Q15">
        <f>IF($B15="","",INDEX(HISTORICO!$N$3:$N$2002,$B15))</f>
        <v/>
      </c>
      <c r="R15">
        <f>IF($B15="","",INDEX(HISTORICO!$Q$3:$Q$2002,$B15))</f>
        <v/>
      </c>
      <c r="S15">
        <f>IF($B15="","",INDEX(HISTORICO!$P$3:$P$2002,$B15))</f>
        <v/>
      </c>
      <c r="T15">
        <f>IF($B15="","",INDEX(HISTORICO!$O$3:$O$2002,$B15))</f>
        <v/>
      </c>
      <c r="U15">
        <f>IF($B15="","",INDEX(HISTORICO!$R$3:$R$2002,$B15))</f>
        <v/>
      </c>
      <c r="V15">
        <f>IF($B15="","",INDEX(HISTORICO!$S$3:$S$2002,$B15))</f>
        <v/>
      </c>
      <c r="W15">
        <f>IF($B15="","",INDEX(HISTORICO!$T$3:$T$2002,$B15))</f>
        <v/>
      </c>
      <c r="X15">
        <f>IF($B15="","",INDEX(HISTORICO!$X$3:$X$2002,$B15))</f>
        <v/>
      </c>
      <c r="Y15">
        <f>IF($L15="","",IFERROR(INDEX(CONFIGURACOES!$C$37:$C$300,MATCH($L15,CONFIGURACOES!$B$37:$B$300,0)),""))</f>
        <v/>
      </c>
      <c r="Z15">
        <f>IF($L15="","",IFERROR(INDEX(CONFIGURACOES!$D$37:$D$300,MATCH($L15,CONFIGURACOES!$B$37:$B$300,0)),""))</f>
        <v/>
      </c>
      <c r="AA15">
        <f>IF($L15="","",IFERROR(INDEX(CONFIGURACOES!$E$37:$E$300,MATCH($L15,CONFIGURACOES!$B$37:$B$300,0)),""))</f>
        <v/>
      </c>
      <c r="AB15">
        <f>IF($L15="","",IFERROR(INDEX(CONFIGURACOES!$F$37:$F$300,MATCH($L15,CONFIGURACOES!$B$37:$B$300,0)),""))</f>
        <v/>
      </c>
      <c r="AC15">
        <f>IF($L15="","",IF($X15&lt;&gt;$X14,$AC14+1,$AC14))</f>
        <v/>
      </c>
      <c r="AD15">
        <f>IF($L15="","",IF($X15&lt;&gt;$X14,1,$AD14+1))</f>
        <v/>
      </c>
      <c r="AE15">
        <f>IF($L15="","",$AC15*10+$AD15)</f>
        <v/>
      </c>
      <c r="AF15">
        <f>IF($L15="","",SUMIF($X$2:$X$151,$X15,$U$2:$U$151))</f>
        <v/>
      </c>
      <c r="AG15">
        <f>IF($L15="","",SUMIF($X$2:$X$151,$X15,$W$2:$W$151))</f>
        <v/>
      </c>
    </row>
    <row r="16">
      <c r="A16" t="n">
        <v>15</v>
      </c>
      <c r="B16">
        <f>IFERROR(MATCH($A16,HISTORICO!$Y$3:$Y$2002,0),"")</f>
        <v/>
      </c>
      <c r="C16">
        <f>IF($B16="","",INDEX(HISTORICO!$A$3:$A$2002,$B16))</f>
        <v/>
      </c>
      <c r="D16">
        <f>IF($B16="","",INDEX(HISTORICO!$C$3:$C$2002,$B16))</f>
        <v/>
      </c>
      <c r="E16">
        <f>IF($B16="","",INDEX(HISTORICO!$F$3:$F$2002,$B16))</f>
        <v/>
      </c>
      <c r="F16">
        <f>IF($B16="","",INDEX(HISTORICO!$G$3:$G$2002,$B16))</f>
        <v/>
      </c>
      <c r="G16">
        <f>IF($B16="","",INDEX(HISTORICO!$E$3:$E$2002,$B16))</f>
        <v/>
      </c>
      <c r="H16">
        <f>IF($B16="","",INDEX(HISTORICO!$H$3:$H$2002,$B16))</f>
        <v/>
      </c>
      <c r="I16">
        <f>IF($B16="","",INDEX(HISTORICO!$D$3:$D$2002,$B16))</f>
        <v/>
      </c>
      <c r="J16">
        <f>IF($B16="","",INDEX(HISTORICO!$B$3:$B$2002,$B16))</f>
        <v/>
      </c>
      <c r="K16">
        <f>IF($B16="","",INDEX(HISTORICO!$U$3:$U$2002,$B16))</f>
        <v/>
      </c>
      <c r="L16">
        <f>IF($B16="","",INDEX(HISTORICO!$I$3:$I$2002,$B16))</f>
        <v/>
      </c>
      <c r="M16">
        <f>IF($B16="","",INDEX(HISTORICO!$J$3:$J$2002,$B16))</f>
        <v/>
      </c>
      <c r="N16">
        <f>IF($B16="","",INDEX(HISTORICO!$K$3:$K$2002,$B16))</f>
        <v/>
      </c>
      <c r="O16">
        <f>IF($B16="","",INDEX(HISTORICO!$L$3:$L$2002,$B16))</f>
        <v/>
      </c>
      <c r="P16">
        <f>IF($B16="","",INDEX(HISTORICO!$M$3:$M$2002,$B16))</f>
        <v/>
      </c>
      <c r="Q16">
        <f>IF($B16="","",INDEX(HISTORICO!$N$3:$N$2002,$B16))</f>
        <v/>
      </c>
      <c r="R16">
        <f>IF($B16="","",INDEX(HISTORICO!$Q$3:$Q$2002,$B16))</f>
        <v/>
      </c>
      <c r="S16">
        <f>IF($B16="","",INDEX(HISTORICO!$P$3:$P$2002,$B16))</f>
        <v/>
      </c>
      <c r="T16">
        <f>IF($B16="","",INDEX(HISTORICO!$O$3:$O$2002,$B16))</f>
        <v/>
      </c>
      <c r="U16">
        <f>IF($B16="","",INDEX(HISTORICO!$R$3:$R$2002,$B16))</f>
        <v/>
      </c>
      <c r="V16">
        <f>IF($B16="","",INDEX(HISTORICO!$S$3:$S$2002,$B16))</f>
        <v/>
      </c>
      <c r="W16">
        <f>IF($B16="","",INDEX(HISTORICO!$T$3:$T$2002,$B16))</f>
        <v/>
      </c>
      <c r="X16">
        <f>IF($B16="","",INDEX(HISTORICO!$X$3:$X$2002,$B16))</f>
        <v/>
      </c>
      <c r="Y16">
        <f>IF($L16="","",IFERROR(INDEX(CONFIGURACOES!$C$37:$C$300,MATCH($L16,CONFIGURACOES!$B$37:$B$300,0)),""))</f>
        <v/>
      </c>
      <c r="Z16">
        <f>IF($L16="","",IFERROR(INDEX(CONFIGURACOES!$D$37:$D$300,MATCH($L16,CONFIGURACOES!$B$37:$B$300,0)),""))</f>
        <v/>
      </c>
      <c r="AA16">
        <f>IF($L16="","",IFERROR(INDEX(CONFIGURACOES!$E$37:$E$300,MATCH($L16,CONFIGURACOES!$B$37:$B$300,0)),""))</f>
        <v/>
      </c>
      <c r="AB16">
        <f>IF($L16="","",IFERROR(INDEX(CONFIGURACOES!$F$37:$F$300,MATCH($L16,CONFIGURACOES!$B$37:$B$300,0)),""))</f>
        <v/>
      </c>
      <c r="AC16">
        <f>IF($L16="","",IF($X16&lt;&gt;$X15,$AC15+1,$AC15))</f>
        <v/>
      </c>
      <c r="AD16">
        <f>IF($L16="","",IF($X16&lt;&gt;$X15,1,$AD15+1))</f>
        <v/>
      </c>
      <c r="AE16">
        <f>IF($L16="","",$AC16*10+$AD16)</f>
        <v/>
      </c>
      <c r="AF16">
        <f>IF($L16="","",SUMIF($X$2:$X$151,$X16,$U$2:$U$151))</f>
        <v/>
      </c>
      <c r="AG16">
        <f>IF($L16="","",SUMIF($X$2:$X$151,$X16,$W$2:$W$151))</f>
        <v/>
      </c>
    </row>
    <row r="17">
      <c r="A17" t="n">
        <v>16</v>
      </c>
      <c r="B17">
        <f>IFERROR(MATCH($A17,HISTORICO!$Y$3:$Y$2002,0),"")</f>
        <v/>
      </c>
      <c r="C17">
        <f>IF($B17="","",INDEX(HISTORICO!$A$3:$A$2002,$B17))</f>
        <v/>
      </c>
      <c r="D17">
        <f>IF($B17="","",INDEX(HISTORICO!$C$3:$C$2002,$B17))</f>
        <v/>
      </c>
      <c r="E17">
        <f>IF($B17="","",INDEX(HISTORICO!$F$3:$F$2002,$B17))</f>
        <v/>
      </c>
      <c r="F17">
        <f>IF($B17="","",INDEX(HISTORICO!$G$3:$G$2002,$B17))</f>
        <v/>
      </c>
      <c r="G17">
        <f>IF($B17="","",INDEX(HISTORICO!$E$3:$E$2002,$B17))</f>
        <v/>
      </c>
      <c r="H17">
        <f>IF($B17="","",INDEX(HISTORICO!$H$3:$H$2002,$B17))</f>
        <v/>
      </c>
      <c r="I17">
        <f>IF($B17="","",INDEX(HISTORICO!$D$3:$D$2002,$B17))</f>
        <v/>
      </c>
      <c r="J17">
        <f>IF($B17="","",INDEX(HISTORICO!$B$3:$B$2002,$B17))</f>
        <v/>
      </c>
      <c r="K17">
        <f>IF($B17="","",INDEX(HISTORICO!$U$3:$U$2002,$B17))</f>
        <v/>
      </c>
      <c r="L17">
        <f>IF($B17="","",INDEX(HISTORICO!$I$3:$I$2002,$B17))</f>
        <v/>
      </c>
      <c r="M17">
        <f>IF($B17="","",INDEX(HISTORICO!$J$3:$J$2002,$B17))</f>
        <v/>
      </c>
      <c r="N17">
        <f>IF($B17="","",INDEX(HISTORICO!$K$3:$K$2002,$B17))</f>
        <v/>
      </c>
      <c r="O17">
        <f>IF($B17="","",INDEX(HISTORICO!$L$3:$L$2002,$B17))</f>
        <v/>
      </c>
      <c r="P17">
        <f>IF($B17="","",INDEX(HISTORICO!$M$3:$M$2002,$B17))</f>
        <v/>
      </c>
      <c r="Q17">
        <f>IF($B17="","",INDEX(HISTORICO!$N$3:$N$2002,$B17))</f>
        <v/>
      </c>
      <c r="R17">
        <f>IF($B17="","",INDEX(HISTORICO!$Q$3:$Q$2002,$B17))</f>
        <v/>
      </c>
      <c r="S17">
        <f>IF($B17="","",INDEX(HISTORICO!$P$3:$P$2002,$B17))</f>
        <v/>
      </c>
      <c r="T17">
        <f>IF($B17="","",INDEX(HISTORICO!$O$3:$O$2002,$B17))</f>
        <v/>
      </c>
      <c r="U17">
        <f>IF($B17="","",INDEX(HISTORICO!$R$3:$R$2002,$B17))</f>
        <v/>
      </c>
      <c r="V17">
        <f>IF($B17="","",INDEX(HISTORICO!$S$3:$S$2002,$B17))</f>
        <v/>
      </c>
      <c r="W17">
        <f>IF($B17="","",INDEX(HISTORICO!$T$3:$T$2002,$B17))</f>
        <v/>
      </c>
      <c r="X17">
        <f>IF($B17="","",INDEX(HISTORICO!$X$3:$X$2002,$B17))</f>
        <v/>
      </c>
      <c r="Y17">
        <f>IF($L17="","",IFERROR(INDEX(CONFIGURACOES!$C$37:$C$300,MATCH($L17,CONFIGURACOES!$B$37:$B$300,0)),""))</f>
        <v/>
      </c>
      <c r="Z17">
        <f>IF($L17="","",IFERROR(INDEX(CONFIGURACOES!$D$37:$D$300,MATCH($L17,CONFIGURACOES!$B$37:$B$300,0)),""))</f>
        <v/>
      </c>
      <c r="AA17">
        <f>IF($L17="","",IFERROR(INDEX(CONFIGURACOES!$E$37:$E$300,MATCH($L17,CONFIGURACOES!$B$37:$B$300,0)),""))</f>
        <v/>
      </c>
      <c r="AB17">
        <f>IF($L17="","",IFERROR(INDEX(CONFIGURACOES!$F$37:$F$300,MATCH($L17,CONFIGURACOES!$B$37:$B$300,0)),""))</f>
        <v/>
      </c>
      <c r="AC17">
        <f>IF($L17="","",IF($X17&lt;&gt;$X16,$AC16+1,$AC16))</f>
        <v/>
      </c>
      <c r="AD17">
        <f>IF($L17="","",IF($X17&lt;&gt;$X16,1,$AD16+1))</f>
        <v/>
      </c>
      <c r="AE17">
        <f>IF($L17="","",$AC17*10+$AD17)</f>
        <v/>
      </c>
      <c r="AF17">
        <f>IF($L17="","",SUMIF($X$2:$X$151,$X17,$U$2:$U$151))</f>
        <v/>
      </c>
      <c r="AG17">
        <f>IF($L17="","",SUMIF($X$2:$X$151,$X17,$W$2:$W$151))</f>
        <v/>
      </c>
    </row>
    <row r="18">
      <c r="A18" t="n">
        <v>17</v>
      </c>
      <c r="B18">
        <f>IFERROR(MATCH($A18,HISTORICO!$Y$3:$Y$2002,0),"")</f>
        <v/>
      </c>
      <c r="C18">
        <f>IF($B18="","",INDEX(HISTORICO!$A$3:$A$2002,$B18))</f>
        <v/>
      </c>
      <c r="D18">
        <f>IF($B18="","",INDEX(HISTORICO!$C$3:$C$2002,$B18))</f>
        <v/>
      </c>
      <c r="E18">
        <f>IF($B18="","",INDEX(HISTORICO!$F$3:$F$2002,$B18))</f>
        <v/>
      </c>
      <c r="F18">
        <f>IF($B18="","",INDEX(HISTORICO!$G$3:$G$2002,$B18))</f>
        <v/>
      </c>
      <c r="G18">
        <f>IF($B18="","",INDEX(HISTORICO!$E$3:$E$2002,$B18))</f>
        <v/>
      </c>
      <c r="H18">
        <f>IF($B18="","",INDEX(HISTORICO!$H$3:$H$2002,$B18))</f>
        <v/>
      </c>
      <c r="I18">
        <f>IF($B18="","",INDEX(HISTORICO!$D$3:$D$2002,$B18))</f>
        <v/>
      </c>
      <c r="J18">
        <f>IF($B18="","",INDEX(HISTORICO!$B$3:$B$2002,$B18))</f>
        <v/>
      </c>
      <c r="K18">
        <f>IF($B18="","",INDEX(HISTORICO!$U$3:$U$2002,$B18))</f>
        <v/>
      </c>
      <c r="L18">
        <f>IF($B18="","",INDEX(HISTORICO!$I$3:$I$2002,$B18))</f>
        <v/>
      </c>
      <c r="M18">
        <f>IF($B18="","",INDEX(HISTORICO!$J$3:$J$2002,$B18))</f>
        <v/>
      </c>
      <c r="N18">
        <f>IF($B18="","",INDEX(HISTORICO!$K$3:$K$2002,$B18))</f>
        <v/>
      </c>
      <c r="O18">
        <f>IF($B18="","",INDEX(HISTORICO!$L$3:$L$2002,$B18))</f>
        <v/>
      </c>
      <c r="P18">
        <f>IF($B18="","",INDEX(HISTORICO!$M$3:$M$2002,$B18))</f>
        <v/>
      </c>
      <c r="Q18">
        <f>IF($B18="","",INDEX(HISTORICO!$N$3:$N$2002,$B18))</f>
        <v/>
      </c>
      <c r="R18">
        <f>IF($B18="","",INDEX(HISTORICO!$Q$3:$Q$2002,$B18))</f>
        <v/>
      </c>
      <c r="S18">
        <f>IF($B18="","",INDEX(HISTORICO!$P$3:$P$2002,$B18))</f>
        <v/>
      </c>
      <c r="T18">
        <f>IF($B18="","",INDEX(HISTORICO!$O$3:$O$2002,$B18))</f>
        <v/>
      </c>
      <c r="U18">
        <f>IF($B18="","",INDEX(HISTORICO!$R$3:$R$2002,$B18))</f>
        <v/>
      </c>
      <c r="V18">
        <f>IF($B18="","",INDEX(HISTORICO!$S$3:$S$2002,$B18))</f>
        <v/>
      </c>
      <c r="W18">
        <f>IF($B18="","",INDEX(HISTORICO!$T$3:$T$2002,$B18))</f>
        <v/>
      </c>
      <c r="X18">
        <f>IF($B18="","",INDEX(HISTORICO!$X$3:$X$2002,$B18))</f>
        <v/>
      </c>
      <c r="Y18">
        <f>IF($L18="","",IFERROR(INDEX(CONFIGURACOES!$C$37:$C$300,MATCH($L18,CONFIGURACOES!$B$37:$B$300,0)),""))</f>
        <v/>
      </c>
      <c r="Z18">
        <f>IF($L18="","",IFERROR(INDEX(CONFIGURACOES!$D$37:$D$300,MATCH($L18,CONFIGURACOES!$B$37:$B$300,0)),""))</f>
        <v/>
      </c>
      <c r="AA18">
        <f>IF($L18="","",IFERROR(INDEX(CONFIGURACOES!$E$37:$E$300,MATCH($L18,CONFIGURACOES!$B$37:$B$300,0)),""))</f>
        <v/>
      </c>
      <c r="AB18">
        <f>IF($L18="","",IFERROR(INDEX(CONFIGURACOES!$F$37:$F$300,MATCH($L18,CONFIGURACOES!$B$37:$B$300,0)),""))</f>
        <v/>
      </c>
      <c r="AC18">
        <f>IF($L18="","",IF($X18&lt;&gt;$X17,$AC17+1,$AC17))</f>
        <v/>
      </c>
      <c r="AD18">
        <f>IF($L18="","",IF($X18&lt;&gt;$X17,1,$AD17+1))</f>
        <v/>
      </c>
      <c r="AE18">
        <f>IF($L18="","",$AC18*10+$AD18)</f>
        <v/>
      </c>
      <c r="AF18">
        <f>IF($L18="","",SUMIF($X$2:$X$151,$X18,$U$2:$U$151))</f>
        <v/>
      </c>
      <c r="AG18">
        <f>IF($L18="","",SUMIF($X$2:$X$151,$X18,$W$2:$W$151))</f>
        <v/>
      </c>
    </row>
    <row r="19">
      <c r="A19" t="n">
        <v>18</v>
      </c>
      <c r="B19">
        <f>IFERROR(MATCH($A19,HISTORICO!$Y$3:$Y$2002,0),"")</f>
        <v/>
      </c>
      <c r="C19">
        <f>IF($B19="","",INDEX(HISTORICO!$A$3:$A$2002,$B19))</f>
        <v/>
      </c>
      <c r="D19">
        <f>IF($B19="","",INDEX(HISTORICO!$C$3:$C$2002,$B19))</f>
        <v/>
      </c>
      <c r="E19">
        <f>IF($B19="","",INDEX(HISTORICO!$F$3:$F$2002,$B19))</f>
        <v/>
      </c>
      <c r="F19">
        <f>IF($B19="","",INDEX(HISTORICO!$G$3:$G$2002,$B19))</f>
        <v/>
      </c>
      <c r="G19">
        <f>IF($B19="","",INDEX(HISTORICO!$E$3:$E$2002,$B19))</f>
        <v/>
      </c>
      <c r="H19">
        <f>IF($B19="","",INDEX(HISTORICO!$H$3:$H$2002,$B19))</f>
        <v/>
      </c>
      <c r="I19">
        <f>IF($B19="","",INDEX(HISTORICO!$D$3:$D$2002,$B19))</f>
        <v/>
      </c>
      <c r="J19">
        <f>IF($B19="","",INDEX(HISTORICO!$B$3:$B$2002,$B19))</f>
        <v/>
      </c>
      <c r="K19">
        <f>IF($B19="","",INDEX(HISTORICO!$U$3:$U$2002,$B19))</f>
        <v/>
      </c>
      <c r="L19">
        <f>IF($B19="","",INDEX(HISTORICO!$I$3:$I$2002,$B19))</f>
        <v/>
      </c>
      <c r="M19">
        <f>IF($B19="","",INDEX(HISTORICO!$J$3:$J$2002,$B19))</f>
        <v/>
      </c>
      <c r="N19">
        <f>IF($B19="","",INDEX(HISTORICO!$K$3:$K$2002,$B19))</f>
        <v/>
      </c>
      <c r="O19">
        <f>IF($B19="","",INDEX(HISTORICO!$L$3:$L$2002,$B19))</f>
        <v/>
      </c>
      <c r="P19">
        <f>IF($B19="","",INDEX(HISTORICO!$M$3:$M$2002,$B19))</f>
        <v/>
      </c>
      <c r="Q19">
        <f>IF($B19="","",INDEX(HISTORICO!$N$3:$N$2002,$B19))</f>
        <v/>
      </c>
      <c r="R19">
        <f>IF($B19="","",INDEX(HISTORICO!$Q$3:$Q$2002,$B19))</f>
        <v/>
      </c>
      <c r="S19">
        <f>IF($B19="","",INDEX(HISTORICO!$P$3:$P$2002,$B19))</f>
        <v/>
      </c>
      <c r="T19">
        <f>IF($B19="","",INDEX(HISTORICO!$O$3:$O$2002,$B19))</f>
        <v/>
      </c>
      <c r="U19">
        <f>IF($B19="","",INDEX(HISTORICO!$R$3:$R$2002,$B19))</f>
        <v/>
      </c>
      <c r="V19">
        <f>IF($B19="","",INDEX(HISTORICO!$S$3:$S$2002,$B19))</f>
        <v/>
      </c>
      <c r="W19">
        <f>IF($B19="","",INDEX(HISTORICO!$T$3:$T$2002,$B19))</f>
        <v/>
      </c>
      <c r="X19">
        <f>IF($B19="","",INDEX(HISTORICO!$X$3:$X$2002,$B19))</f>
        <v/>
      </c>
      <c r="Y19">
        <f>IF($L19="","",IFERROR(INDEX(CONFIGURACOES!$C$37:$C$300,MATCH($L19,CONFIGURACOES!$B$37:$B$300,0)),""))</f>
        <v/>
      </c>
      <c r="Z19">
        <f>IF($L19="","",IFERROR(INDEX(CONFIGURACOES!$D$37:$D$300,MATCH($L19,CONFIGURACOES!$B$37:$B$300,0)),""))</f>
        <v/>
      </c>
      <c r="AA19">
        <f>IF($L19="","",IFERROR(INDEX(CONFIGURACOES!$E$37:$E$300,MATCH($L19,CONFIGURACOES!$B$37:$B$300,0)),""))</f>
        <v/>
      </c>
      <c r="AB19">
        <f>IF($L19="","",IFERROR(INDEX(CONFIGURACOES!$F$37:$F$300,MATCH($L19,CONFIGURACOES!$B$37:$B$300,0)),""))</f>
        <v/>
      </c>
      <c r="AC19">
        <f>IF($L19="","",IF($X19&lt;&gt;$X18,$AC18+1,$AC18))</f>
        <v/>
      </c>
      <c r="AD19">
        <f>IF($L19="","",IF($X19&lt;&gt;$X18,1,$AD18+1))</f>
        <v/>
      </c>
      <c r="AE19">
        <f>IF($L19="","",$AC19*10+$AD19)</f>
        <v/>
      </c>
      <c r="AF19">
        <f>IF($L19="","",SUMIF($X$2:$X$151,$X19,$U$2:$U$151))</f>
        <v/>
      </c>
      <c r="AG19">
        <f>IF($L19="","",SUMIF($X$2:$X$151,$X19,$W$2:$W$151))</f>
        <v/>
      </c>
    </row>
    <row r="20">
      <c r="A20" t="n">
        <v>19</v>
      </c>
      <c r="B20">
        <f>IFERROR(MATCH($A20,HISTORICO!$Y$3:$Y$2002,0),"")</f>
        <v/>
      </c>
      <c r="C20">
        <f>IF($B20="","",INDEX(HISTORICO!$A$3:$A$2002,$B20))</f>
        <v/>
      </c>
      <c r="D20">
        <f>IF($B20="","",INDEX(HISTORICO!$C$3:$C$2002,$B20))</f>
        <v/>
      </c>
      <c r="E20">
        <f>IF($B20="","",INDEX(HISTORICO!$F$3:$F$2002,$B20))</f>
        <v/>
      </c>
      <c r="F20">
        <f>IF($B20="","",INDEX(HISTORICO!$G$3:$G$2002,$B20))</f>
        <v/>
      </c>
      <c r="G20">
        <f>IF($B20="","",INDEX(HISTORICO!$E$3:$E$2002,$B20))</f>
        <v/>
      </c>
      <c r="H20">
        <f>IF($B20="","",INDEX(HISTORICO!$H$3:$H$2002,$B20))</f>
        <v/>
      </c>
      <c r="I20">
        <f>IF($B20="","",INDEX(HISTORICO!$D$3:$D$2002,$B20))</f>
        <v/>
      </c>
      <c r="J20">
        <f>IF($B20="","",INDEX(HISTORICO!$B$3:$B$2002,$B20))</f>
        <v/>
      </c>
      <c r="K20">
        <f>IF($B20="","",INDEX(HISTORICO!$U$3:$U$2002,$B20))</f>
        <v/>
      </c>
      <c r="L20">
        <f>IF($B20="","",INDEX(HISTORICO!$I$3:$I$2002,$B20))</f>
        <v/>
      </c>
      <c r="M20">
        <f>IF($B20="","",INDEX(HISTORICO!$J$3:$J$2002,$B20))</f>
        <v/>
      </c>
      <c r="N20">
        <f>IF($B20="","",INDEX(HISTORICO!$K$3:$K$2002,$B20))</f>
        <v/>
      </c>
      <c r="O20">
        <f>IF($B20="","",INDEX(HISTORICO!$L$3:$L$2002,$B20))</f>
        <v/>
      </c>
      <c r="P20">
        <f>IF($B20="","",INDEX(HISTORICO!$M$3:$M$2002,$B20))</f>
        <v/>
      </c>
      <c r="Q20">
        <f>IF($B20="","",INDEX(HISTORICO!$N$3:$N$2002,$B20))</f>
        <v/>
      </c>
      <c r="R20">
        <f>IF($B20="","",INDEX(HISTORICO!$Q$3:$Q$2002,$B20))</f>
        <v/>
      </c>
      <c r="S20">
        <f>IF($B20="","",INDEX(HISTORICO!$P$3:$P$2002,$B20))</f>
        <v/>
      </c>
      <c r="T20">
        <f>IF($B20="","",INDEX(HISTORICO!$O$3:$O$2002,$B20))</f>
        <v/>
      </c>
      <c r="U20">
        <f>IF($B20="","",INDEX(HISTORICO!$R$3:$R$2002,$B20))</f>
        <v/>
      </c>
      <c r="V20">
        <f>IF($B20="","",INDEX(HISTORICO!$S$3:$S$2002,$B20))</f>
        <v/>
      </c>
      <c r="W20">
        <f>IF($B20="","",INDEX(HISTORICO!$T$3:$T$2002,$B20))</f>
        <v/>
      </c>
      <c r="X20">
        <f>IF($B20="","",INDEX(HISTORICO!$X$3:$X$2002,$B20))</f>
        <v/>
      </c>
      <c r="Y20">
        <f>IF($L20="","",IFERROR(INDEX(CONFIGURACOES!$C$37:$C$300,MATCH($L20,CONFIGURACOES!$B$37:$B$300,0)),""))</f>
        <v/>
      </c>
      <c r="Z20">
        <f>IF($L20="","",IFERROR(INDEX(CONFIGURACOES!$D$37:$D$300,MATCH($L20,CONFIGURACOES!$B$37:$B$300,0)),""))</f>
        <v/>
      </c>
      <c r="AA20">
        <f>IF($L20="","",IFERROR(INDEX(CONFIGURACOES!$E$37:$E$300,MATCH($L20,CONFIGURACOES!$B$37:$B$300,0)),""))</f>
        <v/>
      </c>
      <c r="AB20">
        <f>IF($L20="","",IFERROR(INDEX(CONFIGURACOES!$F$37:$F$300,MATCH($L20,CONFIGURACOES!$B$37:$B$300,0)),""))</f>
        <v/>
      </c>
      <c r="AC20">
        <f>IF($L20="","",IF($X20&lt;&gt;$X19,$AC19+1,$AC19))</f>
        <v/>
      </c>
      <c r="AD20">
        <f>IF($L20="","",IF($X20&lt;&gt;$X19,1,$AD19+1))</f>
        <v/>
      </c>
      <c r="AE20">
        <f>IF($L20="","",$AC20*10+$AD20)</f>
        <v/>
      </c>
      <c r="AF20">
        <f>IF($L20="","",SUMIF($X$2:$X$151,$X20,$U$2:$U$151))</f>
        <v/>
      </c>
      <c r="AG20">
        <f>IF($L20="","",SUMIF($X$2:$X$151,$X20,$W$2:$W$151))</f>
        <v/>
      </c>
    </row>
    <row r="21">
      <c r="A21" t="n">
        <v>20</v>
      </c>
      <c r="B21">
        <f>IFERROR(MATCH($A21,HISTORICO!$Y$3:$Y$2002,0),"")</f>
        <v/>
      </c>
      <c r="C21">
        <f>IF($B21="","",INDEX(HISTORICO!$A$3:$A$2002,$B21))</f>
        <v/>
      </c>
      <c r="D21">
        <f>IF($B21="","",INDEX(HISTORICO!$C$3:$C$2002,$B21))</f>
        <v/>
      </c>
      <c r="E21">
        <f>IF($B21="","",INDEX(HISTORICO!$F$3:$F$2002,$B21))</f>
        <v/>
      </c>
      <c r="F21">
        <f>IF($B21="","",INDEX(HISTORICO!$G$3:$G$2002,$B21))</f>
        <v/>
      </c>
      <c r="G21">
        <f>IF($B21="","",INDEX(HISTORICO!$E$3:$E$2002,$B21))</f>
        <v/>
      </c>
      <c r="H21">
        <f>IF($B21="","",INDEX(HISTORICO!$H$3:$H$2002,$B21))</f>
        <v/>
      </c>
      <c r="I21">
        <f>IF($B21="","",INDEX(HISTORICO!$D$3:$D$2002,$B21))</f>
        <v/>
      </c>
      <c r="J21">
        <f>IF($B21="","",INDEX(HISTORICO!$B$3:$B$2002,$B21))</f>
        <v/>
      </c>
      <c r="K21">
        <f>IF($B21="","",INDEX(HISTORICO!$U$3:$U$2002,$B21))</f>
        <v/>
      </c>
      <c r="L21">
        <f>IF($B21="","",INDEX(HISTORICO!$I$3:$I$2002,$B21))</f>
        <v/>
      </c>
      <c r="M21">
        <f>IF($B21="","",INDEX(HISTORICO!$J$3:$J$2002,$B21))</f>
        <v/>
      </c>
      <c r="N21">
        <f>IF($B21="","",INDEX(HISTORICO!$K$3:$K$2002,$B21))</f>
        <v/>
      </c>
      <c r="O21">
        <f>IF($B21="","",INDEX(HISTORICO!$L$3:$L$2002,$B21))</f>
        <v/>
      </c>
      <c r="P21">
        <f>IF($B21="","",INDEX(HISTORICO!$M$3:$M$2002,$B21))</f>
        <v/>
      </c>
      <c r="Q21">
        <f>IF($B21="","",INDEX(HISTORICO!$N$3:$N$2002,$B21))</f>
        <v/>
      </c>
      <c r="R21">
        <f>IF($B21="","",INDEX(HISTORICO!$Q$3:$Q$2002,$B21))</f>
        <v/>
      </c>
      <c r="S21">
        <f>IF($B21="","",INDEX(HISTORICO!$P$3:$P$2002,$B21))</f>
        <v/>
      </c>
      <c r="T21">
        <f>IF($B21="","",INDEX(HISTORICO!$O$3:$O$2002,$B21))</f>
        <v/>
      </c>
      <c r="U21">
        <f>IF($B21="","",INDEX(HISTORICO!$R$3:$R$2002,$B21))</f>
        <v/>
      </c>
      <c r="V21">
        <f>IF($B21="","",INDEX(HISTORICO!$S$3:$S$2002,$B21))</f>
        <v/>
      </c>
      <c r="W21">
        <f>IF($B21="","",INDEX(HISTORICO!$T$3:$T$2002,$B21))</f>
        <v/>
      </c>
      <c r="X21">
        <f>IF($B21="","",INDEX(HISTORICO!$X$3:$X$2002,$B21))</f>
        <v/>
      </c>
      <c r="Y21">
        <f>IF($L21="","",IFERROR(INDEX(CONFIGURACOES!$C$37:$C$300,MATCH($L21,CONFIGURACOES!$B$37:$B$300,0)),""))</f>
        <v/>
      </c>
      <c r="Z21">
        <f>IF($L21="","",IFERROR(INDEX(CONFIGURACOES!$D$37:$D$300,MATCH($L21,CONFIGURACOES!$B$37:$B$300,0)),""))</f>
        <v/>
      </c>
      <c r="AA21">
        <f>IF($L21="","",IFERROR(INDEX(CONFIGURACOES!$E$37:$E$300,MATCH($L21,CONFIGURACOES!$B$37:$B$300,0)),""))</f>
        <v/>
      </c>
      <c r="AB21">
        <f>IF($L21="","",IFERROR(INDEX(CONFIGURACOES!$F$37:$F$300,MATCH($L21,CONFIGURACOES!$B$37:$B$300,0)),""))</f>
        <v/>
      </c>
      <c r="AC21">
        <f>IF($L21="","",IF($X21&lt;&gt;$X20,$AC20+1,$AC20))</f>
        <v/>
      </c>
      <c r="AD21">
        <f>IF($L21="","",IF($X21&lt;&gt;$X20,1,$AD20+1))</f>
        <v/>
      </c>
      <c r="AE21">
        <f>IF($L21="","",$AC21*10+$AD21)</f>
        <v/>
      </c>
      <c r="AF21">
        <f>IF($L21="","",SUMIF($X$2:$X$151,$X21,$U$2:$U$151))</f>
        <v/>
      </c>
      <c r="AG21">
        <f>IF($L21="","",SUMIF($X$2:$X$151,$X21,$W$2:$W$151))</f>
        <v/>
      </c>
    </row>
    <row r="22">
      <c r="A22" t="n">
        <v>21</v>
      </c>
      <c r="B22">
        <f>IFERROR(MATCH($A22,HISTORICO!$Y$3:$Y$2002,0),"")</f>
        <v/>
      </c>
      <c r="C22">
        <f>IF($B22="","",INDEX(HISTORICO!$A$3:$A$2002,$B22))</f>
        <v/>
      </c>
      <c r="D22">
        <f>IF($B22="","",INDEX(HISTORICO!$C$3:$C$2002,$B22))</f>
        <v/>
      </c>
      <c r="E22">
        <f>IF($B22="","",INDEX(HISTORICO!$F$3:$F$2002,$B22))</f>
        <v/>
      </c>
      <c r="F22">
        <f>IF($B22="","",INDEX(HISTORICO!$G$3:$G$2002,$B22))</f>
        <v/>
      </c>
      <c r="G22">
        <f>IF($B22="","",INDEX(HISTORICO!$E$3:$E$2002,$B22))</f>
        <v/>
      </c>
      <c r="H22">
        <f>IF($B22="","",INDEX(HISTORICO!$H$3:$H$2002,$B22))</f>
        <v/>
      </c>
      <c r="I22">
        <f>IF($B22="","",INDEX(HISTORICO!$D$3:$D$2002,$B22))</f>
        <v/>
      </c>
      <c r="J22">
        <f>IF($B22="","",INDEX(HISTORICO!$B$3:$B$2002,$B22))</f>
        <v/>
      </c>
      <c r="K22">
        <f>IF($B22="","",INDEX(HISTORICO!$U$3:$U$2002,$B22))</f>
        <v/>
      </c>
      <c r="L22">
        <f>IF($B22="","",INDEX(HISTORICO!$I$3:$I$2002,$B22))</f>
        <v/>
      </c>
      <c r="M22">
        <f>IF($B22="","",INDEX(HISTORICO!$J$3:$J$2002,$B22))</f>
        <v/>
      </c>
      <c r="N22">
        <f>IF($B22="","",INDEX(HISTORICO!$K$3:$K$2002,$B22))</f>
        <v/>
      </c>
      <c r="O22">
        <f>IF($B22="","",INDEX(HISTORICO!$L$3:$L$2002,$B22))</f>
        <v/>
      </c>
      <c r="P22">
        <f>IF($B22="","",INDEX(HISTORICO!$M$3:$M$2002,$B22))</f>
        <v/>
      </c>
      <c r="Q22">
        <f>IF($B22="","",INDEX(HISTORICO!$N$3:$N$2002,$B22))</f>
        <v/>
      </c>
      <c r="R22">
        <f>IF($B22="","",INDEX(HISTORICO!$Q$3:$Q$2002,$B22))</f>
        <v/>
      </c>
      <c r="S22">
        <f>IF($B22="","",INDEX(HISTORICO!$P$3:$P$2002,$B22))</f>
        <v/>
      </c>
      <c r="T22">
        <f>IF($B22="","",INDEX(HISTORICO!$O$3:$O$2002,$B22))</f>
        <v/>
      </c>
      <c r="U22">
        <f>IF($B22="","",INDEX(HISTORICO!$R$3:$R$2002,$B22))</f>
        <v/>
      </c>
      <c r="V22">
        <f>IF($B22="","",INDEX(HISTORICO!$S$3:$S$2002,$B22))</f>
        <v/>
      </c>
      <c r="W22">
        <f>IF($B22="","",INDEX(HISTORICO!$T$3:$T$2002,$B22))</f>
        <v/>
      </c>
      <c r="X22">
        <f>IF($B22="","",INDEX(HISTORICO!$X$3:$X$2002,$B22))</f>
        <v/>
      </c>
      <c r="Y22">
        <f>IF($L22="","",IFERROR(INDEX(CONFIGURACOES!$C$37:$C$300,MATCH($L22,CONFIGURACOES!$B$37:$B$300,0)),""))</f>
        <v/>
      </c>
      <c r="Z22">
        <f>IF($L22="","",IFERROR(INDEX(CONFIGURACOES!$D$37:$D$300,MATCH($L22,CONFIGURACOES!$B$37:$B$300,0)),""))</f>
        <v/>
      </c>
      <c r="AA22">
        <f>IF($L22="","",IFERROR(INDEX(CONFIGURACOES!$E$37:$E$300,MATCH($L22,CONFIGURACOES!$B$37:$B$300,0)),""))</f>
        <v/>
      </c>
      <c r="AB22">
        <f>IF($L22="","",IFERROR(INDEX(CONFIGURACOES!$F$37:$F$300,MATCH($L22,CONFIGURACOES!$B$37:$B$300,0)),""))</f>
        <v/>
      </c>
      <c r="AC22">
        <f>IF($L22="","",IF($X22&lt;&gt;$X21,$AC21+1,$AC21))</f>
        <v/>
      </c>
      <c r="AD22">
        <f>IF($L22="","",IF($X22&lt;&gt;$X21,1,$AD21+1))</f>
        <v/>
      </c>
      <c r="AE22">
        <f>IF($L22="","",$AC22*10+$AD22)</f>
        <v/>
      </c>
      <c r="AF22">
        <f>IF($L22="","",SUMIF($X$2:$X$151,$X22,$U$2:$U$151))</f>
        <v/>
      </c>
      <c r="AG22">
        <f>IF($L22="","",SUMIF($X$2:$X$151,$X22,$W$2:$W$151))</f>
        <v/>
      </c>
    </row>
    <row r="23">
      <c r="A23" t="n">
        <v>22</v>
      </c>
      <c r="B23">
        <f>IFERROR(MATCH($A23,HISTORICO!$Y$3:$Y$2002,0),"")</f>
        <v/>
      </c>
      <c r="C23">
        <f>IF($B23="","",INDEX(HISTORICO!$A$3:$A$2002,$B23))</f>
        <v/>
      </c>
      <c r="D23">
        <f>IF($B23="","",INDEX(HISTORICO!$C$3:$C$2002,$B23))</f>
        <v/>
      </c>
      <c r="E23">
        <f>IF($B23="","",INDEX(HISTORICO!$F$3:$F$2002,$B23))</f>
        <v/>
      </c>
      <c r="F23">
        <f>IF($B23="","",INDEX(HISTORICO!$G$3:$G$2002,$B23))</f>
        <v/>
      </c>
      <c r="G23">
        <f>IF($B23="","",INDEX(HISTORICO!$E$3:$E$2002,$B23))</f>
        <v/>
      </c>
      <c r="H23">
        <f>IF($B23="","",INDEX(HISTORICO!$H$3:$H$2002,$B23))</f>
        <v/>
      </c>
      <c r="I23">
        <f>IF($B23="","",INDEX(HISTORICO!$D$3:$D$2002,$B23))</f>
        <v/>
      </c>
      <c r="J23">
        <f>IF($B23="","",INDEX(HISTORICO!$B$3:$B$2002,$B23))</f>
        <v/>
      </c>
      <c r="K23">
        <f>IF($B23="","",INDEX(HISTORICO!$U$3:$U$2002,$B23))</f>
        <v/>
      </c>
      <c r="L23">
        <f>IF($B23="","",INDEX(HISTORICO!$I$3:$I$2002,$B23))</f>
        <v/>
      </c>
      <c r="M23">
        <f>IF($B23="","",INDEX(HISTORICO!$J$3:$J$2002,$B23))</f>
        <v/>
      </c>
      <c r="N23">
        <f>IF($B23="","",INDEX(HISTORICO!$K$3:$K$2002,$B23))</f>
        <v/>
      </c>
      <c r="O23">
        <f>IF($B23="","",INDEX(HISTORICO!$L$3:$L$2002,$B23))</f>
        <v/>
      </c>
      <c r="P23">
        <f>IF($B23="","",INDEX(HISTORICO!$M$3:$M$2002,$B23))</f>
        <v/>
      </c>
      <c r="Q23">
        <f>IF($B23="","",INDEX(HISTORICO!$N$3:$N$2002,$B23))</f>
        <v/>
      </c>
      <c r="R23">
        <f>IF($B23="","",INDEX(HISTORICO!$Q$3:$Q$2002,$B23))</f>
        <v/>
      </c>
      <c r="S23">
        <f>IF($B23="","",INDEX(HISTORICO!$P$3:$P$2002,$B23))</f>
        <v/>
      </c>
      <c r="T23">
        <f>IF($B23="","",INDEX(HISTORICO!$O$3:$O$2002,$B23))</f>
        <v/>
      </c>
      <c r="U23">
        <f>IF($B23="","",INDEX(HISTORICO!$R$3:$R$2002,$B23))</f>
        <v/>
      </c>
      <c r="V23">
        <f>IF($B23="","",INDEX(HISTORICO!$S$3:$S$2002,$B23))</f>
        <v/>
      </c>
      <c r="W23">
        <f>IF($B23="","",INDEX(HISTORICO!$T$3:$T$2002,$B23))</f>
        <v/>
      </c>
      <c r="X23">
        <f>IF($B23="","",INDEX(HISTORICO!$X$3:$X$2002,$B23))</f>
        <v/>
      </c>
      <c r="Y23">
        <f>IF($L23="","",IFERROR(INDEX(CONFIGURACOES!$C$37:$C$300,MATCH($L23,CONFIGURACOES!$B$37:$B$300,0)),""))</f>
        <v/>
      </c>
      <c r="Z23">
        <f>IF($L23="","",IFERROR(INDEX(CONFIGURACOES!$D$37:$D$300,MATCH($L23,CONFIGURACOES!$B$37:$B$300,0)),""))</f>
        <v/>
      </c>
      <c r="AA23">
        <f>IF($L23="","",IFERROR(INDEX(CONFIGURACOES!$E$37:$E$300,MATCH($L23,CONFIGURACOES!$B$37:$B$300,0)),""))</f>
        <v/>
      </c>
      <c r="AB23">
        <f>IF($L23="","",IFERROR(INDEX(CONFIGURACOES!$F$37:$F$300,MATCH($L23,CONFIGURACOES!$B$37:$B$300,0)),""))</f>
        <v/>
      </c>
      <c r="AC23">
        <f>IF($L23="","",IF($X23&lt;&gt;$X22,$AC22+1,$AC22))</f>
        <v/>
      </c>
      <c r="AD23">
        <f>IF($L23="","",IF($X23&lt;&gt;$X22,1,$AD22+1))</f>
        <v/>
      </c>
      <c r="AE23">
        <f>IF($L23="","",$AC23*10+$AD23)</f>
        <v/>
      </c>
      <c r="AF23">
        <f>IF($L23="","",SUMIF($X$2:$X$151,$X23,$U$2:$U$151))</f>
        <v/>
      </c>
      <c r="AG23">
        <f>IF($L23="","",SUMIF($X$2:$X$151,$X23,$W$2:$W$151))</f>
        <v/>
      </c>
    </row>
    <row r="24">
      <c r="A24" t="n">
        <v>23</v>
      </c>
      <c r="B24">
        <f>IFERROR(MATCH($A24,HISTORICO!$Y$3:$Y$2002,0),"")</f>
        <v/>
      </c>
      <c r="C24">
        <f>IF($B24="","",INDEX(HISTORICO!$A$3:$A$2002,$B24))</f>
        <v/>
      </c>
      <c r="D24">
        <f>IF($B24="","",INDEX(HISTORICO!$C$3:$C$2002,$B24))</f>
        <v/>
      </c>
      <c r="E24">
        <f>IF($B24="","",INDEX(HISTORICO!$F$3:$F$2002,$B24))</f>
        <v/>
      </c>
      <c r="F24">
        <f>IF($B24="","",INDEX(HISTORICO!$G$3:$G$2002,$B24))</f>
        <v/>
      </c>
      <c r="G24">
        <f>IF($B24="","",INDEX(HISTORICO!$E$3:$E$2002,$B24))</f>
        <v/>
      </c>
      <c r="H24">
        <f>IF($B24="","",INDEX(HISTORICO!$H$3:$H$2002,$B24))</f>
        <v/>
      </c>
      <c r="I24">
        <f>IF($B24="","",INDEX(HISTORICO!$D$3:$D$2002,$B24))</f>
        <v/>
      </c>
      <c r="J24">
        <f>IF($B24="","",INDEX(HISTORICO!$B$3:$B$2002,$B24))</f>
        <v/>
      </c>
      <c r="K24">
        <f>IF($B24="","",INDEX(HISTORICO!$U$3:$U$2002,$B24))</f>
        <v/>
      </c>
      <c r="L24">
        <f>IF($B24="","",INDEX(HISTORICO!$I$3:$I$2002,$B24))</f>
        <v/>
      </c>
      <c r="M24">
        <f>IF($B24="","",INDEX(HISTORICO!$J$3:$J$2002,$B24))</f>
        <v/>
      </c>
      <c r="N24">
        <f>IF($B24="","",INDEX(HISTORICO!$K$3:$K$2002,$B24))</f>
        <v/>
      </c>
      <c r="O24">
        <f>IF($B24="","",INDEX(HISTORICO!$L$3:$L$2002,$B24))</f>
        <v/>
      </c>
      <c r="P24">
        <f>IF($B24="","",INDEX(HISTORICO!$M$3:$M$2002,$B24))</f>
        <v/>
      </c>
      <c r="Q24">
        <f>IF($B24="","",INDEX(HISTORICO!$N$3:$N$2002,$B24))</f>
        <v/>
      </c>
      <c r="R24">
        <f>IF($B24="","",INDEX(HISTORICO!$Q$3:$Q$2002,$B24))</f>
        <v/>
      </c>
      <c r="S24">
        <f>IF($B24="","",INDEX(HISTORICO!$P$3:$P$2002,$B24))</f>
        <v/>
      </c>
      <c r="T24">
        <f>IF($B24="","",INDEX(HISTORICO!$O$3:$O$2002,$B24))</f>
        <v/>
      </c>
      <c r="U24">
        <f>IF($B24="","",INDEX(HISTORICO!$R$3:$R$2002,$B24))</f>
        <v/>
      </c>
      <c r="V24">
        <f>IF($B24="","",INDEX(HISTORICO!$S$3:$S$2002,$B24))</f>
        <v/>
      </c>
      <c r="W24">
        <f>IF($B24="","",INDEX(HISTORICO!$T$3:$T$2002,$B24))</f>
        <v/>
      </c>
      <c r="X24">
        <f>IF($B24="","",INDEX(HISTORICO!$X$3:$X$2002,$B24))</f>
        <v/>
      </c>
      <c r="Y24">
        <f>IF($L24="","",IFERROR(INDEX(CONFIGURACOES!$C$37:$C$300,MATCH($L24,CONFIGURACOES!$B$37:$B$300,0)),""))</f>
        <v/>
      </c>
      <c r="Z24">
        <f>IF($L24="","",IFERROR(INDEX(CONFIGURACOES!$D$37:$D$300,MATCH($L24,CONFIGURACOES!$B$37:$B$300,0)),""))</f>
        <v/>
      </c>
      <c r="AA24">
        <f>IF($L24="","",IFERROR(INDEX(CONFIGURACOES!$E$37:$E$300,MATCH($L24,CONFIGURACOES!$B$37:$B$300,0)),""))</f>
        <v/>
      </c>
      <c r="AB24">
        <f>IF($L24="","",IFERROR(INDEX(CONFIGURACOES!$F$37:$F$300,MATCH($L24,CONFIGURACOES!$B$37:$B$300,0)),""))</f>
        <v/>
      </c>
      <c r="AC24">
        <f>IF($L24="","",IF($X24&lt;&gt;$X23,$AC23+1,$AC23))</f>
        <v/>
      </c>
      <c r="AD24">
        <f>IF($L24="","",IF($X24&lt;&gt;$X23,1,$AD23+1))</f>
        <v/>
      </c>
      <c r="AE24">
        <f>IF($L24="","",$AC24*10+$AD24)</f>
        <v/>
      </c>
      <c r="AF24">
        <f>IF($L24="","",SUMIF($X$2:$X$151,$X24,$U$2:$U$151))</f>
        <v/>
      </c>
      <c r="AG24">
        <f>IF($L24="","",SUMIF($X$2:$X$151,$X24,$W$2:$W$151))</f>
        <v/>
      </c>
    </row>
    <row r="25">
      <c r="A25" t="n">
        <v>24</v>
      </c>
      <c r="B25">
        <f>IFERROR(MATCH($A25,HISTORICO!$Y$3:$Y$2002,0),"")</f>
        <v/>
      </c>
      <c r="C25">
        <f>IF($B25="","",INDEX(HISTORICO!$A$3:$A$2002,$B25))</f>
        <v/>
      </c>
      <c r="D25">
        <f>IF($B25="","",INDEX(HISTORICO!$C$3:$C$2002,$B25))</f>
        <v/>
      </c>
      <c r="E25">
        <f>IF($B25="","",INDEX(HISTORICO!$F$3:$F$2002,$B25))</f>
        <v/>
      </c>
      <c r="F25">
        <f>IF($B25="","",INDEX(HISTORICO!$G$3:$G$2002,$B25))</f>
        <v/>
      </c>
      <c r="G25">
        <f>IF($B25="","",INDEX(HISTORICO!$E$3:$E$2002,$B25))</f>
        <v/>
      </c>
      <c r="H25">
        <f>IF($B25="","",INDEX(HISTORICO!$H$3:$H$2002,$B25))</f>
        <v/>
      </c>
      <c r="I25">
        <f>IF($B25="","",INDEX(HISTORICO!$D$3:$D$2002,$B25))</f>
        <v/>
      </c>
      <c r="J25">
        <f>IF($B25="","",INDEX(HISTORICO!$B$3:$B$2002,$B25))</f>
        <v/>
      </c>
      <c r="K25">
        <f>IF($B25="","",INDEX(HISTORICO!$U$3:$U$2002,$B25))</f>
        <v/>
      </c>
      <c r="L25">
        <f>IF($B25="","",INDEX(HISTORICO!$I$3:$I$2002,$B25))</f>
        <v/>
      </c>
      <c r="M25">
        <f>IF($B25="","",INDEX(HISTORICO!$J$3:$J$2002,$B25))</f>
        <v/>
      </c>
      <c r="N25">
        <f>IF($B25="","",INDEX(HISTORICO!$K$3:$K$2002,$B25))</f>
        <v/>
      </c>
      <c r="O25">
        <f>IF($B25="","",INDEX(HISTORICO!$L$3:$L$2002,$B25))</f>
        <v/>
      </c>
      <c r="P25">
        <f>IF($B25="","",INDEX(HISTORICO!$M$3:$M$2002,$B25))</f>
        <v/>
      </c>
      <c r="Q25">
        <f>IF($B25="","",INDEX(HISTORICO!$N$3:$N$2002,$B25))</f>
        <v/>
      </c>
      <c r="R25">
        <f>IF($B25="","",INDEX(HISTORICO!$Q$3:$Q$2002,$B25))</f>
        <v/>
      </c>
      <c r="S25">
        <f>IF($B25="","",INDEX(HISTORICO!$P$3:$P$2002,$B25))</f>
        <v/>
      </c>
      <c r="T25">
        <f>IF($B25="","",INDEX(HISTORICO!$O$3:$O$2002,$B25))</f>
        <v/>
      </c>
      <c r="U25">
        <f>IF($B25="","",INDEX(HISTORICO!$R$3:$R$2002,$B25))</f>
        <v/>
      </c>
      <c r="V25">
        <f>IF($B25="","",INDEX(HISTORICO!$S$3:$S$2002,$B25))</f>
        <v/>
      </c>
      <c r="W25">
        <f>IF($B25="","",INDEX(HISTORICO!$T$3:$T$2002,$B25))</f>
        <v/>
      </c>
      <c r="X25">
        <f>IF($B25="","",INDEX(HISTORICO!$X$3:$X$2002,$B25))</f>
        <v/>
      </c>
      <c r="Y25">
        <f>IF($L25="","",IFERROR(INDEX(CONFIGURACOES!$C$37:$C$300,MATCH($L25,CONFIGURACOES!$B$37:$B$300,0)),""))</f>
        <v/>
      </c>
      <c r="Z25">
        <f>IF($L25="","",IFERROR(INDEX(CONFIGURACOES!$D$37:$D$300,MATCH($L25,CONFIGURACOES!$B$37:$B$300,0)),""))</f>
        <v/>
      </c>
      <c r="AA25">
        <f>IF($L25="","",IFERROR(INDEX(CONFIGURACOES!$E$37:$E$300,MATCH($L25,CONFIGURACOES!$B$37:$B$300,0)),""))</f>
        <v/>
      </c>
      <c r="AB25">
        <f>IF($L25="","",IFERROR(INDEX(CONFIGURACOES!$F$37:$F$300,MATCH($L25,CONFIGURACOES!$B$37:$B$300,0)),""))</f>
        <v/>
      </c>
      <c r="AC25">
        <f>IF($L25="","",IF($X25&lt;&gt;$X24,$AC24+1,$AC24))</f>
        <v/>
      </c>
      <c r="AD25">
        <f>IF($L25="","",IF($X25&lt;&gt;$X24,1,$AD24+1))</f>
        <v/>
      </c>
      <c r="AE25">
        <f>IF($L25="","",$AC25*10+$AD25)</f>
        <v/>
      </c>
      <c r="AF25">
        <f>IF($L25="","",SUMIF($X$2:$X$151,$X25,$U$2:$U$151))</f>
        <v/>
      </c>
      <c r="AG25">
        <f>IF($L25="","",SUMIF($X$2:$X$151,$X25,$W$2:$W$151))</f>
        <v/>
      </c>
    </row>
    <row r="26">
      <c r="A26" t="n">
        <v>25</v>
      </c>
      <c r="B26">
        <f>IFERROR(MATCH($A26,HISTORICO!$Y$3:$Y$2002,0),"")</f>
        <v/>
      </c>
      <c r="C26">
        <f>IF($B26="","",INDEX(HISTORICO!$A$3:$A$2002,$B26))</f>
        <v/>
      </c>
      <c r="D26">
        <f>IF($B26="","",INDEX(HISTORICO!$C$3:$C$2002,$B26))</f>
        <v/>
      </c>
      <c r="E26">
        <f>IF($B26="","",INDEX(HISTORICO!$F$3:$F$2002,$B26))</f>
        <v/>
      </c>
      <c r="F26">
        <f>IF($B26="","",INDEX(HISTORICO!$G$3:$G$2002,$B26))</f>
        <v/>
      </c>
      <c r="G26">
        <f>IF($B26="","",INDEX(HISTORICO!$E$3:$E$2002,$B26))</f>
        <v/>
      </c>
      <c r="H26">
        <f>IF($B26="","",INDEX(HISTORICO!$H$3:$H$2002,$B26))</f>
        <v/>
      </c>
      <c r="I26">
        <f>IF($B26="","",INDEX(HISTORICO!$D$3:$D$2002,$B26))</f>
        <v/>
      </c>
      <c r="J26">
        <f>IF($B26="","",INDEX(HISTORICO!$B$3:$B$2002,$B26))</f>
        <v/>
      </c>
      <c r="K26">
        <f>IF($B26="","",INDEX(HISTORICO!$U$3:$U$2002,$B26))</f>
        <v/>
      </c>
      <c r="L26">
        <f>IF($B26="","",INDEX(HISTORICO!$I$3:$I$2002,$B26))</f>
        <v/>
      </c>
      <c r="M26">
        <f>IF($B26="","",INDEX(HISTORICO!$J$3:$J$2002,$B26))</f>
        <v/>
      </c>
      <c r="N26">
        <f>IF($B26="","",INDEX(HISTORICO!$K$3:$K$2002,$B26))</f>
        <v/>
      </c>
      <c r="O26">
        <f>IF($B26="","",INDEX(HISTORICO!$L$3:$L$2002,$B26))</f>
        <v/>
      </c>
      <c r="P26">
        <f>IF($B26="","",INDEX(HISTORICO!$M$3:$M$2002,$B26))</f>
        <v/>
      </c>
      <c r="Q26">
        <f>IF($B26="","",INDEX(HISTORICO!$N$3:$N$2002,$B26))</f>
        <v/>
      </c>
      <c r="R26">
        <f>IF($B26="","",INDEX(HISTORICO!$Q$3:$Q$2002,$B26))</f>
        <v/>
      </c>
      <c r="S26">
        <f>IF($B26="","",INDEX(HISTORICO!$P$3:$P$2002,$B26))</f>
        <v/>
      </c>
      <c r="T26">
        <f>IF($B26="","",INDEX(HISTORICO!$O$3:$O$2002,$B26))</f>
        <v/>
      </c>
      <c r="U26">
        <f>IF($B26="","",INDEX(HISTORICO!$R$3:$R$2002,$B26))</f>
        <v/>
      </c>
      <c r="V26">
        <f>IF($B26="","",INDEX(HISTORICO!$S$3:$S$2002,$B26))</f>
        <v/>
      </c>
      <c r="W26">
        <f>IF($B26="","",INDEX(HISTORICO!$T$3:$T$2002,$B26))</f>
        <v/>
      </c>
      <c r="X26">
        <f>IF($B26="","",INDEX(HISTORICO!$X$3:$X$2002,$B26))</f>
        <v/>
      </c>
      <c r="Y26">
        <f>IF($L26="","",IFERROR(INDEX(CONFIGURACOES!$C$37:$C$300,MATCH($L26,CONFIGURACOES!$B$37:$B$300,0)),""))</f>
        <v/>
      </c>
      <c r="Z26">
        <f>IF($L26="","",IFERROR(INDEX(CONFIGURACOES!$D$37:$D$300,MATCH($L26,CONFIGURACOES!$B$37:$B$300,0)),""))</f>
        <v/>
      </c>
      <c r="AA26">
        <f>IF($L26="","",IFERROR(INDEX(CONFIGURACOES!$E$37:$E$300,MATCH($L26,CONFIGURACOES!$B$37:$B$300,0)),""))</f>
        <v/>
      </c>
      <c r="AB26">
        <f>IF($L26="","",IFERROR(INDEX(CONFIGURACOES!$F$37:$F$300,MATCH($L26,CONFIGURACOES!$B$37:$B$300,0)),""))</f>
        <v/>
      </c>
      <c r="AC26">
        <f>IF($L26="","",IF($X26&lt;&gt;$X25,$AC25+1,$AC25))</f>
        <v/>
      </c>
      <c r="AD26">
        <f>IF($L26="","",IF($X26&lt;&gt;$X25,1,$AD25+1))</f>
        <v/>
      </c>
      <c r="AE26">
        <f>IF($L26="","",$AC26*10+$AD26)</f>
        <v/>
      </c>
      <c r="AF26">
        <f>IF($L26="","",SUMIF($X$2:$X$151,$X26,$U$2:$U$151))</f>
        <v/>
      </c>
      <c r="AG26">
        <f>IF($L26="","",SUMIF($X$2:$X$151,$X26,$W$2:$W$151))</f>
        <v/>
      </c>
    </row>
    <row r="27">
      <c r="A27" t="n">
        <v>26</v>
      </c>
      <c r="B27">
        <f>IFERROR(MATCH($A27,HISTORICO!$Y$3:$Y$2002,0),"")</f>
        <v/>
      </c>
      <c r="C27">
        <f>IF($B27="","",INDEX(HISTORICO!$A$3:$A$2002,$B27))</f>
        <v/>
      </c>
      <c r="D27">
        <f>IF($B27="","",INDEX(HISTORICO!$C$3:$C$2002,$B27))</f>
        <v/>
      </c>
      <c r="E27">
        <f>IF($B27="","",INDEX(HISTORICO!$F$3:$F$2002,$B27))</f>
        <v/>
      </c>
      <c r="F27">
        <f>IF($B27="","",INDEX(HISTORICO!$G$3:$G$2002,$B27))</f>
        <v/>
      </c>
      <c r="G27">
        <f>IF($B27="","",INDEX(HISTORICO!$E$3:$E$2002,$B27))</f>
        <v/>
      </c>
      <c r="H27">
        <f>IF($B27="","",INDEX(HISTORICO!$H$3:$H$2002,$B27))</f>
        <v/>
      </c>
      <c r="I27">
        <f>IF($B27="","",INDEX(HISTORICO!$D$3:$D$2002,$B27))</f>
        <v/>
      </c>
      <c r="J27">
        <f>IF($B27="","",INDEX(HISTORICO!$B$3:$B$2002,$B27))</f>
        <v/>
      </c>
      <c r="K27">
        <f>IF($B27="","",INDEX(HISTORICO!$U$3:$U$2002,$B27))</f>
        <v/>
      </c>
      <c r="L27">
        <f>IF($B27="","",INDEX(HISTORICO!$I$3:$I$2002,$B27))</f>
        <v/>
      </c>
      <c r="M27">
        <f>IF($B27="","",INDEX(HISTORICO!$J$3:$J$2002,$B27))</f>
        <v/>
      </c>
      <c r="N27">
        <f>IF($B27="","",INDEX(HISTORICO!$K$3:$K$2002,$B27))</f>
        <v/>
      </c>
      <c r="O27">
        <f>IF($B27="","",INDEX(HISTORICO!$L$3:$L$2002,$B27))</f>
        <v/>
      </c>
      <c r="P27">
        <f>IF($B27="","",INDEX(HISTORICO!$M$3:$M$2002,$B27))</f>
        <v/>
      </c>
      <c r="Q27">
        <f>IF($B27="","",INDEX(HISTORICO!$N$3:$N$2002,$B27))</f>
        <v/>
      </c>
      <c r="R27">
        <f>IF($B27="","",INDEX(HISTORICO!$Q$3:$Q$2002,$B27))</f>
        <v/>
      </c>
      <c r="S27">
        <f>IF($B27="","",INDEX(HISTORICO!$P$3:$P$2002,$B27))</f>
        <v/>
      </c>
      <c r="T27">
        <f>IF($B27="","",INDEX(HISTORICO!$O$3:$O$2002,$B27))</f>
        <v/>
      </c>
      <c r="U27">
        <f>IF($B27="","",INDEX(HISTORICO!$R$3:$R$2002,$B27))</f>
        <v/>
      </c>
      <c r="V27">
        <f>IF($B27="","",INDEX(HISTORICO!$S$3:$S$2002,$B27))</f>
        <v/>
      </c>
      <c r="W27">
        <f>IF($B27="","",INDEX(HISTORICO!$T$3:$T$2002,$B27))</f>
        <v/>
      </c>
      <c r="X27">
        <f>IF($B27="","",INDEX(HISTORICO!$X$3:$X$2002,$B27))</f>
        <v/>
      </c>
      <c r="Y27">
        <f>IF($L27="","",IFERROR(INDEX(CONFIGURACOES!$C$37:$C$300,MATCH($L27,CONFIGURACOES!$B$37:$B$300,0)),""))</f>
        <v/>
      </c>
      <c r="Z27">
        <f>IF($L27="","",IFERROR(INDEX(CONFIGURACOES!$D$37:$D$300,MATCH($L27,CONFIGURACOES!$B$37:$B$300,0)),""))</f>
        <v/>
      </c>
      <c r="AA27">
        <f>IF($L27="","",IFERROR(INDEX(CONFIGURACOES!$E$37:$E$300,MATCH($L27,CONFIGURACOES!$B$37:$B$300,0)),""))</f>
        <v/>
      </c>
      <c r="AB27">
        <f>IF($L27="","",IFERROR(INDEX(CONFIGURACOES!$F$37:$F$300,MATCH($L27,CONFIGURACOES!$B$37:$B$300,0)),""))</f>
        <v/>
      </c>
      <c r="AC27">
        <f>IF($L27="","",IF($X27&lt;&gt;$X26,$AC26+1,$AC26))</f>
        <v/>
      </c>
      <c r="AD27">
        <f>IF($L27="","",IF($X27&lt;&gt;$X26,1,$AD26+1))</f>
        <v/>
      </c>
      <c r="AE27">
        <f>IF($L27="","",$AC27*10+$AD27)</f>
        <v/>
      </c>
      <c r="AF27">
        <f>IF($L27="","",SUMIF($X$2:$X$151,$X27,$U$2:$U$151))</f>
        <v/>
      </c>
      <c r="AG27">
        <f>IF($L27="","",SUMIF($X$2:$X$151,$X27,$W$2:$W$151))</f>
        <v/>
      </c>
    </row>
    <row r="28">
      <c r="A28" t="n">
        <v>27</v>
      </c>
      <c r="B28">
        <f>IFERROR(MATCH($A28,HISTORICO!$Y$3:$Y$2002,0),"")</f>
        <v/>
      </c>
      <c r="C28">
        <f>IF($B28="","",INDEX(HISTORICO!$A$3:$A$2002,$B28))</f>
        <v/>
      </c>
      <c r="D28">
        <f>IF($B28="","",INDEX(HISTORICO!$C$3:$C$2002,$B28))</f>
        <v/>
      </c>
      <c r="E28">
        <f>IF($B28="","",INDEX(HISTORICO!$F$3:$F$2002,$B28))</f>
        <v/>
      </c>
      <c r="F28">
        <f>IF($B28="","",INDEX(HISTORICO!$G$3:$G$2002,$B28))</f>
        <v/>
      </c>
      <c r="G28">
        <f>IF($B28="","",INDEX(HISTORICO!$E$3:$E$2002,$B28))</f>
        <v/>
      </c>
      <c r="H28">
        <f>IF($B28="","",INDEX(HISTORICO!$H$3:$H$2002,$B28))</f>
        <v/>
      </c>
      <c r="I28">
        <f>IF($B28="","",INDEX(HISTORICO!$D$3:$D$2002,$B28))</f>
        <v/>
      </c>
      <c r="J28">
        <f>IF($B28="","",INDEX(HISTORICO!$B$3:$B$2002,$B28))</f>
        <v/>
      </c>
      <c r="K28">
        <f>IF($B28="","",INDEX(HISTORICO!$U$3:$U$2002,$B28))</f>
        <v/>
      </c>
      <c r="L28">
        <f>IF($B28="","",INDEX(HISTORICO!$I$3:$I$2002,$B28))</f>
        <v/>
      </c>
      <c r="M28">
        <f>IF($B28="","",INDEX(HISTORICO!$J$3:$J$2002,$B28))</f>
        <v/>
      </c>
      <c r="N28">
        <f>IF($B28="","",INDEX(HISTORICO!$K$3:$K$2002,$B28))</f>
        <v/>
      </c>
      <c r="O28">
        <f>IF($B28="","",INDEX(HISTORICO!$L$3:$L$2002,$B28))</f>
        <v/>
      </c>
      <c r="P28">
        <f>IF($B28="","",INDEX(HISTORICO!$M$3:$M$2002,$B28))</f>
        <v/>
      </c>
      <c r="Q28">
        <f>IF($B28="","",INDEX(HISTORICO!$N$3:$N$2002,$B28))</f>
        <v/>
      </c>
      <c r="R28">
        <f>IF($B28="","",INDEX(HISTORICO!$Q$3:$Q$2002,$B28))</f>
        <v/>
      </c>
      <c r="S28">
        <f>IF($B28="","",INDEX(HISTORICO!$P$3:$P$2002,$B28))</f>
        <v/>
      </c>
      <c r="T28">
        <f>IF($B28="","",INDEX(HISTORICO!$O$3:$O$2002,$B28))</f>
        <v/>
      </c>
      <c r="U28">
        <f>IF($B28="","",INDEX(HISTORICO!$R$3:$R$2002,$B28))</f>
        <v/>
      </c>
      <c r="V28">
        <f>IF($B28="","",INDEX(HISTORICO!$S$3:$S$2002,$B28))</f>
        <v/>
      </c>
      <c r="W28">
        <f>IF($B28="","",INDEX(HISTORICO!$T$3:$T$2002,$B28))</f>
        <v/>
      </c>
      <c r="X28">
        <f>IF($B28="","",INDEX(HISTORICO!$X$3:$X$2002,$B28))</f>
        <v/>
      </c>
      <c r="Y28">
        <f>IF($L28="","",IFERROR(INDEX(CONFIGURACOES!$C$37:$C$300,MATCH($L28,CONFIGURACOES!$B$37:$B$300,0)),""))</f>
        <v/>
      </c>
      <c r="Z28">
        <f>IF($L28="","",IFERROR(INDEX(CONFIGURACOES!$D$37:$D$300,MATCH($L28,CONFIGURACOES!$B$37:$B$300,0)),""))</f>
        <v/>
      </c>
      <c r="AA28">
        <f>IF($L28="","",IFERROR(INDEX(CONFIGURACOES!$E$37:$E$300,MATCH($L28,CONFIGURACOES!$B$37:$B$300,0)),""))</f>
        <v/>
      </c>
      <c r="AB28">
        <f>IF($L28="","",IFERROR(INDEX(CONFIGURACOES!$F$37:$F$300,MATCH($L28,CONFIGURACOES!$B$37:$B$300,0)),""))</f>
        <v/>
      </c>
      <c r="AC28">
        <f>IF($L28="","",IF($X28&lt;&gt;$X27,$AC27+1,$AC27))</f>
        <v/>
      </c>
      <c r="AD28">
        <f>IF($L28="","",IF($X28&lt;&gt;$X27,1,$AD27+1))</f>
        <v/>
      </c>
      <c r="AE28">
        <f>IF($L28="","",$AC28*10+$AD28)</f>
        <v/>
      </c>
      <c r="AF28">
        <f>IF($L28="","",SUMIF($X$2:$X$151,$X28,$U$2:$U$151))</f>
        <v/>
      </c>
      <c r="AG28">
        <f>IF($L28="","",SUMIF($X$2:$X$151,$X28,$W$2:$W$151))</f>
        <v/>
      </c>
    </row>
    <row r="29">
      <c r="A29" t="n">
        <v>28</v>
      </c>
      <c r="B29">
        <f>IFERROR(MATCH($A29,HISTORICO!$Y$3:$Y$2002,0),"")</f>
        <v/>
      </c>
      <c r="C29">
        <f>IF($B29="","",INDEX(HISTORICO!$A$3:$A$2002,$B29))</f>
        <v/>
      </c>
      <c r="D29">
        <f>IF($B29="","",INDEX(HISTORICO!$C$3:$C$2002,$B29))</f>
        <v/>
      </c>
      <c r="E29">
        <f>IF($B29="","",INDEX(HISTORICO!$F$3:$F$2002,$B29))</f>
        <v/>
      </c>
      <c r="F29">
        <f>IF($B29="","",INDEX(HISTORICO!$G$3:$G$2002,$B29))</f>
        <v/>
      </c>
      <c r="G29">
        <f>IF($B29="","",INDEX(HISTORICO!$E$3:$E$2002,$B29))</f>
        <v/>
      </c>
      <c r="H29">
        <f>IF($B29="","",INDEX(HISTORICO!$H$3:$H$2002,$B29))</f>
        <v/>
      </c>
      <c r="I29">
        <f>IF($B29="","",INDEX(HISTORICO!$D$3:$D$2002,$B29))</f>
        <v/>
      </c>
      <c r="J29">
        <f>IF($B29="","",INDEX(HISTORICO!$B$3:$B$2002,$B29))</f>
        <v/>
      </c>
      <c r="K29">
        <f>IF($B29="","",INDEX(HISTORICO!$U$3:$U$2002,$B29))</f>
        <v/>
      </c>
      <c r="L29">
        <f>IF($B29="","",INDEX(HISTORICO!$I$3:$I$2002,$B29))</f>
        <v/>
      </c>
      <c r="M29">
        <f>IF($B29="","",INDEX(HISTORICO!$J$3:$J$2002,$B29))</f>
        <v/>
      </c>
      <c r="N29">
        <f>IF($B29="","",INDEX(HISTORICO!$K$3:$K$2002,$B29))</f>
        <v/>
      </c>
      <c r="O29">
        <f>IF($B29="","",INDEX(HISTORICO!$L$3:$L$2002,$B29))</f>
        <v/>
      </c>
      <c r="P29">
        <f>IF($B29="","",INDEX(HISTORICO!$M$3:$M$2002,$B29))</f>
        <v/>
      </c>
      <c r="Q29">
        <f>IF($B29="","",INDEX(HISTORICO!$N$3:$N$2002,$B29))</f>
        <v/>
      </c>
      <c r="R29">
        <f>IF($B29="","",INDEX(HISTORICO!$Q$3:$Q$2002,$B29))</f>
        <v/>
      </c>
      <c r="S29">
        <f>IF($B29="","",INDEX(HISTORICO!$P$3:$P$2002,$B29))</f>
        <v/>
      </c>
      <c r="T29">
        <f>IF($B29="","",INDEX(HISTORICO!$O$3:$O$2002,$B29))</f>
        <v/>
      </c>
      <c r="U29">
        <f>IF($B29="","",INDEX(HISTORICO!$R$3:$R$2002,$B29))</f>
        <v/>
      </c>
      <c r="V29">
        <f>IF($B29="","",INDEX(HISTORICO!$S$3:$S$2002,$B29))</f>
        <v/>
      </c>
      <c r="W29">
        <f>IF($B29="","",INDEX(HISTORICO!$T$3:$T$2002,$B29))</f>
        <v/>
      </c>
      <c r="X29">
        <f>IF($B29="","",INDEX(HISTORICO!$X$3:$X$2002,$B29))</f>
        <v/>
      </c>
      <c r="Y29">
        <f>IF($L29="","",IFERROR(INDEX(CONFIGURACOES!$C$37:$C$300,MATCH($L29,CONFIGURACOES!$B$37:$B$300,0)),""))</f>
        <v/>
      </c>
      <c r="Z29">
        <f>IF($L29="","",IFERROR(INDEX(CONFIGURACOES!$D$37:$D$300,MATCH($L29,CONFIGURACOES!$B$37:$B$300,0)),""))</f>
        <v/>
      </c>
      <c r="AA29">
        <f>IF($L29="","",IFERROR(INDEX(CONFIGURACOES!$E$37:$E$300,MATCH($L29,CONFIGURACOES!$B$37:$B$300,0)),""))</f>
        <v/>
      </c>
      <c r="AB29">
        <f>IF($L29="","",IFERROR(INDEX(CONFIGURACOES!$F$37:$F$300,MATCH($L29,CONFIGURACOES!$B$37:$B$300,0)),""))</f>
        <v/>
      </c>
      <c r="AC29">
        <f>IF($L29="","",IF($X29&lt;&gt;$X28,$AC28+1,$AC28))</f>
        <v/>
      </c>
      <c r="AD29">
        <f>IF($L29="","",IF($X29&lt;&gt;$X28,1,$AD28+1))</f>
        <v/>
      </c>
      <c r="AE29">
        <f>IF($L29="","",$AC29*10+$AD29)</f>
        <v/>
      </c>
      <c r="AF29">
        <f>IF($L29="","",SUMIF($X$2:$X$151,$X29,$U$2:$U$151))</f>
        <v/>
      </c>
      <c r="AG29">
        <f>IF($L29="","",SUMIF($X$2:$X$151,$X29,$W$2:$W$151))</f>
        <v/>
      </c>
    </row>
    <row r="30">
      <c r="A30" t="n">
        <v>29</v>
      </c>
      <c r="B30">
        <f>IFERROR(MATCH($A30,HISTORICO!$Y$3:$Y$2002,0),"")</f>
        <v/>
      </c>
      <c r="C30">
        <f>IF($B30="","",INDEX(HISTORICO!$A$3:$A$2002,$B30))</f>
        <v/>
      </c>
      <c r="D30">
        <f>IF($B30="","",INDEX(HISTORICO!$C$3:$C$2002,$B30))</f>
        <v/>
      </c>
      <c r="E30">
        <f>IF($B30="","",INDEX(HISTORICO!$F$3:$F$2002,$B30))</f>
        <v/>
      </c>
      <c r="F30">
        <f>IF($B30="","",INDEX(HISTORICO!$G$3:$G$2002,$B30))</f>
        <v/>
      </c>
      <c r="G30">
        <f>IF($B30="","",INDEX(HISTORICO!$E$3:$E$2002,$B30))</f>
        <v/>
      </c>
      <c r="H30">
        <f>IF($B30="","",INDEX(HISTORICO!$H$3:$H$2002,$B30))</f>
        <v/>
      </c>
      <c r="I30">
        <f>IF($B30="","",INDEX(HISTORICO!$D$3:$D$2002,$B30))</f>
        <v/>
      </c>
      <c r="J30">
        <f>IF($B30="","",INDEX(HISTORICO!$B$3:$B$2002,$B30))</f>
        <v/>
      </c>
      <c r="K30">
        <f>IF($B30="","",INDEX(HISTORICO!$U$3:$U$2002,$B30))</f>
        <v/>
      </c>
      <c r="L30">
        <f>IF($B30="","",INDEX(HISTORICO!$I$3:$I$2002,$B30))</f>
        <v/>
      </c>
      <c r="M30">
        <f>IF($B30="","",INDEX(HISTORICO!$J$3:$J$2002,$B30))</f>
        <v/>
      </c>
      <c r="N30">
        <f>IF($B30="","",INDEX(HISTORICO!$K$3:$K$2002,$B30))</f>
        <v/>
      </c>
      <c r="O30">
        <f>IF($B30="","",INDEX(HISTORICO!$L$3:$L$2002,$B30))</f>
        <v/>
      </c>
      <c r="P30">
        <f>IF($B30="","",INDEX(HISTORICO!$M$3:$M$2002,$B30))</f>
        <v/>
      </c>
      <c r="Q30">
        <f>IF($B30="","",INDEX(HISTORICO!$N$3:$N$2002,$B30))</f>
        <v/>
      </c>
      <c r="R30">
        <f>IF($B30="","",INDEX(HISTORICO!$Q$3:$Q$2002,$B30))</f>
        <v/>
      </c>
      <c r="S30">
        <f>IF($B30="","",INDEX(HISTORICO!$P$3:$P$2002,$B30))</f>
        <v/>
      </c>
      <c r="T30">
        <f>IF($B30="","",INDEX(HISTORICO!$O$3:$O$2002,$B30))</f>
        <v/>
      </c>
      <c r="U30">
        <f>IF($B30="","",INDEX(HISTORICO!$R$3:$R$2002,$B30))</f>
        <v/>
      </c>
      <c r="V30">
        <f>IF($B30="","",INDEX(HISTORICO!$S$3:$S$2002,$B30))</f>
        <v/>
      </c>
      <c r="W30">
        <f>IF($B30="","",INDEX(HISTORICO!$T$3:$T$2002,$B30))</f>
        <v/>
      </c>
      <c r="X30">
        <f>IF($B30="","",INDEX(HISTORICO!$X$3:$X$2002,$B30))</f>
        <v/>
      </c>
      <c r="Y30">
        <f>IF($L30="","",IFERROR(INDEX(CONFIGURACOES!$C$37:$C$300,MATCH($L30,CONFIGURACOES!$B$37:$B$300,0)),""))</f>
        <v/>
      </c>
      <c r="Z30">
        <f>IF($L30="","",IFERROR(INDEX(CONFIGURACOES!$D$37:$D$300,MATCH($L30,CONFIGURACOES!$B$37:$B$300,0)),""))</f>
        <v/>
      </c>
      <c r="AA30">
        <f>IF($L30="","",IFERROR(INDEX(CONFIGURACOES!$E$37:$E$300,MATCH($L30,CONFIGURACOES!$B$37:$B$300,0)),""))</f>
        <v/>
      </c>
      <c r="AB30">
        <f>IF($L30="","",IFERROR(INDEX(CONFIGURACOES!$F$37:$F$300,MATCH($L30,CONFIGURACOES!$B$37:$B$300,0)),""))</f>
        <v/>
      </c>
      <c r="AC30">
        <f>IF($L30="","",IF($X30&lt;&gt;$X29,$AC29+1,$AC29))</f>
        <v/>
      </c>
      <c r="AD30">
        <f>IF($L30="","",IF($X30&lt;&gt;$X29,1,$AD29+1))</f>
        <v/>
      </c>
      <c r="AE30">
        <f>IF($L30="","",$AC30*10+$AD30)</f>
        <v/>
      </c>
      <c r="AF30">
        <f>IF($L30="","",SUMIF($X$2:$X$151,$X30,$U$2:$U$151))</f>
        <v/>
      </c>
      <c r="AG30">
        <f>IF($L30="","",SUMIF($X$2:$X$151,$X30,$W$2:$W$151))</f>
        <v/>
      </c>
    </row>
    <row r="31">
      <c r="A31" t="n">
        <v>30</v>
      </c>
      <c r="B31">
        <f>IFERROR(MATCH($A31,HISTORICO!$Y$3:$Y$2002,0),"")</f>
        <v/>
      </c>
      <c r="C31">
        <f>IF($B31="","",INDEX(HISTORICO!$A$3:$A$2002,$B31))</f>
        <v/>
      </c>
      <c r="D31">
        <f>IF($B31="","",INDEX(HISTORICO!$C$3:$C$2002,$B31))</f>
        <v/>
      </c>
      <c r="E31">
        <f>IF($B31="","",INDEX(HISTORICO!$F$3:$F$2002,$B31))</f>
        <v/>
      </c>
      <c r="F31">
        <f>IF($B31="","",INDEX(HISTORICO!$G$3:$G$2002,$B31))</f>
        <v/>
      </c>
      <c r="G31">
        <f>IF($B31="","",INDEX(HISTORICO!$E$3:$E$2002,$B31))</f>
        <v/>
      </c>
      <c r="H31">
        <f>IF($B31="","",INDEX(HISTORICO!$H$3:$H$2002,$B31))</f>
        <v/>
      </c>
      <c r="I31">
        <f>IF($B31="","",INDEX(HISTORICO!$D$3:$D$2002,$B31))</f>
        <v/>
      </c>
      <c r="J31">
        <f>IF($B31="","",INDEX(HISTORICO!$B$3:$B$2002,$B31))</f>
        <v/>
      </c>
      <c r="K31">
        <f>IF($B31="","",INDEX(HISTORICO!$U$3:$U$2002,$B31))</f>
        <v/>
      </c>
      <c r="L31">
        <f>IF($B31="","",INDEX(HISTORICO!$I$3:$I$2002,$B31))</f>
        <v/>
      </c>
      <c r="M31">
        <f>IF($B31="","",INDEX(HISTORICO!$J$3:$J$2002,$B31))</f>
        <v/>
      </c>
      <c r="N31">
        <f>IF($B31="","",INDEX(HISTORICO!$K$3:$K$2002,$B31))</f>
        <v/>
      </c>
      <c r="O31">
        <f>IF($B31="","",INDEX(HISTORICO!$L$3:$L$2002,$B31))</f>
        <v/>
      </c>
      <c r="P31">
        <f>IF($B31="","",INDEX(HISTORICO!$M$3:$M$2002,$B31))</f>
        <v/>
      </c>
      <c r="Q31">
        <f>IF($B31="","",INDEX(HISTORICO!$N$3:$N$2002,$B31))</f>
        <v/>
      </c>
      <c r="R31">
        <f>IF($B31="","",INDEX(HISTORICO!$Q$3:$Q$2002,$B31))</f>
        <v/>
      </c>
      <c r="S31">
        <f>IF($B31="","",INDEX(HISTORICO!$P$3:$P$2002,$B31))</f>
        <v/>
      </c>
      <c r="T31">
        <f>IF($B31="","",INDEX(HISTORICO!$O$3:$O$2002,$B31))</f>
        <v/>
      </c>
      <c r="U31">
        <f>IF($B31="","",INDEX(HISTORICO!$R$3:$R$2002,$B31))</f>
        <v/>
      </c>
      <c r="V31">
        <f>IF($B31="","",INDEX(HISTORICO!$S$3:$S$2002,$B31))</f>
        <v/>
      </c>
      <c r="W31">
        <f>IF($B31="","",INDEX(HISTORICO!$T$3:$T$2002,$B31))</f>
        <v/>
      </c>
      <c r="X31">
        <f>IF($B31="","",INDEX(HISTORICO!$X$3:$X$2002,$B31))</f>
        <v/>
      </c>
      <c r="Y31">
        <f>IF($L31="","",IFERROR(INDEX(CONFIGURACOES!$C$37:$C$300,MATCH($L31,CONFIGURACOES!$B$37:$B$300,0)),""))</f>
        <v/>
      </c>
      <c r="Z31">
        <f>IF($L31="","",IFERROR(INDEX(CONFIGURACOES!$D$37:$D$300,MATCH($L31,CONFIGURACOES!$B$37:$B$300,0)),""))</f>
        <v/>
      </c>
      <c r="AA31">
        <f>IF($L31="","",IFERROR(INDEX(CONFIGURACOES!$E$37:$E$300,MATCH($L31,CONFIGURACOES!$B$37:$B$300,0)),""))</f>
        <v/>
      </c>
      <c r="AB31">
        <f>IF($L31="","",IFERROR(INDEX(CONFIGURACOES!$F$37:$F$300,MATCH($L31,CONFIGURACOES!$B$37:$B$300,0)),""))</f>
        <v/>
      </c>
      <c r="AC31">
        <f>IF($L31="","",IF($X31&lt;&gt;$X30,$AC30+1,$AC30))</f>
        <v/>
      </c>
      <c r="AD31">
        <f>IF($L31="","",IF($X31&lt;&gt;$X30,1,$AD30+1))</f>
        <v/>
      </c>
      <c r="AE31">
        <f>IF($L31="","",$AC31*10+$AD31)</f>
        <v/>
      </c>
      <c r="AF31">
        <f>IF($L31="","",SUMIF($X$2:$X$151,$X31,$U$2:$U$151))</f>
        <v/>
      </c>
      <c r="AG31">
        <f>IF($L31="","",SUMIF($X$2:$X$151,$X31,$W$2:$W$151))</f>
        <v/>
      </c>
    </row>
    <row r="32">
      <c r="A32" t="n">
        <v>31</v>
      </c>
      <c r="B32">
        <f>IFERROR(MATCH($A32,HISTORICO!$Y$3:$Y$2002,0),"")</f>
        <v/>
      </c>
      <c r="C32">
        <f>IF($B32="","",INDEX(HISTORICO!$A$3:$A$2002,$B32))</f>
        <v/>
      </c>
      <c r="D32">
        <f>IF($B32="","",INDEX(HISTORICO!$C$3:$C$2002,$B32))</f>
        <v/>
      </c>
      <c r="E32">
        <f>IF($B32="","",INDEX(HISTORICO!$F$3:$F$2002,$B32))</f>
        <v/>
      </c>
      <c r="F32">
        <f>IF($B32="","",INDEX(HISTORICO!$G$3:$G$2002,$B32))</f>
        <v/>
      </c>
      <c r="G32">
        <f>IF($B32="","",INDEX(HISTORICO!$E$3:$E$2002,$B32))</f>
        <v/>
      </c>
      <c r="H32">
        <f>IF($B32="","",INDEX(HISTORICO!$H$3:$H$2002,$B32))</f>
        <v/>
      </c>
      <c r="I32">
        <f>IF($B32="","",INDEX(HISTORICO!$D$3:$D$2002,$B32))</f>
        <v/>
      </c>
      <c r="J32">
        <f>IF($B32="","",INDEX(HISTORICO!$B$3:$B$2002,$B32))</f>
        <v/>
      </c>
      <c r="K32">
        <f>IF($B32="","",INDEX(HISTORICO!$U$3:$U$2002,$B32))</f>
        <v/>
      </c>
      <c r="L32">
        <f>IF($B32="","",INDEX(HISTORICO!$I$3:$I$2002,$B32))</f>
        <v/>
      </c>
      <c r="M32">
        <f>IF($B32="","",INDEX(HISTORICO!$J$3:$J$2002,$B32))</f>
        <v/>
      </c>
      <c r="N32">
        <f>IF($B32="","",INDEX(HISTORICO!$K$3:$K$2002,$B32))</f>
        <v/>
      </c>
      <c r="O32">
        <f>IF($B32="","",INDEX(HISTORICO!$L$3:$L$2002,$B32))</f>
        <v/>
      </c>
      <c r="P32">
        <f>IF($B32="","",INDEX(HISTORICO!$M$3:$M$2002,$B32))</f>
        <v/>
      </c>
      <c r="Q32">
        <f>IF($B32="","",INDEX(HISTORICO!$N$3:$N$2002,$B32))</f>
        <v/>
      </c>
      <c r="R32">
        <f>IF($B32="","",INDEX(HISTORICO!$Q$3:$Q$2002,$B32))</f>
        <v/>
      </c>
      <c r="S32">
        <f>IF($B32="","",INDEX(HISTORICO!$P$3:$P$2002,$B32))</f>
        <v/>
      </c>
      <c r="T32">
        <f>IF($B32="","",INDEX(HISTORICO!$O$3:$O$2002,$B32))</f>
        <v/>
      </c>
      <c r="U32">
        <f>IF($B32="","",INDEX(HISTORICO!$R$3:$R$2002,$B32))</f>
        <v/>
      </c>
      <c r="V32">
        <f>IF($B32="","",INDEX(HISTORICO!$S$3:$S$2002,$B32))</f>
        <v/>
      </c>
      <c r="W32">
        <f>IF($B32="","",INDEX(HISTORICO!$T$3:$T$2002,$B32))</f>
        <v/>
      </c>
      <c r="X32">
        <f>IF($B32="","",INDEX(HISTORICO!$X$3:$X$2002,$B32))</f>
        <v/>
      </c>
      <c r="Y32">
        <f>IF($L32="","",IFERROR(INDEX(CONFIGURACOES!$C$37:$C$300,MATCH($L32,CONFIGURACOES!$B$37:$B$300,0)),""))</f>
        <v/>
      </c>
      <c r="Z32">
        <f>IF($L32="","",IFERROR(INDEX(CONFIGURACOES!$D$37:$D$300,MATCH($L32,CONFIGURACOES!$B$37:$B$300,0)),""))</f>
        <v/>
      </c>
      <c r="AA32">
        <f>IF($L32="","",IFERROR(INDEX(CONFIGURACOES!$E$37:$E$300,MATCH($L32,CONFIGURACOES!$B$37:$B$300,0)),""))</f>
        <v/>
      </c>
      <c r="AB32">
        <f>IF($L32="","",IFERROR(INDEX(CONFIGURACOES!$F$37:$F$300,MATCH($L32,CONFIGURACOES!$B$37:$B$300,0)),""))</f>
        <v/>
      </c>
      <c r="AC32">
        <f>IF($L32="","",IF($X32&lt;&gt;$X31,$AC31+1,$AC31))</f>
        <v/>
      </c>
      <c r="AD32">
        <f>IF($L32="","",IF($X32&lt;&gt;$X31,1,$AD31+1))</f>
        <v/>
      </c>
      <c r="AE32">
        <f>IF($L32="","",$AC32*10+$AD32)</f>
        <v/>
      </c>
      <c r="AF32">
        <f>IF($L32="","",SUMIF($X$2:$X$151,$X32,$U$2:$U$151))</f>
        <v/>
      </c>
      <c r="AG32">
        <f>IF($L32="","",SUMIF($X$2:$X$151,$X32,$W$2:$W$151))</f>
        <v/>
      </c>
    </row>
    <row r="33">
      <c r="A33" t="n">
        <v>32</v>
      </c>
      <c r="B33">
        <f>IFERROR(MATCH($A33,HISTORICO!$Y$3:$Y$2002,0),"")</f>
        <v/>
      </c>
      <c r="C33">
        <f>IF($B33="","",INDEX(HISTORICO!$A$3:$A$2002,$B33))</f>
        <v/>
      </c>
      <c r="D33">
        <f>IF($B33="","",INDEX(HISTORICO!$C$3:$C$2002,$B33))</f>
        <v/>
      </c>
      <c r="E33">
        <f>IF($B33="","",INDEX(HISTORICO!$F$3:$F$2002,$B33))</f>
        <v/>
      </c>
      <c r="F33">
        <f>IF($B33="","",INDEX(HISTORICO!$G$3:$G$2002,$B33))</f>
        <v/>
      </c>
      <c r="G33">
        <f>IF($B33="","",INDEX(HISTORICO!$E$3:$E$2002,$B33))</f>
        <v/>
      </c>
      <c r="H33">
        <f>IF($B33="","",INDEX(HISTORICO!$H$3:$H$2002,$B33))</f>
        <v/>
      </c>
      <c r="I33">
        <f>IF($B33="","",INDEX(HISTORICO!$D$3:$D$2002,$B33))</f>
        <v/>
      </c>
      <c r="J33">
        <f>IF($B33="","",INDEX(HISTORICO!$B$3:$B$2002,$B33))</f>
        <v/>
      </c>
      <c r="K33">
        <f>IF($B33="","",INDEX(HISTORICO!$U$3:$U$2002,$B33))</f>
        <v/>
      </c>
      <c r="L33">
        <f>IF($B33="","",INDEX(HISTORICO!$I$3:$I$2002,$B33))</f>
        <v/>
      </c>
      <c r="M33">
        <f>IF($B33="","",INDEX(HISTORICO!$J$3:$J$2002,$B33))</f>
        <v/>
      </c>
      <c r="N33">
        <f>IF($B33="","",INDEX(HISTORICO!$K$3:$K$2002,$B33))</f>
        <v/>
      </c>
      <c r="O33">
        <f>IF($B33="","",INDEX(HISTORICO!$L$3:$L$2002,$B33))</f>
        <v/>
      </c>
      <c r="P33">
        <f>IF($B33="","",INDEX(HISTORICO!$M$3:$M$2002,$B33))</f>
        <v/>
      </c>
      <c r="Q33">
        <f>IF($B33="","",INDEX(HISTORICO!$N$3:$N$2002,$B33))</f>
        <v/>
      </c>
      <c r="R33">
        <f>IF($B33="","",INDEX(HISTORICO!$Q$3:$Q$2002,$B33))</f>
        <v/>
      </c>
      <c r="S33">
        <f>IF($B33="","",INDEX(HISTORICO!$P$3:$P$2002,$B33))</f>
        <v/>
      </c>
      <c r="T33">
        <f>IF($B33="","",INDEX(HISTORICO!$O$3:$O$2002,$B33))</f>
        <v/>
      </c>
      <c r="U33">
        <f>IF($B33="","",INDEX(HISTORICO!$R$3:$R$2002,$B33))</f>
        <v/>
      </c>
      <c r="V33">
        <f>IF($B33="","",INDEX(HISTORICO!$S$3:$S$2002,$B33))</f>
        <v/>
      </c>
      <c r="W33">
        <f>IF($B33="","",INDEX(HISTORICO!$T$3:$T$2002,$B33))</f>
        <v/>
      </c>
      <c r="X33">
        <f>IF($B33="","",INDEX(HISTORICO!$X$3:$X$2002,$B33))</f>
        <v/>
      </c>
      <c r="Y33">
        <f>IF($L33="","",IFERROR(INDEX(CONFIGURACOES!$C$37:$C$300,MATCH($L33,CONFIGURACOES!$B$37:$B$300,0)),""))</f>
        <v/>
      </c>
      <c r="Z33">
        <f>IF($L33="","",IFERROR(INDEX(CONFIGURACOES!$D$37:$D$300,MATCH($L33,CONFIGURACOES!$B$37:$B$300,0)),""))</f>
        <v/>
      </c>
      <c r="AA33">
        <f>IF($L33="","",IFERROR(INDEX(CONFIGURACOES!$E$37:$E$300,MATCH($L33,CONFIGURACOES!$B$37:$B$300,0)),""))</f>
        <v/>
      </c>
      <c r="AB33">
        <f>IF($L33="","",IFERROR(INDEX(CONFIGURACOES!$F$37:$F$300,MATCH($L33,CONFIGURACOES!$B$37:$B$300,0)),""))</f>
        <v/>
      </c>
      <c r="AC33">
        <f>IF($L33="","",IF($X33&lt;&gt;$X32,$AC32+1,$AC32))</f>
        <v/>
      </c>
      <c r="AD33">
        <f>IF($L33="","",IF($X33&lt;&gt;$X32,1,$AD32+1))</f>
        <v/>
      </c>
      <c r="AE33">
        <f>IF($L33="","",$AC33*10+$AD33)</f>
        <v/>
      </c>
      <c r="AF33">
        <f>IF($L33="","",SUMIF($X$2:$X$151,$X33,$U$2:$U$151))</f>
        <v/>
      </c>
      <c r="AG33">
        <f>IF($L33="","",SUMIF($X$2:$X$151,$X33,$W$2:$W$151))</f>
        <v/>
      </c>
    </row>
    <row r="34">
      <c r="A34" t="n">
        <v>33</v>
      </c>
      <c r="B34">
        <f>IFERROR(MATCH($A34,HISTORICO!$Y$3:$Y$2002,0),"")</f>
        <v/>
      </c>
      <c r="C34">
        <f>IF($B34="","",INDEX(HISTORICO!$A$3:$A$2002,$B34))</f>
        <v/>
      </c>
      <c r="D34">
        <f>IF($B34="","",INDEX(HISTORICO!$C$3:$C$2002,$B34))</f>
        <v/>
      </c>
      <c r="E34">
        <f>IF($B34="","",INDEX(HISTORICO!$F$3:$F$2002,$B34))</f>
        <v/>
      </c>
      <c r="F34">
        <f>IF($B34="","",INDEX(HISTORICO!$G$3:$G$2002,$B34))</f>
        <v/>
      </c>
      <c r="G34">
        <f>IF($B34="","",INDEX(HISTORICO!$E$3:$E$2002,$B34))</f>
        <v/>
      </c>
      <c r="H34">
        <f>IF($B34="","",INDEX(HISTORICO!$H$3:$H$2002,$B34))</f>
        <v/>
      </c>
      <c r="I34">
        <f>IF($B34="","",INDEX(HISTORICO!$D$3:$D$2002,$B34))</f>
        <v/>
      </c>
      <c r="J34">
        <f>IF($B34="","",INDEX(HISTORICO!$B$3:$B$2002,$B34))</f>
        <v/>
      </c>
      <c r="K34">
        <f>IF($B34="","",INDEX(HISTORICO!$U$3:$U$2002,$B34))</f>
        <v/>
      </c>
      <c r="L34">
        <f>IF($B34="","",INDEX(HISTORICO!$I$3:$I$2002,$B34))</f>
        <v/>
      </c>
      <c r="M34">
        <f>IF($B34="","",INDEX(HISTORICO!$J$3:$J$2002,$B34))</f>
        <v/>
      </c>
      <c r="N34">
        <f>IF($B34="","",INDEX(HISTORICO!$K$3:$K$2002,$B34))</f>
        <v/>
      </c>
      <c r="O34">
        <f>IF($B34="","",INDEX(HISTORICO!$L$3:$L$2002,$B34))</f>
        <v/>
      </c>
      <c r="P34">
        <f>IF($B34="","",INDEX(HISTORICO!$M$3:$M$2002,$B34))</f>
        <v/>
      </c>
      <c r="Q34">
        <f>IF($B34="","",INDEX(HISTORICO!$N$3:$N$2002,$B34))</f>
        <v/>
      </c>
      <c r="R34">
        <f>IF($B34="","",INDEX(HISTORICO!$Q$3:$Q$2002,$B34))</f>
        <v/>
      </c>
      <c r="S34">
        <f>IF($B34="","",INDEX(HISTORICO!$P$3:$P$2002,$B34))</f>
        <v/>
      </c>
      <c r="T34">
        <f>IF($B34="","",INDEX(HISTORICO!$O$3:$O$2002,$B34))</f>
        <v/>
      </c>
      <c r="U34">
        <f>IF($B34="","",INDEX(HISTORICO!$R$3:$R$2002,$B34))</f>
        <v/>
      </c>
      <c r="V34">
        <f>IF($B34="","",INDEX(HISTORICO!$S$3:$S$2002,$B34))</f>
        <v/>
      </c>
      <c r="W34">
        <f>IF($B34="","",INDEX(HISTORICO!$T$3:$T$2002,$B34))</f>
        <v/>
      </c>
      <c r="X34">
        <f>IF($B34="","",INDEX(HISTORICO!$X$3:$X$2002,$B34))</f>
        <v/>
      </c>
      <c r="Y34">
        <f>IF($L34="","",IFERROR(INDEX(CONFIGURACOES!$C$37:$C$300,MATCH($L34,CONFIGURACOES!$B$37:$B$300,0)),""))</f>
        <v/>
      </c>
      <c r="Z34">
        <f>IF($L34="","",IFERROR(INDEX(CONFIGURACOES!$D$37:$D$300,MATCH($L34,CONFIGURACOES!$B$37:$B$300,0)),""))</f>
        <v/>
      </c>
      <c r="AA34">
        <f>IF($L34="","",IFERROR(INDEX(CONFIGURACOES!$E$37:$E$300,MATCH($L34,CONFIGURACOES!$B$37:$B$300,0)),""))</f>
        <v/>
      </c>
      <c r="AB34">
        <f>IF($L34="","",IFERROR(INDEX(CONFIGURACOES!$F$37:$F$300,MATCH($L34,CONFIGURACOES!$B$37:$B$300,0)),""))</f>
        <v/>
      </c>
      <c r="AC34">
        <f>IF($L34="","",IF($X34&lt;&gt;$X33,$AC33+1,$AC33))</f>
        <v/>
      </c>
      <c r="AD34">
        <f>IF($L34="","",IF($X34&lt;&gt;$X33,1,$AD33+1))</f>
        <v/>
      </c>
      <c r="AE34">
        <f>IF($L34="","",$AC34*10+$AD34)</f>
        <v/>
      </c>
      <c r="AF34">
        <f>IF($L34="","",SUMIF($X$2:$X$151,$X34,$U$2:$U$151))</f>
        <v/>
      </c>
      <c r="AG34">
        <f>IF($L34="","",SUMIF($X$2:$X$151,$X34,$W$2:$W$151))</f>
        <v/>
      </c>
    </row>
    <row r="35">
      <c r="A35" t="n">
        <v>34</v>
      </c>
      <c r="B35">
        <f>IFERROR(MATCH($A35,HISTORICO!$Y$3:$Y$2002,0),"")</f>
        <v/>
      </c>
      <c r="C35">
        <f>IF($B35="","",INDEX(HISTORICO!$A$3:$A$2002,$B35))</f>
        <v/>
      </c>
      <c r="D35">
        <f>IF($B35="","",INDEX(HISTORICO!$C$3:$C$2002,$B35))</f>
        <v/>
      </c>
      <c r="E35">
        <f>IF($B35="","",INDEX(HISTORICO!$F$3:$F$2002,$B35))</f>
        <v/>
      </c>
      <c r="F35">
        <f>IF($B35="","",INDEX(HISTORICO!$G$3:$G$2002,$B35))</f>
        <v/>
      </c>
      <c r="G35">
        <f>IF($B35="","",INDEX(HISTORICO!$E$3:$E$2002,$B35))</f>
        <v/>
      </c>
      <c r="H35">
        <f>IF($B35="","",INDEX(HISTORICO!$H$3:$H$2002,$B35))</f>
        <v/>
      </c>
      <c r="I35">
        <f>IF($B35="","",INDEX(HISTORICO!$D$3:$D$2002,$B35))</f>
        <v/>
      </c>
      <c r="J35">
        <f>IF($B35="","",INDEX(HISTORICO!$B$3:$B$2002,$B35))</f>
        <v/>
      </c>
      <c r="K35">
        <f>IF($B35="","",INDEX(HISTORICO!$U$3:$U$2002,$B35))</f>
        <v/>
      </c>
      <c r="L35">
        <f>IF($B35="","",INDEX(HISTORICO!$I$3:$I$2002,$B35))</f>
        <v/>
      </c>
      <c r="M35">
        <f>IF($B35="","",INDEX(HISTORICO!$J$3:$J$2002,$B35))</f>
        <v/>
      </c>
      <c r="N35">
        <f>IF($B35="","",INDEX(HISTORICO!$K$3:$K$2002,$B35))</f>
        <v/>
      </c>
      <c r="O35">
        <f>IF($B35="","",INDEX(HISTORICO!$L$3:$L$2002,$B35))</f>
        <v/>
      </c>
      <c r="P35">
        <f>IF($B35="","",INDEX(HISTORICO!$M$3:$M$2002,$B35))</f>
        <v/>
      </c>
      <c r="Q35">
        <f>IF($B35="","",INDEX(HISTORICO!$N$3:$N$2002,$B35))</f>
        <v/>
      </c>
      <c r="R35">
        <f>IF($B35="","",INDEX(HISTORICO!$Q$3:$Q$2002,$B35))</f>
        <v/>
      </c>
      <c r="S35">
        <f>IF($B35="","",INDEX(HISTORICO!$P$3:$P$2002,$B35))</f>
        <v/>
      </c>
      <c r="T35">
        <f>IF($B35="","",INDEX(HISTORICO!$O$3:$O$2002,$B35))</f>
        <v/>
      </c>
      <c r="U35">
        <f>IF($B35="","",INDEX(HISTORICO!$R$3:$R$2002,$B35))</f>
        <v/>
      </c>
      <c r="V35">
        <f>IF($B35="","",INDEX(HISTORICO!$S$3:$S$2002,$B35))</f>
        <v/>
      </c>
      <c r="W35">
        <f>IF($B35="","",INDEX(HISTORICO!$T$3:$T$2002,$B35))</f>
        <v/>
      </c>
      <c r="X35">
        <f>IF($B35="","",INDEX(HISTORICO!$X$3:$X$2002,$B35))</f>
        <v/>
      </c>
      <c r="Y35">
        <f>IF($L35="","",IFERROR(INDEX(CONFIGURACOES!$C$37:$C$300,MATCH($L35,CONFIGURACOES!$B$37:$B$300,0)),""))</f>
        <v/>
      </c>
      <c r="Z35">
        <f>IF($L35="","",IFERROR(INDEX(CONFIGURACOES!$D$37:$D$300,MATCH($L35,CONFIGURACOES!$B$37:$B$300,0)),""))</f>
        <v/>
      </c>
      <c r="AA35">
        <f>IF($L35="","",IFERROR(INDEX(CONFIGURACOES!$E$37:$E$300,MATCH($L35,CONFIGURACOES!$B$37:$B$300,0)),""))</f>
        <v/>
      </c>
      <c r="AB35">
        <f>IF($L35="","",IFERROR(INDEX(CONFIGURACOES!$F$37:$F$300,MATCH($L35,CONFIGURACOES!$B$37:$B$300,0)),""))</f>
        <v/>
      </c>
      <c r="AC35">
        <f>IF($L35="","",IF($X35&lt;&gt;$X34,$AC34+1,$AC34))</f>
        <v/>
      </c>
      <c r="AD35">
        <f>IF($L35="","",IF($X35&lt;&gt;$X34,1,$AD34+1))</f>
        <v/>
      </c>
      <c r="AE35">
        <f>IF($L35="","",$AC35*10+$AD35)</f>
        <v/>
      </c>
      <c r="AF35">
        <f>IF($L35="","",SUMIF($X$2:$X$151,$X35,$U$2:$U$151))</f>
        <v/>
      </c>
      <c r="AG35">
        <f>IF($L35="","",SUMIF($X$2:$X$151,$X35,$W$2:$W$151))</f>
        <v/>
      </c>
    </row>
    <row r="36">
      <c r="A36" t="n">
        <v>35</v>
      </c>
      <c r="B36">
        <f>IFERROR(MATCH($A36,HISTORICO!$Y$3:$Y$2002,0),"")</f>
        <v/>
      </c>
      <c r="C36">
        <f>IF($B36="","",INDEX(HISTORICO!$A$3:$A$2002,$B36))</f>
        <v/>
      </c>
      <c r="D36">
        <f>IF($B36="","",INDEX(HISTORICO!$C$3:$C$2002,$B36))</f>
        <v/>
      </c>
      <c r="E36">
        <f>IF($B36="","",INDEX(HISTORICO!$F$3:$F$2002,$B36))</f>
        <v/>
      </c>
      <c r="F36">
        <f>IF($B36="","",INDEX(HISTORICO!$G$3:$G$2002,$B36))</f>
        <v/>
      </c>
      <c r="G36">
        <f>IF($B36="","",INDEX(HISTORICO!$E$3:$E$2002,$B36))</f>
        <v/>
      </c>
      <c r="H36">
        <f>IF($B36="","",INDEX(HISTORICO!$H$3:$H$2002,$B36))</f>
        <v/>
      </c>
      <c r="I36">
        <f>IF($B36="","",INDEX(HISTORICO!$D$3:$D$2002,$B36))</f>
        <v/>
      </c>
      <c r="J36">
        <f>IF($B36="","",INDEX(HISTORICO!$B$3:$B$2002,$B36))</f>
        <v/>
      </c>
      <c r="K36">
        <f>IF($B36="","",INDEX(HISTORICO!$U$3:$U$2002,$B36))</f>
        <v/>
      </c>
      <c r="L36">
        <f>IF($B36="","",INDEX(HISTORICO!$I$3:$I$2002,$B36))</f>
        <v/>
      </c>
      <c r="M36">
        <f>IF($B36="","",INDEX(HISTORICO!$J$3:$J$2002,$B36))</f>
        <v/>
      </c>
      <c r="N36">
        <f>IF($B36="","",INDEX(HISTORICO!$K$3:$K$2002,$B36))</f>
        <v/>
      </c>
      <c r="O36">
        <f>IF($B36="","",INDEX(HISTORICO!$L$3:$L$2002,$B36))</f>
        <v/>
      </c>
      <c r="P36">
        <f>IF($B36="","",INDEX(HISTORICO!$M$3:$M$2002,$B36))</f>
        <v/>
      </c>
      <c r="Q36">
        <f>IF($B36="","",INDEX(HISTORICO!$N$3:$N$2002,$B36))</f>
        <v/>
      </c>
      <c r="R36">
        <f>IF($B36="","",INDEX(HISTORICO!$Q$3:$Q$2002,$B36))</f>
        <v/>
      </c>
      <c r="S36">
        <f>IF($B36="","",INDEX(HISTORICO!$P$3:$P$2002,$B36))</f>
        <v/>
      </c>
      <c r="T36">
        <f>IF($B36="","",INDEX(HISTORICO!$O$3:$O$2002,$B36))</f>
        <v/>
      </c>
      <c r="U36">
        <f>IF($B36="","",INDEX(HISTORICO!$R$3:$R$2002,$B36))</f>
        <v/>
      </c>
      <c r="V36">
        <f>IF($B36="","",INDEX(HISTORICO!$S$3:$S$2002,$B36))</f>
        <v/>
      </c>
      <c r="W36">
        <f>IF($B36="","",INDEX(HISTORICO!$T$3:$T$2002,$B36))</f>
        <v/>
      </c>
      <c r="X36">
        <f>IF($B36="","",INDEX(HISTORICO!$X$3:$X$2002,$B36))</f>
        <v/>
      </c>
      <c r="Y36">
        <f>IF($L36="","",IFERROR(INDEX(CONFIGURACOES!$C$37:$C$300,MATCH($L36,CONFIGURACOES!$B$37:$B$300,0)),""))</f>
        <v/>
      </c>
      <c r="Z36">
        <f>IF($L36="","",IFERROR(INDEX(CONFIGURACOES!$D$37:$D$300,MATCH($L36,CONFIGURACOES!$B$37:$B$300,0)),""))</f>
        <v/>
      </c>
      <c r="AA36">
        <f>IF($L36="","",IFERROR(INDEX(CONFIGURACOES!$E$37:$E$300,MATCH($L36,CONFIGURACOES!$B$37:$B$300,0)),""))</f>
        <v/>
      </c>
      <c r="AB36">
        <f>IF($L36="","",IFERROR(INDEX(CONFIGURACOES!$F$37:$F$300,MATCH($L36,CONFIGURACOES!$B$37:$B$300,0)),""))</f>
        <v/>
      </c>
      <c r="AC36">
        <f>IF($L36="","",IF($X36&lt;&gt;$X35,$AC35+1,$AC35))</f>
        <v/>
      </c>
      <c r="AD36">
        <f>IF($L36="","",IF($X36&lt;&gt;$X35,1,$AD35+1))</f>
        <v/>
      </c>
      <c r="AE36">
        <f>IF($L36="","",$AC36*10+$AD36)</f>
        <v/>
      </c>
      <c r="AF36">
        <f>IF($L36="","",SUMIF($X$2:$X$151,$X36,$U$2:$U$151))</f>
        <v/>
      </c>
      <c r="AG36">
        <f>IF($L36="","",SUMIF($X$2:$X$151,$X36,$W$2:$W$151))</f>
        <v/>
      </c>
    </row>
    <row r="37">
      <c r="A37" t="n">
        <v>36</v>
      </c>
      <c r="B37">
        <f>IFERROR(MATCH($A37,HISTORICO!$Y$3:$Y$2002,0),"")</f>
        <v/>
      </c>
      <c r="C37">
        <f>IF($B37="","",INDEX(HISTORICO!$A$3:$A$2002,$B37))</f>
        <v/>
      </c>
      <c r="D37">
        <f>IF($B37="","",INDEX(HISTORICO!$C$3:$C$2002,$B37))</f>
        <v/>
      </c>
      <c r="E37">
        <f>IF($B37="","",INDEX(HISTORICO!$F$3:$F$2002,$B37))</f>
        <v/>
      </c>
      <c r="F37">
        <f>IF($B37="","",INDEX(HISTORICO!$G$3:$G$2002,$B37))</f>
        <v/>
      </c>
      <c r="G37">
        <f>IF($B37="","",INDEX(HISTORICO!$E$3:$E$2002,$B37))</f>
        <v/>
      </c>
      <c r="H37">
        <f>IF($B37="","",INDEX(HISTORICO!$H$3:$H$2002,$B37))</f>
        <v/>
      </c>
      <c r="I37">
        <f>IF($B37="","",INDEX(HISTORICO!$D$3:$D$2002,$B37))</f>
        <v/>
      </c>
      <c r="J37">
        <f>IF($B37="","",INDEX(HISTORICO!$B$3:$B$2002,$B37))</f>
        <v/>
      </c>
      <c r="K37">
        <f>IF($B37="","",INDEX(HISTORICO!$U$3:$U$2002,$B37))</f>
        <v/>
      </c>
      <c r="L37">
        <f>IF($B37="","",INDEX(HISTORICO!$I$3:$I$2002,$B37))</f>
        <v/>
      </c>
      <c r="M37">
        <f>IF($B37="","",INDEX(HISTORICO!$J$3:$J$2002,$B37))</f>
        <v/>
      </c>
      <c r="N37">
        <f>IF($B37="","",INDEX(HISTORICO!$K$3:$K$2002,$B37))</f>
        <v/>
      </c>
      <c r="O37">
        <f>IF($B37="","",INDEX(HISTORICO!$L$3:$L$2002,$B37))</f>
        <v/>
      </c>
      <c r="P37">
        <f>IF($B37="","",INDEX(HISTORICO!$M$3:$M$2002,$B37))</f>
        <v/>
      </c>
      <c r="Q37">
        <f>IF($B37="","",INDEX(HISTORICO!$N$3:$N$2002,$B37))</f>
        <v/>
      </c>
      <c r="R37">
        <f>IF($B37="","",INDEX(HISTORICO!$Q$3:$Q$2002,$B37))</f>
        <v/>
      </c>
      <c r="S37">
        <f>IF($B37="","",INDEX(HISTORICO!$P$3:$P$2002,$B37))</f>
        <v/>
      </c>
      <c r="T37">
        <f>IF($B37="","",INDEX(HISTORICO!$O$3:$O$2002,$B37))</f>
        <v/>
      </c>
      <c r="U37">
        <f>IF($B37="","",INDEX(HISTORICO!$R$3:$R$2002,$B37))</f>
        <v/>
      </c>
      <c r="V37">
        <f>IF($B37="","",INDEX(HISTORICO!$S$3:$S$2002,$B37))</f>
        <v/>
      </c>
      <c r="W37">
        <f>IF($B37="","",INDEX(HISTORICO!$T$3:$T$2002,$B37))</f>
        <v/>
      </c>
      <c r="X37">
        <f>IF($B37="","",INDEX(HISTORICO!$X$3:$X$2002,$B37))</f>
        <v/>
      </c>
      <c r="Y37">
        <f>IF($L37="","",IFERROR(INDEX(CONFIGURACOES!$C$37:$C$300,MATCH($L37,CONFIGURACOES!$B$37:$B$300,0)),""))</f>
        <v/>
      </c>
      <c r="Z37">
        <f>IF($L37="","",IFERROR(INDEX(CONFIGURACOES!$D$37:$D$300,MATCH($L37,CONFIGURACOES!$B$37:$B$300,0)),""))</f>
        <v/>
      </c>
      <c r="AA37">
        <f>IF($L37="","",IFERROR(INDEX(CONFIGURACOES!$E$37:$E$300,MATCH($L37,CONFIGURACOES!$B$37:$B$300,0)),""))</f>
        <v/>
      </c>
      <c r="AB37">
        <f>IF($L37="","",IFERROR(INDEX(CONFIGURACOES!$F$37:$F$300,MATCH($L37,CONFIGURACOES!$B$37:$B$300,0)),""))</f>
        <v/>
      </c>
      <c r="AC37">
        <f>IF($L37="","",IF($X37&lt;&gt;$X36,$AC36+1,$AC36))</f>
        <v/>
      </c>
      <c r="AD37">
        <f>IF($L37="","",IF($X37&lt;&gt;$X36,1,$AD36+1))</f>
        <v/>
      </c>
      <c r="AE37">
        <f>IF($L37="","",$AC37*10+$AD37)</f>
        <v/>
      </c>
      <c r="AF37">
        <f>IF($L37="","",SUMIF($X$2:$X$151,$X37,$U$2:$U$151))</f>
        <v/>
      </c>
      <c r="AG37">
        <f>IF($L37="","",SUMIF($X$2:$X$151,$X37,$W$2:$W$151))</f>
        <v/>
      </c>
    </row>
    <row r="38">
      <c r="A38" t="n">
        <v>37</v>
      </c>
      <c r="B38">
        <f>IFERROR(MATCH($A38,HISTORICO!$Y$3:$Y$2002,0),"")</f>
        <v/>
      </c>
      <c r="C38">
        <f>IF($B38="","",INDEX(HISTORICO!$A$3:$A$2002,$B38))</f>
        <v/>
      </c>
      <c r="D38">
        <f>IF($B38="","",INDEX(HISTORICO!$C$3:$C$2002,$B38))</f>
        <v/>
      </c>
      <c r="E38">
        <f>IF($B38="","",INDEX(HISTORICO!$F$3:$F$2002,$B38))</f>
        <v/>
      </c>
      <c r="F38">
        <f>IF($B38="","",INDEX(HISTORICO!$G$3:$G$2002,$B38))</f>
        <v/>
      </c>
      <c r="G38">
        <f>IF($B38="","",INDEX(HISTORICO!$E$3:$E$2002,$B38))</f>
        <v/>
      </c>
      <c r="H38">
        <f>IF($B38="","",INDEX(HISTORICO!$H$3:$H$2002,$B38))</f>
        <v/>
      </c>
      <c r="I38">
        <f>IF($B38="","",INDEX(HISTORICO!$D$3:$D$2002,$B38))</f>
        <v/>
      </c>
      <c r="J38">
        <f>IF($B38="","",INDEX(HISTORICO!$B$3:$B$2002,$B38))</f>
        <v/>
      </c>
      <c r="K38">
        <f>IF($B38="","",INDEX(HISTORICO!$U$3:$U$2002,$B38))</f>
        <v/>
      </c>
      <c r="L38">
        <f>IF($B38="","",INDEX(HISTORICO!$I$3:$I$2002,$B38))</f>
        <v/>
      </c>
      <c r="M38">
        <f>IF($B38="","",INDEX(HISTORICO!$J$3:$J$2002,$B38))</f>
        <v/>
      </c>
      <c r="N38">
        <f>IF($B38="","",INDEX(HISTORICO!$K$3:$K$2002,$B38))</f>
        <v/>
      </c>
      <c r="O38">
        <f>IF($B38="","",INDEX(HISTORICO!$L$3:$L$2002,$B38))</f>
        <v/>
      </c>
      <c r="P38">
        <f>IF($B38="","",INDEX(HISTORICO!$M$3:$M$2002,$B38))</f>
        <v/>
      </c>
      <c r="Q38">
        <f>IF($B38="","",INDEX(HISTORICO!$N$3:$N$2002,$B38))</f>
        <v/>
      </c>
      <c r="R38">
        <f>IF($B38="","",INDEX(HISTORICO!$Q$3:$Q$2002,$B38))</f>
        <v/>
      </c>
      <c r="S38">
        <f>IF($B38="","",INDEX(HISTORICO!$P$3:$P$2002,$B38))</f>
        <v/>
      </c>
      <c r="T38">
        <f>IF($B38="","",INDEX(HISTORICO!$O$3:$O$2002,$B38))</f>
        <v/>
      </c>
      <c r="U38">
        <f>IF($B38="","",INDEX(HISTORICO!$R$3:$R$2002,$B38))</f>
        <v/>
      </c>
      <c r="V38">
        <f>IF($B38="","",INDEX(HISTORICO!$S$3:$S$2002,$B38))</f>
        <v/>
      </c>
      <c r="W38">
        <f>IF($B38="","",INDEX(HISTORICO!$T$3:$T$2002,$B38))</f>
        <v/>
      </c>
      <c r="X38">
        <f>IF($B38="","",INDEX(HISTORICO!$X$3:$X$2002,$B38))</f>
        <v/>
      </c>
      <c r="Y38">
        <f>IF($L38="","",IFERROR(INDEX(CONFIGURACOES!$C$37:$C$300,MATCH($L38,CONFIGURACOES!$B$37:$B$300,0)),""))</f>
        <v/>
      </c>
      <c r="Z38">
        <f>IF($L38="","",IFERROR(INDEX(CONFIGURACOES!$D$37:$D$300,MATCH($L38,CONFIGURACOES!$B$37:$B$300,0)),""))</f>
        <v/>
      </c>
      <c r="AA38">
        <f>IF($L38="","",IFERROR(INDEX(CONFIGURACOES!$E$37:$E$300,MATCH($L38,CONFIGURACOES!$B$37:$B$300,0)),""))</f>
        <v/>
      </c>
      <c r="AB38">
        <f>IF($L38="","",IFERROR(INDEX(CONFIGURACOES!$F$37:$F$300,MATCH($L38,CONFIGURACOES!$B$37:$B$300,0)),""))</f>
        <v/>
      </c>
      <c r="AC38">
        <f>IF($L38="","",IF($X38&lt;&gt;$X37,$AC37+1,$AC37))</f>
        <v/>
      </c>
      <c r="AD38">
        <f>IF($L38="","",IF($X38&lt;&gt;$X37,1,$AD37+1))</f>
        <v/>
      </c>
      <c r="AE38">
        <f>IF($L38="","",$AC38*10+$AD38)</f>
        <v/>
      </c>
      <c r="AF38">
        <f>IF($L38="","",SUMIF($X$2:$X$151,$X38,$U$2:$U$151))</f>
        <v/>
      </c>
      <c r="AG38">
        <f>IF($L38="","",SUMIF($X$2:$X$151,$X38,$W$2:$W$151))</f>
        <v/>
      </c>
    </row>
    <row r="39">
      <c r="A39" t="n">
        <v>38</v>
      </c>
      <c r="B39">
        <f>IFERROR(MATCH($A39,HISTORICO!$Y$3:$Y$2002,0),"")</f>
        <v/>
      </c>
      <c r="C39">
        <f>IF($B39="","",INDEX(HISTORICO!$A$3:$A$2002,$B39))</f>
        <v/>
      </c>
      <c r="D39">
        <f>IF($B39="","",INDEX(HISTORICO!$C$3:$C$2002,$B39))</f>
        <v/>
      </c>
      <c r="E39">
        <f>IF($B39="","",INDEX(HISTORICO!$F$3:$F$2002,$B39))</f>
        <v/>
      </c>
      <c r="F39">
        <f>IF($B39="","",INDEX(HISTORICO!$G$3:$G$2002,$B39))</f>
        <v/>
      </c>
      <c r="G39">
        <f>IF($B39="","",INDEX(HISTORICO!$E$3:$E$2002,$B39))</f>
        <v/>
      </c>
      <c r="H39">
        <f>IF($B39="","",INDEX(HISTORICO!$H$3:$H$2002,$B39))</f>
        <v/>
      </c>
      <c r="I39">
        <f>IF($B39="","",INDEX(HISTORICO!$D$3:$D$2002,$B39))</f>
        <v/>
      </c>
      <c r="J39">
        <f>IF($B39="","",INDEX(HISTORICO!$B$3:$B$2002,$B39))</f>
        <v/>
      </c>
      <c r="K39">
        <f>IF($B39="","",INDEX(HISTORICO!$U$3:$U$2002,$B39))</f>
        <v/>
      </c>
      <c r="L39">
        <f>IF($B39="","",INDEX(HISTORICO!$I$3:$I$2002,$B39))</f>
        <v/>
      </c>
      <c r="M39">
        <f>IF($B39="","",INDEX(HISTORICO!$J$3:$J$2002,$B39))</f>
        <v/>
      </c>
      <c r="N39">
        <f>IF($B39="","",INDEX(HISTORICO!$K$3:$K$2002,$B39))</f>
        <v/>
      </c>
      <c r="O39">
        <f>IF($B39="","",INDEX(HISTORICO!$L$3:$L$2002,$B39))</f>
        <v/>
      </c>
      <c r="P39">
        <f>IF($B39="","",INDEX(HISTORICO!$M$3:$M$2002,$B39))</f>
        <v/>
      </c>
      <c r="Q39">
        <f>IF($B39="","",INDEX(HISTORICO!$N$3:$N$2002,$B39))</f>
        <v/>
      </c>
      <c r="R39">
        <f>IF($B39="","",INDEX(HISTORICO!$Q$3:$Q$2002,$B39))</f>
        <v/>
      </c>
      <c r="S39">
        <f>IF($B39="","",INDEX(HISTORICO!$P$3:$P$2002,$B39))</f>
        <v/>
      </c>
      <c r="T39">
        <f>IF($B39="","",INDEX(HISTORICO!$O$3:$O$2002,$B39))</f>
        <v/>
      </c>
      <c r="U39">
        <f>IF($B39="","",INDEX(HISTORICO!$R$3:$R$2002,$B39))</f>
        <v/>
      </c>
      <c r="V39">
        <f>IF($B39="","",INDEX(HISTORICO!$S$3:$S$2002,$B39))</f>
        <v/>
      </c>
      <c r="W39">
        <f>IF($B39="","",INDEX(HISTORICO!$T$3:$T$2002,$B39))</f>
        <v/>
      </c>
      <c r="X39">
        <f>IF($B39="","",INDEX(HISTORICO!$X$3:$X$2002,$B39))</f>
        <v/>
      </c>
      <c r="Y39">
        <f>IF($L39="","",IFERROR(INDEX(CONFIGURACOES!$C$37:$C$300,MATCH($L39,CONFIGURACOES!$B$37:$B$300,0)),""))</f>
        <v/>
      </c>
      <c r="Z39">
        <f>IF($L39="","",IFERROR(INDEX(CONFIGURACOES!$D$37:$D$300,MATCH($L39,CONFIGURACOES!$B$37:$B$300,0)),""))</f>
        <v/>
      </c>
      <c r="AA39">
        <f>IF($L39="","",IFERROR(INDEX(CONFIGURACOES!$E$37:$E$300,MATCH($L39,CONFIGURACOES!$B$37:$B$300,0)),""))</f>
        <v/>
      </c>
      <c r="AB39">
        <f>IF($L39="","",IFERROR(INDEX(CONFIGURACOES!$F$37:$F$300,MATCH($L39,CONFIGURACOES!$B$37:$B$300,0)),""))</f>
        <v/>
      </c>
      <c r="AC39">
        <f>IF($L39="","",IF($X39&lt;&gt;$X38,$AC38+1,$AC38))</f>
        <v/>
      </c>
      <c r="AD39">
        <f>IF($L39="","",IF($X39&lt;&gt;$X38,1,$AD38+1))</f>
        <v/>
      </c>
      <c r="AE39">
        <f>IF($L39="","",$AC39*10+$AD39)</f>
        <v/>
      </c>
      <c r="AF39">
        <f>IF($L39="","",SUMIF($X$2:$X$151,$X39,$U$2:$U$151))</f>
        <v/>
      </c>
      <c r="AG39">
        <f>IF($L39="","",SUMIF($X$2:$X$151,$X39,$W$2:$W$151))</f>
        <v/>
      </c>
    </row>
    <row r="40">
      <c r="A40" t="n">
        <v>39</v>
      </c>
      <c r="B40">
        <f>IFERROR(MATCH($A40,HISTORICO!$Y$3:$Y$2002,0),"")</f>
        <v/>
      </c>
      <c r="C40">
        <f>IF($B40="","",INDEX(HISTORICO!$A$3:$A$2002,$B40))</f>
        <v/>
      </c>
      <c r="D40">
        <f>IF($B40="","",INDEX(HISTORICO!$C$3:$C$2002,$B40))</f>
        <v/>
      </c>
      <c r="E40">
        <f>IF($B40="","",INDEX(HISTORICO!$F$3:$F$2002,$B40))</f>
        <v/>
      </c>
      <c r="F40">
        <f>IF($B40="","",INDEX(HISTORICO!$G$3:$G$2002,$B40))</f>
        <v/>
      </c>
      <c r="G40">
        <f>IF($B40="","",INDEX(HISTORICO!$E$3:$E$2002,$B40))</f>
        <v/>
      </c>
      <c r="H40">
        <f>IF($B40="","",INDEX(HISTORICO!$H$3:$H$2002,$B40))</f>
        <v/>
      </c>
      <c r="I40">
        <f>IF($B40="","",INDEX(HISTORICO!$D$3:$D$2002,$B40))</f>
        <v/>
      </c>
      <c r="J40">
        <f>IF($B40="","",INDEX(HISTORICO!$B$3:$B$2002,$B40))</f>
        <v/>
      </c>
      <c r="K40">
        <f>IF($B40="","",INDEX(HISTORICO!$U$3:$U$2002,$B40))</f>
        <v/>
      </c>
      <c r="L40">
        <f>IF($B40="","",INDEX(HISTORICO!$I$3:$I$2002,$B40))</f>
        <v/>
      </c>
      <c r="M40">
        <f>IF($B40="","",INDEX(HISTORICO!$J$3:$J$2002,$B40))</f>
        <v/>
      </c>
      <c r="N40">
        <f>IF($B40="","",INDEX(HISTORICO!$K$3:$K$2002,$B40))</f>
        <v/>
      </c>
      <c r="O40">
        <f>IF($B40="","",INDEX(HISTORICO!$L$3:$L$2002,$B40))</f>
        <v/>
      </c>
      <c r="P40">
        <f>IF($B40="","",INDEX(HISTORICO!$M$3:$M$2002,$B40))</f>
        <v/>
      </c>
      <c r="Q40">
        <f>IF($B40="","",INDEX(HISTORICO!$N$3:$N$2002,$B40))</f>
        <v/>
      </c>
      <c r="R40">
        <f>IF($B40="","",INDEX(HISTORICO!$Q$3:$Q$2002,$B40))</f>
        <v/>
      </c>
      <c r="S40">
        <f>IF($B40="","",INDEX(HISTORICO!$P$3:$P$2002,$B40))</f>
        <v/>
      </c>
      <c r="T40">
        <f>IF($B40="","",INDEX(HISTORICO!$O$3:$O$2002,$B40))</f>
        <v/>
      </c>
      <c r="U40">
        <f>IF($B40="","",INDEX(HISTORICO!$R$3:$R$2002,$B40))</f>
        <v/>
      </c>
      <c r="V40">
        <f>IF($B40="","",INDEX(HISTORICO!$S$3:$S$2002,$B40))</f>
        <v/>
      </c>
      <c r="W40">
        <f>IF($B40="","",INDEX(HISTORICO!$T$3:$T$2002,$B40))</f>
        <v/>
      </c>
      <c r="X40">
        <f>IF($B40="","",INDEX(HISTORICO!$X$3:$X$2002,$B40))</f>
        <v/>
      </c>
      <c r="Y40">
        <f>IF($L40="","",IFERROR(INDEX(CONFIGURACOES!$C$37:$C$300,MATCH($L40,CONFIGURACOES!$B$37:$B$300,0)),""))</f>
        <v/>
      </c>
      <c r="Z40">
        <f>IF($L40="","",IFERROR(INDEX(CONFIGURACOES!$D$37:$D$300,MATCH($L40,CONFIGURACOES!$B$37:$B$300,0)),""))</f>
        <v/>
      </c>
      <c r="AA40">
        <f>IF($L40="","",IFERROR(INDEX(CONFIGURACOES!$E$37:$E$300,MATCH($L40,CONFIGURACOES!$B$37:$B$300,0)),""))</f>
        <v/>
      </c>
      <c r="AB40">
        <f>IF($L40="","",IFERROR(INDEX(CONFIGURACOES!$F$37:$F$300,MATCH($L40,CONFIGURACOES!$B$37:$B$300,0)),""))</f>
        <v/>
      </c>
      <c r="AC40">
        <f>IF($L40="","",IF($X40&lt;&gt;$X39,$AC39+1,$AC39))</f>
        <v/>
      </c>
      <c r="AD40">
        <f>IF($L40="","",IF($X40&lt;&gt;$X39,1,$AD39+1))</f>
        <v/>
      </c>
      <c r="AE40">
        <f>IF($L40="","",$AC40*10+$AD40)</f>
        <v/>
      </c>
      <c r="AF40">
        <f>IF($L40="","",SUMIF($X$2:$X$151,$X40,$U$2:$U$151))</f>
        <v/>
      </c>
      <c r="AG40">
        <f>IF($L40="","",SUMIF($X$2:$X$151,$X40,$W$2:$W$151))</f>
        <v/>
      </c>
    </row>
    <row r="41">
      <c r="A41" t="n">
        <v>40</v>
      </c>
      <c r="B41">
        <f>IFERROR(MATCH($A41,HISTORICO!$Y$3:$Y$2002,0),"")</f>
        <v/>
      </c>
      <c r="C41">
        <f>IF($B41="","",INDEX(HISTORICO!$A$3:$A$2002,$B41))</f>
        <v/>
      </c>
      <c r="D41">
        <f>IF($B41="","",INDEX(HISTORICO!$C$3:$C$2002,$B41))</f>
        <v/>
      </c>
      <c r="E41">
        <f>IF($B41="","",INDEX(HISTORICO!$F$3:$F$2002,$B41))</f>
        <v/>
      </c>
      <c r="F41">
        <f>IF($B41="","",INDEX(HISTORICO!$G$3:$G$2002,$B41))</f>
        <v/>
      </c>
      <c r="G41">
        <f>IF($B41="","",INDEX(HISTORICO!$E$3:$E$2002,$B41))</f>
        <v/>
      </c>
      <c r="H41">
        <f>IF($B41="","",INDEX(HISTORICO!$H$3:$H$2002,$B41))</f>
        <v/>
      </c>
      <c r="I41">
        <f>IF($B41="","",INDEX(HISTORICO!$D$3:$D$2002,$B41))</f>
        <v/>
      </c>
      <c r="J41">
        <f>IF($B41="","",INDEX(HISTORICO!$B$3:$B$2002,$B41))</f>
        <v/>
      </c>
      <c r="K41">
        <f>IF($B41="","",INDEX(HISTORICO!$U$3:$U$2002,$B41))</f>
        <v/>
      </c>
      <c r="L41">
        <f>IF($B41="","",INDEX(HISTORICO!$I$3:$I$2002,$B41))</f>
        <v/>
      </c>
      <c r="M41">
        <f>IF($B41="","",INDEX(HISTORICO!$J$3:$J$2002,$B41))</f>
        <v/>
      </c>
      <c r="N41">
        <f>IF($B41="","",INDEX(HISTORICO!$K$3:$K$2002,$B41))</f>
        <v/>
      </c>
      <c r="O41">
        <f>IF($B41="","",INDEX(HISTORICO!$L$3:$L$2002,$B41))</f>
        <v/>
      </c>
      <c r="P41">
        <f>IF($B41="","",INDEX(HISTORICO!$M$3:$M$2002,$B41))</f>
        <v/>
      </c>
      <c r="Q41">
        <f>IF($B41="","",INDEX(HISTORICO!$N$3:$N$2002,$B41))</f>
        <v/>
      </c>
      <c r="R41">
        <f>IF($B41="","",INDEX(HISTORICO!$Q$3:$Q$2002,$B41))</f>
        <v/>
      </c>
      <c r="S41">
        <f>IF($B41="","",INDEX(HISTORICO!$P$3:$P$2002,$B41))</f>
        <v/>
      </c>
      <c r="T41">
        <f>IF($B41="","",INDEX(HISTORICO!$O$3:$O$2002,$B41))</f>
        <v/>
      </c>
      <c r="U41">
        <f>IF($B41="","",INDEX(HISTORICO!$R$3:$R$2002,$B41))</f>
        <v/>
      </c>
      <c r="V41">
        <f>IF($B41="","",INDEX(HISTORICO!$S$3:$S$2002,$B41))</f>
        <v/>
      </c>
      <c r="W41">
        <f>IF($B41="","",INDEX(HISTORICO!$T$3:$T$2002,$B41))</f>
        <v/>
      </c>
      <c r="X41">
        <f>IF($B41="","",INDEX(HISTORICO!$X$3:$X$2002,$B41))</f>
        <v/>
      </c>
      <c r="Y41">
        <f>IF($L41="","",IFERROR(INDEX(CONFIGURACOES!$C$37:$C$300,MATCH($L41,CONFIGURACOES!$B$37:$B$300,0)),""))</f>
        <v/>
      </c>
      <c r="Z41">
        <f>IF($L41="","",IFERROR(INDEX(CONFIGURACOES!$D$37:$D$300,MATCH($L41,CONFIGURACOES!$B$37:$B$300,0)),""))</f>
        <v/>
      </c>
      <c r="AA41">
        <f>IF($L41="","",IFERROR(INDEX(CONFIGURACOES!$E$37:$E$300,MATCH($L41,CONFIGURACOES!$B$37:$B$300,0)),""))</f>
        <v/>
      </c>
      <c r="AB41">
        <f>IF($L41="","",IFERROR(INDEX(CONFIGURACOES!$F$37:$F$300,MATCH($L41,CONFIGURACOES!$B$37:$B$300,0)),""))</f>
        <v/>
      </c>
      <c r="AC41">
        <f>IF($L41="","",IF($X41&lt;&gt;$X40,$AC40+1,$AC40))</f>
        <v/>
      </c>
      <c r="AD41">
        <f>IF($L41="","",IF($X41&lt;&gt;$X40,1,$AD40+1))</f>
        <v/>
      </c>
      <c r="AE41">
        <f>IF($L41="","",$AC41*10+$AD41)</f>
        <v/>
      </c>
      <c r="AF41">
        <f>IF($L41="","",SUMIF($X$2:$X$151,$X41,$U$2:$U$151))</f>
        <v/>
      </c>
      <c r="AG41">
        <f>IF($L41="","",SUMIF($X$2:$X$151,$X41,$W$2:$W$151))</f>
        <v/>
      </c>
    </row>
    <row r="42">
      <c r="A42" t="n">
        <v>41</v>
      </c>
      <c r="B42">
        <f>IFERROR(MATCH($A42,HISTORICO!$Y$3:$Y$2002,0),"")</f>
        <v/>
      </c>
      <c r="C42">
        <f>IF($B42="","",INDEX(HISTORICO!$A$3:$A$2002,$B42))</f>
        <v/>
      </c>
      <c r="D42">
        <f>IF($B42="","",INDEX(HISTORICO!$C$3:$C$2002,$B42))</f>
        <v/>
      </c>
      <c r="E42">
        <f>IF($B42="","",INDEX(HISTORICO!$F$3:$F$2002,$B42))</f>
        <v/>
      </c>
      <c r="F42">
        <f>IF($B42="","",INDEX(HISTORICO!$G$3:$G$2002,$B42))</f>
        <v/>
      </c>
      <c r="G42">
        <f>IF($B42="","",INDEX(HISTORICO!$E$3:$E$2002,$B42))</f>
        <v/>
      </c>
      <c r="H42">
        <f>IF($B42="","",INDEX(HISTORICO!$H$3:$H$2002,$B42))</f>
        <v/>
      </c>
      <c r="I42">
        <f>IF($B42="","",INDEX(HISTORICO!$D$3:$D$2002,$B42))</f>
        <v/>
      </c>
      <c r="J42">
        <f>IF($B42="","",INDEX(HISTORICO!$B$3:$B$2002,$B42))</f>
        <v/>
      </c>
      <c r="K42">
        <f>IF($B42="","",INDEX(HISTORICO!$U$3:$U$2002,$B42))</f>
        <v/>
      </c>
      <c r="L42">
        <f>IF($B42="","",INDEX(HISTORICO!$I$3:$I$2002,$B42))</f>
        <v/>
      </c>
      <c r="M42">
        <f>IF($B42="","",INDEX(HISTORICO!$J$3:$J$2002,$B42))</f>
        <v/>
      </c>
      <c r="N42">
        <f>IF($B42="","",INDEX(HISTORICO!$K$3:$K$2002,$B42))</f>
        <v/>
      </c>
      <c r="O42">
        <f>IF($B42="","",INDEX(HISTORICO!$L$3:$L$2002,$B42))</f>
        <v/>
      </c>
      <c r="P42">
        <f>IF($B42="","",INDEX(HISTORICO!$M$3:$M$2002,$B42))</f>
        <v/>
      </c>
      <c r="Q42">
        <f>IF($B42="","",INDEX(HISTORICO!$N$3:$N$2002,$B42))</f>
        <v/>
      </c>
      <c r="R42">
        <f>IF($B42="","",INDEX(HISTORICO!$Q$3:$Q$2002,$B42))</f>
        <v/>
      </c>
      <c r="S42">
        <f>IF($B42="","",INDEX(HISTORICO!$P$3:$P$2002,$B42))</f>
        <v/>
      </c>
      <c r="T42">
        <f>IF($B42="","",INDEX(HISTORICO!$O$3:$O$2002,$B42))</f>
        <v/>
      </c>
      <c r="U42">
        <f>IF($B42="","",INDEX(HISTORICO!$R$3:$R$2002,$B42))</f>
        <v/>
      </c>
      <c r="V42">
        <f>IF($B42="","",INDEX(HISTORICO!$S$3:$S$2002,$B42))</f>
        <v/>
      </c>
      <c r="W42">
        <f>IF($B42="","",INDEX(HISTORICO!$T$3:$T$2002,$B42))</f>
        <v/>
      </c>
      <c r="X42">
        <f>IF($B42="","",INDEX(HISTORICO!$X$3:$X$2002,$B42))</f>
        <v/>
      </c>
      <c r="Y42">
        <f>IF($L42="","",IFERROR(INDEX(CONFIGURACOES!$C$37:$C$300,MATCH($L42,CONFIGURACOES!$B$37:$B$300,0)),""))</f>
        <v/>
      </c>
      <c r="Z42">
        <f>IF($L42="","",IFERROR(INDEX(CONFIGURACOES!$D$37:$D$300,MATCH($L42,CONFIGURACOES!$B$37:$B$300,0)),""))</f>
        <v/>
      </c>
      <c r="AA42">
        <f>IF($L42="","",IFERROR(INDEX(CONFIGURACOES!$E$37:$E$300,MATCH($L42,CONFIGURACOES!$B$37:$B$300,0)),""))</f>
        <v/>
      </c>
      <c r="AB42">
        <f>IF($L42="","",IFERROR(INDEX(CONFIGURACOES!$F$37:$F$300,MATCH($L42,CONFIGURACOES!$B$37:$B$300,0)),""))</f>
        <v/>
      </c>
      <c r="AC42">
        <f>IF($L42="","",IF($X42&lt;&gt;$X41,$AC41+1,$AC41))</f>
        <v/>
      </c>
      <c r="AD42">
        <f>IF($L42="","",IF($X42&lt;&gt;$X41,1,$AD41+1))</f>
        <v/>
      </c>
      <c r="AE42">
        <f>IF($L42="","",$AC42*10+$AD42)</f>
        <v/>
      </c>
      <c r="AF42">
        <f>IF($L42="","",SUMIF($X$2:$X$151,$X42,$U$2:$U$151))</f>
        <v/>
      </c>
      <c r="AG42">
        <f>IF($L42="","",SUMIF($X$2:$X$151,$X42,$W$2:$W$151))</f>
        <v/>
      </c>
    </row>
    <row r="43">
      <c r="A43" t="n">
        <v>42</v>
      </c>
      <c r="B43">
        <f>IFERROR(MATCH($A43,HISTORICO!$Y$3:$Y$2002,0),"")</f>
        <v/>
      </c>
      <c r="C43">
        <f>IF($B43="","",INDEX(HISTORICO!$A$3:$A$2002,$B43))</f>
        <v/>
      </c>
      <c r="D43">
        <f>IF($B43="","",INDEX(HISTORICO!$C$3:$C$2002,$B43))</f>
        <v/>
      </c>
      <c r="E43">
        <f>IF($B43="","",INDEX(HISTORICO!$F$3:$F$2002,$B43))</f>
        <v/>
      </c>
      <c r="F43">
        <f>IF($B43="","",INDEX(HISTORICO!$G$3:$G$2002,$B43))</f>
        <v/>
      </c>
      <c r="G43">
        <f>IF($B43="","",INDEX(HISTORICO!$E$3:$E$2002,$B43))</f>
        <v/>
      </c>
      <c r="H43">
        <f>IF($B43="","",INDEX(HISTORICO!$H$3:$H$2002,$B43))</f>
        <v/>
      </c>
      <c r="I43">
        <f>IF($B43="","",INDEX(HISTORICO!$D$3:$D$2002,$B43))</f>
        <v/>
      </c>
      <c r="J43">
        <f>IF($B43="","",INDEX(HISTORICO!$B$3:$B$2002,$B43))</f>
        <v/>
      </c>
      <c r="K43">
        <f>IF($B43="","",INDEX(HISTORICO!$U$3:$U$2002,$B43))</f>
        <v/>
      </c>
      <c r="L43">
        <f>IF($B43="","",INDEX(HISTORICO!$I$3:$I$2002,$B43))</f>
        <v/>
      </c>
      <c r="M43">
        <f>IF($B43="","",INDEX(HISTORICO!$J$3:$J$2002,$B43))</f>
        <v/>
      </c>
      <c r="N43">
        <f>IF($B43="","",INDEX(HISTORICO!$K$3:$K$2002,$B43))</f>
        <v/>
      </c>
      <c r="O43">
        <f>IF($B43="","",INDEX(HISTORICO!$L$3:$L$2002,$B43))</f>
        <v/>
      </c>
      <c r="P43">
        <f>IF($B43="","",INDEX(HISTORICO!$M$3:$M$2002,$B43))</f>
        <v/>
      </c>
      <c r="Q43">
        <f>IF($B43="","",INDEX(HISTORICO!$N$3:$N$2002,$B43))</f>
        <v/>
      </c>
      <c r="R43">
        <f>IF($B43="","",INDEX(HISTORICO!$Q$3:$Q$2002,$B43))</f>
        <v/>
      </c>
      <c r="S43">
        <f>IF($B43="","",INDEX(HISTORICO!$P$3:$P$2002,$B43))</f>
        <v/>
      </c>
      <c r="T43">
        <f>IF($B43="","",INDEX(HISTORICO!$O$3:$O$2002,$B43))</f>
        <v/>
      </c>
      <c r="U43">
        <f>IF($B43="","",INDEX(HISTORICO!$R$3:$R$2002,$B43))</f>
        <v/>
      </c>
      <c r="V43">
        <f>IF($B43="","",INDEX(HISTORICO!$S$3:$S$2002,$B43))</f>
        <v/>
      </c>
      <c r="W43">
        <f>IF($B43="","",INDEX(HISTORICO!$T$3:$T$2002,$B43))</f>
        <v/>
      </c>
      <c r="X43">
        <f>IF($B43="","",INDEX(HISTORICO!$X$3:$X$2002,$B43))</f>
        <v/>
      </c>
      <c r="Y43">
        <f>IF($L43="","",IFERROR(INDEX(CONFIGURACOES!$C$37:$C$300,MATCH($L43,CONFIGURACOES!$B$37:$B$300,0)),""))</f>
        <v/>
      </c>
      <c r="Z43">
        <f>IF($L43="","",IFERROR(INDEX(CONFIGURACOES!$D$37:$D$300,MATCH($L43,CONFIGURACOES!$B$37:$B$300,0)),""))</f>
        <v/>
      </c>
      <c r="AA43">
        <f>IF($L43="","",IFERROR(INDEX(CONFIGURACOES!$E$37:$E$300,MATCH($L43,CONFIGURACOES!$B$37:$B$300,0)),""))</f>
        <v/>
      </c>
      <c r="AB43">
        <f>IF($L43="","",IFERROR(INDEX(CONFIGURACOES!$F$37:$F$300,MATCH($L43,CONFIGURACOES!$B$37:$B$300,0)),""))</f>
        <v/>
      </c>
      <c r="AC43">
        <f>IF($L43="","",IF($X43&lt;&gt;$X42,$AC42+1,$AC42))</f>
        <v/>
      </c>
      <c r="AD43">
        <f>IF($L43="","",IF($X43&lt;&gt;$X42,1,$AD42+1))</f>
        <v/>
      </c>
      <c r="AE43">
        <f>IF($L43="","",$AC43*10+$AD43)</f>
        <v/>
      </c>
      <c r="AF43">
        <f>IF($L43="","",SUMIF($X$2:$X$151,$X43,$U$2:$U$151))</f>
        <v/>
      </c>
      <c r="AG43">
        <f>IF($L43="","",SUMIF($X$2:$X$151,$X43,$W$2:$W$151))</f>
        <v/>
      </c>
    </row>
    <row r="44">
      <c r="A44" t="n">
        <v>43</v>
      </c>
      <c r="B44">
        <f>IFERROR(MATCH($A44,HISTORICO!$Y$3:$Y$2002,0),"")</f>
        <v/>
      </c>
      <c r="C44">
        <f>IF($B44="","",INDEX(HISTORICO!$A$3:$A$2002,$B44))</f>
        <v/>
      </c>
      <c r="D44">
        <f>IF($B44="","",INDEX(HISTORICO!$C$3:$C$2002,$B44))</f>
        <v/>
      </c>
      <c r="E44">
        <f>IF($B44="","",INDEX(HISTORICO!$F$3:$F$2002,$B44))</f>
        <v/>
      </c>
      <c r="F44">
        <f>IF($B44="","",INDEX(HISTORICO!$G$3:$G$2002,$B44))</f>
        <v/>
      </c>
      <c r="G44">
        <f>IF($B44="","",INDEX(HISTORICO!$E$3:$E$2002,$B44))</f>
        <v/>
      </c>
      <c r="H44">
        <f>IF($B44="","",INDEX(HISTORICO!$H$3:$H$2002,$B44))</f>
        <v/>
      </c>
      <c r="I44">
        <f>IF($B44="","",INDEX(HISTORICO!$D$3:$D$2002,$B44))</f>
        <v/>
      </c>
      <c r="J44">
        <f>IF($B44="","",INDEX(HISTORICO!$B$3:$B$2002,$B44))</f>
        <v/>
      </c>
      <c r="K44">
        <f>IF($B44="","",INDEX(HISTORICO!$U$3:$U$2002,$B44))</f>
        <v/>
      </c>
      <c r="L44">
        <f>IF($B44="","",INDEX(HISTORICO!$I$3:$I$2002,$B44))</f>
        <v/>
      </c>
      <c r="M44">
        <f>IF($B44="","",INDEX(HISTORICO!$J$3:$J$2002,$B44))</f>
        <v/>
      </c>
      <c r="N44">
        <f>IF($B44="","",INDEX(HISTORICO!$K$3:$K$2002,$B44))</f>
        <v/>
      </c>
      <c r="O44">
        <f>IF($B44="","",INDEX(HISTORICO!$L$3:$L$2002,$B44))</f>
        <v/>
      </c>
      <c r="P44">
        <f>IF($B44="","",INDEX(HISTORICO!$M$3:$M$2002,$B44))</f>
        <v/>
      </c>
      <c r="Q44">
        <f>IF($B44="","",INDEX(HISTORICO!$N$3:$N$2002,$B44))</f>
        <v/>
      </c>
      <c r="R44">
        <f>IF($B44="","",INDEX(HISTORICO!$Q$3:$Q$2002,$B44))</f>
        <v/>
      </c>
      <c r="S44">
        <f>IF($B44="","",INDEX(HISTORICO!$P$3:$P$2002,$B44))</f>
        <v/>
      </c>
      <c r="T44">
        <f>IF($B44="","",INDEX(HISTORICO!$O$3:$O$2002,$B44))</f>
        <v/>
      </c>
      <c r="U44">
        <f>IF($B44="","",INDEX(HISTORICO!$R$3:$R$2002,$B44))</f>
        <v/>
      </c>
      <c r="V44">
        <f>IF($B44="","",INDEX(HISTORICO!$S$3:$S$2002,$B44))</f>
        <v/>
      </c>
      <c r="W44">
        <f>IF($B44="","",INDEX(HISTORICO!$T$3:$T$2002,$B44))</f>
        <v/>
      </c>
      <c r="X44">
        <f>IF($B44="","",INDEX(HISTORICO!$X$3:$X$2002,$B44))</f>
        <v/>
      </c>
      <c r="Y44">
        <f>IF($L44="","",IFERROR(INDEX(CONFIGURACOES!$C$37:$C$300,MATCH($L44,CONFIGURACOES!$B$37:$B$300,0)),""))</f>
        <v/>
      </c>
      <c r="Z44">
        <f>IF($L44="","",IFERROR(INDEX(CONFIGURACOES!$D$37:$D$300,MATCH($L44,CONFIGURACOES!$B$37:$B$300,0)),""))</f>
        <v/>
      </c>
      <c r="AA44">
        <f>IF($L44="","",IFERROR(INDEX(CONFIGURACOES!$E$37:$E$300,MATCH($L44,CONFIGURACOES!$B$37:$B$300,0)),""))</f>
        <v/>
      </c>
      <c r="AB44">
        <f>IF($L44="","",IFERROR(INDEX(CONFIGURACOES!$F$37:$F$300,MATCH($L44,CONFIGURACOES!$B$37:$B$300,0)),""))</f>
        <v/>
      </c>
      <c r="AC44">
        <f>IF($L44="","",IF($X44&lt;&gt;$X43,$AC43+1,$AC43))</f>
        <v/>
      </c>
      <c r="AD44">
        <f>IF($L44="","",IF($X44&lt;&gt;$X43,1,$AD43+1))</f>
        <v/>
      </c>
      <c r="AE44">
        <f>IF($L44="","",$AC44*10+$AD44)</f>
        <v/>
      </c>
      <c r="AF44">
        <f>IF($L44="","",SUMIF($X$2:$X$151,$X44,$U$2:$U$151))</f>
        <v/>
      </c>
      <c r="AG44">
        <f>IF($L44="","",SUMIF($X$2:$X$151,$X44,$W$2:$W$151))</f>
        <v/>
      </c>
    </row>
    <row r="45">
      <c r="A45" t="n">
        <v>44</v>
      </c>
      <c r="B45">
        <f>IFERROR(MATCH($A45,HISTORICO!$Y$3:$Y$2002,0),"")</f>
        <v/>
      </c>
      <c r="C45">
        <f>IF($B45="","",INDEX(HISTORICO!$A$3:$A$2002,$B45))</f>
        <v/>
      </c>
      <c r="D45">
        <f>IF($B45="","",INDEX(HISTORICO!$C$3:$C$2002,$B45))</f>
        <v/>
      </c>
      <c r="E45">
        <f>IF($B45="","",INDEX(HISTORICO!$F$3:$F$2002,$B45))</f>
        <v/>
      </c>
      <c r="F45">
        <f>IF($B45="","",INDEX(HISTORICO!$G$3:$G$2002,$B45))</f>
        <v/>
      </c>
      <c r="G45">
        <f>IF($B45="","",INDEX(HISTORICO!$E$3:$E$2002,$B45))</f>
        <v/>
      </c>
      <c r="H45">
        <f>IF($B45="","",INDEX(HISTORICO!$H$3:$H$2002,$B45))</f>
        <v/>
      </c>
      <c r="I45">
        <f>IF($B45="","",INDEX(HISTORICO!$D$3:$D$2002,$B45))</f>
        <v/>
      </c>
      <c r="J45">
        <f>IF($B45="","",INDEX(HISTORICO!$B$3:$B$2002,$B45))</f>
        <v/>
      </c>
      <c r="K45">
        <f>IF($B45="","",INDEX(HISTORICO!$U$3:$U$2002,$B45))</f>
        <v/>
      </c>
      <c r="L45">
        <f>IF($B45="","",INDEX(HISTORICO!$I$3:$I$2002,$B45))</f>
        <v/>
      </c>
      <c r="M45">
        <f>IF($B45="","",INDEX(HISTORICO!$J$3:$J$2002,$B45))</f>
        <v/>
      </c>
      <c r="N45">
        <f>IF($B45="","",INDEX(HISTORICO!$K$3:$K$2002,$B45))</f>
        <v/>
      </c>
      <c r="O45">
        <f>IF($B45="","",INDEX(HISTORICO!$L$3:$L$2002,$B45))</f>
        <v/>
      </c>
      <c r="P45">
        <f>IF($B45="","",INDEX(HISTORICO!$M$3:$M$2002,$B45))</f>
        <v/>
      </c>
      <c r="Q45">
        <f>IF($B45="","",INDEX(HISTORICO!$N$3:$N$2002,$B45))</f>
        <v/>
      </c>
      <c r="R45">
        <f>IF($B45="","",INDEX(HISTORICO!$Q$3:$Q$2002,$B45))</f>
        <v/>
      </c>
      <c r="S45">
        <f>IF($B45="","",INDEX(HISTORICO!$P$3:$P$2002,$B45))</f>
        <v/>
      </c>
      <c r="T45">
        <f>IF($B45="","",INDEX(HISTORICO!$O$3:$O$2002,$B45))</f>
        <v/>
      </c>
      <c r="U45">
        <f>IF($B45="","",INDEX(HISTORICO!$R$3:$R$2002,$B45))</f>
        <v/>
      </c>
      <c r="V45">
        <f>IF($B45="","",INDEX(HISTORICO!$S$3:$S$2002,$B45))</f>
        <v/>
      </c>
      <c r="W45">
        <f>IF($B45="","",INDEX(HISTORICO!$T$3:$T$2002,$B45))</f>
        <v/>
      </c>
      <c r="X45">
        <f>IF($B45="","",INDEX(HISTORICO!$X$3:$X$2002,$B45))</f>
        <v/>
      </c>
      <c r="Y45">
        <f>IF($L45="","",IFERROR(INDEX(CONFIGURACOES!$C$37:$C$300,MATCH($L45,CONFIGURACOES!$B$37:$B$300,0)),""))</f>
        <v/>
      </c>
      <c r="Z45">
        <f>IF($L45="","",IFERROR(INDEX(CONFIGURACOES!$D$37:$D$300,MATCH($L45,CONFIGURACOES!$B$37:$B$300,0)),""))</f>
        <v/>
      </c>
      <c r="AA45">
        <f>IF($L45="","",IFERROR(INDEX(CONFIGURACOES!$E$37:$E$300,MATCH($L45,CONFIGURACOES!$B$37:$B$300,0)),""))</f>
        <v/>
      </c>
      <c r="AB45">
        <f>IF($L45="","",IFERROR(INDEX(CONFIGURACOES!$F$37:$F$300,MATCH($L45,CONFIGURACOES!$B$37:$B$300,0)),""))</f>
        <v/>
      </c>
      <c r="AC45">
        <f>IF($L45="","",IF($X45&lt;&gt;$X44,$AC44+1,$AC44))</f>
        <v/>
      </c>
      <c r="AD45">
        <f>IF($L45="","",IF($X45&lt;&gt;$X44,1,$AD44+1))</f>
        <v/>
      </c>
      <c r="AE45">
        <f>IF($L45="","",$AC45*10+$AD45)</f>
        <v/>
      </c>
      <c r="AF45">
        <f>IF($L45="","",SUMIF($X$2:$X$151,$X45,$U$2:$U$151))</f>
        <v/>
      </c>
      <c r="AG45">
        <f>IF($L45="","",SUMIF($X$2:$X$151,$X45,$W$2:$W$151))</f>
        <v/>
      </c>
    </row>
    <row r="46">
      <c r="A46" t="n">
        <v>45</v>
      </c>
      <c r="B46">
        <f>IFERROR(MATCH($A46,HISTORICO!$Y$3:$Y$2002,0),"")</f>
        <v/>
      </c>
      <c r="C46">
        <f>IF($B46="","",INDEX(HISTORICO!$A$3:$A$2002,$B46))</f>
        <v/>
      </c>
      <c r="D46">
        <f>IF($B46="","",INDEX(HISTORICO!$C$3:$C$2002,$B46))</f>
        <v/>
      </c>
      <c r="E46">
        <f>IF($B46="","",INDEX(HISTORICO!$F$3:$F$2002,$B46))</f>
        <v/>
      </c>
      <c r="F46">
        <f>IF($B46="","",INDEX(HISTORICO!$G$3:$G$2002,$B46))</f>
        <v/>
      </c>
      <c r="G46">
        <f>IF($B46="","",INDEX(HISTORICO!$E$3:$E$2002,$B46))</f>
        <v/>
      </c>
      <c r="H46">
        <f>IF($B46="","",INDEX(HISTORICO!$H$3:$H$2002,$B46))</f>
        <v/>
      </c>
      <c r="I46">
        <f>IF($B46="","",INDEX(HISTORICO!$D$3:$D$2002,$B46))</f>
        <v/>
      </c>
      <c r="J46">
        <f>IF($B46="","",INDEX(HISTORICO!$B$3:$B$2002,$B46))</f>
        <v/>
      </c>
      <c r="K46">
        <f>IF($B46="","",INDEX(HISTORICO!$U$3:$U$2002,$B46))</f>
        <v/>
      </c>
      <c r="L46">
        <f>IF($B46="","",INDEX(HISTORICO!$I$3:$I$2002,$B46))</f>
        <v/>
      </c>
      <c r="M46">
        <f>IF($B46="","",INDEX(HISTORICO!$J$3:$J$2002,$B46))</f>
        <v/>
      </c>
      <c r="N46">
        <f>IF($B46="","",INDEX(HISTORICO!$K$3:$K$2002,$B46))</f>
        <v/>
      </c>
      <c r="O46">
        <f>IF($B46="","",INDEX(HISTORICO!$L$3:$L$2002,$B46))</f>
        <v/>
      </c>
      <c r="P46">
        <f>IF($B46="","",INDEX(HISTORICO!$M$3:$M$2002,$B46))</f>
        <v/>
      </c>
      <c r="Q46">
        <f>IF($B46="","",INDEX(HISTORICO!$N$3:$N$2002,$B46))</f>
        <v/>
      </c>
      <c r="R46">
        <f>IF($B46="","",INDEX(HISTORICO!$Q$3:$Q$2002,$B46))</f>
        <v/>
      </c>
      <c r="S46">
        <f>IF($B46="","",INDEX(HISTORICO!$P$3:$P$2002,$B46))</f>
        <v/>
      </c>
      <c r="T46">
        <f>IF($B46="","",INDEX(HISTORICO!$O$3:$O$2002,$B46))</f>
        <v/>
      </c>
      <c r="U46">
        <f>IF($B46="","",INDEX(HISTORICO!$R$3:$R$2002,$B46))</f>
        <v/>
      </c>
      <c r="V46">
        <f>IF($B46="","",INDEX(HISTORICO!$S$3:$S$2002,$B46))</f>
        <v/>
      </c>
      <c r="W46">
        <f>IF($B46="","",INDEX(HISTORICO!$T$3:$T$2002,$B46))</f>
        <v/>
      </c>
      <c r="X46">
        <f>IF($B46="","",INDEX(HISTORICO!$X$3:$X$2002,$B46))</f>
        <v/>
      </c>
      <c r="Y46">
        <f>IF($L46="","",IFERROR(INDEX(CONFIGURACOES!$C$37:$C$300,MATCH($L46,CONFIGURACOES!$B$37:$B$300,0)),""))</f>
        <v/>
      </c>
      <c r="Z46">
        <f>IF($L46="","",IFERROR(INDEX(CONFIGURACOES!$D$37:$D$300,MATCH($L46,CONFIGURACOES!$B$37:$B$300,0)),""))</f>
        <v/>
      </c>
      <c r="AA46">
        <f>IF($L46="","",IFERROR(INDEX(CONFIGURACOES!$E$37:$E$300,MATCH($L46,CONFIGURACOES!$B$37:$B$300,0)),""))</f>
        <v/>
      </c>
      <c r="AB46">
        <f>IF($L46="","",IFERROR(INDEX(CONFIGURACOES!$F$37:$F$300,MATCH($L46,CONFIGURACOES!$B$37:$B$300,0)),""))</f>
        <v/>
      </c>
      <c r="AC46">
        <f>IF($L46="","",IF($X46&lt;&gt;$X45,$AC45+1,$AC45))</f>
        <v/>
      </c>
      <c r="AD46">
        <f>IF($L46="","",IF($X46&lt;&gt;$X45,1,$AD45+1))</f>
        <v/>
      </c>
      <c r="AE46">
        <f>IF($L46="","",$AC46*10+$AD46)</f>
        <v/>
      </c>
      <c r="AF46">
        <f>IF($L46="","",SUMIF($X$2:$X$151,$X46,$U$2:$U$151))</f>
        <v/>
      </c>
      <c r="AG46">
        <f>IF($L46="","",SUMIF($X$2:$X$151,$X46,$W$2:$W$151))</f>
        <v/>
      </c>
    </row>
    <row r="47">
      <c r="A47" t="n">
        <v>46</v>
      </c>
      <c r="B47">
        <f>IFERROR(MATCH($A47,HISTORICO!$Y$3:$Y$2002,0),"")</f>
        <v/>
      </c>
      <c r="C47">
        <f>IF($B47="","",INDEX(HISTORICO!$A$3:$A$2002,$B47))</f>
        <v/>
      </c>
      <c r="D47">
        <f>IF($B47="","",INDEX(HISTORICO!$C$3:$C$2002,$B47))</f>
        <v/>
      </c>
      <c r="E47">
        <f>IF($B47="","",INDEX(HISTORICO!$F$3:$F$2002,$B47))</f>
        <v/>
      </c>
      <c r="F47">
        <f>IF($B47="","",INDEX(HISTORICO!$G$3:$G$2002,$B47))</f>
        <v/>
      </c>
      <c r="G47">
        <f>IF($B47="","",INDEX(HISTORICO!$E$3:$E$2002,$B47))</f>
        <v/>
      </c>
      <c r="H47">
        <f>IF($B47="","",INDEX(HISTORICO!$H$3:$H$2002,$B47))</f>
        <v/>
      </c>
      <c r="I47">
        <f>IF($B47="","",INDEX(HISTORICO!$D$3:$D$2002,$B47))</f>
        <v/>
      </c>
      <c r="J47">
        <f>IF($B47="","",INDEX(HISTORICO!$B$3:$B$2002,$B47))</f>
        <v/>
      </c>
      <c r="K47">
        <f>IF($B47="","",INDEX(HISTORICO!$U$3:$U$2002,$B47))</f>
        <v/>
      </c>
      <c r="L47">
        <f>IF($B47="","",INDEX(HISTORICO!$I$3:$I$2002,$B47))</f>
        <v/>
      </c>
      <c r="M47">
        <f>IF($B47="","",INDEX(HISTORICO!$J$3:$J$2002,$B47))</f>
        <v/>
      </c>
      <c r="N47">
        <f>IF($B47="","",INDEX(HISTORICO!$K$3:$K$2002,$B47))</f>
        <v/>
      </c>
      <c r="O47">
        <f>IF($B47="","",INDEX(HISTORICO!$L$3:$L$2002,$B47))</f>
        <v/>
      </c>
      <c r="P47">
        <f>IF($B47="","",INDEX(HISTORICO!$M$3:$M$2002,$B47))</f>
        <v/>
      </c>
      <c r="Q47">
        <f>IF($B47="","",INDEX(HISTORICO!$N$3:$N$2002,$B47))</f>
        <v/>
      </c>
      <c r="R47">
        <f>IF($B47="","",INDEX(HISTORICO!$Q$3:$Q$2002,$B47))</f>
        <v/>
      </c>
      <c r="S47">
        <f>IF($B47="","",INDEX(HISTORICO!$P$3:$P$2002,$B47))</f>
        <v/>
      </c>
      <c r="T47">
        <f>IF($B47="","",INDEX(HISTORICO!$O$3:$O$2002,$B47))</f>
        <v/>
      </c>
      <c r="U47">
        <f>IF($B47="","",INDEX(HISTORICO!$R$3:$R$2002,$B47))</f>
        <v/>
      </c>
      <c r="V47">
        <f>IF($B47="","",INDEX(HISTORICO!$S$3:$S$2002,$B47))</f>
        <v/>
      </c>
      <c r="W47">
        <f>IF($B47="","",INDEX(HISTORICO!$T$3:$T$2002,$B47))</f>
        <v/>
      </c>
      <c r="X47">
        <f>IF($B47="","",INDEX(HISTORICO!$X$3:$X$2002,$B47))</f>
        <v/>
      </c>
      <c r="Y47">
        <f>IF($L47="","",IFERROR(INDEX(CONFIGURACOES!$C$37:$C$300,MATCH($L47,CONFIGURACOES!$B$37:$B$300,0)),""))</f>
        <v/>
      </c>
      <c r="Z47">
        <f>IF($L47="","",IFERROR(INDEX(CONFIGURACOES!$D$37:$D$300,MATCH($L47,CONFIGURACOES!$B$37:$B$300,0)),""))</f>
        <v/>
      </c>
      <c r="AA47">
        <f>IF($L47="","",IFERROR(INDEX(CONFIGURACOES!$E$37:$E$300,MATCH($L47,CONFIGURACOES!$B$37:$B$300,0)),""))</f>
        <v/>
      </c>
      <c r="AB47">
        <f>IF($L47="","",IFERROR(INDEX(CONFIGURACOES!$F$37:$F$300,MATCH($L47,CONFIGURACOES!$B$37:$B$300,0)),""))</f>
        <v/>
      </c>
      <c r="AC47">
        <f>IF($L47="","",IF($X47&lt;&gt;$X46,$AC46+1,$AC46))</f>
        <v/>
      </c>
      <c r="AD47">
        <f>IF($L47="","",IF($X47&lt;&gt;$X46,1,$AD46+1))</f>
        <v/>
      </c>
      <c r="AE47">
        <f>IF($L47="","",$AC47*10+$AD47)</f>
        <v/>
      </c>
      <c r="AF47">
        <f>IF($L47="","",SUMIF($X$2:$X$151,$X47,$U$2:$U$151))</f>
        <v/>
      </c>
      <c r="AG47">
        <f>IF($L47="","",SUMIF($X$2:$X$151,$X47,$W$2:$W$151))</f>
        <v/>
      </c>
    </row>
    <row r="48">
      <c r="A48" t="n">
        <v>47</v>
      </c>
      <c r="B48">
        <f>IFERROR(MATCH($A48,HISTORICO!$Y$3:$Y$2002,0),"")</f>
        <v/>
      </c>
      <c r="C48">
        <f>IF($B48="","",INDEX(HISTORICO!$A$3:$A$2002,$B48))</f>
        <v/>
      </c>
      <c r="D48">
        <f>IF($B48="","",INDEX(HISTORICO!$C$3:$C$2002,$B48))</f>
        <v/>
      </c>
      <c r="E48">
        <f>IF($B48="","",INDEX(HISTORICO!$F$3:$F$2002,$B48))</f>
        <v/>
      </c>
      <c r="F48">
        <f>IF($B48="","",INDEX(HISTORICO!$G$3:$G$2002,$B48))</f>
        <v/>
      </c>
      <c r="G48">
        <f>IF($B48="","",INDEX(HISTORICO!$E$3:$E$2002,$B48))</f>
        <v/>
      </c>
      <c r="H48">
        <f>IF($B48="","",INDEX(HISTORICO!$H$3:$H$2002,$B48))</f>
        <v/>
      </c>
      <c r="I48">
        <f>IF($B48="","",INDEX(HISTORICO!$D$3:$D$2002,$B48))</f>
        <v/>
      </c>
      <c r="J48">
        <f>IF($B48="","",INDEX(HISTORICO!$B$3:$B$2002,$B48))</f>
        <v/>
      </c>
      <c r="K48">
        <f>IF($B48="","",INDEX(HISTORICO!$U$3:$U$2002,$B48))</f>
        <v/>
      </c>
      <c r="L48">
        <f>IF($B48="","",INDEX(HISTORICO!$I$3:$I$2002,$B48))</f>
        <v/>
      </c>
      <c r="M48">
        <f>IF($B48="","",INDEX(HISTORICO!$J$3:$J$2002,$B48))</f>
        <v/>
      </c>
      <c r="N48">
        <f>IF($B48="","",INDEX(HISTORICO!$K$3:$K$2002,$B48))</f>
        <v/>
      </c>
      <c r="O48">
        <f>IF($B48="","",INDEX(HISTORICO!$L$3:$L$2002,$B48))</f>
        <v/>
      </c>
      <c r="P48">
        <f>IF($B48="","",INDEX(HISTORICO!$M$3:$M$2002,$B48))</f>
        <v/>
      </c>
      <c r="Q48">
        <f>IF($B48="","",INDEX(HISTORICO!$N$3:$N$2002,$B48))</f>
        <v/>
      </c>
      <c r="R48">
        <f>IF($B48="","",INDEX(HISTORICO!$Q$3:$Q$2002,$B48))</f>
        <v/>
      </c>
      <c r="S48">
        <f>IF($B48="","",INDEX(HISTORICO!$P$3:$P$2002,$B48))</f>
        <v/>
      </c>
      <c r="T48">
        <f>IF($B48="","",INDEX(HISTORICO!$O$3:$O$2002,$B48))</f>
        <v/>
      </c>
      <c r="U48">
        <f>IF($B48="","",INDEX(HISTORICO!$R$3:$R$2002,$B48))</f>
        <v/>
      </c>
      <c r="V48">
        <f>IF($B48="","",INDEX(HISTORICO!$S$3:$S$2002,$B48))</f>
        <v/>
      </c>
      <c r="W48">
        <f>IF($B48="","",INDEX(HISTORICO!$T$3:$T$2002,$B48))</f>
        <v/>
      </c>
      <c r="X48">
        <f>IF($B48="","",INDEX(HISTORICO!$X$3:$X$2002,$B48))</f>
        <v/>
      </c>
      <c r="Y48">
        <f>IF($L48="","",IFERROR(INDEX(CONFIGURACOES!$C$37:$C$300,MATCH($L48,CONFIGURACOES!$B$37:$B$300,0)),""))</f>
        <v/>
      </c>
      <c r="Z48">
        <f>IF($L48="","",IFERROR(INDEX(CONFIGURACOES!$D$37:$D$300,MATCH($L48,CONFIGURACOES!$B$37:$B$300,0)),""))</f>
        <v/>
      </c>
      <c r="AA48">
        <f>IF($L48="","",IFERROR(INDEX(CONFIGURACOES!$E$37:$E$300,MATCH($L48,CONFIGURACOES!$B$37:$B$300,0)),""))</f>
        <v/>
      </c>
      <c r="AB48">
        <f>IF($L48="","",IFERROR(INDEX(CONFIGURACOES!$F$37:$F$300,MATCH($L48,CONFIGURACOES!$B$37:$B$300,0)),""))</f>
        <v/>
      </c>
      <c r="AC48">
        <f>IF($L48="","",IF($X48&lt;&gt;$X47,$AC47+1,$AC47))</f>
        <v/>
      </c>
      <c r="AD48">
        <f>IF($L48="","",IF($X48&lt;&gt;$X47,1,$AD47+1))</f>
        <v/>
      </c>
      <c r="AE48">
        <f>IF($L48="","",$AC48*10+$AD48)</f>
        <v/>
      </c>
      <c r="AF48">
        <f>IF($L48="","",SUMIF($X$2:$X$151,$X48,$U$2:$U$151))</f>
        <v/>
      </c>
      <c r="AG48">
        <f>IF($L48="","",SUMIF($X$2:$X$151,$X48,$W$2:$W$151))</f>
        <v/>
      </c>
    </row>
    <row r="49">
      <c r="A49" t="n">
        <v>48</v>
      </c>
      <c r="B49">
        <f>IFERROR(MATCH($A49,HISTORICO!$Y$3:$Y$2002,0),"")</f>
        <v/>
      </c>
      <c r="C49">
        <f>IF($B49="","",INDEX(HISTORICO!$A$3:$A$2002,$B49))</f>
        <v/>
      </c>
      <c r="D49">
        <f>IF($B49="","",INDEX(HISTORICO!$C$3:$C$2002,$B49))</f>
        <v/>
      </c>
      <c r="E49">
        <f>IF($B49="","",INDEX(HISTORICO!$F$3:$F$2002,$B49))</f>
        <v/>
      </c>
      <c r="F49">
        <f>IF($B49="","",INDEX(HISTORICO!$G$3:$G$2002,$B49))</f>
        <v/>
      </c>
      <c r="G49">
        <f>IF($B49="","",INDEX(HISTORICO!$E$3:$E$2002,$B49))</f>
        <v/>
      </c>
      <c r="H49">
        <f>IF($B49="","",INDEX(HISTORICO!$H$3:$H$2002,$B49))</f>
        <v/>
      </c>
      <c r="I49">
        <f>IF($B49="","",INDEX(HISTORICO!$D$3:$D$2002,$B49))</f>
        <v/>
      </c>
      <c r="J49">
        <f>IF($B49="","",INDEX(HISTORICO!$B$3:$B$2002,$B49))</f>
        <v/>
      </c>
      <c r="K49">
        <f>IF($B49="","",INDEX(HISTORICO!$U$3:$U$2002,$B49))</f>
        <v/>
      </c>
      <c r="L49">
        <f>IF($B49="","",INDEX(HISTORICO!$I$3:$I$2002,$B49))</f>
        <v/>
      </c>
      <c r="M49">
        <f>IF($B49="","",INDEX(HISTORICO!$J$3:$J$2002,$B49))</f>
        <v/>
      </c>
      <c r="N49">
        <f>IF($B49="","",INDEX(HISTORICO!$K$3:$K$2002,$B49))</f>
        <v/>
      </c>
      <c r="O49">
        <f>IF($B49="","",INDEX(HISTORICO!$L$3:$L$2002,$B49))</f>
        <v/>
      </c>
      <c r="P49">
        <f>IF($B49="","",INDEX(HISTORICO!$M$3:$M$2002,$B49))</f>
        <v/>
      </c>
      <c r="Q49">
        <f>IF($B49="","",INDEX(HISTORICO!$N$3:$N$2002,$B49))</f>
        <v/>
      </c>
      <c r="R49">
        <f>IF($B49="","",INDEX(HISTORICO!$Q$3:$Q$2002,$B49))</f>
        <v/>
      </c>
      <c r="S49">
        <f>IF($B49="","",INDEX(HISTORICO!$P$3:$P$2002,$B49))</f>
        <v/>
      </c>
      <c r="T49">
        <f>IF($B49="","",INDEX(HISTORICO!$O$3:$O$2002,$B49))</f>
        <v/>
      </c>
      <c r="U49">
        <f>IF($B49="","",INDEX(HISTORICO!$R$3:$R$2002,$B49))</f>
        <v/>
      </c>
      <c r="V49">
        <f>IF($B49="","",INDEX(HISTORICO!$S$3:$S$2002,$B49))</f>
        <v/>
      </c>
      <c r="W49">
        <f>IF($B49="","",INDEX(HISTORICO!$T$3:$T$2002,$B49))</f>
        <v/>
      </c>
      <c r="X49">
        <f>IF($B49="","",INDEX(HISTORICO!$X$3:$X$2002,$B49))</f>
        <v/>
      </c>
      <c r="Y49">
        <f>IF($L49="","",IFERROR(INDEX(CONFIGURACOES!$C$37:$C$300,MATCH($L49,CONFIGURACOES!$B$37:$B$300,0)),""))</f>
        <v/>
      </c>
      <c r="Z49">
        <f>IF($L49="","",IFERROR(INDEX(CONFIGURACOES!$D$37:$D$300,MATCH($L49,CONFIGURACOES!$B$37:$B$300,0)),""))</f>
        <v/>
      </c>
      <c r="AA49">
        <f>IF($L49="","",IFERROR(INDEX(CONFIGURACOES!$E$37:$E$300,MATCH($L49,CONFIGURACOES!$B$37:$B$300,0)),""))</f>
        <v/>
      </c>
      <c r="AB49">
        <f>IF($L49="","",IFERROR(INDEX(CONFIGURACOES!$F$37:$F$300,MATCH($L49,CONFIGURACOES!$B$37:$B$300,0)),""))</f>
        <v/>
      </c>
      <c r="AC49">
        <f>IF($L49="","",IF($X49&lt;&gt;$X48,$AC48+1,$AC48))</f>
        <v/>
      </c>
      <c r="AD49">
        <f>IF($L49="","",IF($X49&lt;&gt;$X48,1,$AD48+1))</f>
        <v/>
      </c>
      <c r="AE49">
        <f>IF($L49="","",$AC49*10+$AD49)</f>
        <v/>
      </c>
      <c r="AF49">
        <f>IF($L49="","",SUMIF($X$2:$X$151,$X49,$U$2:$U$151))</f>
        <v/>
      </c>
      <c r="AG49">
        <f>IF($L49="","",SUMIF($X$2:$X$151,$X49,$W$2:$W$151))</f>
        <v/>
      </c>
    </row>
    <row r="50">
      <c r="A50" t="n">
        <v>49</v>
      </c>
      <c r="B50">
        <f>IFERROR(MATCH($A50,HISTORICO!$Y$3:$Y$2002,0),"")</f>
        <v/>
      </c>
      <c r="C50">
        <f>IF($B50="","",INDEX(HISTORICO!$A$3:$A$2002,$B50))</f>
        <v/>
      </c>
      <c r="D50">
        <f>IF($B50="","",INDEX(HISTORICO!$C$3:$C$2002,$B50))</f>
        <v/>
      </c>
      <c r="E50">
        <f>IF($B50="","",INDEX(HISTORICO!$F$3:$F$2002,$B50))</f>
        <v/>
      </c>
      <c r="F50">
        <f>IF($B50="","",INDEX(HISTORICO!$G$3:$G$2002,$B50))</f>
        <v/>
      </c>
      <c r="G50">
        <f>IF($B50="","",INDEX(HISTORICO!$E$3:$E$2002,$B50))</f>
        <v/>
      </c>
      <c r="H50">
        <f>IF($B50="","",INDEX(HISTORICO!$H$3:$H$2002,$B50))</f>
        <v/>
      </c>
      <c r="I50">
        <f>IF($B50="","",INDEX(HISTORICO!$D$3:$D$2002,$B50))</f>
        <v/>
      </c>
      <c r="J50">
        <f>IF($B50="","",INDEX(HISTORICO!$B$3:$B$2002,$B50))</f>
        <v/>
      </c>
      <c r="K50">
        <f>IF($B50="","",INDEX(HISTORICO!$U$3:$U$2002,$B50))</f>
        <v/>
      </c>
      <c r="L50">
        <f>IF($B50="","",INDEX(HISTORICO!$I$3:$I$2002,$B50))</f>
        <v/>
      </c>
      <c r="M50">
        <f>IF($B50="","",INDEX(HISTORICO!$J$3:$J$2002,$B50))</f>
        <v/>
      </c>
      <c r="N50">
        <f>IF($B50="","",INDEX(HISTORICO!$K$3:$K$2002,$B50))</f>
        <v/>
      </c>
      <c r="O50">
        <f>IF($B50="","",INDEX(HISTORICO!$L$3:$L$2002,$B50))</f>
        <v/>
      </c>
      <c r="P50">
        <f>IF($B50="","",INDEX(HISTORICO!$M$3:$M$2002,$B50))</f>
        <v/>
      </c>
      <c r="Q50">
        <f>IF($B50="","",INDEX(HISTORICO!$N$3:$N$2002,$B50))</f>
        <v/>
      </c>
      <c r="R50">
        <f>IF($B50="","",INDEX(HISTORICO!$Q$3:$Q$2002,$B50))</f>
        <v/>
      </c>
      <c r="S50">
        <f>IF($B50="","",INDEX(HISTORICO!$P$3:$P$2002,$B50))</f>
        <v/>
      </c>
      <c r="T50">
        <f>IF($B50="","",INDEX(HISTORICO!$O$3:$O$2002,$B50))</f>
        <v/>
      </c>
      <c r="U50">
        <f>IF($B50="","",INDEX(HISTORICO!$R$3:$R$2002,$B50))</f>
        <v/>
      </c>
      <c r="V50">
        <f>IF($B50="","",INDEX(HISTORICO!$S$3:$S$2002,$B50))</f>
        <v/>
      </c>
      <c r="W50">
        <f>IF($B50="","",INDEX(HISTORICO!$T$3:$T$2002,$B50))</f>
        <v/>
      </c>
      <c r="X50">
        <f>IF($B50="","",INDEX(HISTORICO!$X$3:$X$2002,$B50))</f>
        <v/>
      </c>
      <c r="Y50">
        <f>IF($L50="","",IFERROR(INDEX(CONFIGURACOES!$C$37:$C$300,MATCH($L50,CONFIGURACOES!$B$37:$B$300,0)),""))</f>
        <v/>
      </c>
      <c r="Z50">
        <f>IF($L50="","",IFERROR(INDEX(CONFIGURACOES!$D$37:$D$300,MATCH($L50,CONFIGURACOES!$B$37:$B$300,0)),""))</f>
        <v/>
      </c>
      <c r="AA50">
        <f>IF($L50="","",IFERROR(INDEX(CONFIGURACOES!$E$37:$E$300,MATCH($L50,CONFIGURACOES!$B$37:$B$300,0)),""))</f>
        <v/>
      </c>
      <c r="AB50">
        <f>IF($L50="","",IFERROR(INDEX(CONFIGURACOES!$F$37:$F$300,MATCH($L50,CONFIGURACOES!$B$37:$B$300,0)),""))</f>
        <v/>
      </c>
      <c r="AC50">
        <f>IF($L50="","",IF($X50&lt;&gt;$X49,$AC49+1,$AC49))</f>
        <v/>
      </c>
      <c r="AD50">
        <f>IF($L50="","",IF($X50&lt;&gt;$X49,1,$AD49+1))</f>
        <v/>
      </c>
      <c r="AE50">
        <f>IF($L50="","",$AC50*10+$AD50)</f>
        <v/>
      </c>
      <c r="AF50">
        <f>IF($L50="","",SUMIF($X$2:$X$151,$X50,$U$2:$U$151))</f>
        <v/>
      </c>
      <c r="AG50">
        <f>IF($L50="","",SUMIF($X$2:$X$151,$X50,$W$2:$W$151))</f>
        <v/>
      </c>
    </row>
    <row r="51">
      <c r="A51" t="n">
        <v>50</v>
      </c>
      <c r="B51">
        <f>IFERROR(MATCH($A51,HISTORICO!$Y$3:$Y$2002,0),"")</f>
        <v/>
      </c>
      <c r="C51">
        <f>IF($B51="","",INDEX(HISTORICO!$A$3:$A$2002,$B51))</f>
        <v/>
      </c>
      <c r="D51">
        <f>IF($B51="","",INDEX(HISTORICO!$C$3:$C$2002,$B51))</f>
        <v/>
      </c>
      <c r="E51">
        <f>IF($B51="","",INDEX(HISTORICO!$F$3:$F$2002,$B51))</f>
        <v/>
      </c>
      <c r="F51">
        <f>IF($B51="","",INDEX(HISTORICO!$G$3:$G$2002,$B51))</f>
        <v/>
      </c>
      <c r="G51">
        <f>IF($B51="","",INDEX(HISTORICO!$E$3:$E$2002,$B51))</f>
        <v/>
      </c>
      <c r="H51">
        <f>IF($B51="","",INDEX(HISTORICO!$H$3:$H$2002,$B51))</f>
        <v/>
      </c>
      <c r="I51">
        <f>IF($B51="","",INDEX(HISTORICO!$D$3:$D$2002,$B51))</f>
        <v/>
      </c>
      <c r="J51">
        <f>IF($B51="","",INDEX(HISTORICO!$B$3:$B$2002,$B51))</f>
        <v/>
      </c>
      <c r="K51">
        <f>IF($B51="","",INDEX(HISTORICO!$U$3:$U$2002,$B51))</f>
        <v/>
      </c>
      <c r="L51">
        <f>IF($B51="","",INDEX(HISTORICO!$I$3:$I$2002,$B51))</f>
        <v/>
      </c>
      <c r="M51">
        <f>IF($B51="","",INDEX(HISTORICO!$J$3:$J$2002,$B51))</f>
        <v/>
      </c>
      <c r="N51">
        <f>IF($B51="","",INDEX(HISTORICO!$K$3:$K$2002,$B51))</f>
        <v/>
      </c>
      <c r="O51">
        <f>IF($B51="","",INDEX(HISTORICO!$L$3:$L$2002,$B51))</f>
        <v/>
      </c>
      <c r="P51">
        <f>IF($B51="","",INDEX(HISTORICO!$M$3:$M$2002,$B51))</f>
        <v/>
      </c>
      <c r="Q51">
        <f>IF($B51="","",INDEX(HISTORICO!$N$3:$N$2002,$B51))</f>
        <v/>
      </c>
      <c r="R51">
        <f>IF($B51="","",INDEX(HISTORICO!$Q$3:$Q$2002,$B51))</f>
        <v/>
      </c>
      <c r="S51">
        <f>IF($B51="","",INDEX(HISTORICO!$P$3:$P$2002,$B51))</f>
        <v/>
      </c>
      <c r="T51">
        <f>IF($B51="","",INDEX(HISTORICO!$O$3:$O$2002,$B51))</f>
        <v/>
      </c>
      <c r="U51">
        <f>IF($B51="","",INDEX(HISTORICO!$R$3:$R$2002,$B51))</f>
        <v/>
      </c>
      <c r="V51">
        <f>IF($B51="","",INDEX(HISTORICO!$S$3:$S$2002,$B51))</f>
        <v/>
      </c>
      <c r="W51">
        <f>IF($B51="","",INDEX(HISTORICO!$T$3:$T$2002,$B51))</f>
        <v/>
      </c>
      <c r="X51">
        <f>IF($B51="","",INDEX(HISTORICO!$X$3:$X$2002,$B51))</f>
        <v/>
      </c>
      <c r="Y51">
        <f>IF($L51="","",IFERROR(INDEX(CONFIGURACOES!$C$37:$C$300,MATCH($L51,CONFIGURACOES!$B$37:$B$300,0)),""))</f>
        <v/>
      </c>
      <c r="Z51">
        <f>IF($L51="","",IFERROR(INDEX(CONFIGURACOES!$D$37:$D$300,MATCH($L51,CONFIGURACOES!$B$37:$B$300,0)),""))</f>
        <v/>
      </c>
      <c r="AA51">
        <f>IF($L51="","",IFERROR(INDEX(CONFIGURACOES!$E$37:$E$300,MATCH($L51,CONFIGURACOES!$B$37:$B$300,0)),""))</f>
        <v/>
      </c>
      <c r="AB51">
        <f>IF($L51="","",IFERROR(INDEX(CONFIGURACOES!$F$37:$F$300,MATCH($L51,CONFIGURACOES!$B$37:$B$300,0)),""))</f>
        <v/>
      </c>
      <c r="AC51">
        <f>IF($L51="","",IF($X51&lt;&gt;$X50,$AC50+1,$AC50))</f>
        <v/>
      </c>
      <c r="AD51">
        <f>IF($L51="","",IF($X51&lt;&gt;$X50,1,$AD50+1))</f>
        <v/>
      </c>
      <c r="AE51">
        <f>IF($L51="","",$AC51*10+$AD51)</f>
        <v/>
      </c>
      <c r="AF51">
        <f>IF($L51="","",SUMIF($X$2:$X$151,$X51,$U$2:$U$151))</f>
        <v/>
      </c>
      <c r="AG51">
        <f>IF($L51="","",SUMIF($X$2:$X$151,$X51,$W$2:$W$151))</f>
        <v/>
      </c>
    </row>
    <row r="52">
      <c r="A52" t="n">
        <v>51</v>
      </c>
      <c r="B52">
        <f>IFERROR(MATCH($A52,HISTORICO!$Y$3:$Y$2002,0),"")</f>
        <v/>
      </c>
      <c r="C52">
        <f>IF($B52="","",INDEX(HISTORICO!$A$3:$A$2002,$B52))</f>
        <v/>
      </c>
      <c r="D52">
        <f>IF($B52="","",INDEX(HISTORICO!$C$3:$C$2002,$B52))</f>
        <v/>
      </c>
      <c r="E52">
        <f>IF($B52="","",INDEX(HISTORICO!$F$3:$F$2002,$B52))</f>
        <v/>
      </c>
      <c r="F52">
        <f>IF($B52="","",INDEX(HISTORICO!$G$3:$G$2002,$B52))</f>
        <v/>
      </c>
      <c r="G52">
        <f>IF($B52="","",INDEX(HISTORICO!$E$3:$E$2002,$B52))</f>
        <v/>
      </c>
      <c r="H52">
        <f>IF($B52="","",INDEX(HISTORICO!$H$3:$H$2002,$B52))</f>
        <v/>
      </c>
      <c r="I52">
        <f>IF($B52="","",INDEX(HISTORICO!$D$3:$D$2002,$B52))</f>
        <v/>
      </c>
      <c r="J52">
        <f>IF($B52="","",INDEX(HISTORICO!$B$3:$B$2002,$B52))</f>
        <v/>
      </c>
      <c r="K52">
        <f>IF($B52="","",INDEX(HISTORICO!$U$3:$U$2002,$B52))</f>
        <v/>
      </c>
      <c r="L52">
        <f>IF($B52="","",INDEX(HISTORICO!$I$3:$I$2002,$B52))</f>
        <v/>
      </c>
      <c r="M52">
        <f>IF($B52="","",INDEX(HISTORICO!$J$3:$J$2002,$B52))</f>
        <v/>
      </c>
      <c r="N52">
        <f>IF($B52="","",INDEX(HISTORICO!$K$3:$K$2002,$B52))</f>
        <v/>
      </c>
      <c r="O52">
        <f>IF($B52="","",INDEX(HISTORICO!$L$3:$L$2002,$B52))</f>
        <v/>
      </c>
      <c r="P52">
        <f>IF($B52="","",INDEX(HISTORICO!$M$3:$M$2002,$B52))</f>
        <v/>
      </c>
      <c r="Q52">
        <f>IF($B52="","",INDEX(HISTORICO!$N$3:$N$2002,$B52))</f>
        <v/>
      </c>
      <c r="R52">
        <f>IF($B52="","",INDEX(HISTORICO!$Q$3:$Q$2002,$B52))</f>
        <v/>
      </c>
      <c r="S52">
        <f>IF($B52="","",INDEX(HISTORICO!$P$3:$P$2002,$B52))</f>
        <v/>
      </c>
      <c r="T52">
        <f>IF($B52="","",INDEX(HISTORICO!$O$3:$O$2002,$B52))</f>
        <v/>
      </c>
      <c r="U52">
        <f>IF($B52="","",INDEX(HISTORICO!$R$3:$R$2002,$B52))</f>
        <v/>
      </c>
      <c r="V52">
        <f>IF($B52="","",INDEX(HISTORICO!$S$3:$S$2002,$B52))</f>
        <v/>
      </c>
      <c r="W52">
        <f>IF($B52="","",INDEX(HISTORICO!$T$3:$T$2002,$B52))</f>
        <v/>
      </c>
      <c r="X52">
        <f>IF($B52="","",INDEX(HISTORICO!$X$3:$X$2002,$B52))</f>
        <v/>
      </c>
      <c r="Y52">
        <f>IF($L52="","",IFERROR(INDEX(CONFIGURACOES!$C$37:$C$300,MATCH($L52,CONFIGURACOES!$B$37:$B$300,0)),""))</f>
        <v/>
      </c>
      <c r="Z52">
        <f>IF($L52="","",IFERROR(INDEX(CONFIGURACOES!$D$37:$D$300,MATCH($L52,CONFIGURACOES!$B$37:$B$300,0)),""))</f>
        <v/>
      </c>
      <c r="AA52">
        <f>IF($L52="","",IFERROR(INDEX(CONFIGURACOES!$E$37:$E$300,MATCH($L52,CONFIGURACOES!$B$37:$B$300,0)),""))</f>
        <v/>
      </c>
      <c r="AB52">
        <f>IF($L52="","",IFERROR(INDEX(CONFIGURACOES!$F$37:$F$300,MATCH($L52,CONFIGURACOES!$B$37:$B$300,0)),""))</f>
        <v/>
      </c>
      <c r="AC52">
        <f>IF($L52="","",IF($X52&lt;&gt;$X51,$AC51+1,$AC51))</f>
        <v/>
      </c>
      <c r="AD52">
        <f>IF($L52="","",IF($X52&lt;&gt;$X51,1,$AD51+1))</f>
        <v/>
      </c>
      <c r="AE52">
        <f>IF($L52="","",$AC52*10+$AD52)</f>
        <v/>
      </c>
      <c r="AF52">
        <f>IF($L52="","",SUMIF($X$2:$X$151,$X52,$U$2:$U$151))</f>
        <v/>
      </c>
      <c r="AG52">
        <f>IF($L52="","",SUMIF($X$2:$X$151,$X52,$W$2:$W$151))</f>
        <v/>
      </c>
    </row>
    <row r="53">
      <c r="A53" t="n">
        <v>52</v>
      </c>
      <c r="B53">
        <f>IFERROR(MATCH($A53,HISTORICO!$Y$3:$Y$2002,0),"")</f>
        <v/>
      </c>
      <c r="C53">
        <f>IF($B53="","",INDEX(HISTORICO!$A$3:$A$2002,$B53))</f>
        <v/>
      </c>
      <c r="D53">
        <f>IF($B53="","",INDEX(HISTORICO!$C$3:$C$2002,$B53))</f>
        <v/>
      </c>
      <c r="E53">
        <f>IF($B53="","",INDEX(HISTORICO!$F$3:$F$2002,$B53))</f>
        <v/>
      </c>
      <c r="F53">
        <f>IF($B53="","",INDEX(HISTORICO!$G$3:$G$2002,$B53))</f>
        <v/>
      </c>
      <c r="G53">
        <f>IF($B53="","",INDEX(HISTORICO!$E$3:$E$2002,$B53))</f>
        <v/>
      </c>
      <c r="H53">
        <f>IF($B53="","",INDEX(HISTORICO!$H$3:$H$2002,$B53))</f>
        <v/>
      </c>
      <c r="I53">
        <f>IF($B53="","",INDEX(HISTORICO!$D$3:$D$2002,$B53))</f>
        <v/>
      </c>
      <c r="J53">
        <f>IF($B53="","",INDEX(HISTORICO!$B$3:$B$2002,$B53))</f>
        <v/>
      </c>
      <c r="K53">
        <f>IF($B53="","",INDEX(HISTORICO!$U$3:$U$2002,$B53))</f>
        <v/>
      </c>
      <c r="L53">
        <f>IF($B53="","",INDEX(HISTORICO!$I$3:$I$2002,$B53))</f>
        <v/>
      </c>
      <c r="M53">
        <f>IF($B53="","",INDEX(HISTORICO!$J$3:$J$2002,$B53))</f>
        <v/>
      </c>
      <c r="N53">
        <f>IF($B53="","",INDEX(HISTORICO!$K$3:$K$2002,$B53))</f>
        <v/>
      </c>
      <c r="O53">
        <f>IF($B53="","",INDEX(HISTORICO!$L$3:$L$2002,$B53))</f>
        <v/>
      </c>
      <c r="P53">
        <f>IF($B53="","",INDEX(HISTORICO!$M$3:$M$2002,$B53))</f>
        <v/>
      </c>
      <c r="Q53">
        <f>IF($B53="","",INDEX(HISTORICO!$N$3:$N$2002,$B53))</f>
        <v/>
      </c>
      <c r="R53">
        <f>IF($B53="","",INDEX(HISTORICO!$Q$3:$Q$2002,$B53))</f>
        <v/>
      </c>
      <c r="S53">
        <f>IF($B53="","",INDEX(HISTORICO!$P$3:$P$2002,$B53))</f>
        <v/>
      </c>
      <c r="T53">
        <f>IF($B53="","",INDEX(HISTORICO!$O$3:$O$2002,$B53))</f>
        <v/>
      </c>
      <c r="U53">
        <f>IF($B53="","",INDEX(HISTORICO!$R$3:$R$2002,$B53))</f>
        <v/>
      </c>
      <c r="V53">
        <f>IF($B53="","",INDEX(HISTORICO!$S$3:$S$2002,$B53))</f>
        <v/>
      </c>
      <c r="W53">
        <f>IF($B53="","",INDEX(HISTORICO!$T$3:$T$2002,$B53))</f>
        <v/>
      </c>
      <c r="X53">
        <f>IF($B53="","",INDEX(HISTORICO!$X$3:$X$2002,$B53))</f>
        <v/>
      </c>
      <c r="Y53">
        <f>IF($L53="","",IFERROR(INDEX(CONFIGURACOES!$C$37:$C$300,MATCH($L53,CONFIGURACOES!$B$37:$B$300,0)),""))</f>
        <v/>
      </c>
      <c r="Z53">
        <f>IF($L53="","",IFERROR(INDEX(CONFIGURACOES!$D$37:$D$300,MATCH($L53,CONFIGURACOES!$B$37:$B$300,0)),""))</f>
        <v/>
      </c>
      <c r="AA53">
        <f>IF($L53="","",IFERROR(INDEX(CONFIGURACOES!$E$37:$E$300,MATCH($L53,CONFIGURACOES!$B$37:$B$300,0)),""))</f>
        <v/>
      </c>
      <c r="AB53">
        <f>IF($L53="","",IFERROR(INDEX(CONFIGURACOES!$F$37:$F$300,MATCH($L53,CONFIGURACOES!$B$37:$B$300,0)),""))</f>
        <v/>
      </c>
      <c r="AC53">
        <f>IF($L53="","",IF($X53&lt;&gt;$X52,$AC52+1,$AC52))</f>
        <v/>
      </c>
      <c r="AD53">
        <f>IF($L53="","",IF($X53&lt;&gt;$X52,1,$AD52+1))</f>
        <v/>
      </c>
      <c r="AE53">
        <f>IF($L53="","",$AC53*10+$AD53)</f>
        <v/>
      </c>
      <c r="AF53">
        <f>IF($L53="","",SUMIF($X$2:$X$151,$X53,$U$2:$U$151))</f>
        <v/>
      </c>
      <c r="AG53">
        <f>IF($L53="","",SUMIF($X$2:$X$151,$X53,$W$2:$W$151))</f>
        <v/>
      </c>
    </row>
    <row r="54">
      <c r="A54" t="n">
        <v>53</v>
      </c>
      <c r="B54">
        <f>IFERROR(MATCH($A54,HISTORICO!$Y$3:$Y$2002,0),"")</f>
        <v/>
      </c>
      <c r="C54">
        <f>IF($B54="","",INDEX(HISTORICO!$A$3:$A$2002,$B54))</f>
        <v/>
      </c>
      <c r="D54">
        <f>IF($B54="","",INDEX(HISTORICO!$C$3:$C$2002,$B54))</f>
        <v/>
      </c>
      <c r="E54">
        <f>IF($B54="","",INDEX(HISTORICO!$F$3:$F$2002,$B54))</f>
        <v/>
      </c>
      <c r="F54">
        <f>IF($B54="","",INDEX(HISTORICO!$G$3:$G$2002,$B54))</f>
        <v/>
      </c>
      <c r="G54">
        <f>IF($B54="","",INDEX(HISTORICO!$E$3:$E$2002,$B54))</f>
        <v/>
      </c>
      <c r="H54">
        <f>IF($B54="","",INDEX(HISTORICO!$H$3:$H$2002,$B54))</f>
        <v/>
      </c>
      <c r="I54">
        <f>IF($B54="","",INDEX(HISTORICO!$D$3:$D$2002,$B54))</f>
        <v/>
      </c>
      <c r="J54">
        <f>IF($B54="","",INDEX(HISTORICO!$B$3:$B$2002,$B54))</f>
        <v/>
      </c>
      <c r="K54">
        <f>IF($B54="","",INDEX(HISTORICO!$U$3:$U$2002,$B54))</f>
        <v/>
      </c>
      <c r="L54">
        <f>IF($B54="","",INDEX(HISTORICO!$I$3:$I$2002,$B54))</f>
        <v/>
      </c>
      <c r="M54">
        <f>IF($B54="","",INDEX(HISTORICO!$J$3:$J$2002,$B54))</f>
        <v/>
      </c>
      <c r="N54">
        <f>IF($B54="","",INDEX(HISTORICO!$K$3:$K$2002,$B54))</f>
        <v/>
      </c>
      <c r="O54">
        <f>IF($B54="","",INDEX(HISTORICO!$L$3:$L$2002,$B54))</f>
        <v/>
      </c>
      <c r="P54">
        <f>IF($B54="","",INDEX(HISTORICO!$M$3:$M$2002,$B54))</f>
        <v/>
      </c>
      <c r="Q54">
        <f>IF($B54="","",INDEX(HISTORICO!$N$3:$N$2002,$B54))</f>
        <v/>
      </c>
      <c r="R54">
        <f>IF($B54="","",INDEX(HISTORICO!$Q$3:$Q$2002,$B54))</f>
        <v/>
      </c>
      <c r="S54">
        <f>IF($B54="","",INDEX(HISTORICO!$P$3:$P$2002,$B54))</f>
        <v/>
      </c>
      <c r="T54">
        <f>IF($B54="","",INDEX(HISTORICO!$O$3:$O$2002,$B54))</f>
        <v/>
      </c>
      <c r="U54">
        <f>IF($B54="","",INDEX(HISTORICO!$R$3:$R$2002,$B54))</f>
        <v/>
      </c>
      <c r="V54">
        <f>IF($B54="","",INDEX(HISTORICO!$S$3:$S$2002,$B54))</f>
        <v/>
      </c>
      <c r="W54">
        <f>IF($B54="","",INDEX(HISTORICO!$T$3:$T$2002,$B54))</f>
        <v/>
      </c>
      <c r="X54">
        <f>IF($B54="","",INDEX(HISTORICO!$X$3:$X$2002,$B54))</f>
        <v/>
      </c>
      <c r="Y54">
        <f>IF($L54="","",IFERROR(INDEX(CONFIGURACOES!$C$37:$C$300,MATCH($L54,CONFIGURACOES!$B$37:$B$300,0)),""))</f>
        <v/>
      </c>
      <c r="Z54">
        <f>IF($L54="","",IFERROR(INDEX(CONFIGURACOES!$D$37:$D$300,MATCH($L54,CONFIGURACOES!$B$37:$B$300,0)),""))</f>
        <v/>
      </c>
      <c r="AA54">
        <f>IF($L54="","",IFERROR(INDEX(CONFIGURACOES!$E$37:$E$300,MATCH($L54,CONFIGURACOES!$B$37:$B$300,0)),""))</f>
        <v/>
      </c>
      <c r="AB54">
        <f>IF($L54="","",IFERROR(INDEX(CONFIGURACOES!$F$37:$F$300,MATCH($L54,CONFIGURACOES!$B$37:$B$300,0)),""))</f>
        <v/>
      </c>
      <c r="AC54">
        <f>IF($L54="","",IF($X54&lt;&gt;$X53,$AC53+1,$AC53))</f>
        <v/>
      </c>
      <c r="AD54">
        <f>IF($L54="","",IF($X54&lt;&gt;$X53,1,$AD53+1))</f>
        <v/>
      </c>
      <c r="AE54">
        <f>IF($L54="","",$AC54*10+$AD54)</f>
        <v/>
      </c>
      <c r="AF54">
        <f>IF($L54="","",SUMIF($X$2:$X$151,$X54,$U$2:$U$151))</f>
        <v/>
      </c>
      <c r="AG54">
        <f>IF($L54="","",SUMIF($X$2:$X$151,$X54,$W$2:$W$151))</f>
        <v/>
      </c>
    </row>
    <row r="55">
      <c r="A55" t="n">
        <v>54</v>
      </c>
      <c r="B55">
        <f>IFERROR(MATCH($A55,HISTORICO!$Y$3:$Y$2002,0),"")</f>
        <v/>
      </c>
      <c r="C55">
        <f>IF($B55="","",INDEX(HISTORICO!$A$3:$A$2002,$B55))</f>
        <v/>
      </c>
      <c r="D55">
        <f>IF($B55="","",INDEX(HISTORICO!$C$3:$C$2002,$B55))</f>
        <v/>
      </c>
      <c r="E55">
        <f>IF($B55="","",INDEX(HISTORICO!$F$3:$F$2002,$B55))</f>
        <v/>
      </c>
      <c r="F55">
        <f>IF($B55="","",INDEX(HISTORICO!$G$3:$G$2002,$B55))</f>
        <v/>
      </c>
      <c r="G55">
        <f>IF($B55="","",INDEX(HISTORICO!$E$3:$E$2002,$B55))</f>
        <v/>
      </c>
      <c r="H55">
        <f>IF($B55="","",INDEX(HISTORICO!$H$3:$H$2002,$B55))</f>
        <v/>
      </c>
      <c r="I55">
        <f>IF($B55="","",INDEX(HISTORICO!$D$3:$D$2002,$B55))</f>
        <v/>
      </c>
      <c r="J55">
        <f>IF($B55="","",INDEX(HISTORICO!$B$3:$B$2002,$B55))</f>
        <v/>
      </c>
      <c r="K55">
        <f>IF($B55="","",INDEX(HISTORICO!$U$3:$U$2002,$B55))</f>
        <v/>
      </c>
      <c r="L55">
        <f>IF($B55="","",INDEX(HISTORICO!$I$3:$I$2002,$B55))</f>
        <v/>
      </c>
      <c r="M55">
        <f>IF($B55="","",INDEX(HISTORICO!$J$3:$J$2002,$B55))</f>
        <v/>
      </c>
      <c r="N55">
        <f>IF($B55="","",INDEX(HISTORICO!$K$3:$K$2002,$B55))</f>
        <v/>
      </c>
      <c r="O55">
        <f>IF($B55="","",INDEX(HISTORICO!$L$3:$L$2002,$B55))</f>
        <v/>
      </c>
      <c r="P55">
        <f>IF($B55="","",INDEX(HISTORICO!$M$3:$M$2002,$B55))</f>
        <v/>
      </c>
      <c r="Q55">
        <f>IF($B55="","",INDEX(HISTORICO!$N$3:$N$2002,$B55))</f>
        <v/>
      </c>
      <c r="R55">
        <f>IF($B55="","",INDEX(HISTORICO!$Q$3:$Q$2002,$B55))</f>
        <v/>
      </c>
      <c r="S55">
        <f>IF($B55="","",INDEX(HISTORICO!$P$3:$P$2002,$B55))</f>
        <v/>
      </c>
      <c r="T55">
        <f>IF($B55="","",INDEX(HISTORICO!$O$3:$O$2002,$B55))</f>
        <v/>
      </c>
      <c r="U55">
        <f>IF($B55="","",INDEX(HISTORICO!$R$3:$R$2002,$B55))</f>
        <v/>
      </c>
      <c r="V55">
        <f>IF($B55="","",INDEX(HISTORICO!$S$3:$S$2002,$B55))</f>
        <v/>
      </c>
      <c r="W55">
        <f>IF($B55="","",INDEX(HISTORICO!$T$3:$T$2002,$B55))</f>
        <v/>
      </c>
      <c r="X55">
        <f>IF($B55="","",INDEX(HISTORICO!$X$3:$X$2002,$B55))</f>
        <v/>
      </c>
      <c r="Y55">
        <f>IF($L55="","",IFERROR(INDEX(CONFIGURACOES!$C$37:$C$300,MATCH($L55,CONFIGURACOES!$B$37:$B$300,0)),""))</f>
        <v/>
      </c>
      <c r="Z55">
        <f>IF($L55="","",IFERROR(INDEX(CONFIGURACOES!$D$37:$D$300,MATCH($L55,CONFIGURACOES!$B$37:$B$300,0)),""))</f>
        <v/>
      </c>
      <c r="AA55">
        <f>IF($L55="","",IFERROR(INDEX(CONFIGURACOES!$E$37:$E$300,MATCH($L55,CONFIGURACOES!$B$37:$B$300,0)),""))</f>
        <v/>
      </c>
      <c r="AB55">
        <f>IF($L55="","",IFERROR(INDEX(CONFIGURACOES!$F$37:$F$300,MATCH($L55,CONFIGURACOES!$B$37:$B$300,0)),""))</f>
        <v/>
      </c>
      <c r="AC55">
        <f>IF($L55="","",IF($X55&lt;&gt;$X54,$AC54+1,$AC54))</f>
        <v/>
      </c>
      <c r="AD55">
        <f>IF($L55="","",IF($X55&lt;&gt;$X54,1,$AD54+1))</f>
        <v/>
      </c>
      <c r="AE55">
        <f>IF($L55="","",$AC55*10+$AD55)</f>
        <v/>
      </c>
      <c r="AF55">
        <f>IF($L55="","",SUMIF($X$2:$X$151,$X55,$U$2:$U$151))</f>
        <v/>
      </c>
      <c r="AG55">
        <f>IF($L55="","",SUMIF($X$2:$X$151,$X55,$W$2:$W$151))</f>
        <v/>
      </c>
    </row>
    <row r="56">
      <c r="A56" t="n">
        <v>55</v>
      </c>
      <c r="B56">
        <f>IFERROR(MATCH($A56,HISTORICO!$Y$3:$Y$2002,0),"")</f>
        <v/>
      </c>
      <c r="C56">
        <f>IF($B56="","",INDEX(HISTORICO!$A$3:$A$2002,$B56))</f>
        <v/>
      </c>
      <c r="D56">
        <f>IF($B56="","",INDEX(HISTORICO!$C$3:$C$2002,$B56))</f>
        <v/>
      </c>
      <c r="E56">
        <f>IF($B56="","",INDEX(HISTORICO!$F$3:$F$2002,$B56))</f>
        <v/>
      </c>
      <c r="F56">
        <f>IF($B56="","",INDEX(HISTORICO!$G$3:$G$2002,$B56))</f>
        <v/>
      </c>
      <c r="G56">
        <f>IF($B56="","",INDEX(HISTORICO!$E$3:$E$2002,$B56))</f>
        <v/>
      </c>
      <c r="H56">
        <f>IF($B56="","",INDEX(HISTORICO!$H$3:$H$2002,$B56))</f>
        <v/>
      </c>
      <c r="I56">
        <f>IF($B56="","",INDEX(HISTORICO!$D$3:$D$2002,$B56))</f>
        <v/>
      </c>
      <c r="J56">
        <f>IF($B56="","",INDEX(HISTORICO!$B$3:$B$2002,$B56))</f>
        <v/>
      </c>
      <c r="K56">
        <f>IF($B56="","",INDEX(HISTORICO!$U$3:$U$2002,$B56))</f>
        <v/>
      </c>
      <c r="L56">
        <f>IF($B56="","",INDEX(HISTORICO!$I$3:$I$2002,$B56))</f>
        <v/>
      </c>
      <c r="M56">
        <f>IF($B56="","",INDEX(HISTORICO!$J$3:$J$2002,$B56))</f>
        <v/>
      </c>
      <c r="N56">
        <f>IF($B56="","",INDEX(HISTORICO!$K$3:$K$2002,$B56))</f>
        <v/>
      </c>
      <c r="O56">
        <f>IF($B56="","",INDEX(HISTORICO!$L$3:$L$2002,$B56))</f>
        <v/>
      </c>
      <c r="P56">
        <f>IF($B56="","",INDEX(HISTORICO!$M$3:$M$2002,$B56))</f>
        <v/>
      </c>
      <c r="Q56">
        <f>IF($B56="","",INDEX(HISTORICO!$N$3:$N$2002,$B56))</f>
        <v/>
      </c>
      <c r="R56">
        <f>IF($B56="","",INDEX(HISTORICO!$Q$3:$Q$2002,$B56))</f>
        <v/>
      </c>
      <c r="S56">
        <f>IF($B56="","",INDEX(HISTORICO!$P$3:$P$2002,$B56))</f>
        <v/>
      </c>
      <c r="T56">
        <f>IF($B56="","",INDEX(HISTORICO!$O$3:$O$2002,$B56))</f>
        <v/>
      </c>
      <c r="U56">
        <f>IF($B56="","",INDEX(HISTORICO!$R$3:$R$2002,$B56))</f>
        <v/>
      </c>
      <c r="V56">
        <f>IF($B56="","",INDEX(HISTORICO!$S$3:$S$2002,$B56))</f>
        <v/>
      </c>
      <c r="W56">
        <f>IF($B56="","",INDEX(HISTORICO!$T$3:$T$2002,$B56))</f>
        <v/>
      </c>
      <c r="X56">
        <f>IF($B56="","",INDEX(HISTORICO!$X$3:$X$2002,$B56))</f>
        <v/>
      </c>
      <c r="Y56">
        <f>IF($L56="","",IFERROR(INDEX(CONFIGURACOES!$C$37:$C$300,MATCH($L56,CONFIGURACOES!$B$37:$B$300,0)),""))</f>
        <v/>
      </c>
      <c r="Z56">
        <f>IF($L56="","",IFERROR(INDEX(CONFIGURACOES!$D$37:$D$300,MATCH($L56,CONFIGURACOES!$B$37:$B$300,0)),""))</f>
        <v/>
      </c>
      <c r="AA56">
        <f>IF($L56="","",IFERROR(INDEX(CONFIGURACOES!$E$37:$E$300,MATCH($L56,CONFIGURACOES!$B$37:$B$300,0)),""))</f>
        <v/>
      </c>
      <c r="AB56">
        <f>IF($L56="","",IFERROR(INDEX(CONFIGURACOES!$F$37:$F$300,MATCH($L56,CONFIGURACOES!$B$37:$B$300,0)),""))</f>
        <v/>
      </c>
      <c r="AC56">
        <f>IF($L56="","",IF($X56&lt;&gt;$X55,$AC55+1,$AC55))</f>
        <v/>
      </c>
      <c r="AD56">
        <f>IF($L56="","",IF($X56&lt;&gt;$X55,1,$AD55+1))</f>
        <v/>
      </c>
      <c r="AE56">
        <f>IF($L56="","",$AC56*10+$AD56)</f>
        <v/>
      </c>
      <c r="AF56">
        <f>IF($L56="","",SUMIF($X$2:$X$151,$X56,$U$2:$U$151))</f>
        <v/>
      </c>
      <c r="AG56">
        <f>IF($L56="","",SUMIF($X$2:$X$151,$X56,$W$2:$W$151))</f>
        <v/>
      </c>
    </row>
    <row r="57">
      <c r="A57" t="n">
        <v>56</v>
      </c>
      <c r="B57">
        <f>IFERROR(MATCH($A57,HISTORICO!$Y$3:$Y$2002,0),"")</f>
        <v/>
      </c>
      <c r="C57">
        <f>IF($B57="","",INDEX(HISTORICO!$A$3:$A$2002,$B57))</f>
        <v/>
      </c>
      <c r="D57">
        <f>IF($B57="","",INDEX(HISTORICO!$C$3:$C$2002,$B57))</f>
        <v/>
      </c>
      <c r="E57">
        <f>IF($B57="","",INDEX(HISTORICO!$F$3:$F$2002,$B57))</f>
        <v/>
      </c>
      <c r="F57">
        <f>IF($B57="","",INDEX(HISTORICO!$G$3:$G$2002,$B57))</f>
        <v/>
      </c>
      <c r="G57">
        <f>IF($B57="","",INDEX(HISTORICO!$E$3:$E$2002,$B57))</f>
        <v/>
      </c>
      <c r="H57">
        <f>IF($B57="","",INDEX(HISTORICO!$H$3:$H$2002,$B57))</f>
        <v/>
      </c>
      <c r="I57">
        <f>IF($B57="","",INDEX(HISTORICO!$D$3:$D$2002,$B57))</f>
        <v/>
      </c>
      <c r="J57">
        <f>IF($B57="","",INDEX(HISTORICO!$B$3:$B$2002,$B57))</f>
        <v/>
      </c>
      <c r="K57">
        <f>IF($B57="","",INDEX(HISTORICO!$U$3:$U$2002,$B57))</f>
        <v/>
      </c>
      <c r="L57">
        <f>IF($B57="","",INDEX(HISTORICO!$I$3:$I$2002,$B57))</f>
        <v/>
      </c>
      <c r="M57">
        <f>IF($B57="","",INDEX(HISTORICO!$J$3:$J$2002,$B57))</f>
        <v/>
      </c>
      <c r="N57">
        <f>IF($B57="","",INDEX(HISTORICO!$K$3:$K$2002,$B57))</f>
        <v/>
      </c>
      <c r="O57">
        <f>IF($B57="","",INDEX(HISTORICO!$L$3:$L$2002,$B57))</f>
        <v/>
      </c>
      <c r="P57">
        <f>IF($B57="","",INDEX(HISTORICO!$M$3:$M$2002,$B57))</f>
        <v/>
      </c>
      <c r="Q57">
        <f>IF($B57="","",INDEX(HISTORICO!$N$3:$N$2002,$B57))</f>
        <v/>
      </c>
      <c r="R57">
        <f>IF($B57="","",INDEX(HISTORICO!$Q$3:$Q$2002,$B57))</f>
        <v/>
      </c>
      <c r="S57">
        <f>IF($B57="","",INDEX(HISTORICO!$P$3:$P$2002,$B57))</f>
        <v/>
      </c>
      <c r="T57">
        <f>IF($B57="","",INDEX(HISTORICO!$O$3:$O$2002,$B57))</f>
        <v/>
      </c>
      <c r="U57">
        <f>IF($B57="","",INDEX(HISTORICO!$R$3:$R$2002,$B57))</f>
        <v/>
      </c>
      <c r="V57">
        <f>IF($B57="","",INDEX(HISTORICO!$S$3:$S$2002,$B57))</f>
        <v/>
      </c>
      <c r="W57">
        <f>IF($B57="","",INDEX(HISTORICO!$T$3:$T$2002,$B57))</f>
        <v/>
      </c>
      <c r="X57">
        <f>IF($B57="","",INDEX(HISTORICO!$X$3:$X$2002,$B57))</f>
        <v/>
      </c>
      <c r="Y57">
        <f>IF($L57="","",IFERROR(INDEX(CONFIGURACOES!$C$37:$C$300,MATCH($L57,CONFIGURACOES!$B$37:$B$300,0)),""))</f>
        <v/>
      </c>
      <c r="Z57">
        <f>IF($L57="","",IFERROR(INDEX(CONFIGURACOES!$D$37:$D$300,MATCH($L57,CONFIGURACOES!$B$37:$B$300,0)),""))</f>
        <v/>
      </c>
      <c r="AA57">
        <f>IF($L57="","",IFERROR(INDEX(CONFIGURACOES!$E$37:$E$300,MATCH($L57,CONFIGURACOES!$B$37:$B$300,0)),""))</f>
        <v/>
      </c>
      <c r="AB57">
        <f>IF($L57="","",IFERROR(INDEX(CONFIGURACOES!$F$37:$F$300,MATCH($L57,CONFIGURACOES!$B$37:$B$300,0)),""))</f>
        <v/>
      </c>
      <c r="AC57">
        <f>IF($L57="","",IF($X57&lt;&gt;$X56,$AC56+1,$AC56))</f>
        <v/>
      </c>
      <c r="AD57">
        <f>IF($L57="","",IF($X57&lt;&gt;$X56,1,$AD56+1))</f>
        <v/>
      </c>
      <c r="AE57">
        <f>IF($L57="","",$AC57*10+$AD57)</f>
        <v/>
      </c>
      <c r="AF57">
        <f>IF($L57="","",SUMIF($X$2:$X$151,$X57,$U$2:$U$151))</f>
        <v/>
      </c>
      <c r="AG57">
        <f>IF($L57="","",SUMIF($X$2:$X$151,$X57,$W$2:$W$151))</f>
        <v/>
      </c>
    </row>
    <row r="58">
      <c r="A58" t="n">
        <v>57</v>
      </c>
      <c r="B58">
        <f>IFERROR(MATCH($A58,HISTORICO!$Y$3:$Y$2002,0),"")</f>
        <v/>
      </c>
      <c r="C58">
        <f>IF($B58="","",INDEX(HISTORICO!$A$3:$A$2002,$B58))</f>
        <v/>
      </c>
      <c r="D58">
        <f>IF($B58="","",INDEX(HISTORICO!$C$3:$C$2002,$B58))</f>
        <v/>
      </c>
      <c r="E58">
        <f>IF($B58="","",INDEX(HISTORICO!$F$3:$F$2002,$B58))</f>
        <v/>
      </c>
      <c r="F58">
        <f>IF($B58="","",INDEX(HISTORICO!$G$3:$G$2002,$B58))</f>
        <v/>
      </c>
      <c r="G58">
        <f>IF($B58="","",INDEX(HISTORICO!$E$3:$E$2002,$B58))</f>
        <v/>
      </c>
      <c r="H58">
        <f>IF($B58="","",INDEX(HISTORICO!$H$3:$H$2002,$B58))</f>
        <v/>
      </c>
      <c r="I58">
        <f>IF($B58="","",INDEX(HISTORICO!$D$3:$D$2002,$B58))</f>
        <v/>
      </c>
      <c r="J58">
        <f>IF($B58="","",INDEX(HISTORICO!$B$3:$B$2002,$B58))</f>
        <v/>
      </c>
      <c r="K58">
        <f>IF($B58="","",INDEX(HISTORICO!$U$3:$U$2002,$B58))</f>
        <v/>
      </c>
      <c r="L58">
        <f>IF($B58="","",INDEX(HISTORICO!$I$3:$I$2002,$B58))</f>
        <v/>
      </c>
      <c r="M58">
        <f>IF($B58="","",INDEX(HISTORICO!$J$3:$J$2002,$B58))</f>
        <v/>
      </c>
      <c r="N58">
        <f>IF($B58="","",INDEX(HISTORICO!$K$3:$K$2002,$B58))</f>
        <v/>
      </c>
      <c r="O58">
        <f>IF($B58="","",INDEX(HISTORICO!$L$3:$L$2002,$B58))</f>
        <v/>
      </c>
      <c r="P58">
        <f>IF($B58="","",INDEX(HISTORICO!$M$3:$M$2002,$B58))</f>
        <v/>
      </c>
      <c r="Q58">
        <f>IF($B58="","",INDEX(HISTORICO!$N$3:$N$2002,$B58))</f>
        <v/>
      </c>
      <c r="R58">
        <f>IF($B58="","",INDEX(HISTORICO!$Q$3:$Q$2002,$B58))</f>
        <v/>
      </c>
      <c r="S58">
        <f>IF($B58="","",INDEX(HISTORICO!$P$3:$P$2002,$B58))</f>
        <v/>
      </c>
      <c r="T58">
        <f>IF($B58="","",INDEX(HISTORICO!$O$3:$O$2002,$B58))</f>
        <v/>
      </c>
      <c r="U58">
        <f>IF($B58="","",INDEX(HISTORICO!$R$3:$R$2002,$B58))</f>
        <v/>
      </c>
      <c r="V58">
        <f>IF($B58="","",INDEX(HISTORICO!$S$3:$S$2002,$B58))</f>
        <v/>
      </c>
      <c r="W58">
        <f>IF($B58="","",INDEX(HISTORICO!$T$3:$T$2002,$B58))</f>
        <v/>
      </c>
      <c r="X58">
        <f>IF($B58="","",INDEX(HISTORICO!$X$3:$X$2002,$B58))</f>
        <v/>
      </c>
      <c r="Y58">
        <f>IF($L58="","",IFERROR(INDEX(CONFIGURACOES!$C$37:$C$300,MATCH($L58,CONFIGURACOES!$B$37:$B$300,0)),""))</f>
        <v/>
      </c>
      <c r="Z58">
        <f>IF($L58="","",IFERROR(INDEX(CONFIGURACOES!$D$37:$D$300,MATCH($L58,CONFIGURACOES!$B$37:$B$300,0)),""))</f>
        <v/>
      </c>
      <c r="AA58">
        <f>IF($L58="","",IFERROR(INDEX(CONFIGURACOES!$E$37:$E$300,MATCH($L58,CONFIGURACOES!$B$37:$B$300,0)),""))</f>
        <v/>
      </c>
      <c r="AB58">
        <f>IF($L58="","",IFERROR(INDEX(CONFIGURACOES!$F$37:$F$300,MATCH($L58,CONFIGURACOES!$B$37:$B$300,0)),""))</f>
        <v/>
      </c>
      <c r="AC58">
        <f>IF($L58="","",IF($X58&lt;&gt;$X57,$AC57+1,$AC57))</f>
        <v/>
      </c>
      <c r="AD58">
        <f>IF($L58="","",IF($X58&lt;&gt;$X57,1,$AD57+1))</f>
        <v/>
      </c>
      <c r="AE58">
        <f>IF($L58="","",$AC58*10+$AD58)</f>
        <v/>
      </c>
      <c r="AF58">
        <f>IF($L58="","",SUMIF($X$2:$X$151,$X58,$U$2:$U$151))</f>
        <v/>
      </c>
      <c r="AG58">
        <f>IF($L58="","",SUMIF($X$2:$X$151,$X58,$W$2:$W$151))</f>
        <v/>
      </c>
    </row>
    <row r="59">
      <c r="A59" t="n">
        <v>58</v>
      </c>
      <c r="B59">
        <f>IFERROR(MATCH($A59,HISTORICO!$Y$3:$Y$2002,0),"")</f>
        <v/>
      </c>
      <c r="C59">
        <f>IF($B59="","",INDEX(HISTORICO!$A$3:$A$2002,$B59))</f>
        <v/>
      </c>
      <c r="D59">
        <f>IF($B59="","",INDEX(HISTORICO!$C$3:$C$2002,$B59))</f>
        <v/>
      </c>
      <c r="E59">
        <f>IF($B59="","",INDEX(HISTORICO!$F$3:$F$2002,$B59))</f>
        <v/>
      </c>
      <c r="F59">
        <f>IF($B59="","",INDEX(HISTORICO!$G$3:$G$2002,$B59))</f>
        <v/>
      </c>
      <c r="G59">
        <f>IF($B59="","",INDEX(HISTORICO!$E$3:$E$2002,$B59))</f>
        <v/>
      </c>
      <c r="H59">
        <f>IF($B59="","",INDEX(HISTORICO!$H$3:$H$2002,$B59))</f>
        <v/>
      </c>
      <c r="I59">
        <f>IF($B59="","",INDEX(HISTORICO!$D$3:$D$2002,$B59))</f>
        <v/>
      </c>
      <c r="J59">
        <f>IF($B59="","",INDEX(HISTORICO!$B$3:$B$2002,$B59))</f>
        <v/>
      </c>
      <c r="K59">
        <f>IF($B59="","",INDEX(HISTORICO!$U$3:$U$2002,$B59))</f>
        <v/>
      </c>
      <c r="L59">
        <f>IF($B59="","",INDEX(HISTORICO!$I$3:$I$2002,$B59))</f>
        <v/>
      </c>
      <c r="M59">
        <f>IF($B59="","",INDEX(HISTORICO!$J$3:$J$2002,$B59))</f>
        <v/>
      </c>
      <c r="N59">
        <f>IF($B59="","",INDEX(HISTORICO!$K$3:$K$2002,$B59))</f>
        <v/>
      </c>
      <c r="O59">
        <f>IF($B59="","",INDEX(HISTORICO!$L$3:$L$2002,$B59))</f>
        <v/>
      </c>
      <c r="P59">
        <f>IF($B59="","",INDEX(HISTORICO!$M$3:$M$2002,$B59))</f>
        <v/>
      </c>
      <c r="Q59">
        <f>IF($B59="","",INDEX(HISTORICO!$N$3:$N$2002,$B59))</f>
        <v/>
      </c>
      <c r="R59">
        <f>IF($B59="","",INDEX(HISTORICO!$Q$3:$Q$2002,$B59))</f>
        <v/>
      </c>
      <c r="S59">
        <f>IF($B59="","",INDEX(HISTORICO!$P$3:$P$2002,$B59))</f>
        <v/>
      </c>
      <c r="T59">
        <f>IF($B59="","",INDEX(HISTORICO!$O$3:$O$2002,$B59))</f>
        <v/>
      </c>
      <c r="U59">
        <f>IF($B59="","",INDEX(HISTORICO!$R$3:$R$2002,$B59))</f>
        <v/>
      </c>
      <c r="V59">
        <f>IF($B59="","",INDEX(HISTORICO!$S$3:$S$2002,$B59))</f>
        <v/>
      </c>
      <c r="W59">
        <f>IF($B59="","",INDEX(HISTORICO!$T$3:$T$2002,$B59))</f>
        <v/>
      </c>
      <c r="X59">
        <f>IF($B59="","",INDEX(HISTORICO!$X$3:$X$2002,$B59))</f>
        <v/>
      </c>
      <c r="Y59">
        <f>IF($L59="","",IFERROR(INDEX(CONFIGURACOES!$C$37:$C$300,MATCH($L59,CONFIGURACOES!$B$37:$B$300,0)),""))</f>
        <v/>
      </c>
      <c r="Z59">
        <f>IF($L59="","",IFERROR(INDEX(CONFIGURACOES!$D$37:$D$300,MATCH($L59,CONFIGURACOES!$B$37:$B$300,0)),""))</f>
        <v/>
      </c>
      <c r="AA59">
        <f>IF($L59="","",IFERROR(INDEX(CONFIGURACOES!$E$37:$E$300,MATCH($L59,CONFIGURACOES!$B$37:$B$300,0)),""))</f>
        <v/>
      </c>
      <c r="AB59">
        <f>IF($L59="","",IFERROR(INDEX(CONFIGURACOES!$F$37:$F$300,MATCH($L59,CONFIGURACOES!$B$37:$B$300,0)),""))</f>
        <v/>
      </c>
      <c r="AC59">
        <f>IF($L59="","",IF($X59&lt;&gt;$X58,$AC58+1,$AC58))</f>
        <v/>
      </c>
      <c r="AD59">
        <f>IF($L59="","",IF($X59&lt;&gt;$X58,1,$AD58+1))</f>
        <v/>
      </c>
      <c r="AE59">
        <f>IF($L59="","",$AC59*10+$AD59)</f>
        <v/>
      </c>
      <c r="AF59">
        <f>IF($L59="","",SUMIF($X$2:$X$151,$X59,$U$2:$U$151))</f>
        <v/>
      </c>
      <c r="AG59">
        <f>IF($L59="","",SUMIF($X$2:$X$151,$X59,$W$2:$W$151))</f>
        <v/>
      </c>
    </row>
    <row r="60">
      <c r="A60" t="n">
        <v>59</v>
      </c>
      <c r="B60">
        <f>IFERROR(MATCH($A60,HISTORICO!$Y$3:$Y$2002,0),"")</f>
        <v/>
      </c>
      <c r="C60">
        <f>IF($B60="","",INDEX(HISTORICO!$A$3:$A$2002,$B60))</f>
        <v/>
      </c>
      <c r="D60">
        <f>IF($B60="","",INDEX(HISTORICO!$C$3:$C$2002,$B60))</f>
        <v/>
      </c>
      <c r="E60">
        <f>IF($B60="","",INDEX(HISTORICO!$F$3:$F$2002,$B60))</f>
        <v/>
      </c>
      <c r="F60">
        <f>IF($B60="","",INDEX(HISTORICO!$G$3:$G$2002,$B60))</f>
        <v/>
      </c>
      <c r="G60">
        <f>IF($B60="","",INDEX(HISTORICO!$E$3:$E$2002,$B60))</f>
        <v/>
      </c>
      <c r="H60">
        <f>IF($B60="","",INDEX(HISTORICO!$H$3:$H$2002,$B60))</f>
        <v/>
      </c>
      <c r="I60">
        <f>IF($B60="","",INDEX(HISTORICO!$D$3:$D$2002,$B60))</f>
        <v/>
      </c>
      <c r="J60">
        <f>IF($B60="","",INDEX(HISTORICO!$B$3:$B$2002,$B60))</f>
        <v/>
      </c>
      <c r="K60">
        <f>IF($B60="","",INDEX(HISTORICO!$U$3:$U$2002,$B60))</f>
        <v/>
      </c>
      <c r="L60">
        <f>IF($B60="","",INDEX(HISTORICO!$I$3:$I$2002,$B60))</f>
        <v/>
      </c>
      <c r="M60">
        <f>IF($B60="","",INDEX(HISTORICO!$J$3:$J$2002,$B60))</f>
        <v/>
      </c>
      <c r="N60">
        <f>IF($B60="","",INDEX(HISTORICO!$K$3:$K$2002,$B60))</f>
        <v/>
      </c>
      <c r="O60">
        <f>IF($B60="","",INDEX(HISTORICO!$L$3:$L$2002,$B60))</f>
        <v/>
      </c>
      <c r="P60">
        <f>IF($B60="","",INDEX(HISTORICO!$M$3:$M$2002,$B60))</f>
        <v/>
      </c>
      <c r="Q60">
        <f>IF($B60="","",INDEX(HISTORICO!$N$3:$N$2002,$B60))</f>
        <v/>
      </c>
      <c r="R60">
        <f>IF($B60="","",INDEX(HISTORICO!$Q$3:$Q$2002,$B60))</f>
        <v/>
      </c>
      <c r="S60">
        <f>IF($B60="","",INDEX(HISTORICO!$P$3:$P$2002,$B60))</f>
        <v/>
      </c>
      <c r="T60">
        <f>IF($B60="","",INDEX(HISTORICO!$O$3:$O$2002,$B60))</f>
        <v/>
      </c>
      <c r="U60">
        <f>IF($B60="","",INDEX(HISTORICO!$R$3:$R$2002,$B60))</f>
        <v/>
      </c>
      <c r="V60">
        <f>IF($B60="","",INDEX(HISTORICO!$S$3:$S$2002,$B60))</f>
        <v/>
      </c>
      <c r="W60">
        <f>IF($B60="","",INDEX(HISTORICO!$T$3:$T$2002,$B60))</f>
        <v/>
      </c>
      <c r="X60">
        <f>IF($B60="","",INDEX(HISTORICO!$X$3:$X$2002,$B60))</f>
        <v/>
      </c>
      <c r="Y60">
        <f>IF($L60="","",IFERROR(INDEX(CONFIGURACOES!$C$37:$C$300,MATCH($L60,CONFIGURACOES!$B$37:$B$300,0)),""))</f>
        <v/>
      </c>
      <c r="Z60">
        <f>IF($L60="","",IFERROR(INDEX(CONFIGURACOES!$D$37:$D$300,MATCH($L60,CONFIGURACOES!$B$37:$B$300,0)),""))</f>
        <v/>
      </c>
      <c r="AA60">
        <f>IF($L60="","",IFERROR(INDEX(CONFIGURACOES!$E$37:$E$300,MATCH($L60,CONFIGURACOES!$B$37:$B$300,0)),""))</f>
        <v/>
      </c>
      <c r="AB60">
        <f>IF($L60="","",IFERROR(INDEX(CONFIGURACOES!$F$37:$F$300,MATCH($L60,CONFIGURACOES!$B$37:$B$300,0)),""))</f>
        <v/>
      </c>
      <c r="AC60">
        <f>IF($L60="","",IF($X60&lt;&gt;$X59,$AC59+1,$AC59))</f>
        <v/>
      </c>
      <c r="AD60">
        <f>IF($L60="","",IF($X60&lt;&gt;$X59,1,$AD59+1))</f>
        <v/>
      </c>
      <c r="AE60">
        <f>IF($L60="","",$AC60*10+$AD60)</f>
        <v/>
      </c>
      <c r="AF60">
        <f>IF($L60="","",SUMIF($X$2:$X$151,$X60,$U$2:$U$151))</f>
        <v/>
      </c>
      <c r="AG60">
        <f>IF($L60="","",SUMIF($X$2:$X$151,$X60,$W$2:$W$151))</f>
        <v/>
      </c>
    </row>
    <row r="61">
      <c r="A61" t="n">
        <v>60</v>
      </c>
      <c r="B61">
        <f>IFERROR(MATCH($A61,HISTORICO!$Y$3:$Y$2002,0),"")</f>
        <v/>
      </c>
      <c r="C61">
        <f>IF($B61="","",INDEX(HISTORICO!$A$3:$A$2002,$B61))</f>
        <v/>
      </c>
      <c r="D61">
        <f>IF($B61="","",INDEX(HISTORICO!$C$3:$C$2002,$B61))</f>
        <v/>
      </c>
      <c r="E61">
        <f>IF($B61="","",INDEX(HISTORICO!$F$3:$F$2002,$B61))</f>
        <v/>
      </c>
      <c r="F61">
        <f>IF($B61="","",INDEX(HISTORICO!$G$3:$G$2002,$B61))</f>
        <v/>
      </c>
      <c r="G61">
        <f>IF($B61="","",INDEX(HISTORICO!$E$3:$E$2002,$B61))</f>
        <v/>
      </c>
      <c r="H61">
        <f>IF($B61="","",INDEX(HISTORICO!$H$3:$H$2002,$B61))</f>
        <v/>
      </c>
      <c r="I61">
        <f>IF($B61="","",INDEX(HISTORICO!$D$3:$D$2002,$B61))</f>
        <v/>
      </c>
      <c r="J61">
        <f>IF($B61="","",INDEX(HISTORICO!$B$3:$B$2002,$B61))</f>
        <v/>
      </c>
      <c r="K61">
        <f>IF($B61="","",INDEX(HISTORICO!$U$3:$U$2002,$B61))</f>
        <v/>
      </c>
      <c r="L61">
        <f>IF($B61="","",INDEX(HISTORICO!$I$3:$I$2002,$B61))</f>
        <v/>
      </c>
      <c r="M61">
        <f>IF($B61="","",INDEX(HISTORICO!$J$3:$J$2002,$B61))</f>
        <v/>
      </c>
      <c r="N61">
        <f>IF($B61="","",INDEX(HISTORICO!$K$3:$K$2002,$B61))</f>
        <v/>
      </c>
      <c r="O61">
        <f>IF($B61="","",INDEX(HISTORICO!$L$3:$L$2002,$B61))</f>
        <v/>
      </c>
      <c r="P61">
        <f>IF($B61="","",INDEX(HISTORICO!$M$3:$M$2002,$B61))</f>
        <v/>
      </c>
      <c r="Q61">
        <f>IF($B61="","",INDEX(HISTORICO!$N$3:$N$2002,$B61))</f>
        <v/>
      </c>
      <c r="R61">
        <f>IF($B61="","",INDEX(HISTORICO!$Q$3:$Q$2002,$B61))</f>
        <v/>
      </c>
      <c r="S61">
        <f>IF($B61="","",INDEX(HISTORICO!$P$3:$P$2002,$B61))</f>
        <v/>
      </c>
      <c r="T61">
        <f>IF($B61="","",INDEX(HISTORICO!$O$3:$O$2002,$B61))</f>
        <v/>
      </c>
      <c r="U61">
        <f>IF($B61="","",INDEX(HISTORICO!$R$3:$R$2002,$B61))</f>
        <v/>
      </c>
      <c r="V61">
        <f>IF($B61="","",INDEX(HISTORICO!$S$3:$S$2002,$B61))</f>
        <v/>
      </c>
      <c r="W61">
        <f>IF($B61="","",INDEX(HISTORICO!$T$3:$T$2002,$B61))</f>
        <v/>
      </c>
      <c r="X61">
        <f>IF($B61="","",INDEX(HISTORICO!$X$3:$X$2002,$B61))</f>
        <v/>
      </c>
      <c r="Y61">
        <f>IF($L61="","",IFERROR(INDEX(CONFIGURACOES!$C$37:$C$300,MATCH($L61,CONFIGURACOES!$B$37:$B$300,0)),""))</f>
        <v/>
      </c>
      <c r="Z61">
        <f>IF($L61="","",IFERROR(INDEX(CONFIGURACOES!$D$37:$D$300,MATCH($L61,CONFIGURACOES!$B$37:$B$300,0)),""))</f>
        <v/>
      </c>
      <c r="AA61">
        <f>IF($L61="","",IFERROR(INDEX(CONFIGURACOES!$E$37:$E$300,MATCH($L61,CONFIGURACOES!$B$37:$B$300,0)),""))</f>
        <v/>
      </c>
      <c r="AB61">
        <f>IF($L61="","",IFERROR(INDEX(CONFIGURACOES!$F$37:$F$300,MATCH($L61,CONFIGURACOES!$B$37:$B$300,0)),""))</f>
        <v/>
      </c>
      <c r="AC61">
        <f>IF($L61="","",IF($X61&lt;&gt;$X60,$AC60+1,$AC60))</f>
        <v/>
      </c>
      <c r="AD61">
        <f>IF($L61="","",IF($X61&lt;&gt;$X60,1,$AD60+1))</f>
        <v/>
      </c>
      <c r="AE61">
        <f>IF($L61="","",$AC61*10+$AD61)</f>
        <v/>
      </c>
      <c r="AF61">
        <f>IF($L61="","",SUMIF($X$2:$X$151,$X61,$U$2:$U$151))</f>
        <v/>
      </c>
      <c r="AG61">
        <f>IF($L61="","",SUMIF($X$2:$X$151,$X61,$W$2:$W$151))</f>
        <v/>
      </c>
    </row>
    <row r="62">
      <c r="A62" t="n">
        <v>61</v>
      </c>
      <c r="B62">
        <f>IFERROR(MATCH($A62,HISTORICO!$Y$3:$Y$2002,0),"")</f>
        <v/>
      </c>
      <c r="C62">
        <f>IF($B62="","",INDEX(HISTORICO!$A$3:$A$2002,$B62))</f>
        <v/>
      </c>
      <c r="D62">
        <f>IF($B62="","",INDEX(HISTORICO!$C$3:$C$2002,$B62))</f>
        <v/>
      </c>
      <c r="E62">
        <f>IF($B62="","",INDEX(HISTORICO!$F$3:$F$2002,$B62))</f>
        <v/>
      </c>
      <c r="F62">
        <f>IF($B62="","",INDEX(HISTORICO!$G$3:$G$2002,$B62))</f>
        <v/>
      </c>
      <c r="G62">
        <f>IF($B62="","",INDEX(HISTORICO!$E$3:$E$2002,$B62))</f>
        <v/>
      </c>
      <c r="H62">
        <f>IF($B62="","",INDEX(HISTORICO!$H$3:$H$2002,$B62))</f>
        <v/>
      </c>
      <c r="I62">
        <f>IF($B62="","",INDEX(HISTORICO!$D$3:$D$2002,$B62))</f>
        <v/>
      </c>
      <c r="J62">
        <f>IF($B62="","",INDEX(HISTORICO!$B$3:$B$2002,$B62))</f>
        <v/>
      </c>
      <c r="K62">
        <f>IF($B62="","",INDEX(HISTORICO!$U$3:$U$2002,$B62))</f>
        <v/>
      </c>
      <c r="L62">
        <f>IF($B62="","",INDEX(HISTORICO!$I$3:$I$2002,$B62))</f>
        <v/>
      </c>
      <c r="M62">
        <f>IF($B62="","",INDEX(HISTORICO!$J$3:$J$2002,$B62))</f>
        <v/>
      </c>
      <c r="N62">
        <f>IF($B62="","",INDEX(HISTORICO!$K$3:$K$2002,$B62))</f>
        <v/>
      </c>
      <c r="O62">
        <f>IF($B62="","",INDEX(HISTORICO!$L$3:$L$2002,$B62))</f>
        <v/>
      </c>
      <c r="P62">
        <f>IF($B62="","",INDEX(HISTORICO!$M$3:$M$2002,$B62))</f>
        <v/>
      </c>
      <c r="Q62">
        <f>IF($B62="","",INDEX(HISTORICO!$N$3:$N$2002,$B62))</f>
        <v/>
      </c>
      <c r="R62">
        <f>IF($B62="","",INDEX(HISTORICO!$Q$3:$Q$2002,$B62))</f>
        <v/>
      </c>
      <c r="S62">
        <f>IF($B62="","",INDEX(HISTORICO!$P$3:$P$2002,$B62))</f>
        <v/>
      </c>
      <c r="T62">
        <f>IF($B62="","",INDEX(HISTORICO!$O$3:$O$2002,$B62))</f>
        <v/>
      </c>
      <c r="U62">
        <f>IF($B62="","",INDEX(HISTORICO!$R$3:$R$2002,$B62))</f>
        <v/>
      </c>
      <c r="V62">
        <f>IF($B62="","",INDEX(HISTORICO!$S$3:$S$2002,$B62))</f>
        <v/>
      </c>
      <c r="W62">
        <f>IF($B62="","",INDEX(HISTORICO!$T$3:$T$2002,$B62))</f>
        <v/>
      </c>
      <c r="X62">
        <f>IF($B62="","",INDEX(HISTORICO!$X$3:$X$2002,$B62))</f>
        <v/>
      </c>
      <c r="Y62">
        <f>IF($L62="","",IFERROR(INDEX(CONFIGURACOES!$C$37:$C$300,MATCH($L62,CONFIGURACOES!$B$37:$B$300,0)),""))</f>
        <v/>
      </c>
      <c r="Z62">
        <f>IF($L62="","",IFERROR(INDEX(CONFIGURACOES!$D$37:$D$300,MATCH($L62,CONFIGURACOES!$B$37:$B$300,0)),""))</f>
        <v/>
      </c>
      <c r="AA62">
        <f>IF($L62="","",IFERROR(INDEX(CONFIGURACOES!$E$37:$E$300,MATCH($L62,CONFIGURACOES!$B$37:$B$300,0)),""))</f>
        <v/>
      </c>
      <c r="AB62">
        <f>IF($L62="","",IFERROR(INDEX(CONFIGURACOES!$F$37:$F$300,MATCH($L62,CONFIGURACOES!$B$37:$B$300,0)),""))</f>
        <v/>
      </c>
      <c r="AC62">
        <f>IF($L62="","",IF($X62&lt;&gt;$X61,$AC61+1,$AC61))</f>
        <v/>
      </c>
      <c r="AD62">
        <f>IF($L62="","",IF($X62&lt;&gt;$X61,1,$AD61+1))</f>
        <v/>
      </c>
      <c r="AE62">
        <f>IF($L62="","",$AC62*10+$AD62)</f>
        <v/>
      </c>
      <c r="AF62">
        <f>IF($L62="","",SUMIF($X$2:$X$151,$X62,$U$2:$U$151))</f>
        <v/>
      </c>
      <c r="AG62">
        <f>IF($L62="","",SUMIF($X$2:$X$151,$X62,$W$2:$W$151))</f>
        <v/>
      </c>
    </row>
    <row r="63">
      <c r="A63" t="n">
        <v>62</v>
      </c>
      <c r="B63">
        <f>IFERROR(MATCH($A63,HISTORICO!$Y$3:$Y$2002,0),"")</f>
        <v/>
      </c>
      <c r="C63">
        <f>IF($B63="","",INDEX(HISTORICO!$A$3:$A$2002,$B63))</f>
        <v/>
      </c>
      <c r="D63">
        <f>IF($B63="","",INDEX(HISTORICO!$C$3:$C$2002,$B63))</f>
        <v/>
      </c>
      <c r="E63">
        <f>IF($B63="","",INDEX(HISTORICO!$F$3:$F$2002,$B63))</f>
        <v/>
      </c>
      <c r="F63">
        <f>IF($B63="","",INDEX(HISTORICO!$G$3:$G$2002,$B63))</f>
        <v/>
      </c>
      <c r="G63">
        <f>IF($B63="","",INDEX(HISTORICO!$E$3:$E$2002,$B63))</f>
        <v/>
      </c>
      <c r="H63">
        <f>IF($B63="","",INDEX(HISTORICO!$H$3:$H$2002,$B63))</f>
        <v/>
      </c>
      <c r="I63">
        <f>IF($B63="","",INDEX(HISTORICO!$D$3:$D$2002,$B63))</f>
        <v/>
      </c>
      <c r="J63">
        <f>IF($B63="","",INDEX(HISTORICO!$B$3:$B$2002,$B63))</f>
        <v/>
      </c>
      <c r="K63">
        <f>IF($B63="","",INDEX(HISTORICO!$U$3:$U$2002,$B63))</f>
        <v/>
      </c>
      <c r="L63">
        <f>IF($B63="","",INDEX(HISTORICO!$I$3:$I$2002,$B63))</f>
        <v/>
      </c>
      <c r="M63">
        <f>IF($B63="","",INDEX(HISTORICO!$J$3:$J$2002,$B63))</f>
        <v/>
      </c>
      <c r="N63">
        <f>IF($B63="","",INDEX(HISTORICO!$K$3:$K$2002,$B63))</f>
        <v/>
      </c>
      <c r="O63">
        <f>IF($B63="","",INDEX(HISTORICO!$L$3:$L$2002,$B63))</f>
        <v/>
      </c>
      <c r="P63">
        <f>IF($B63="","",INDEX(HISTORICO!$M$3:$M$2002,$B63))</f>
        <v/>
      </c>
      <c r="Q63">
        <f>IF($B63="","",INDEX(HISTORICO!$N$3:$N$2002,$B63))</f>
        <v/>
      </c>
      <c r="R63">
        <f>IF($B63="","",INDEX(HISTORICO!$Q$3:$Q$2002,$B63))</f>
        <v/>
      </c>
      <c r="S63">
        <f>IF($B63="","",INDEX(HISTORICO!$P$3:$P$2002,$B63))</f>
        <v/>
      </c>
      <c r="T63">
        <f>IF($B63="","",INDEX(HISTORICO!$O$3:$O$2002,$B63))</f>
        <v/>
      </c>
      <c r="U63">
        <f>IF($B63="","",INDEX(HISTORICO!$R$3:$R$2002,$B63))</f>
        <v/>
      </c>
      <c r="V63">
        <f>IF($B63="","",INDEX(HISTORICO!$S$3:$S$2002,$B63))</f>
        <v/>
      </c>
      <c r="W63">
        <f>IF($B63="","",INDEX(HISTORICO!$T$3:$T$2002,$B63))</f>
        <v/>
      </c>
      <c r="X63">
        <f>IF($B63="","",INDEX(HISTORICO!$X$3:$X$2002,$B63))</f>
        <v/>
      </c>
      <c r="Y63">
        <f>IF($L63="","",IFERROR(INDEX(CONFIGURACOES!$C$37:$C$300,MATCH($L63,CONFIGURACOES!$B$37:$B$300,0)),""))</f>
        <v/>
      </c>
      <c r="Z63">
        <f>IF($L63="","",IFERROR(INDEX(CONFIGURACOES!$D$37:$D$300,MATCH($L63,CONFIGURACOES!$B$37:$B$300,0)),""))</f>
        <v/>
      </c>
      <c r="AA63">
        <f>IF($L63="","",IFERROR(INDEX(CONFIGURACOES!$E$37:$E$300,MATCH($L63,CONFIGURACOES!$B$37:$B$300,0)),""))</f>
        <v/>
      </c>
      <c r="AB63">
        <f>IF($L63="","",IFERROR(INDEX(CONFIGURACOES!$F$37:$F$300,MATCH($L63,CONFIGURACOES!$B$37:$B$300,0)),""))</f>
        <v/>
      </c>
      <c r="AC63">
        <f>IF($L63="","",IF($X63&lt;&gt;$X62,$AC62+1,$AC62))</f>
        <v/>
      </c>
      <c r="AD63">
        <f>IF($L63="","",IF($X63&lt;&gt;$X62,1,$AD62+1))</f>
        <v/>
      </c>
      <c r="AE63">
        <f>IF($L63="","",$AC63*10+$AD63)</f>
        <v/>
      </c>
      <c r="AF63">
        <f>IF($L63="","",SUMIF($X$2:$X$151,$X63,$U$2:$U$151))</f>
        <v/>
      </c>
      <c r="AG63">
        <f>IF($L63="","",SUMIF($X$2:$X$151,$X63,$W$2:$W$151))</f>
        <v/>
      </c>
    </row>
    <row r="64">
      <c r="A64" t="n">
        <v>63</v>
      </c>
      <c r="B64">
        <f>IFERROR(MATCH($A64,HISTORICO!$Y$3:$Y$2002,0),"")</f>
        <v/>
      </c>
      <c r="C64">
        <f>IF($B64="","",INDEX(HISTORICO!$A$3:$A$2002,$B64))</f>
        <v/>
      </c>
      <c r="D64">
        <f>IF($B64="","",INDEX(HISTORICO!$C$3:$C$2002,$B64))</f>
        <v/>
      </c>
      <c r="E64">
        <f>IF($B64="","",INDEX(HISTORICO!$F$3:$F$2002,$B64))</f>
        <v/>
      </c>
      <c r="F64">
        <f>IF($B64="","",INDEX(HISTORICO!$G$3:$G$2002,$B64))</f>
        <v/>
      </c>
      <c r="G64">
        <f>IF($B64="","",INDEX(HISTORICO!$E$3:$E$2002,$B64))</f>
        <v/>
      </c>
      <c r="H64">
        <f>IF($B64="","",INDEX(HISTORICO!$H$3:$H$2002,$B64))</f>
        <v/>
      </c>
      <c r="I64">
        <f>IF($B64="","",INDEX(HISTORICO!$D$3:$D$2002,$B64))</f>
        <v/>
      </c>
      <c r="J64">
        <f>IF($B64="","",INDEX(HISTORICO!$B$3:$B$2002,$B64))</f>
        <v/>
      </c>
      <c r="K64">
        <f>IF($B64="","",INDEX(HISTORICO!$U$3:$U$2002,$B64))</f>
        <v/>
      </c>
      <c r="L64">
        <f>IF($B64="","",INDEX(HISTORICO!$I$3:$I$2002,$B64))</f>
        <v/>
      </c>
      <c r="M64">
        <f>IF($B64="","",INDEX(HISTORICO!$J$3:$J$2002,$B64))</f>
        <v/>
      </c>
      <c r="N64">
        <f>IF($B64="","",INDEX(HISTORICO!$K$3:$K$2002,$B64))</f>
        <v/>
      </c>
      <c r="O64">
        <f>IF($B64="","",INDEX(HISTORICO!$L$3:$L$2002,$B64))</f>
        <v/>
      </c>
      <c r="P64">
        <f>IF($B64="","",INDEX(HISTORICO!$M$3:$M$2002,$B64))</f>
        <v/>
      </c>
      <c r="Q64">
        <f>IF($B64="","",INDEX(HISTORICO!$N$3:$N$2002,$B64))</f>
        <v/>
      </c>
      <c r="R64">
        <f>IF($B64="","",INDEX(HISTORICO!$Q$3:$Q$2002,$B64))</f>
        <v/>
      </c>
      <c r="S64">
        <f>IF($B64="","",INDEX(HISTORICO!$P$3:$P$2002,$B64))</f>
        <v/>
      </c>
      <c r="T64">
        <f>IF($B64="","",INDEX(HISTORICO!$O$3:$O$2002,$B64))</f>
        <v/>
      </c>
      <c r="U64">
        <f>IF($B64="","",INDEX(HISTORICO!$R$3:$R$2002,$B64))</f>
        <v/>
      </c>
      <c r="V64">
        <f>IF($B64="","",INDEX(HISTORICO!$S$3:$S$2002,$B64))</f>
        <v/>
      </c>
      <c r="W64">
        <f>IF($B64="","",INDEX(HISTORICO!$T$3:$T$2002,$B64))</f>
        <v/>
      </c>
      <c r="X64">
        <f>IF($B64="","",INDEX(HISTORICO!$X$3:$X$2002,$B64))</f>
        <v/>
      </c>
      <c r="Y64">
        <f>IF($L64="","",IFERROR(INDEX(CONFIGURACOES!$C$37:$C$300,MATCH($L64,CONFIGURACOES!$B$37:$B$300,0)),""))</f>
        <v/>
      </c>
      <c r="Z64">
        <f>IF($L64="","",IFERROR(INDEX(CONFIGURACOES!$D$37:$D$300,MATCH($L64,CONFIGURACOES!$B$37:$B$300,0)),""))</f>
        <v/>
      </c>
      <c r="AA64">
        <f>IF($L64="","",IFERROR(INDEX(CONFIGURACOES!$E$37:$E$300,MATCH($L64,CONFIGURACOES!$B$37:$B$300,0)),""))</f>
        <v/>
      </c>
      <c r="AB64">
        <f>IF($L64="","",IFERROR(INDEX(CONFIGURACOES!$F$37:$F$300,MATCH($L64,CONFIGURACOES!$B$37:$B$300,0)),""))</f>
        <v/>
      </c>
      <c r="AC64">
        <f>IF($L64="","",IF($X64&lt;&gt;$X63,$AC63+1,$AC63))</f>
        <v/>
      </c>
      <c r="AD64">
        <f>IF($L64="","",IF($X64&lt;&gt;$X63,1,$AD63+1))</f>
        <v/>
      </c>
      <c r="AE64">
        <f>IF($L64="","",$AC64*10+$AD64)</f>
        <v/>
      </c>
      <c r="AF64">
        <f>IF($L64="","",SUMIF($X$2:$X$151,$X64,$U$2:$U$151))</f>
        <v/>
      </c>
      <c r="AG64">
        <f>IF($L64="","",SUMIF($X$2:$X$151,$X64,$W$2:$W$151))</f>
        <v/>
      </c>
    </row>
    <row r="65">
      <c r="A65" t="n">
        <v>64</v>
      </c>
      <c r="B65">
        <f>IFERROR(MATCH($A65,HISTORICO!$Y$3:$Y$2002,0),"")</f>
        <v/>
      </c>
      <c r="C65">
        <f>IF($B65="","",INDEX(HISTORICO!$A$3:$A$2002,$B65))</f>
        <v/>
      </c>
      <c r="D65">
        <f>IF($B65="","",INDEX(HISTORICO!$C$3:$C$2002,$B65))</f>
        <v/>
      </c>
      <c r="E65">
        <f>IF($B65="","",INDEX(HISTORICO!$F$3:$F$2002,$B65))</f>
        <v/>
      </c>
      <c r="F65">
        <f>IF($B65="","",INDEX(HISTORICO!$G$3:$G$2002,$B65))</f>
        <v/>
      </c>
      <c r="G65">
        <f>IF($B65="","",INDEX(HISTORICO!$E$3:$E$2002,$B65))</f>
        <v/>
      </c>
      <c r="H65">
        <f>IF($B65="","",INDEX(HISTORICO!$H$3:$H$2002,$B65))</f>
        <v/>
      </c>
      <c r="I65">
        <f>IF($B65="","",INDEX(HISTORICO!$D$3:$D$2002,$B65))</f>
        <v/>
      </c>
      <c r="J65">
        <f>IF($B65="","",INDEX(HISTORICO!$B$3:$B$2002,$B65))</f>
        <v/>
      </c>
      <c r="K65">
        <f>IF($B65="","",INDEX(HISTORICO!$U$3:$U$2002,$B65))</f>
        <v/>
      </c>
      <c r="L65">
        <f>IF($B65="","",INDEX(HISTORICO!$I$3:$I$2002,$B65))</f>
        <v/>
      </c>
      <c r="M65">
        <f>IF($B65="","",INDEX(HISTORICO!$J$3:$J$2002,$B65))</f>
        <v/>
      </c>
      <c r="N65">
        <f>IF($B65="","",INDEX(HISTORICO!$K$3:$K$2002,$B65))</f>
        <v/>
      </c>
      <c r="O65">
        <f>IF($B65="","",INDEX(HISTORICO!$L$3:$L$2002,$B65))</f>
        <v/>
      </c>
      <c r="P65">
        <f>IF($B65="","",INDEX(HISTORICO!$M$3:$M$2002,$B65))</f>
        <v/>
      </c>
      <c r="Q65">
        <f>IF($B65="","",INDEX(HISTORICO!$N$3:$N$2002,$B65))</f>
        <v/>
      </c>
      <c r="R65">
        <f>IF($B65="","",INDEX(HISTORICO!$Q$3:$Q$2002,$B65))</f>
        <v/>
      </c>
      <c r="S65">
        <f>IF($B65="","",INDEX(HISTORICO!$P$3:$P$2002,$B65))</f>
        <v/>
      </c>
      <c r="T65">
        <f>IF($B65="","",INDEX(HISTORICO!$O$3:$O$2002,$B65))</f>
        <v/>
      </c>
      <c r="U65">
        <f>IF($B65="","",INDEX(HISTORICO!$R$3:$R$2002,$B65))</f>
        <v/>
      </c>
      <c r="V65">
        <f>IF($B65="","",INDEX(HISTORICO!$S$3:$S$2002,$B65))</f>
        <v/>
      </c>
      <c r="W65">
        <f>IF($B65="","",INDEX(HISTORICO!$T$3:$T$2002,$B65))</f>
        <v/>
      </c>
      <c r="X65">
        <f>IF($B65="","",INDEX(HISTORICO!$X$3:$X$2002,$B65))</f>
        <v/>
      </c>
      <c r="Y65">
        <f>IF($L65="","",IFERROR(INDEX(CONFIGURACOES!$C$37:$C$300,MATCH($L65,CONFIGURACOES!$B$37:$B$300,0)),""))</f>
        <v/>
      </c>
      <c r="Z65">
        <f>IF($L65="","",IFERROR(INDEX(CONFIGURACOES!$D$37:$D$300,MATCH($L65,CONFIGURACOES!$B$37:$B$300,0)),""))</f>
        <v/>
      </c>
      <c r="AA65">
        <f>IF($L65="","",IFERROR(INDEX(CONFIGURACOES!$E$37:$E$300,MATCH($L65,CONFIGURACOES!$B$37:$B$300,0)),""))</f>
        <v/>
      </c>
      <c r="AB65">
        <f>IF($L65="","",IFERROR(INDEX(CONFIGURACOES!$F$37:$F$300,MATCH($L65,CONFIGURACOES!$B$37:$B$300,0)),""))</f>
        <v/>
      </c>
      <c r="AC65">
        <f>IF($L65="","",IF($X65&lt;&gt;$X64,$AC64+1,$AC64))</f>
        <v/>
      </c>
      <c r="AD65">
        <f>IF($L65="","",IF($X65&lt;&gt;$X64,1,$AD64+1))</f>
        <v/>
      </c>
      <c r="AE65">
        <f>IF($L65="","",$AC65*10+$AD65)</f>
        <v/>
      </c>
      <c r="AF65">
        <f>IF($L65="","",SUMIF($X$2:$X$151,$X65,$U$2:$U$151))</f>
        <v/>
      </c>
      <c r="AG65">
        <f>IF($L65="","",SUMIF($X$2:$X$151,$X65,$W$2:$W$151))</f>
        <v/>
      </c>
    </row>
    <row r="66">
      <c r="A66" t="n">
        <v>65</v>
      </c>
      <c r="B66">
        <f>IFERROR(MATCH($A66,HISTORICO!$Y$3:$Y$2002,0),"")</f>
        <v/>
      </c>
      <c r="C66">
        <f>IF($B66="","",INDEX(HISTORICO!$A$3:$A$2002,$B66))</f>
        <v/>
      </c>
      <c r="D66">
        <f>IF($B66="","",INDEX(HISTORICO!$C$3:$C$2002,$B66))</f>
        <v/>
      </c>
      <c r="E66">
        <f>IF($B66="","",INDEX(HISTORICO!$F$3:$F$2002,$B66))</f>
        <v/>
      </c>
      <c r="F66">
        <f>IF($B66="","",INDEX(HISTORICO!$G$3:$G$2002,$B66))</f>
        <v/>
      </c>
      <c r="G66">
        <f>IF($B66="","",INDEX(HISTORICO!$E$3:$E$2002,$B66))</f>
        <v/>
      </c>
      <c r="H66">
        <f>IF($B66="","",INDEX(HISTORICO!$H$3:$H$2002,$B66))</f>
        <v/>
      </c>
      <c r="I66">
        <f>IF($B66="","",INDEX(HISTORICO!$D$3:$D$2002,$B66))</f>
        <v/>
      </c>
      <c r="J66">
        <f>IF($B66="","",INDEX(HISTORICO!$B$3:$B$2002,$B66))</f>
        <v/>
      </c>
      <c r="K66">
        <f>IF($B66="","",INDEX(HISTORICO!$U$3:$U$2002,$B66))</f>
        <v/>
      </c>
      <c r="L66">
        <f>IF($B66="","",INDEX(HISTORICO!$I$3:$I$2002,$B66))</f>
        <v/>
      </c>
      <c r="M66">
        <f>IF($B66="","",INDEX(HISTORICO!$J$3:$J$2002,$B66))</f>
        <v/>
      </c>
      <c r="N66">
        <f>IF($B66="","",INDEX(HISTORICO!$K$3:$K$2002,$B66))</f>
        <v/>
      </c>
      <c r="O66">
        <f>IF($B66="","",INDEX(HISTORICO!$L$3:$L$2002,$B66))</f>
        <v/>
      </c>
      <c r="P66">
        <f>IF($B66="","",INDEX(HISTORICO!$M$3:$M$2002,$B66))</f>
        <v/>
      </c>
      <c r="Q66">
        <f>IF($B66="","",INDEX(HISTORICO!$N$3:$N$2002,$B66))</f>
        <v/>
      </c>
      <c r="R66">
        <f>IF($B66="","",INDEX(HISTORICO!$Q$3:$Q$2002,$B66))</f>
        <v/>
      </c>
      <c r="S66">
        <f>IF($B66="","",INDEX(HISTORICO!$P$3:$P$2002,$B66))</f>
        <v/>
      </c>
      <c r="T66">
        <f>IF($B66="","",INDEX(HISTORICO!$O$3:$O$2002,$B66))</f>
        <v/>
      </c>
      <c r="U66">
        <f>IF($B66="","",INDEX(HISTORICO!$R$3:$R$2002,$B66))</f>
        <v/>
      </c>
      <c r="V66">
        <f>IF($B66="","",INDEX(HISTORICO!$S$3:$S$2002,$B66))</f>
        <v/>
      </c>
      <c r="W66">
        <f>IF($B66="","",INDEX(HISTORICO!$T$3:$T$2002,$B66))</f>
        <v/>
      </c>
      <c r="X66">
        <f>IF($B66="","",INDEX(HISTORICO!$X$3:$X$2002,$B66))</f>
        <v/>
      </c>
      <c r="Y66">
        <f>IF($L66="","",IFERROR(INDEX(CONFIGURACOES!$C$37:$C$300,MATCH($L66,CONFIGURACOES!$B$37:$B$300,0)),""))</f>
        <v/>
      </c>
      <c r="Z66">
        <f>IF($L66="","",IFERROR(INDEX(CONFIGURACOES!$D$37:$D$300,MATCH($L66,CONFIGURACOES!$B$37:$B$300,0)),""))</f>
        <v/>
      </c>
      <c r="AA66">
        <f>IF($L66="","",IFERROR(INDEX(CONFIGURACOES!$E$37:$E$300,MATCH($L66,CONFIGURACOES!$B$37:$B$300,0)),""))</f>
        <v/>
      </c>
      <c r="AB66">
        <f>IF($L66="","",IFERROR(INDEX(CONFIGURACOES!$F$37:$F$300,MATCH($L66,CONFIGURACOES!$B$37:$B$300,0)),""))</f>
        <v/>
      </c>
      <c r="AC66">
        <f>IF($L66="","",IF($X66&lt;&gt;$X65,$AC65+1,$AC65))</f>
        <v/>
      </c>
      <c r="AD66">
        <f>IF($L66="","",IF($X66&lt;&gt;$X65,1,$AD65+1))</f>
        <v/>
      </c>
      <c r="AE66">
        <f>IF($L66="","",$AC66*10+$AD66)</f>
        <v/>
      </c>
      <c r="AF66">
        <f>IF($L66="","",SUMIF($X$2:$X$151,$X66,$U$2:$U$151))</f>
        <v/>
      </c>
      <c r="AG66">
        <f>IF($L66="","",SUMIF($X$2:$X$151,$X66,$W$2:$W$151))</f>
        <v/>
      </c>
    </row>
    <row r="67">
      <c r="A67" t="n">
        <v>66</v>
      </c>
      <c r="B67">
        <f>IFERROR(MATCH($A67,HISTORICO!$Y$3:$Y$2002,0),"")</f>
        <v/>
      </c>
      <c r="C67">
        <f>IF($B67="","",INDEX(HISTORICO!$A$3:$A$2002,$B67))</f>
        <v/>
      </c>
      <c r="D67">
        <f>IF($B67="","",INDEX(HISTORICO!$C$3:$C$2002,$B67))</f>
        <v/>
      </c>
      <c r="E67">
        <f>IF($B67="","",INDEX(HISTORICO!$F$3:$F$2002,$B67))</f>
        <v/>
      </c>
      <c r="F67">
        <f>IF($B67="","",INDEX(HISTORICO!$G$3:$G$2002,$B67))</f>
        <v/>
      </c>
      <c r="G67">
        <f>IF($B67="","",INDEX(HISTORICO!$E$3:$E$2002,$B67))</f>
        <v/>
      </c>
      <c r="H67">
        <f>IF($B67="","",INDEX(HISTORICO!$H$3:$H$2002,$B67))</f>
        <v/>
      </c>
      <c r="I67">
        <f>IF($B67="","",INDEX(HISTORICO!$D$3:$D$2002,$B67))</f>
        <v/>
      </c>
      <c r="J67">
        <f>IF($B67="","",INDEX(HISTORICO!$B$3:$B$2002,$B67))</f>
        <v/>
      </c>
      <c r="K67">
        <f>IF($B67="","",INDEX(HISTORICO!$U$3:$U$2002,$B67))</f>
        <v/>
      </c>
      <c r="L67">
        <f>IF($B67="","",INDEX(HISTORICO!$I$3:$I$2002,$B67))</f>
        <v/>
      </c>
      <c r="M67">
        <f>IF($B67="","",INDEX(HISTORICO!$J$3:$J$2002,$B67))</f>
        <v/>
      </c>
      <c r="N67">
        <f>IF($B67="","",INDEX(HISTORICO!$K$3:$K$2002,$B67))</f>
        <v/>
      </c>
      <c r="O67">
        <f>IF($B67="","",INDEX(HISTORICO!$L$3:$L$2002,$B67))</f>
        <v/>
      </c>
      <c r="P67">
        <f>IF($B67="","",INDEX(HISTORICO!$M$3:$M$2002,$B67))</f>
        <v/>
      </c>
      <c r="Q67">
        <f>IF($B67="","",INDEX(HISTORICO!$N$3:$N$2002,$B67))</f>
        <v/>
      </c>
      <c r="R67">
        <f>IF($B67="","",INDEX(HISTORICO!$Q$3:$Q$2002,$B67))</f>
        <v/>
      </c>
      <c r="S67">
        <f>IF($B67="","",INDEX(HISTORICO!$P$3:$P$2002,$B67))</f>
        <v/>
      </c>
      <c r="T67">
        <f>IF($B67="","",INDEX(HISTORICO!$O$3:$O$2002,$B67))</f>
        <v/>
      </c>
      <c r="U67">
        <f>IF($B67="","",INDEX(HISTORICO!$R$3:$R$2002,$B67))</f>
        <v/>
      </c>
      <c r="V67">
        <f>IF($B67="","",INDEX(HISTORICO!$S$3:$S$2002,$B67))</f>
        <v/>
      </c>
      <c r="W67">
        <f>IF($B67="","",INDEX(HISTORICO!$T$3:$T$2002,$B67))</f>
        <v/>
      </c>
      <c r="X67">
        <f>IF($B67="","",INDEX(HISTORICO!$X$3:$X$2002,$B67))</f>
        <v/>
      </c>
      <c r="Y67">
        <f>IF($L67="","",IFERROR(INDEX(CONFIGURACOES!$C$37:$C$300,MATCH($L67,CONFIGURACOES!$B$37:$B$300,0)),""))</f>
        <v/>
      </c>
      <c r="Z67">
        <f>IF($L67="","",IFERROR(INDEX(CONFIGURACOES!$D$37:$D$300,MATCH($L67,CONFIGURACOES!$B$37:$B$300,0)),""))</f>
        <v/>
      </c>
      <c r="AA67">
        <f>IF($L67="","",IFERROR(INDEX(CONFIGURACOES!$E$37:$E$300,MATCH($L67,CONFIGURACOES!$B$37:$B$300,0)),""))</f>
        <v/>
      </c>
      <c r="AB67">
        <f>IF($L67="","",IFERROR(INDEX(CONFIGURACOES!$F$37:$F$300,MATCH($L67,CONFIGURACOES!$B$37:$B$300,0)),""))</f>
        <v/>
      </c>
      <c r="AC67">
        <f>IF($L67="","",IF($X67&lt;&gt;$X66,$AC66+1,$AC66))</f>
        <v/>
      </c>
      <c r="AD67">
        <f>IF($L67="","",IF($X67&lt;&gt;$X66,1,$AD66+1))</f>
        <v/>
      </c>
      <c r="AE67">
        <f>IF($L67="","",$AC67*10+$AD67)</f>
        <v/>
      </c>
      <c r="AF67">
        <f>IF($L67="","",SUMIF($X$2:$X$151,$X67,$U$2:$U$151))</f>
        <v/>
      </c>
      <c r="AG67">
        <f>IF($L67="","",SUMIF($X$2:$X$151,$X67,$W$2:$W$151))</f>
        <v/>
      </c>
    </row>
    <row r="68">
      <c r="A68" t="n">
        <v>67</v>
      </c>
      <c r="B68">
        <f>IFERROR(MATCH($A68,HISTORICO!$Y$3:$Y$2002,0),"")</f>
        <v/>
      </c>
      <c r="C68">
        <f>IF($B68="","",INDEX(HISTORICO!$A$3:$A$2002,$B68))</f>
        <v/>
      </c>
      <c r="D68">
        <f>IF($B68="","",INDEX(HISTORICO!$C$3:$C$2002,$B68))</f>
        <v/>
      </c>
      <c r="E68">
        <f>IF($B68="","",INDEX(HISTORICO!$F$3:$F$2002,$B68))</f>
        <v/>
      </c>
      <c r="F68">
        <f>IF($B68="","",INDEX(HISTORICO!$G$3:$G$2002,$B68))</f>
        <v/>
      </c>
      <c r="G68">
        <f>IF($B68="","",INDEX(HISTORICO!$E$3:$E$2002,$B68))</f>
        <v/>
      </c>
      <c r="H68">
        <f>IF($B68="","",INDEX(HISTORICO!$H$3:$H$2002,$B68))</f>
        <v/>
      </c>
      <c r="I68">
        <f>IF($B68="","",INDEX(HISTORICO!$D$3:$D$2002,$B68))</f>
        <v/>
      </c>
      <c r="J68">
        <f>IF($B68="","",INDEX(HISTORICO!$B$3:$B$2002,$B68))</f>
        <v/>
      </c>
      <c r="K68">
        <f>IF($B68="","",INDEX(HISTORICO!$U$3:$U$2002,$B68))</f>
        <v/>
      </c>
      <c r="L68">
        <f>IF($B68="","",INDEX(HISTORICO!$I$3:$I$2002,$B68))</f>
        <v/>
      </c>
      <c r="M68">
        <f>IF($B68="","",INDEX(HISTORICO!$J$3:$J$2002,$B68))</f>
        <v/>
      </c>
      <c r="N68">
        <f>IF($B68="","",INDEX(HISTORICO!$K$3:$K$2002,$B68))</f>
        <v/>
      </c>
      <c r="O68">
        <f>IF($B68="","",INDEX(HISTORICO!$L$3:$L$2002,$B68))</f>
        <v/>
      </c>
      <c r="P68">
        <f>IF($B68="","",INDEX(HISTORICO!$M$3:$M$2002,$B68))</f>
        <v/>
      </c>
      <c r="Q68">
        <f>IF($B68="","",INDEX(HISTORICO!$N$3:$N$2002,$B68))</f>
        <v/>
      </c>
      <c r="R68">
        <f>IF($B68="","",INDEX(HISTORICO!$Q$3:$Q$2002,$B68))</f>
        <v/>
      </c>
      <c r="S68">
        <f>IF($B68="","",INDEX(HISTORICO!$P$3:$P$2002,$B68))</f>
        <v/>
      </c>
      <c r="T68">
        <f>IF($B68="","",INDEX(HISTORICO!$O$3:$O$2002,$B68))</f>
        <v/>
      </c>
      <c r="U68">
        <f>IF($B68="","",INDEX(HISTORICO!$R$3:$R$2002,$B68))</f>
        <v/>
      </c>
      <c r="V68">
        <f>IF($B68="","",INDEX(HISTORICO!$S$3:$S$2002,$B68))</f>
        <v/>
      </c>
      <c r="W68">
        <f>IF($B68="","",INDEX(HISTORICO!$T$3:$T$2002,$B68))</f>
        <v/>
      </c>
      <c r="X68">
        <f>IF($B68="","",INDEX(HISTORICO!$X$3:$X$2002,$B68))</f>
        <v/>
      </c>
      <c r="Y68">
        <f>IF($L68="","",IFERROR(INDEX(CONFIGURACOES!$C$37:$C$300,MATCH($L68,CONFIGURACOES!$B$37:$B$300,0)),""))</f>
        <v/>
      </c>
      <c r="Z68">
        <f>IF($L68="","",IFERROR(INDEX(CONFIGURACOES!$D$37:$D$300,MATCH($L68,CONFIGURACOES!$B$37:$B$300,0)),""))</f>
        <v/>
      </c>
      <c r="AA68">
        <f>IF($L68="","",IFERROR(INDEX(CONFIGURACOES!$E$37:$E$300,MATCH($L68,CONFIGURACOES!$B$37:$B$300,0)),""))</f>
        <v/>
      </c>
      <c r="AB68">
        <f>IF($L68="","",IFERROR(INDEX(CONFIGURACOES!$F$37:$F$300,MATCH($L68,CONFIGURACOES!$B$37:$B$300,0)),""))</f>
        <v/>
      </c>
      <c r="AC68">
        <f>IF($L68="","",IF($X68&lt;&gt;$X67,$AC67+1,$AC67))</f>
        <v/>
      </c>
      <c r="AD68">
        <f>IF($L68="","",IF($X68&lt;&gt;$X67,1,$AD67+1))</f>
        <v/>
      </c>
      <c r="AE68">
        <f>IF($L68="","",$AC68*10+$AD68)</f>
        <v/>
      </c>
      <c r="AF68">
        <f>IF($L68="","",SUMIF($X$2:$X$151,$X68,$U$2:$U$151))</f>
        <v/>
      </c>
      <c r="AG68">
        <f>IF($L68="","",SUMIF($X$2:$X$151,$X68,$W$2:$W$151))</f>
        <v/>
      </c>
    </row>
    <row r="69">
      <c r="A69" t="n">
        <v>68</v>
      </c>
      <c r="B69">
        <f>IFERROR(MATCH($A69,HISTORICO!$Y$3:$Y$2002,0),"")</f>
        <v/>
      </c>
      <c r="C69">
        <f>IF($B69="","",INDEX(HISTORICO!$A$3:$A$2002,$B69))</f>
        <v/>
      </c>
      <c r="D69">
        <f>IF($B69="","",INDEX(HISTORICO!$C$3:$C$2002,$B69))</f>
        <v/>
      </c>
      <c r="E69">
        <f>IF($B69="","",INDEX(HISTORICO!$F$3:$F$2002,$B69))</f>
        <v/>
      </c>
      <c r="F69">
        <f>IF($B69="","",INDEX(HISTORICO!$G$3:$G$2002,$B69))</f>
        <v/>
      </c>
      <c r="G69">
        <f>IF($B69="","",INDEX(HISTORICO!$E$3:$E$2002,$B69))</f>
        <v/>
      </c>
      <c r="H69">
        <f>IF($B69="","",INDEX(HISTORICO!$H$3:$H$2002,$B69))</f>
        <v/>
      </c>
      <c r="I69">
        <f>IF($B69="","",INDEX(HISTORICO!$D$3:$D$2002,$B69))</f>
        <v/>
      </c>
      <c r="J69">
        <f>IF($B69="","",INDEX(HISTORICO!$B$3:$B$2002,$B69))</f>
        <v/>
      </c>
      <c r="K69">
        <f>IF($B69="","",INDEX(HISTORICO!$U$3:$U$2002,$B69))</f>
        <v/>
      </c>
      <c r="L69">
        <f>IF($B69="","",INDEX(HISTORICO!$I$3:$I$2002,$B69))</f>
        <v/>
      </c>
      <c r="M69">
        <f>IF($B69="","",INDEX(HISTORICO!$J$3:$J$2002,$B69))</f>
        <v/>
      </c>
      <c r="N69">
        <f>IF($B69="","",INDEX(HISTORICO!$K$3:$K$2002,$B69))</f>
        <v/>
      </c>
      <c r="O69">
        <f>IF($B69="","",INDEX(HISTORICO!$L$3:$L$2002,$B69))</f>
        <v/>
      </c>
      <c r="P69">
        <f>IF($B69="","",INDEX(HISTORICO!$M$3:$M$2002,$B69))</f>
        <v/>
      </c>
      <c r="Q69">
        <f>IF($B69="","",INDEX(HISTORICO!$N$3:$N$2002,$B69))</f>
        <v/>
      </c>
      <c r="R69">
        <f>IF($B69="","",INDEX(HISTORICO!$Q$3:$Q$2002,$B69))</f>
        <v/>
      </c>
      <c r="S69">
        <f>IF($B69="","",INDEX(HISTORICO!$P$3:$P$2002,$B69))</f>
        <v/>
      </c>
      <c r="T69">
        <f>IF($B69="","",INDEX(HISTORICO!$O$3:$O$2002,$B69))</f>
        <v/>
      </c>
      <c r="U69">
        <f>IF($B69="","",INDEX(HISTORICO!$R$3:$R$2002,$B69))</f>
        <v/>
      </c>
      <c r="V69">
        <f>IF($B69="","",INDEX(HISTORICO!$S$3:$S$2002,$B69))</f>
        <v/>
      </c>
      <c r="W69">
        <f>IF($B69="","",INDEX(HISTORICO!$T$3:$T$2002,$B69))</f>
        <v/>
      </c>
      <c r="X69">
        <f>IF($B69="","",INDEX(HISTORICO!$X$3:$X$2002,$B69))</f>
        <v/>
      </c>
      <c r="Y69">
        <f>IF($L69="","",IFERROR(INDEX(CONFIGURACOES!$C$37:$C$300,MATCH($L69,CONFIGURACOES!$B$37:$B$300,0)),""))</f>
        <v/>
      </c>
      <c r="Z69">
        <f>IF($L69="","",IFERROR(INDEX(CONFIGURACOES!$D$37:$D$300,MATCH($L69,CONFIGURACOES!$B$37:$B$300,0)),""))</f>
        <v/>
      </c>
      <c r="AA69">
        <f>IF($L69="","",IFERROR(INDEX(CONFIGURACOES!$E$37:$E$300,MATCH($L69,CONFIGURACOES!$B$37:$B$300,0)),""))</f>
        <v/>
      </c>
      <c r="AB69">
        <f>IF($L69="","",IFERROR(INDEX(CONFIGURACOES!$F$37:$F$300,MATCH($L69,CONFIGURACOES!$B$37:$B$300,0)),""))</f>
        <v/>
      </c>
      <c r="AC69">
        <f>IF($L69="","",IF($X69&lt;&gt;$X68,$AC68+1,$AC68))</f>
        <v/>
      </c>
      <c r="AD69">
        <f>IF($L69="","",IF($X69&lt;&gt;$X68,1,$AD68+1))</f>
        <v/>
      </c>
      <c r="AE69">
        <f>IF($L69="","",$AC69*10+$AD69)</f>
        <v/>
      </c>
      <c r="AF69">
        <f>IF($L69="","",SUMIF($X$2:$X$151,$X69,$U$2:$U$151))</f>
        <v/>
      </c>
      <c r="AG69">
        <f>IF($L69="","",SUMIF($X$2:$X$151,$X69,$W$2:$W$151))</f>
        <v/>
      </c>
    </row>
    <row r="70">
      <c r="A70" t="n">
        <v>69</v>
      </c>
      <c r="B70">
        <f>IFERROR(MATCH($A70,HISTORICO!$Y$3:$Y$2002,0),"")</f>
        <v/>
      </c>
      <c r="C70">
        <f>IF($B70="","",INDEX(HISTORICO!$A$3:$A$2002,$B70))</f>
        <v/>
      </c>
      <c r="D70">
        <f>IF($B70="","",INDEX(HISTORICO!$C$3:$C$2002,$B70))</f>
        <v/>
      </c>
      <c r="E70">
        <f>IF($B70="","",INDEX(HISTORICO!$F$3:$F$2002,$B70))</f>
        <v/>
      </c>
      <c r="F70">
        <f>IF($B70="","",INDEX(HISTORICO!$G$3:$G$2002,$B70))</f>
        <v/>
      </c>
      <c r="G70">
        <f>IF($B70="","",INDEX(HISTORICO!$E$3:$E$2002,$B70))</f>
        <v/>
      </c>
      <c r="H70">
        <f>IF($B70="","",INDEX(HISTORICO!$H$3:$H$2002,$B70))</f>
        <v/>
      </c>
      <c r="I70">
        <f>IF($B70="","",INDEX(HISTORICO!$D$3:$D$2002,$B70))</f>
        <v/>
      </c>
      <c r="J70">
        <f>IF($B70="","",INDEX(HISTORICO!$B$3:$B$2002,$B70))</f>
        <v/>
      </c>
      <c r="K70">
        <f>IF($B70="","",INDEX(HISTORICO!$U$3:$U$2002,$B70))</f>
        <v/>
      </c>
      <c r="L70">
        <f>IF($B70="","",INDEX(HISTORICO!$I$3:$I$2002,$B70))</f>
        <v/>
      </c>
      <c r="M70">
        <f>IF($B70="","",INDEX(HISTORICO!$J$3:$J$2002,$B70))</f>
        <v/>
      </c>
      <c r="N70">
        <f>IF($B70="","",INDEX(HISTORICO!$K$3:$K$2002,$B70))</f>
        <v/>
      </c>
      <c r="O70">
        <f>IF($B70="","",INDEX(HISTORICO!$L$3:$L$2002,$B70))</f>
        <v/>
      </c>
      <c r="P70">
        <f>IF($B70="","",INDEX(HISTORICO!$M$3:$M$2002,$B70))</f>
        <v/>
      </c>
      <c r="Q70">
        <f>IF($B70="","",INDEX(HISTORICO!$N$3:$N$2002,$B70))</f>
        <v/>
      </c>
      <c r="R70">
        <f>IF($B70="","",INDEX(HISTORICO!$Q$3:$Q$2002,$B70))</f>
        <v/>
      </c>
      <c r="S70">
        <f>IF($B70="","",INDEX(HISTORICO!$P$3:$P$2002,$B70))</f>
        <v/>
      </c>
      <c r="T70">
        <f>IF($B70="","",INDEX(HISTORICO!$O$3:$O$2002,$B70))</f>
        <v/>
      </c>
      <c r="U70">
        <f>IF($B70="","",INDEX(HISTORICO!$R$3:$R$2002,$B70))</f>
        <v/>
      </c>
      <c r="V70">
        <f>IF($B70="","",INDEX(HISTORICO!$S$3:$S$2002,$B70))</f>
        <v/>
      </c>
      <c r="W70">
        <f>IF($B70="","",INDEX(HISTORICO!$T$3:$T$2002,$B70))</f>
        <v/>
      </c>
      <c r="X70">
        <f>IF($B70="","",INDEX(HISTORICO!$X$3:$X$2002,$B70))</f>
        <v/>
      </c>
      <c r="Y70">
        <f>IF($L70="","",IFERROR(INDEX(CONFIGURACOES!$C$37:$C$300,MATCH($L70,CONFIGURACOES!$B$37:$B$300,0)),""))</f>
        <v/>
      </c>
      <c r="Z70">
        <f>IF($L70="","",IFERROR(INDEX(CONFIGURACOES!$D$37:$D$300,MATCH($L70,CONFIGURACOES!$B$37:$B$300,0)),""))</f>
        <v/>
      </c>
      <c r="AA70">
        <f>IF($L70="","",IFERROR(INDEX(CONFIGURACOES!$E$37:$E$300,MATCH($L70,CONFIGURACOES!$B$37:$B$300,0)),""))</f>
        <v/>
      </c>
      <c r="AB70">
        <f>IF($L70="","",IFERROR(INDEX(CONFIGURACOES!$F$37:$F$300,MATCH($L70,CONFIGURACOES!$B$37:$B$300,0)),""))</f>
        <v/>
      </c>
      <c r="AC70">
        <f>IF($L70="","",IF($X70&lt;&gt;$X69,$AC69+1,$AC69))</f>
        <v/>
      </c>
      <c r="AD70">
        <f>IF($L70="","",IF($X70&lt;&gt;$X69,1,$AD69+1))</f>
        <v/>
      </c>
      <c r="AE70">
        <f>IF($L70="","",$AC70*10+$AD70)</f>
        <v/>
      </c>
      <c r="AF70">
        <f>IF($L70="","",SUMIF($X$2:$X$151,$X70,$U$2:$U$151))</f>
        <v/>
      </c>
      <c r="AG70">
        <f>IF($L70="","",SUMIF($X$2:$X$151,$X70,$W$2:$W$151))</f>
        <v/>
      </c>
    </row>
    <row r="71">
      <c r="A71" t="n">
        <v>70</v>
      </c>
      <c r="B71">
        <f>IFERROR(MATCH($A71,HISTORICO!$Y$3:$Y$2002,0),"")</f>
        <v/>
      </c>
      <c r="C71">
        <f>IF($B71="","",INDEX(HISTORICO!$A$3:$A$2002,$B71))</f>
        <v/>
      </c>
      <c r="D71">
        <f>IF($B71="","",INDEX(HISTORICO!$C$3:$C$2002,$B71))</f>
        <v/>
      </c>
      <c r="E71">
        <f>IF($B71="","",INDEX(HISTORICO!$F$3:$F$2002,$B71))</f>
        <v/>
      </c>
      <c r="F71">
        <f>IF($B71="","",INDEX(HISTORICO!$G$3:$G$2002,$B71))</f>
        <v/>
      </c>
      <c r="G71">
        <f>IF($B71="","",INDEX(HISTORICO!$E$3:$E$2002,$B71))</f>
        <v/>
      </c>
      <c r="H71">
        <f>IF($B71="","",INDEX(HISTORICO!$H$3:$H$2002,$B71))</f>
        <v/>
      </c>
      <c r="I71">
        <f>IF($B71="","",INDEX(HISTORICO!$D$3:$D$2002,$B71))</f>
        <v/>
      </c>
      <c r="J71">
        <f>IF($B71="","",INDEX(HISTORICO!$B$3:$B$2002,$B71))</f>
        <v/>
      </c>
      <c r="K71">
        <f>IF($B71="","",INDEX(HISTORICO!$U$3:$U$2002,$B71))</f>
        <v/>
      </c>
      <c r="L71">
        <f>IF($B71="","",INDEX(HISTORICO!$I$3:$I$2002,$B71))</f>
        <v/>
      </c>
      <c r="M71">
        <f>IF($B71="","",INDEX(HISTORICO!$J$3:$J$2002,$B71))</f>
        <v/>
      </c>
      <c r="N71">
        <f>IF($B71="","",INDEX(HISTORICO!$K$3:$K$2002,$B71))</f>
        <v/>
      </c>
      <c r="O71">
        <f>IF($B71="","",INDEX(HISTORICO!$L$3:$L$2002,$B71))</f>
        <v/>
      </c>
      <c r="P71">
        <f>IF($B71="","",INDEX(HISTORICO!$M$3:$M$2002,$B71))</f>
        <v/>
      </c>
      <c r="Q71">
        <f>IF($B71="","",INDEX(HISTORICO!$N$3:$N$2002,$B71))</f>
        <v/>
      </c>
      <c r="R71">
        <f>IF($B71="","",INDEX(HISTORICO!$Q$3:$Q$2002,$B71))</f>
        <v/>
      </c>
      <c r="S71">
        <f>IF($B71="","",INDEX(HISTORICO!$P$3:$P$2002,$B71))</f>
        <v/>
      </c>
      <c r="T71">
        <f>IF($B71="","",INDEX(HISTORICO!$O$3:$O$2002,$B71))</f>
        <v/>
      </c>
      <c r="U71">
        <f>IF($B71="","",INDEX(HISTORICO!$R$3:$R$2002,$B71))</f>
        <v/>
      </c>
      <c r="V71">
        <f>IF($B71="","",INDEX(HISTORICO!$S$3:$S$2002,$B71))</f>
        <v/>
      </c>
      <c r="W71">
        <f>IF($B71="","",INDEX(HISTORICO!$T$3:$T$2002,$B71))</f>
        <v/>
      </c>
      <c r="X71">
        <f>IF($B71="","",INDEX(HISTORICO!$X$3:$X$2002,$B71))</f>
        <v/>
      </c>
      <c r="Y71">
        <f>IF($L71="","",IFERROR(INDEX(CONFIGURACOES!$C$37:$C$300,MATCH($L71,CONFIGURACOES!$B$37:$B$300,0)),""))</f>
        <v/>
      </c>
      <c r="Z71">
        <f>IF($L71="","",IFERROR(INDEX(CONFIGURACOES!$D$37:$D$300,MATCH($L71,CONFIGURACOES!$B$37:$B$300,0)),""))</f>
        <v/>
      </c>
      <c r="AA71">
        <f>IF($L71="","",IFERROR(INDEX(CONFIGURACOES!$E$37:$E$300,MATCH($L71,CONFIGURACOES!$B$37:$B$300,0)),""))</f>
        <v/>
      </c>
      <c r="AB71">
        <f>IF($L71="","",IFERROR(INDEX(CONFIGURACOES!$F$37:$F$300,MATCH($L71,CONFIGURACOES!$B$37:$B$300,0)),""))</f>
        <v/>
      </c>
      <c r="AC71">
        <f>IF($L71="","",IF($X71&lt;&gt;$X70,$AC70+1,$AC70))</f>
        <v/>
      </c>
      <c r="AD71">
        <f>IF($L71="","",IF($X71&lt;&gt;$X70,1,$AD70+1))</f>
        <v/>
      </c>
      <c r="AE71">
        <f>IF($L71="","",$AC71*10+$AD71)</f>
        <v/>
      </c>
      <c r="AF71">
        <f>IF($L71="","",SUMIF($X$2:$X$151,$X71,$U$2:$U$151))</f>
        <v/>
      </c>
      <c r="AG71">
        <f>IF($L71="","",SUMIF($X$2:$X$151,$X71,$W$2:$W$151))</f>
        <v/>
      </c>
    </row>
    <row r="72">
      <c r="A72" t="n">
        <v>71</v>
      </c>
      <c r="B72">
        <f>IFERROR(MATCH($A72,HISTORICO!$Y$3:$Y$2002,0),"")</f>
        <v/>
      </c>
      <c r="C72">
        <f>IF($B72="","",INDEX(HISTORICO!$A$3:$A$2002,$B72))</f>
        <v/>
      </c>
      <c r="D72">
        <f>IF($B72="","",INDEX(HISTORICO!$C$3:$C$2002,$B72))</f>
        <v/>
      </c>
      <c r="E72">
        <f>IF($B72="","",INDEX(HISTORICO!$F$3:$F$2002,$B72))</f>
        <v/>
      </c>
      <c r="F72">
        <f>IF($B72="","",INDEX(HISTORICO!$G$3:$G$2002,$B72))</f>
        <v/>
      </c>
      <c r="G72">
        <f>IF($B72="","",INDEX(HISTORICO!$E$3:$E$2002,$B72))</f>
        <v/>
      </c>
      <c r="H72">
        <f>IF($B72="","",INDEX(HISTORICO!$H$3:$H$2002,$B72))</f>
        <v/>
      </c>
      <c r="I72">
        <f>IF($B72="","",INDEX(HISTORICO!$D$3:$D$2002,$B72))</f>
        <v/>
      </c>
      <c r="J72">
        <f>IF($B72="","",INDEX(HISTORICO!$B$3:$B$2002,$B72))</f>
        <v/>
      </c>
      <c r="K72">
        <f>IF($B72="","",INDEX(HISTORICO!$U$3:$U$2002,$B72))</f>
        <v/>
      </c>
      <c r="L72">
        <f>IF($B72="","",INDEX(HISTORICO!$I$3:$I$2002,$B72))</f>
        <v/>
      </c>
      <c r="M72">
        <f>IF($B72="","",INDEX(HISTORICO!$J$3:$J$2002,$B72))</f>
        <v/>
      </c>
      <c r="N72">
        <f>IF($B72="","",INDEX(HISTORICO!$K$3:$K$2002,$B72))</f>
        <v/>
      </c>
      <c r="O72">
        <f>IF($B72="","",INDEX(HISTORICO!$L$3:$L$2002,$B72))</f>
        <v/>
      </c>
      <c r="P72">
        <f>IF($B72="","",INDEX(HISTORICO!$M$3:$M$2002,$B72))</f>
        <v/>
      </c>
      <c r="Q72">
        <f>IF($B72="","",INDEX(HISTORICO!$N$3:$N$2002,$B72))</f>
        <v/>
      </c>
      <c r="R72">
        <f>IF($B72="","",INDEX(HISTORICO!$Q$3:$Q$2002,$B72))</f>
        <v/>
      </c>
      <c r="S72">
        <f>IF($B72="","",INDEX(HISTORICO!$P$3:$P$2002,$B72))</f>
        <v/>
      </c>
      <c r="T72">
        <f>IF($B72="","",INDEX(HISTORICO!$O$3:$O$2002,$B72))</f>
        <v/>
      </c>
      <c r="U72">
        <f>IF($B72="","",INDEX(HISTORICO!$R$3:$R$2002,$B72))</f>
        <v/>
      </c>
      <c r="V72">
        <f>IF($B72="","",INDEX(HISTORICO!$S$3:$S$2002,$B72))</f>
        <v/>
      </c>
      <c r="W72">
        <f>IF($B72="","",INDEX(HISTORICO!$T$3:$T$2002,$B72))</f>
        <v/>
      </c>
      <c r="X72">
        <f>IF($B72="","",INDEX(HISTORICO!$X$3:$X$2002,$B72))</f>
        <v/>
      </c>
      <c r="Y72">
        <f>IF($L72="","",IFERROR(INDEX(CONFIGURACOES!$C$37:$C$300,MATCH($L72,CONFIGURACOES!$B$37:$B$300,0)),""))</f>
        <v/>
      </c>
      <c r="Z72">
        <f>IF($L72="","",IFERROR(INDEX(CONFIGURACOES!$D$37:$D$300,MATCH($L72,CONFIGURACOES!$B$37:$B$300,0)),""))</f>
        <v/>
      </c>
      <c r="AA72">
        <f>IF($L72="","",IFERROR(INDEX(CONFIGURACOES!$E$37:$E$300,MATCH($L72,CONFIGURACOES!$B$37:$B$300,0)),""))</f>
        <v/>
      </c>
      <c r="AB72">
        <f>IF($L72="","",IFERROR(INDEX(CONFIGURACOES!$F$37:$F$300,MATCH($L72,CONFIGURACOES!$B$37:$B$300,0)),""))</f>
        <v/>
      </c>
      <c r="AC72">
        <f>IF($L72="","",IF($X72&lt;&gt;$X71,$AC71+1,$AC71))</f>
        <v/>
      </c>
      <c r="AD72">
        <f>IF($L72="","",IF($X72&lt;&gt;$X71,1,$AD71+1))</f>
        <v/>
      </c>
      <c r="AE72">
        <f>IF($L72="","",$AC72*10+$AD72)</f>
        <v/>
      </c>
      <c r="AF72">
        <f>IF($L72="","",SUMIF($X$2:$X$151,$X72,$U$2:$U$151))</f>
        <v/>
      </c>
      <c r="AG72">
        <f>IF($L72="","",SUMIF($X$2:$X$151,$X72,$W$2:$W$151))</f>
        <v/>
      </c>
    </row>
    <row r="73">
      <c r="A73" t="n">
        <v>72</v>
      </c>
      <c r="B73">
        <f>IFERROR(MATCH($A73,HISTORICO!$Y$3:$Y$2002,0),"")</f>
        <v/>
      </c>
      <c r="C73">
        <f>IF($B73="","",INDEX(HISTORICO!$A$3:$A$2002,$B73))</f>
        <v/>
      </c>
      <c r="D73">
        <f>IF($B73="","",INDEX(HISTORICO!$C$3:$C$2002,$B73))</f>
        <v/>
      </c>
      <c r="E73">
        <f>IF($B73="","",INDEX(HISTORICO!$F$3:$F$2002,$B73))</f>
        <v/>
      </c>
      <c r="F73">
        <f>IF($B73="","",INDEX(HISTORICO!$G$3:$G$2002,$B73))</f>
        <v/>
      </c>
      <c r="G73">
        <f>IF($B73="","",INDEX(HISTORICO!$E$3:$E$2002,$B73))</f>
        <v/>
      </c>
      <c r="H73">
        <f>IF($B73="","",INDEX(HISTORICO!$H$3:$H$2002,$B73))</f>
        <v/>
      </c>
      <c r="I73">
        <f>IF($B73="","",INDEX(HISTORICO!$D$3:$D$2002,$B73))</f>
        <v/>
      </c>
      <c r="J73">
        <f>IF($B73="","",INDEX(HISTORICO!$B$3:$B$2002,$B73))</f>
        <v/>
      </c>
      <c r="K73">
        <f>IF($B73="","",INDEX(HISTORICO!$U$3:$U$2002,$B73))</f>
        <v/>
      </c>
      <c r="L73">
        <f>IF($B73="","",INDEX(HISTORICO!$I$3:$I$2002,$B73))</f>
        <v/>
      </c>
      <c r="M73">
        <f>IF($B73="","",INDEX(HISTORICO!$J$3:$J$2002,$B73))</f>
        <v/>
      </c>
      <c r="N73">
        <f>IF($B73="","",INDEX(HISTORICO!$K$3:$K$2002,$B73))</f>
        <v/>
      </c>
      <c r="O73">
        <f>IF($B73="","",INDEX(HISTORICO!$L$3:$L$2002,$B73))</f>
        <v/>
      </c>
      <c r="P73">
        <f>IF($B73="","",INDEX(HISTORICO!$M$3:$M$2002,$B73))</f>
        <v/>
      </c>
      <c r="Q73">
        <f>IF($B73="","",INDEX(HISTORICO!$N$3:$N$2002,$B73))</f>
        <v/>
      </c>
      <c r="R73">
        <f>IF($B73="","",INDEX(HISTORICO!$Q$3:$Q$2002,$B73))</f>
        <v/>
      </c>
      <c r="S73">
        <f>IF($B73="","",INDEX(HISTORICO!$P$3:$P$2002,$B73))</f>
        <v/>
      </c>
      <c r="T73">
        <f>IF($B73="","",INDEX(HISTORICO!$O$3:$O$2002,$B73))</f>
        <v/>
      </c>
      <c r="U73">
        <f>IF($B73="","",INDEX(HISTORICO!$R$3:$R$2002,$B73))</f>
        <v/>
      </c>
      <c r="V73">
        <f>IF($B73="","",INDEX(HISTORICO!$S$3:$S$2002,$B73))</f>
        <v/>
      </c>
      <c r="W73">
        <f>IF($B73="","",INDEX(HISTORICO!$T$3:$T$2002,$B73))</f>
        <v/>
      </c>
      <c r="X73">
        <f>IF($B73="","",INDEX(HISTORICO!$X$3:$X$2002,$B73))</f>
        <v/>
      </c>
      <c r="Y73">
        <f>IF($L73="","",IFERROR(INDEX(CONFIGURACOES!$C$37:$C$300,MATCH($L73,CONFIGURACOES!$B$37:$B$300,0)),""))</f>
        <v/>
      </c>
      <c r="Z73">
        <f>IF($L73="","",IFERROR(INDEX(CONFIGURACOES!$D$37:$D$300,MATCH($L73,CONFIGURACOES!$B$37:$B$300,0)),""))</f>
        <v/>
      </c>
      <c r="AA73">
        <f>IF($L73="","",IFERROR(INDEX(CONFIGURACOES!$E$37:$E$300,MATCH($L73,CONFIGURACOES!$B$37:$B$300,0)),""))</f>
        <v/>
      </c>
      <c r="AB73">
        <f>IF($L73="","",IFERROR(INDEX(CONFIGURACOES!$F$37:$F$300,MATCH($L73,CONFIGURACOES!$B$37:$B$300,0)),""))</f>
        <v/>
      </c>
      <c r="AC73">
        <f>IF($L73="","",IF($X73&lt;&gt;$X72,$AC72+1,$AC72))</f>
        <v/>
      </c>
      <c r="AD73">
        <f>IF($L73="","",IF($X73&lt;&gt;$X72,1,$AD72+1))</f>
        <v/>
      </c>
      <c r="AE73">
        <f>IF($L73="","",$AC73*10+$AD73)</f>
        <v/>
      </c>
      <c r="AF73">
        <f>IF($L73="","",SUMIF($X$2:$X$151,$X73,$U$2:$U$151))</f>
        <v/>
      </c>
      <c r="AG73">
        <f>IF($L73="","",SUMIF($X$2:$X$151,$X73,$W$2:$W$151))</f>
        <v/>
      </c>
    </row>
    <row r="74">
      <c r="A74" t="n">
        <v>73</v>
      </c>
      <c r="B74">
        <f>IFERROR(MATCH($A74,HISTORICO!$Y$3:$Y$2002,0),"")</f>
        <v/>
      </c>
      <c r="C74">
        <f>IF($B74="","",INDEX(HISTORICO!$A$3:$A$2002,$B74))</f>
        <v/>
      </c>
      <c r="D74">
        <f>IF($B74="","",INDEX(HISTORICO!$C$3:$C$2002,$B74))</f>
        <v/>
      </c>
      <c r="E74">
        <f>IF($B74="","",INDEX(HISTORICO!$F$3:$F$2002,$B74))</f>
        <v/>
      </c>
      <c r="F74">
        <f>IF($B74="","",INDEX(HISTORICO!$G$3:$G$2002,$B74))</f>
        <v/>
      </c>
      <c r="G74">
        <f>IF($B74="","",INDEX(HISTORICO!$E$3:$E$2002,$B74))</f>
        <v/>
      </c>
      <c r="H74">
        <f>IF($B74="","",INDEX(HISTORICO!$H$3:$H$2002,$B74))</f>
        <v/>
      </c>
      <c r="I74">
        <f>IF($B74="","",INDEX(HISTORICO!$D$3:$D$2002,$B74))</f>
        <v/>
      </c>
      <c r="J74">
        <f>IF($B74="","",INDEX(HISTORICO!$B$3:$B$2002,$B74))</f>
        <v/>
      </c>
      <c r="K74">
        <f>IF($B74="","",INDEX(HISTORICO!$U$3:$U$2002,$B74))</f>
        <v/>
      </c>
      <c r="L74">
        <f>IF($B74="","",INDEX(HISTORICO!$I$3:$I$2002,$B74))</f>
        <v/>
      </c>
      <c r="M74">
        <f>IF($B74="","",INDEX(HISTORICO!$J$3:$J$2002,$B74))</f>
        <v/>
      </c>
      <c r="N74">
        <f>IF($B74="","",INDEX(HISTORICO!$K$3:$K$2002,$B74))</f>
        <v/>
      </c>
      <c r="O74">
        <f>IF($B74="","",INDEX(HISTORICO!$L$3:$L$2002,$B74))</f>
        <v/>
      </c>
      <c r="P74">
        <f>IF($B74="","",INDEX(HISTORICO!$M$3:$M$2002,$B74))</f>
        <v/>
      </c>
      <c r="Q74">
        <f>IF($B74="","",INDEX(HISTORICO!$N$3:$N$2002,$B74))</f>
        <v/>
      </c>
      <c r="R74">
        <f>IF($B74="","",INDEX(HISTORICO!$Q$3:$Q$2002,$B74))</f>
        <v/>
      </c>
      <c r="S74">
        <f>IF($B74="","",INDEX(HISTORICO!$P$3:$P$2002,$B74))</f>
        <v/>
      </c>
      <c r="T74">
        <f>IF($B74="","",INDEX(HISTORICO!$O$3:$O$2002,$B74))</f>
        <v/>
      </c>
      <c r="U74">
        <f>IF($B74="","",INDEX(HISTORICO!$R$3:$R$2002,$B74))</f>
        <v/>
      </c>
      <c r="V74">
        <f>IF($B74="","",INDEX(HISTORICO!$S$3:$S$2002,$B74))</f>
        <v/>
      </c>
      <c r="W74">
        <f>IF($B74="","",INDEX(HISTORICO!$T$3:$T$2002,$B74))</f>
        <v/>
      </c>
      <c r="X74">
        <f>IF($B74="","",INDEX(HISTORICO!$X$3:$X$2002,$B74))</f>
        <v/>
      </c>
      <c r="Y74">
        <f>IF($L74="","",IFERROR(INDEX(CONFIGURACOES!$C$37:$C$300,MATCH($L74,CONFIGURACOES!$B$37:$B$300,0)),""))</f>
        <v/>
      </c>
      <c r="Z74">
        <f>IF($L74="","",IFERROR(INDEX(CONFIGURACOES!$D$37:$D$300,MATCH($L74,CONFIGURACOES!$B$37:$B$300,0)),""))</f>
        <v/>
      </c>
      <c r="AA74">
        <f>IF($L74="","",IFERROR(INDEX(CONFIGURACOES!$E$37:$E$300,MATCH($L74,CONFIGURACOES!$B$37:$B$300,0)),""))</f>
        <v/>
      </c>
      <c r="AB74">
        <f>IF($L74="","",IFERROR(INDEX(CONFIGURACOES!$F$37:$F$300,MATCH($L74,CONFIGURACOES!$B$37:$B$300,0)),""))</f>
        <v/>
      </c>
      <c r="AC74">
        <f>IF($L74="","",IF($X74&lt;&gt;$X73,$AC73+1,$AC73))</f>
        <v/>
      </c>
      <c r="AD74">
        <f>IF($L74="","",IF($X74&lt;&gt;$X73,1,$AD73+1))</f>
        <v/>
      </c>
      <c r="AE74">
        <f>IF($L74="","",$AC74*10+$AD74)</f>
        <v/>
      </c>
      <c r="AF74">
        <f>IF($L74="","",SUMIF($X$2:$X$151,$X74,$U$2:$U$151))</f>
        <v/>
      </c>
      <c r="AG74">
        <f>IF($L74="","",SUMIF($X$2:$X$151,$X74,$W$2:$W$151))</f>
        <v/>
      </c>
    </row>
    <row r="75">
      <c r="A75" t="n">
        <v>74</v>
      </c>
      <c r="B75">
        <f>IFERROR(MATCH($A75,HISTORICO!$Y$3:$Y$2002,0),"")</f>
        <v/>
      </c>
      <c r="C75">
        <f>IF($B75="","",INDEX(HISTORICO!$A$3:$A$2002,$B75))</f>
        <v/>
      </c>
      <c r="D75">
        <f>IF($B75="","",INDEX(HISTORICO!$C$3:$C$2002,$B75))</f>
        <v/>
      </c>
      <c r="E75">
        <f>IF($B75="","",INDEX(HISTORICO!$F$3:$F$2002,$B75))</f>
        <v/>
      </c>
      <c r="F75">
        <f>IF($B75="","",INDEX(HISTORICO!$G$3:$G$2002,$B75))</f>
        <v/>
      </c>
      <c r="G75">
        <f>IF($B75="","",INDEX(HISTORICO!$E$3:$E$2002,$B75))</f>
        <v/>
      </c>
      <c r="H75">
        <f>IF($B75="","",INDEX(HISTORICO!$H$3:$H$2002,$B75))</f>
        <v/>
      </c>
      <c r="I75">
        <f>IF($B75="","",INDEX(HISTORICO!$D$3:$D$2002,$B75))</f>
        <v/>
      </c>
      <c r="J75">
        <f>IF($B75="","",INDEX(HISTORICO!$B$3:$B$2002,$B75))</f>
        <v/>
      </c>
      <c r="K75">
        <f>IF($B75="","",INDEX(HISTORICO!$U$3:$U$2002,$B75))</f>
        <v/>
      </c>
      <c r="L75">
        <f>IF($B75="","",INDEX(HISTORICO!$I$3:$I$2002,$B75))</f>
        <v/>
      </c>
      <c r="M75">
        <f>IF($B75="","",INDEX(HISTORICO!$J$3:$J$2002,$B75))</f>
        <v/>
      </c>
      <c r="N75">
        <f>IF($B75="","",INDEX(HISTORICO!$K$3:$K$2002,$B75))</f>
        <v/>
      </c>
      <c r="O75">
        <f>IF($B75="","",INDEX(HISTORICO!$L$3:$L$2002,$B75))</f>
        <v/>
      </c>
      <c r="P75">
        <f>IF($B75="","",INDEX(HISTORICO!$M$3:$M$2002,$B75))</f>
        <v/>
      </c>
      <c r="Q75">
        <f>IF($B75="","",INDEX(HISTORICO!$N$3:$N$2002,$B75))</f>
        <v/>
      </c>
      <c r="R75">
        <f>IF($B75="","",INDEX(HISTORICO!$Q$3:$Q$2002,$B75))</f>
        <v/>
      </c>
      <c r="S75">
        <f>IF($B75="","",INDEX(HISTORICO!$P$3:$P$2002,$B75))</f>
        <v/>
      </c>
      <c r="T75">
        <f>IF($B75="","",INDEX(HISTORICO!$O$3:$O$2002,$B75))</f>
        <v/>
      </c>
      <c r="U75">
        <f>IF($B75="","",INDEX(HISTORICO!$R$3:$R$2002,$B75))</f>
        <v/>
      </c>
      <c r="V75">
        <f>IF($B75="","",INDEX(HISTORICO!$S$3:$S$2002,$B75))</f>
        <v/>
      </c>
      <c r="W75">
        <f>IF($B75="","",INDEX(HISTORICO!$T$3:$T$2002,$B75))</f>
        <v/>
      </c>
      <c r="X75">
        <f>IF($B75="","",INDEX(HISTORICO!$X$3:$X$2002,$B75))</f>
        <v/>
      </c>
      <c r="Y75">
        <f>IF($L75="","",IFERROR(INDEX(CONFIGURACOES!$C$37:$C$300,MATCH($L75,CONFIGURACOES!$B$37:$B$300,0)),""))</f>
        <v/>
      </c>
      <c r="Z75">
        <f>IF($L75="","",IFERROR(INDEX(CONFIGURACOES!$D$37:$D$300,MATCH($L75,CONFIGURACOES!$B$37:$B$300,0)),""))</f>
        <v/>
      </c>
      <c r="AA75">
        <f>IF($L75="","",IFERROR(INDEX(CONFIGURACOES!$E$37:$E$300,MATCH($L75,CONFIGURACOES!$B$37:$B$300,0)),""))</f>
        <v/>
      </c>
      <c r="AB75">
        <f>IF($L75="","",IFERROR(INDEX(CONFIGURACOES!$F$37:$F$300,MATCH($L75,CONFIGURACOES!$B$37:$B$300,0)),""))</f>
        <v/>
      </c>
      <c r="AC75">
        <f>IF($L75="","",IF($X75&lt;&gt;$X74,$AC74+1,$AC74))</f>
        <v/>
      </c>
      <c r="AD75">
        <f>IF($L75="","",IF($X75&lt;&gt;$X74,1,$AD74+1))</f>
        <v/>
      </c>
      <c r="AE75">
        <f>IF($L75="","",$AC75*10+$AD75)</f>
        <v/>
      </c>
      <c r="AF75">
        <f>IF($L75="","",SUMIF($X$2:$X$151,$X75,$U$2:$U$151))</f>
        <v/>
      </c>
      <c r="AG75">
        <f>IF($L75="","",SUMIF($X$2:$X$151,$X75,$W$2:$W$151))</f>
        <v/>
      </c>
    </row>
    <row r="76">
      <c r="A76" t="n">
        <v>75</v>
      </c>
      <c r="B76">
        <f>IFERROR(MATCH($A76,HISTORICO!$Y$3:$Y$2002,0),"")</f>
        <v/>
      </c>
      <c r="C76">
        <f>IF($B76="","",INDEX(HISTORICO!$A$3:$A$2002,$B76))</f>
        <v/>
      </c>
      <c r="D76">
        <f>IF($B76="","",INDEX(HISTORICO!$C$3:$C$2002,$B76))</f>
        <v/>
      </c>
      <c r="E76">
        <f>IF($B76="","",INDEX(HISTORICO!$F$3:$F$2002,$B76))</f>
        <v/>
      </c>
      <c r="F76">
        <f>IF($B76="","",INDEX(HISTORICO!$G$3:$G$2002,$B76))</f>
        <v/>
      </c>
      <c r="G76">
        <f>IF($B76="","",INDEX(HISTORICO!$E$3:$E$2002,$B76))</f>
        <v/>
      </c>
      <c r="H76">
        <f>IF($B76="","",INDEX(HISTORICO!$H$3:$H$2002,$B76))</f>
        <v/>
      </c>
      <c r="I76">
        <f>IF($B76="","",INDEX(HISTORICO!$D$3:$D$2002,$B76))</f>
        <v/>
      </c>
      <c r="J76">
        <f>IF($B76="","",INDEX(HISTORICO!$B$3:$B$2002,$B76))</f>
        <v/>
      </c>
      <c r="K76">
        <f>IF($B76="","",INDEX(HISTORICO!$U$3:$U$2002,$B76))</f>
        <v/>
      </c>
      <c r="L76">
        <f>IF($B76="","",INDEX(HISTORICO!$I$3:$I$2002,$B76))</f>
        <v/>
      </c>
      <c r="M76">
        <f>IF($B76="","",INDEX(HISTORICO!$J$3:$J$2002,$B76))</f>
        <v/>
      </c>
      <c r="N76">
        <f>IF($B76="","",INDEX(HISTORICO!$K$3:$K$2002,$B76))</f>
        <v/>
      </c>
      <c r="O76">
        <f>IF($B76="","",INDEX(HISTORICO!$L$3:$L$2002,$B76))</f>
        <v/>
      </c>
      <c r="P76">
        <f>IF($B76="","",INDEX(HISTORICO!$M$3:$M$2002,$B76))</f>
        <v/>
      </c>
      <c r="Q76">
        <f>IF($B76="","",INDEX(HISTORICO!$N$3:$N$2002,$B76))</f>
        <v/>
      </c>
      <c r="R76">
        <f>IF($B76="","",INDEX(HISTORICO!$Q$3:$Q$2002,$B76))</f>
        <v/>
      </c>
      <c r="S76">
        <f>IF($B76="","",INDEX(HISTORICO!$P$3:$P$2002,$B76))</f>
        <v/>
      </c>
      <c r="T76">
        <f>IF($B76="","",INDEX(HISTORICO!$O$3:$O$2002,$B76))</f>
        <v/>
      </c>
      <c r="U76">
        <f>IF($B76="","",INDEX(HISTORICO!$R$3:$R$2002,$B76))</f>
        <v/>
      </c>
      <c r="V76">
        <f>IF($B76="","",INDEX(HISTORICO!$S$3:$S$2002,$B76))</f>
        <v/>
      </c>
      <c r="W76">
        <f>IF($B76="","",INDEX(HISTORICO!$T$3:$T$2002,$B76))</f>
        <v/>
      </c>
      <c r="X76">
        <f>IF($B76="","",INDEX(HISTORICO!$X$3:$X$2002,$B76))</f>
        <v/>
      </c>
      <c r="Y76">
        <f>IF($L76="","",IFERROR(INDEX(CONFIGURACOES!$C$37:$C$300,MATCH($L76,CONFIGURACOES!$B$37:$B$300,0)),""))</f>
        <v/>
      </c>
      <c r="Z76">
        <f>IF($L76="","",IFERROR(INDEX(CONFIGURACOES!$D$37:$D$300,MATCH($L76,CONFIGURACOES!$B$37:$B$300,0)),""))</f>
        <v/>
      </c>
      <c r="AA76">
        <f>IF($L76="","",IFERROR(INDEX(CONFIGURACOES!$E$37:$E$300,MATCH($L76,CONFIGURACOES!$B$37:$B$300,0)),""))</f>
        <v/>
      </c>
      <c r="AB76">
        <f>IF($L76="","",IFERROR(INDEX(CONFIGURACOES!$F$37:$F$300,MATCH($L76,CONFIGURACOES!$B$37:$B$300,0)),""))</f>
        <v/>
      </c>
      <c r="AC76">
        <f>IF($L76="","",IF($X76&lt;&gt;$X75,$AC75+1,$AC75))</f>
        <v/>
      </c>
      <c r="AD76">
        <f>IF($L76="","",IF($X76&lt;&gt;$X75,1,$AD75+1))</f>
        <v/>
      </c>
      <c r="AE76">
        <f>IF($L76="","",$AC76*10+$AD76)</f>
        <v/>
      </c>
      <c r="AF76">
        <f>IF($L76="","",SUMIF($X$2:$X$151,$X76,$U$2:$U$151))</f>
        <v/>
      </c>
      <c r="AG76">
        <f>IF($L76="","",SUMIF($X$2:$X$151,$X76,$W$2:$W$151))</f>
        <v/>
      </c>
    </row>
    <row r="77">
      <c r="A77" t="n">
        <v>76</v>
      </c>
      <c r="B77">
        <f>IFERROR(MATCH($A77,HISTORICO!$Y$3:$Y$2002,0),"")</f>
        <v/>
      </c>
      <c r="C77">
        <f>IF($B77="","",INDEX(HISTORICO!$A$3:$A$2002,$B77))</f>
        <v/>
      </c>
      <c r="D77">
        <f>IF($B77="","",INDEX(HISTORICO!$C$3:$C$2002,$B77))</f>
        <v/>
      </c>
      <c r="E77">
        <f>IF($B77="","",INDEX(HISTORICO!$F$3:$F$2002,$B77))</f>
        <v/>
      </c>
      <c r="F77">
        <f>IF($B77="","",INDEX(HISTORICO!$G$3:$G$2002,$B77))</f>
        <v/>
      </c>
      <c r="G77">
        <f>IF($B77="","",INDEX(HISTORICO!$E$3:$E$2002,$B77))</f>
        <v/>
      </c>
      <c r="H77">
        <f>IF($B77="","",INDEX(HISTORICO!$H$3:$H$2002,$B77))</f>
        <v/>
      </c>
      <c r="I77">
        <f>IF($B77="","",INDEX(HISTORICO!$D$3:$D$2002,$B77))</f>
        <v/>
      </c>
      <c r="J77">
        <f>IF($B77="","",INDEX(HISTORICO!$B$3:$B$2002,$B77))</f>
        <v/>
      </c>
      <c r="K77">
        <f>IF($B77="","",INDEX(HISTORICO!$U$3:$U$2002,$B77))</f>
        <v/>
      </c>
      <c r="L77">
        <f>IF($B77="","",INDEX(HISTORICO!$I$3:$I$2002,$B77))</f>
        <v/>
      </c>
      <c r="M77">
        <f>IF($B77="","",INDEX(HISTORICO!$J$3:$J$2002,$B77))</f>
        <v/>
      </c>
      <c r="N77">
        <f>IF($B77="","",INDEX(HISTORICO!$K$3:$K$2002,$B77))</f>
        <v/>
      </c>
      <c r="O77">
        <f>IF($B77="","",INDEX(HISTORICO!$L$3:$L$2002,$B77))</f>
        <v/>
      </c>
      <c r="P77">
        <f>IF($B77="","",INDEX(HISTORICO!$M$3:$M$2002,$B77))</f>
        <v/>
      </c>
      <c r="Q77">
        <f>IF($B77="","",INDEX(HISTORICO!$N$3:$N$2002,$B77))</f>
        <v/>
      </c>
      <c r="R77">
        <f>IF($B77="","",INDEX(HISTORICO!$Q$3:$Q$2002,$B77))</f>
        <v/>
      </c>
      <c r="S77">
        <f>IF($B77="","",INDEX(HISTORICO!$P$3:$P$2002,$B77))</f>
        <v/>
      </c>
      <c r="T77">
        <f>IF($B77="","",INDEX(HISTORICO!$O$3:$O$2002,$B77))</f>
        <v/>
      </c>
      <c r="U77">
        <f>IF($B77="","",INDEX(HISTORICO!$R$3:$R$2002,$B77))</f>
        <v/>
      </c>
      <c r="V77">
        <f>IF($B77="","",INDEX(HISTORICO!$S$3:$S$2002,$B77))</f>
        <v/>
      </c>
      <c r="W77">
        <f>IF($B77="","",INDEX(HISTORICO!$T$3:$T$2002,$B77))</f>
        <v/>
      </c>
      <c r="X77">
        <f>IF($B77="","",INDEX(HISTORICO!$X$3:$X$2002,$B77))</f>
        <v/>
      </c>
      <c r="Y77">
        <f>IF($L77="","",IFERROR(INDEX(CONFIGURACOES!$C$37:$C$300,MATCH($L77,CONFIGURACOES!$B$37:$B$300,0)),""))</f>
        <v/>
      </c>
      <c r="Z77">
        <f>IF($L77="","",IFERROR(INDEX(CONFIGURACOES!$D$37:$D$300,MATCH($L77,CONFIGURACOES!$B$37:$B$300,0)),""))</f>
        <v/>
      </c>
      <c r="AA77">
        <f>IF($L77="","",IFERROR(INDEX(CONFIGURACOES!$E$37:$E$300,MATCH($L77,CONFIGURACOES!$B$37:$B$300,0)),""))</f>
        <v/>
      </c>
      <c r="AB77">
        <f>IF($L77="","",IFERROR(INDEX(CONFIGURACOES!$F$37:$F$300,MATCH($L77,CONFIGURACOES!$B$37:$B$300,0)),""))</f>
        <v/>
      </c>
      <c r="AC77">
        <f>IF($L77="","",IF($X77&lt;&gt;$X76,$AC76+1,$AC76))</f>
        <v/>
      </c>
      <c r="AD77">
        <f>IF($L77="","",IF($X77&lt;&gt;$X76,1,$AD76+1))</f>
        <v/>
      </c>
      <c r="AE77">
        <f>IF($L77="","",$AC77*10+$AD77)</f>
        <v/>
      </c>
      <c r="AF77">
        <f>IF($L77="","",SUMIF($X$2:$X$151,$X77,$U$2:$U$151))</f>
        <v/>
      </c>
      <c r="AG77">
        <f>IF($L77="","",SUMIF($X$2:$X$151,$X77,$W$2:$W$151))</f>
        <v/>
      </c>
    </row>
    <row r="78">
      <c r="A78" t="n">
        <v>77</v>
      </c>
      <c r="B78">
        <f>IFERROR(MATCH($A78,HISTORICO!$Y$3:$Y$2002,0),"")</f>
        <v/>
      </c>
      <c r="C78">
        <f>IF($B78="","",INDEX(HISTORICO!$A$3:$A$2002,$B78))</f>
        <v/>
      </c>
      <c r="D78">
        <f>IF($B78="","",INDEX(HISTORICO!$C$3:$C$2002,$B78))</f>
        <v/>
      </c>
      <c r="E78">
        <f>IF($B78="","",INDEX(HISTORICO!$F$3:$F$2002,$B78))</f>
        <v/>
      </c>
      <c r="F78">
        <f>IF($B78="","",INDEX(HISTORICO!$G$3:$G$2002,$B78))</f>
        <v/>
      </c>
      <c r="G78">
        <f>IF($B78="","",INDEX(HISTORICO!$E$3:$E$2002,$B78))</f>
        <v/>
      </c>
      <c r="H78">
        <f>IF($B78="","",INDEX(HISTORICO!$H$3:$H$2002,$B78))</f>
        <v/>
      </c>
      <c r="I78">
        <f>IF($B78="","",INDEX(HISTORICO!$D$3:$D$2002,$B78))</f>
        <v/>
      </c>
      <c r="J78">
        <f>IF($B78="","",INDEX(HISTORICO!$B$3:$B$2002,$B78))</f>
        <v/>
      </c>
      <c r="K78">
        <f>IF($B78="","",INDEX(HISTORICO!$U$3:$U$2002,$B78))</f>
        <v/>
      </c>
      <c r="L78">
        <f>IF($B78="","",INDEX(HISTORICO!$I$3:$I$2002,$B78))</f>
        <v/>
      </c>
      <c r="M78">
        <f>IF($B78="","",INDEX(HISTORICO!$J$3:$J$2002,$B78))</f>
        <v/>
      </c>
      <c r="N78">
        <f>IF($B78="","",INDEX(HISTORICO!$K$3:$K$2002,$B78))</f>
        <v/>
      </c>
      <c r="O78">
        <f>IF($B78="","",INDEX(HISTORICO!$L$3:$L$2002,$B78))</f>
        <v/>
      </c>
      <c r="P78">
        <f>IF($B78="","",INDEX(HISTORICO!$M$3:$M$2002,$B78))</f>
        <v/>
      </c>
      <c r="Q78">
        <f>IF($B78="","",INDEX(HISTORICO!$N$3:$N$2002,$B78))</f>
        <v/>
      </c>
      <c r="R78">
        <f>IF($B78="","",INDEX(HISTORICO!$Q$3:$Q$2002,$B78))</f>
        <v/>
      </c>
      <c r="S78">
        <f>IF($B78="","",INDEX(HISTORICO!$P$3:$P$2002,$B78))</f>
        <v/>
      </c>
      <c r="T78">
        <f>IF($B78="","",INDEX(HISTORICO!$O$3:$O$2002,$B78))</f>
        <v/>
      </c>
      <c r="U78">
        <f>IF($B78="","",INDEX(HISTORICO!$R$3:$R$2002,$B78))</f>
        <v/>
      </c>
      <c r="V78">
        <f>IF($B78="","",INDEX(HISTORICO!$S$3:$S$2002,$B78))</f>
        <v/>
      </c>
      <c r="W78">
        <f>IF($B78="","",INDEX(HISTORICO!$T$3:$T$2002,$B78))</f>
        <v/>
      </c>
      <c r="X78">
        <f>IF($B78="","",INDEX(HISTORICO!$X$3:$X$2002,$B78))</f>
        <v/>
      </c>
      <c r="Y78">
        <f>IF($L78="","",IFERROR(INDEX(CONFIGURACOES!$C$37:$C$300,MATCH($L78,CONFIGURACOES!$B$37:$B$300,0)),""))</f>
        <v/>
      </c>
      <c r="Z78">
        <f>IF($L78="","",IFERROR(INDEX(CONFIGURACOES!$D$37:$D$300,MATCH($L78,CONFIGURACOES!$B$37:$B$300,0)),""))</f>
        <v/>
      </c>
      <c r="AA78">
        <f>IF($L78="","",IFERROR(INDEX(CONFIGURACOES!$E$37:$E$300,MATCH($L78,CONFIGURACOES!$B$37:$B$300,0)),""))</f>
        <v/>
      </c>
      <c r="AB78">
        <f>IF($L78="","",IFERROR(INDEX(CONFIGURACOES!$F$37:$F$300,MATCH($L78,CONFIGURACOES!$B$37:$B$300,0)),""))</f>
        <v/>
      </c>
      <c r="AC78">
        <f>IF($L78="","",IF($X78&lt;&gt;$X77,$AC77+1,$AC77))</f>
        <v/>
      </c>
      <c r="AD78">
        <f>IF($L78="","",IF($X78&lt;&gt;$X77,1,$AD77+1))</f>
        <v/>
      </c>
      <c r="AE78">
        <f>IF($L78="","",$AC78*10+$AD78)</f>
        <v/>
      </c>
      <c r="AF78">
        <f>IF($L78="","",SUMIF($X$2:$X$151,$X78,$U$2:$U$151))</f>
        <v/>
      </c>
      <c r="AG78">
        <f>IF($L78="","",SUMIF($X$2:$X$151,$X78,$W$2:$W$151))</f>
        <v/>
      </c>
    </row>
    <row r="79">
      <c r="A79" t="n">
        <v>78</v>
      </c>
      <c r="B79">
        <f>IFERROR(MATCH($A79,HISTORICO!$Y$3:$Y$2002,0),"")</f>
        <v/>
      </c>
      <c r="C79">
        <f>IF($B79="","",INDEX(HISTORICO!$A$3:$A$2002,$B79))</f>
        <v/>
      </c>
      <c r="D79">
        <f>IF($B79="","",INDEX(HISTORICO!$C$3:$C$2002,$B79))</f>
        <v/>
      </c>
      <c r="E79">
        <f>IF($B79="","",INDEX(HISTORICO!$F$3:$F$2002,$B79))</f>
        <v/>
      </c>
      <c r="F79">
        <f>IF($B79="","",INDEX(HISTORICO!$G$3:$G$2002,$B79))</f>
        <v/>
      </c>
      <c r="G79">
        <f>IF($B79="","",INDEX(HISTORICO!$E$3:$E$2002,$B79))</f>
        <v/>
      </c>
      <c r="H79">
        <f>IF($B79="","",INDEX(HISTORICO!$H$3:$H$2002,$B79))</f>
        <v/>
      </c>
      <c r="I79">
        <f>IF($B79="","",INDEX(HISTORICO!$D$3:$D$2002,$B79))</f>
        <v/>
      </c>
      <c r="J79">
        <f>IF($B79="","",INDEX(HISTORICO!$B$3:$B$2002,$B79))</f>
        <v/>
      </c>
      <c r="K79">
        <f>IF($B79="","",INDEX(HISTORICO!$U$3:$U$2002,$B79))</f>
        <v/>
      </c>
      <c r="L79">
        <f>IF($B79="","",INDEX(HISTORICO!$I$3:$I$2002,$B79))</f>
        <v/>
      </c>
      <c r="M79">
        <f>IF($B79="","",INDEX(HISTORICO!$J$3:$J$2002,$B79))</f>
        <v/>
      </c>
      <c r="N79">
        <f>IF($B79="","",INDEX(HISTORICO!$K$3:$K$2002,$B79))</f>
        <v/>
      </c>
      <c r="O79">
        <f>IF($B79="","",INDEX(HISTORICO!$L$3:$L$2002,$B79))</f>
        <v/>
      </c>
      <c r="P79">
        <f>IF($B79="","",INDEX(HISTORICO!$M$3:$M$2002,$B79))</f>
        <v/>
      </c>
      <c r="Q79">
        <f>IF($B79="","",INDEX(HISTORICO!$N$3:$N$2002,$B79))</f>
        <v/>
      </c>
      <c r="R79">
        <f>IF($B79="","",INDEX(HISTORICO!$Q$3:$Q$2002,$B79))</f>
        <v/>
      </c>
      <c r="S79">
        <f>IF($B79="","",INDEX(HISTORICO!$P$3:$P$2002,$B79))</f>
        <v/>
      </c>
      <c r="T79">
        <f>IF($B79="","",INDEX(HISTORICO!$O$3:$O$2002,$B79))</f>
        <v/>
      </c>
      <c r="U79">
        <f>IF($B79="","",INDEX(HISTORICO!$R$3:$R$2002,$B79))</f>
        <v/>
      </c>
      <c r="V79">
        <f>IF($B79="","",INDEX(HISTORICO!$S$3:$S$2002,$B79))</f>
        <v/>
      </c>
      <c r="W79">
        <f>IF($B79="","",INDEX(HISTORICO!$T$3:$T$2002,$B79))</f>
        <v/>
      </c>
      <c r="X79">
        <f>IF($B79="","",INDEX(HISTORICO!$X$3:$X$2002,$B79))</f>
        <v/>
      </c>
      <c r="Y79">
        <f>IF($L79="","",IFERROR(INDEX(CONFIGURACOES!$C$37:$C$300,MATCH($L79,CONFIGURACOES!$B$37:$B$300,0)),""))</f>
        <v/>
      </c>
      <c r="Z79">
        <f>IF($L79="","",IFERROR(INDEX(CONFIGURACOES!$D$37:$D$300,MATCH($L79,CONFIGURACOES!$B$37:$B$300,0)),""))</f>
        <v/>
      </c>
      <c r="AA79">
        <f>IF($L79="","",IFERROR(INDEX(CONFIGURACOES!$E$37:$E$300,MATCH($L79,CONFIGURACOES!$B$37:$B$300,0)),""))</f>
        <v/>
      </c>
      <c r="AB79">
        <f>IF($L79="","",IFERROR(INDEX(CONFIGURACOES!$F$37:$F$300,MATCH($L79,CONFIGURACOES!$B$37:$B$300,0)),""))</f>
        <v/>
      </c>
      <c r="AC79">
        <f>IF($L79="","",IF($X79&lt;&gt;$X78,$AC78+1,$AC78))</f>
        <v/>
      </c>
      <c r="AD79">
        <f>IF($L79="","",IF($X79&lt;&gt;$X78,1,$AD78+1))</f>
        <v/>
      </c>
      <c r="AE79">
        <f>IF($L79="","",$AC79*10+$AD79)</f>
        <v/>
      </c>
      <c r="AF79">
        <f>IF($L79="","",SUMIF($X$2:$X$151,$X79,$U$2:$U$151))</f>
        <v/>
      </c>
      <c r="AG79">
        <f>IF($L79="","",SUMIF($X$2:$X$151,$X79,$W$2:$W$151))</f>
        <v/>
      </c>
    </row>
    <row r="80">
      <c r="A80" t="n">
        <v>79</v>
      </c>
      <c r="B80">
        <f>IFERROR(MATCH($A80,HISTORICO!$Y$3:$Y$2002,0),"")</f>
        <v/>
      </c>
      <c r="C80">
        <f>IF($B80="","",INDEX(HISTORICO!$A$3:$A$2002,$B80))</f>
        <v/>
      </c>
      <c r="D80">
        <f>IF($B80="","",INDEX(HISTORICO!$C$3:$C$2002,$B80))</f>
        <v/>
      </c>
      <c r="E80">
        <f>IF($B80="","",INDEX(HISTORICO!$F$3:$F$2002,$B80))</f>
        <v/>
      </c>
      <c r="F80">
        <f>IF($B80="","",INDEX(HISTORICO!$G$3:$G$2002,$B80))</f>
        <v/>
      </c>
      <c r="G80">
        <f>IF($B80="","",INDEX(HISTORICO!$E$3:$E$2002,$B80))</f>
        <v/>
      </c>
      <c r="H80">
        <f>IF($B80="","",INDEX(HISTORICO!$H$3:$H$2002,$B80))</f>
        <v/>
      </c>
      <c r="I80">
        <f>IF($B80="","",INDEX(HISTORICO!$D$3:$D$2002,$B80))</f>
        <v/>
      </c>
      <c r="J80">
        <f>IF($B80="","",INDEX(HISTORICO!$B$3:$B$2002,$B80))</f>
        <v/>
      </c>
      <c r="K80">
        <f>IF($B80="","",INDEX(HISTORICO!$U$3:$U$2002,$B80))</f>
        <v/>
      </c>
      <c r="L80">
        <f>IF($B80="","",INDEX(HISTORICO!$I$3:$I$2002,$B80))</f>
        <v/>
      </c>
      <c r="M80">
        <f>IF($B80="","",INDEX(HISTORICO!$J$3:$J$2002,$B80))</f>
        <v/>
      </c>
      <c r="N80">
        <f>IF($B80="","",INDEX(HISTORICO!$K$3:$K$2002,$B80))</f>
        <v/>
      </c>
      <c r="O80">
        <f>IF($B80="","",INDEX(HISTORICO!$L$3:$L$2002,$B80))</f>
        <v/>
      </c>
      <c r="P80">
        <f>IF($B80="","",INDEX(HISTORICO!$M$3:$M$2002,$B80))</f>
        <v/>
      </c>
      <c r="Q80">
        <f>IF($B80="","",INDEX(HISTORICO!$N$3:$N$2002,$B80))</f>
        <v/>
      </c>
      <c r="R80">
        <f>IF($B80="","",INDEX(HISTORICO!$Q$3:$Q$2002,$B80))</f>
        <v/>
      </c>
      <c r="S80">
        <f>IF($B80="","",INDEX(HISTORICO!$P$3:$P$2002,$B80))</f>
        <v/>
      </c>
      <c r="T80">
        <f>IF($B80="","",INDEX(HISTORICO!$O$3:$O$2002,$B80))</f>
        <v/>
      </c>
      <c r="U80">
        <f>IF($B80="","",INDEX(HISTORICO!$R$3:$R$2002,$B80))</f>
        <v/>
      </c>
      <c r="V80">
        <f>IF($B80="","",INDEX(HISTORICO!$S$3:$S$2002,$B80))</f>
        <v/>
      </c>
      <c r="W80">
        <f>IF($B80="","",INDEX(HISTORICO!$T$3:$T$2002,$B80))</f>
        <v/>
      </c>
      <c r="X80">
        <f>IF($B80="","",INDEX(HISTORICO!$X$3:$X$2002,$B80))</f>
        <v/>
      </c>
      <c r="Y80">
        <f>IF($L80="","",IFERROR(INDEX(CONFIGURACOES!$C$37:$C$300,MATCH($L80,CONFIGURACOES!$B$37:$B$300,0)),""))</f>
        <v/>
      </c>
      <c r="Z80">
        <f>IF($L80="","",IFERROR(INDEX(CONFIGURACOES!$D$37:$D$300,MATCH($L80,CONFIGURACOES!$B$37:$B$300,0)),""))</f>
        <v/>
      </c>
      <c r="AA80">
        <f>IF($L80="","",IFERROR(INDEX(CONFIGURACOES!$E$37:$E$300,MATCH($L80,CONFIGURACOES!$B$37:$B$300,0)),""))</f>
        <v/>
      </c>
      <c r="AB80">
        <f>IF($L80="","",IFERROR(INDEX(CONFIGURACOES!$F$37:$F$300,MATCH($L80,CONFIGURACOES!$B$37:$B$300,0)),""))</f>
        <v/>
      </c>
      <c r="AC80">
        <f>IF($L80="","",IF($X80&lt;&gt;$X79,$AC79+1,$AC79))</f>
        <v/>
      </c>
      <c r="AD80">
        <f>IF($L80="","",IF($X80&lt;&gt;$X79,1,$AD79+1))</f>
        <v/>
      </c>
      <c r="AE80">
        <f>IF($L80="","",$AC80*10+$AD80)</f>
        <v/>
      </c>
      <c r="AF80">
        <f>IF($L80="","",SUMIF($X$2:$X$151,$X80,$U$2:$U$151))</f>
        <v/>
      </c>
      <c r="AG80">
        <f>IF($L80="","",SUMIF($X$2:$X$151,$X80,$W$2:$W$151))</f>
        <v/>
      </c>
    </row>
    <row r="81">
      <c r="A81" t="n">
        <v>80</v>
      </c>
      <c r="B81">
        <f>IFERROR(MATCH($A81,HISTORICO!$Y$3:$Y$2002,0),"")</f>
        <v/>
      </c>
      <c r="C81">
        <f>IF($B81="","",INDEX(HISTORICO!$A$3:$A$2002,$B81))</f>
        <v/>
      </c>
      <c r="D81">
        <f>IF($B81="","",INDEX(HISTORICO!$C$3:$C$2002,$B81))</f>
        <v/>
      </c>
      <c r="E81">
        <f>IF($B81="","",INDEX(HISTORICO!$F$3:$F$2002,$B81))</f>
        <v/>
      </c>
      <c r="F81">
        <f>IF($B81="","",INDEX(HISTORICO!$G$3:$G$2002,$B81))</f>
        <v/>
      </c>
      <c r="G81">
        <f>IF($B81="","",INDEX(HISTORICO!$E$3:$E$2002,$B81))</f>
        <v/>
      </c>
      <c r="H81">
        <f>IF($B81="","",INDEX(HISTORICO!$H$3:$H$2002,$B81))</f>
        <v/>
      </c>
      <c r="I81">
        <f>IF($B81="","",INDEX(HISTORICO!$D$3:$D$2002,$B81))</f>
        <v/>
      </c>
      <c r="J81">
        <f>IF($B81="","",INDEX(HISTORICO!$B$3:$B$2002,$B81))</f>
        <v/>
      </c>
      <c r="K81">
        <f>IF($B81="","",INDEX(HISTORICO!$U$3:$U$2002,$B81))</f>
        <v/>
      </c>
      <c r="L81">
        <f>IF($B81="","",INDEX(HISTORICO!$I$3:$I$2002,$B81))</f>
        <v/>
      </c>
      <c r="M81">
        <f>IF($B81="","",INDEX(HISTORICO!$J$3:$J$2002,$B81))</f>
        <v/>
      </c>
      <c r="N81">
        <f>IF($B81="","",INDEX(HISTORICO!$K$3:$K$2002,$B81))</f>
        <v/>
      </c>
      <c r="O81">
        <f>IF($B81="","",INDEX(HISTORICO!$L$3:$L$2002,$B81))</f>
        <v/>
      </c>
      <c r="P81">
        <f>IF($B81="","",INDEX(HISTORICO!$M$3:$M$2002,$B81))</f>
        <v/>
      </c>
      <c r="Q81">
        <f>IF($B81="","",INDEX(HISTORICO!$N$3:$N$2002,$B81))</f>
        <v/>
      </c>
      <c r="R81">
        <f>IF($B81="","",INDEX(HISTORICO!$Q$3:$Q$2002,$B81))</f>
        <v/>
      </c>
      <c r="S81">
        <f>IF($B81="","",INDEX(HISTORICO!$P$3:$P$2002,$B81))</f>
        <v/>
      </c>
      <c r="T81">
        <f>IF($B81="","",INDEX(HISTORICO!$O$3:$O$2002,$B81))</f>
        <v/>
      </c>
      <c r="U81">
        <f>IF($B81="","",INDEX(HISTORICO!$R$3:$R$2002,$B81))</f>
        <v/>
      </c>
      <c r="V81">
        <f>IF($B81="","",INDEX(HISTORICO!$S$3:$S$2002,$B81))</f>
        <v/>
      </c>
      <c r="W81">
        <f>IF($B81="","",INDEX(HISTORICO!$T$3:$T$2002,$B81))</f>
        <v/>
      </c>
      <c r="X81">
        <f>IF($B81="","",INDEX(HISTORICO!$X$3:$X$2002,$B81))</f>
        <v/>
      </c>
      <c r="Y81">
        <f>IF($L81="","",IFERROR(INDEX(CONFIGURACOES!$C$37:$C$300,MATCH($L81,CONFIGURACOES!$B$37:$B$300,0)),""))</f>
        <v/>
      </c>
      <c r="Z81">
        <f>IF($L81="","",IFERROR(INDEX(CONFIGURACOES!$D$37:$D$300,MATCH($L81,CONFIGURACOES!$B$37:$B$300,0)),""))</f>
        <v/>
      </c>
      <c r="AA81">
        <f>IF($L81="","",IFERROR(INDEX(CONFIGURACOES!$E$37:$E$300,MATCH($L81,CONFIGURACOES!$B$37:$B$300,0)),""))</f>
        <v/>
      </c>
      <c r="AB81">
        <f>IF($L81="","",IFERROR(INDEX(CONFIGURACOES!$F$37:$F$300,MATCH($L81,CONFIGURACOES!$B$37:$B$300,0)),""))</f>
        <v/>
      </c>
      <c r="AC81">
        <f>IF($L81="","",IF($X81&lt;&gt;$X80,$AC80+1,$AC80))</f>
        <v/>
      </c>
      <c r="AD81">
        <f>IF($L81="","",IF($X81&lt;&gt;$X80,1,$AD80+1))</f>
        <v/>
      </c>
      <c r="AE81">
        <f>IF($L81="","",$AC81*10+$AD81)</f>
        <v/>
      </c>
      <c r="AF81">
        <f>IF($L81="","",SUMIF($X$2:$X$151,$X81,$U$2:$U$151))</f>
        <v/>
      </c>
      <c r="AG81">
        <f>IF($L81="","",SUMIF($X$2:$X$151,$X81,$W$2:$W$151))</f>
        <v/>
      </c>
    </row>
    <row r="82">
      <c r="A82" t="n">
        <v>81</v>
      </c>
      <c r="B82">
        <f>IFERROR(MATCH($A82,HISTORICO!$Y$3:$Y$2002,0),"")</f>
        <v/>
      </c>
      <c r="C82">
        <f>IF($B82="","",INDEX(HISTORICO!$A$3:$A$2002,$B82))</f>
        <v/>
      </c>
      <c r="D82">
        <f>IF($B82="","",INDEX(HISTORICO!$C$3:$C$2002,$B82))</f>
        <v/>
      </c>
      <c r="E82">
        <f>IF($B82="","",INDEX(HISTORICO!$F$3:$F$2002,$B82))</f>
        <v/>
      </c>
      <c r="F82">
        <f>IF($B82="","",INDEX(HISTORICO!$G$3:$G$2002,$B82))</f>
        <v/>
      </c>
      <c r="G82">
        <f>IF($B82="","",INDEX(HISTORICO!$E$3:$E$2002,$B82))</f>
        <v/>
      </c>
      <c r="H82">
        <f>IF($B82="","",INDEX(HISTORICO!$H$3:$H$2002,$B82))</f>
        <v/>
      </c>
      <c r="I82">
        <f>IF($B82="","",INDEX(HISTORICO!$D$3:$D$2002,$B82))</f>
        <v/>
      </c>
      <c r="J82">
        <f>IF($B82="","",INDEX(HISTORICO!$B$3:$B$2002,$B82))</f>
        <v/>
      </c>
      <c r="K82">
        <f>IF($B82="","",INDEX(HISTORICO!$U$3:$U$2002,$B82))</f>
        <v/>
      </c>
      <c r="L82">
        <f>IF($B82="","",INDEX(HISTORICO!$I$3:$I$2002,$B82))</f>
        <v/>
      </c>
      <c r="M82">
        <f>IF($B82="","",INDEX(HISTORICO!$J$3:$J$2002,$B82))</f>
        <v/>
      </c>
      <c r="N82">
        <f>IF($B82="","",INDEX(HISTORICO!$K$3:$K$2002,$B82))</f>
        <v/>
      </c>
      <c r="O82">
        <f>IF($B82="","",INDEX(HISTORICO!$L$3:$L$2002,$B82))</f>
        <v/>
      </c>
      <c r="P82">
        <f>IF($B82="","",INDEX(HISTORICO!$M$3:$M$2002,$B82))</f>
        <v/>
      </c>
      <c r="Q82">
        <f>IF($B82="","",INDEX(HISTORICO!$N$3:$N$2002,$B82))</f>
        <v/>
      </c>
      <c r="R82">
        <f>IF($B82="","",INDEX(HISTORICO!$Q$3:$Q$2002,$B82))</f>
        <v/>
      </c>
      <c r="S82">
        <f>IF($B82="","",INDEX(HISTORICO!$P$3:$P$2002,$B82))</f>
        <v/>
      </c>
      <c r="T82">
        <f>IF($B82="","",INDEX(HISTORICO!$O$3:$O$2002,$B82))</f>
        <v/>
      </c>
      <c r="U82">
        <f>IF($B82="","",INDEX(HISTORICO!$R$3:$R$2002,$B82))</f>
        <v/>
      </c>
      <c r="V82">
        <f>IF($B82="","",INDEX(HISTORICO!$S$3:$S$2002,$B82))</f>
        <v/>
      </c>
      <c r="W82">
        <f>IF($B82="","",INDEX(HISTORICO!$T$3:$T$2002,$B82))</f>
        <v/>
      </c>
      <c r="X82">
        <f>IF($B82="","",INDEX(HISTORICO!$X$3:$X$2002,$B82))</f>
        <v/>
      </c>
      <c r="Y82">
        <f>IF($L82="","",IFERROR(INDEX(CONFIGURACOES!$C$37:$C$300,MATCH($L82,CONFIGURACOES!$B$37:$B$300,0)),""))</f>
        <v/>
      </c>
      <c r="Z82">
        <f>IF($L82="","",IFERROR(INDEX(CONFIGURACOES!$D$37:$D$300,MATCH($L82,CONFIGURACOES!$B$37:$B$300,0)),""))</f>
        <v/>
      </c>
      <c r="AA82">
        <f>IF($L82="","",IFERROR(INDEX(CONFIGURACOES!$E$37:$E$300,MATCH($L82,CONFIGURACOES!$B$37:$B$300,0)),""))</f>
        <v/>
      </c>
      <c r="AB82">
        <f>IF($L82="","",IFERROR(INDEX(CONFIGURACOES!$F$37:$F$300,MATCH($L82,CONFIGURACOES!$B$37:$B$300,0)),""))</f>
        <v/>
      </c>
      <c r="AC82">
        <f>IF($L82="","",IF($X82&lt;&gt;$X81,$AC81+1,$AC81))</f>
        <v/>
      </c>
      <c r="AD82">
        <f>IF($L82="","",IF($X82&lt;&gt;$X81,1,$AD81+1))</f>
        <v/>
      </c>
      <c r="AE82">
        <f>IF($L82="","",$AC82*10+$AD82)</f>
        <v/>
      </c>
      <c r="AF82">
        <f>IF($L82="","",SUMIF($X$2:$X$151,$X82,$U$2:$U$151))</f>
        <v/>
      </c>
      <c r="AG82">
        <f>IF($L82="","",SUMIF($X$2:$X$151,$X82,$W$2:$W$151))</f>
        <v/>
      </c>
    </row>
    <row r="83">
      <c r="A83" t="n">
        <v>82</v>
      </c>
      <c r="B83">
        <f>IFERROR(MATCH($A83,HISTORICO!$Y$3:$Y$2002,0),"")</f>
        <v/>
      </c>
      <c r="C83">
        <f>IF($B83="","",INDEX(HISTORICO!$A$3:$A$2002,$B83))</f>
        <v/>
      </c>
      <c r="D83">
        <f>IF($B83="","",INDEX(HISTORICO!$C$3:$C$2002,$B83))</f>
        <v/>
      </c>
      <c r="E83">
        <f>IF($B83="","",INDEX(HISTORICO!$F$3:$F$2002,$B83))</f>
        <v/>
      </c>
      <c r="F83">
        <f>IF($B83="","",INDEX(HISTORICO!$G$3:$G$2002,$B83))</f>
        <v/>
      </c>
      <c r="G83">
        <f>IF($B83="","",INDEX(HISTORICO!$E$3:$E$2002,$B83))</f>
        <v/>
      </c>
      <c r="H83">
        <f>IF($B83="","",INDEX(HISTORICO!$H$3:$H$2002,$B83))</f>
        <v/>
      </c>
      <c r="I83">
        <f>IF($B83="","",INDEX(HISTORICO!$D$3:$D$2002,$B83))</f>
        <v/>
      </c>
      <c r="J83">
        <f>IF($B83="","",INDEX(HISTORICO!$B$3:$B$2002,$B83))</f>
        <v/>
      </c>
      <c r="K83">
        <f>IF($B83="","",INDEX(HISTORICO!$U$3:$U$2002,$B83))</f>
        <v/>
      </c>
      <c r="L83">
        <f>IF($B83="","",INDEX(HISTORICO!$I$3:$I$2002,$B83))</f>
        <v/>
      </c>
      <c r="M83">
        <f>IF($B83="","",INDEX(HISTORICO!$J$3:$J$2002,$B83))</f>
        <v/>
      </c>
      <c r="N83">
        <f>IF($B83="","",INDEX(HISTORICO!$K$3:$K$2002,$B83))</f>
        <v/>
      </c>
      <c r="O83">
        <f>IF($B83="","",INDEX(HISTORICO!$L$3:$L$2002,$B83))</f>
        <v/>
      </c>
      <c r="P83">
        <f>IF($B83="","",INDEX(HISTORICO!$M$3:$M$2002,$B83))</f>
        <v/>
      </c>
      <c r="Q83">
        <f>IF($B83="","",INDEX(HISTORICO!$N$3:$N$2002,$B83))</f>
        <v/>
      </c>
      <c r="R83">
        <f>IF($B83="","",INDEX(HISTORICO!$Q$3:$Q$2002,$B83))</f>
        <v/>
      </c>
      <c r="S83">
        <f>IF($B83="","",INDEX(HISTORICO!$P$3:$P$2002,$B83))</f>
        <v/>
      </c>
      <c r="T83">
        <f>IF($B83="","",INDEX(HISTORICO!$O$3:$O$2002,$B83))</f>
        <v/>
      </c>
      <c r="U83">
        <f>IF($B83="","",INDEX(HISTORICO!$R$3:$R$2002,$B83))</f>
        <v/>
      </c>
      <c r="V83">
        <f>IF($B83="","",INDEX(HISTORICO!$S$3:$S$2002,$B83))</f>
        <v/>
      </c>
      <c r="W83">
        <f>IF($B83="","",INDEX(HISTORICO!$T$3:$T$2002,$B83))</f>
        <v/>
      </c>
      <c r="X83">
        <f>IF($B83="","",INDEX(HISTORICO!$X$3:$X$2002,$B83))</f>
        <v/>
      </c>
      <c r="Y83">
        <f>IF($L83="","",IFERROR(INDEX(CONFIGURACOES!$C$37:$C$300,MATCH($L83,CONFIGURACOES!$B$37:$B$300,0)),""))</f>
        <v/>
      </c>
      <c r="Z83">
        <f>IF($L83="","",IFERROR(INDEX(CONFIGURACOES!$D$37:$D$300,MATCH($L83,CONFIGURACOES!$B$37:$B$300,0)),""))</f>
        <v/>
      </c>
      <c r="AA83">
        <f>IF($L83="","",IFERROR(INDEX(CONFIGURACOES!$E$37:$E$300,MATCH($L83,CONFIGURACOES!$B$37:$B$300,0)),""))</f>
        <v/>
      </c>
      <c r="AB83">
        <f>IF($L83="","",IFERROR(INDEX(CONFIGURACOES!$F$37:$F$300,MATCH($L83,CONFIGURACOES!$B$37:$B$300,0)),""))</f>
        <v/>
      </c>
      <c r="AC83">
        <f>IF($L83="","",IF($X83&lt;&gt;$X82,$AC82+1,$AC82))</f>
        <v/>
      </c>
      <c r="AD83">
        <f>IF($L83="","",IF($X83&lt;&gt;$X82,1,$AD82+1))</f>
        <v/>
      </c>
      <c r="AE83">
        <f>IF($L83="","",$AC83*10+$AD83)</f>
        <v/>
      </c>
      <c r="AF83">
        <f>IF($L83="","",SUMIF($X$2:$X$151,$X83,$U$2:$U$151))</f>
        <v/>
      </c>
      <c r="AG83">
        <f>IF($L83="","",SUMIF($X$2:$X$151,$X83,$W$2:$W$151))</f>
        <v/>
      </c>
    </row>
    <row r="84">
      <c r="A84" t="n">
        <v>83</v>
      </c>
      <c r="B84">
        <f>IFERROR(MATCH($A84,HISTORICO!$Y$3:$Y$2002,0),"")</f>
        <v/>
      </c>
      <c r="C84">
        <f>IF($B84="","",INDEX(HISTORICO!$A$3:$A$2002,$B84))</f>
        <v/>
      </c>
      <c r="D84">
        <f>IF($B84="","",INDEX(HISTORICO!$C$3:$C$2002,$B84))</f>
        <v/>
      </c>
      <c r="E84">
        <f>IF($B84="","",INDEX(HISTORICO!$F$3:$F$2002,$B84))</f>
        <v/>
      </c>
      <c r="F84">
        <f>IF($B84="","",INDEX(HISTORICO!$G$3:$G$2002,$B84))</f>
        <v/>
      </c>
      <c r="G84">
        <f>IF($B84="","",INDEX(HISTORICO!$E$3:$E$2002,$B84))</f>
        <v/>
      </c>
      <c r="H84">
        <f>IF($B84="","",INDEX(HISTORICO!$H$3:$H$2002,$B84))</f>
        <v/>
      </c>
      <c r="I84">
        <f>IF($B84="","",INDEX(HISTORICO!$D$3:$D$2002,$B84))</f>
        <v/>
      </c>
      <c r="J84">
        <f>IF($B84="","",INDEX(HISTORICO!$B$3:$B$2002,$B84))</f>
        <v/>
      </c>
      <c r="K84">
        <f>IF($B84="","",INDEX(HISTORICO!$U$3:$U$2002,$B84))</f>
        <v/>
      </c>
      <c r="L84">
        <f>IF($B84="","",INDEX(HISTORICO!$I$3:$I$2002,$B84))</f>
        <v/>
      </c>
      <c r="M84">
        <f>IF($B84="","",INDEX(HISTORICO!$J$3:$J$2002,$B84))</f>
        <v/>
      </c>
      <c r="N84">
        <f>IF($B84="","",INDEX(HISTORICO!$K$3:$K$2002,$B84))</f>
        <v/>
      </c>
      <c r="O84">
        <f>IF($B84="","",INDEX(HISTORICO!$L$3:$L$2002,$B84))</f>
        <v/>
      </c>
      <c r="P84">
        <f>IF($B84="","",INDEX(HISTORICO!$M$3:$M$2002,$B84))</f>
        <v/>
      </c>
      <c r="Q84">
        <f>IF($B84="","",INDEX(HISTORICO!$N$3:$N$2002,$B84))</f>
        <v/>
      </c>
      <c r="R84">
        <f>IF($B84="","",INDEX(HISTORICO!$Q$3:$Q$2002,$B84))</f>
        <v/>
      </c>
      <c r="S84">
        <f>IF($B84="","",INDEX(HISTORICO!$P$3:$P$2002,$B84))</f>
        <v/>
      </c>
      <c r="T84">
        <f>IF($B84="","",INDEX(HISTORICO!$O$3:$O$2002,$B84))</f>
        <v/>
      </c>
      <c r="U84">
        <f>IF($B84="","",INDEX(HISTORICO!$R$3:$R$2002,$B84))</f>
        <v/>
      </c>
      <c r="V84">
        <f>IF($B84="","",INDEX(HISTORICO!$S$3:$S$2002,$B84))</f>
        <v/>
      </c>
      <c r="W84">
        <f>IF($B84="","",INDEX(HISTORICO!$T$3:$T$2002,$B84))</f>
        <v/>
      </c>
      <c r="X84">
        <f>IF($B84="","",INDEX(HISTORICO!$X$3:$X$2002,$B84))</f>
        <v/>
      </c>
      <c r="Y84">
        <f>IF($L84="","",IFERROR(INDEX(CONFIGURACOES!$C$37:$C$300,MATCH($L84,CONFIGURACOES!$B$37:$B$300,0)),""))</f>
        <v/>
      </c>
      <c r="Z84">
        <f>IF($L84="","",IFERROR(INDEX(CONFIGURACOES!$D$37:$D$300,MATCH($L84,CONFIGURACOES!$B$37:$B$300,0)),""))</f>
        <v/>
      </c>
      <c r="AA84">
        <f>IF($L84="","",IFERROR(INDEX(CONFIGURACOES!$E$37:$E$300,MATCH($L84,CONFIGURACOES!$B$37:$B$300,0)),""))</f>
        <v/>
      </c>
      <c r="AB84">
        <f>IF($L84="","",IFERROR(INDEX(CONFIGURACOES!$F$37:$F$300,MATCH($L84,CONFIGURACOES!$B$37:$B$300,0)),""))</f>
        <v/>
      </c>
      <c r="AC84">
        <f>IF($L84="","",IF($X84&lt;&gt;$X83,$AC83+1,$AC83))</f>
        <v/>
      </c>
      <c r="AD84">
        <f>IF($L84="","",IF($X84&lt;&gt;$X83,1,$AD83+1))</f>
        <v/>
      </c>
      <c r="AE84">
        <f>IF($L84="","",$AC84*10+$AD84)</f>
        <v/>
      </c>
      <c r="AF84">
        <f>IF($L84="","",SUMIF($X$2:$X$151,$X84,$U$2:$U$151))</f>
        <v/>
      </c>
      <c r="AG84">
        <f>IF($L84="","",SUMIF($X$2:$X$151,$X84,$W$2:$W$151))</f>
        <v/>
      </c>
    </row>
    <row r="85">
      <c r="A85" t="n">
        <v>84</v>
      </c>
      <c r="B85">
        <f>IFERROR(MATCH($A85,HISTORICO!$Y$3:$Y$2002,0),"")</f>
        <v/>
      </c>
      <c r="C85">
        <f>IF($B85="","",INDEX(HISTORICO!$A$3:$A$2002,$B85))</f>
        <v/>
      </c>
      <c r="D85">
        <f>IF($B85="","",INDEX(HISTORICO!$C$3:$C$2002,$B85))</f>
        <v/>
      </c>
      <c r="E85">
        <f>IF($B85="","",INDEX(HISTORICO!$F$3:$F$2002,$B85))</f>
        <v/>
      </c>
      <c r="F85">
        <f>IF($B85="","",INDEX(HISTORICO!$G$3:$G$2002,$B85))</f>
        <v/>
      </c>
      <c r="G85">
        <f>IF($B85="","",INDEX(HISTORICO!$E$3:$E$2002,$B85))</f>
        <v/>
      </c>
      <c r="H85">
        <f>IF($B85="","",INDEX(HISTORICO!$H$3:$H$2002,$B85))</f>
        <v/>
      </c>
      <c r="I85">
        <f>IF($B85="","",INDEX(HISTORICO!$D$3:$D$2002,$B85))</f>
        <v/>
      </c>
      <c r="J85">
        <f>IF($B85="","",INDEX(HISTORICO!$B$3:$B$2002,$B85))</f>
        <v/>
      </c>
      <c r="K85">
        <f>IF($B85="","",INDEX(HISTORICO!$U$3:$U$2002,$B85))</f>
        <v/>
      </c>
      <c r="L85">
        <f>IF($B85="","",INDEX(HISTORICO!$I$3:$I$2002,$B85))</f>
        <v/>
      </c>
      <c r="M85">
        <f>IF($B85="","",INDEX(HISTORICO!$J$3:$J$2002,$B85))</f>
        <v/>
      </c>
      <c r="N85">
        <f>IF($B85="","",INDEX(HISTORICO!$K$3:$K$2002,$B85))</f>
        <v/>
      </c>
      <c r="O85">
        <f>IF($B85="","",INDEX(HISTORICO!$L$3:$L$2002,$B85))</f>
        <v/>
      </c>
      <c r="P85">
        <f>IF($B85="","",INDEX(HISTORICO!$M$3:$M$2002,$B85))</f>
        <v/>
      </c>
      <c r="Q85">
        <f>IF($B85="","",INDEX(HISTORICO!$N$3:$N$2002,$B85))</f>
        <v/>
      </c>
      <c r="R85">
        <f>IF($B85="","",INDEX(HISTORICO!$Q$3:$Q$2002,$B85))</f>
        <v/>
      </c>
      <c r="S85">
        <f>IF($B85="","",INDEX(HISTORICO!$P$3:$P$2002,$B85))</f>
        <v/>
      </c>
      <c r="T85">
        <f>IF($B85="","",INDEX(HISTORICO!$O$3:$O$2002,$B85))</f>
        <v/>
      </c>
      <c r="U85">
        <f>IF($B85="","",INDEX(HISTORICO!$R$3:$R$2002,$B85))</f>
        <v/>
      </c>
      <c r="V85">
        <f>IF($B85="","",INDEX(HISTORICO!$S$3:$S$2002,$B85))</f>
        <v/>
      </c>
      <c r="W85">
        <f>IF($B85="","",INDEX(HISTORICO!$T$3:$T$2002,$B85))</f>
        <v/>
      </c>
      <c r="X85">
        <f>IF($B85="","",INDEX(HISTORICO!$X$3:$X$2002,$B85))</f>
        <v/>
      </c>
      <c r="Y85">
        <f>IF($L85="","",IFERROR(INDEX(CONFIGURACOES!$C$37:$C$300,MATCH($L85,CONFIGURACOES!$B$37:$B$300,0)),""))</f>
        <v/>
      </c>
      <c r="Z85">
        <f>IF($L85="","",IFERROR(INDEX(CONFIGURACOES!$D$37:$D$300,MATCH($L85,CONFIGURACOES!$B$37:$B$300,0)),""))</f>
        <v/>
      </c>
      <c r="AA85">
        <f>IF($L85="","",IFERROR(INDEX(CONFIGURACOES!$E$37:$E$300,MATCH($L85,CONFIGURACOES!$B$37:$B$300,0)),""))</f>
        <v/>
      </c>
      <c r="AB85">
        <f>IF($L85="","",IFERROR(INDEX(CONFIGURACOES!$F$37:$F$300,MATCH($L85,CONFIGURACOES!$B$37:$B$300,0)),""))</f>
        <v/>
      </c>
      <c r="AC85">
        <f>IF($L85="","",IF($X85&lt;&gt;$X84,$AC84+1,$AC84))</f>
        <v/>
      </c>
      <c r="AD85">
        <f>IF($L85="","",IF($X85&lt;&gt;$X84,1,$AD84+1))</f>
        <v/>
      </c>
      <c r="AE85">
        <f>IF($L85="","",$AC85*10+$AD85)</f>
        <v/>
      </c>
      <c r="AF85">
        <f>IF($L85="","",SUMIF($X$2:$X$151,$X85,$U$2:$U$151))</f>
        <v/>
      </c>
      <c r="AG85">
        <f>IF($L85="","",SUMIF($X$2:$X$151,$X85,$W$2:$W$151))</f>
        <v/>
      </c>
    </row>
    <row r="86">
      <c r="A86" t="n">
        <v>85</v>
      </c>
      <c r="B86">
        <f>IFERROR(MATCH($A86,HISTORICO!$Y$3:$Y$2002,0),"")</f>
        <v/>
      </c>
      <c r="C86">
        <f>IF($B86="","",INDEX(HISTORICO!$A$3:$A$2002,$B86))</f>
        <v/>
      </c>
      <c r="D86">
        <f>IF($B86="","",INDEX(HISTORICO!$C$3:$C$2002,$B86))</f>
        <v/>
      </c>
      <c r="E86">
        <f>IF($B86="","",INDEX(HISTORICO!$F$3:$F$2002,$B86))</f>
        <v/>
      </c>
      <c r="F86">
        <f>IF($B86="","",INDEX(HISTORICO!$G$3:$G$2002,$B86))</f>
        <v/>
      </c>
      <c r="G86">
        <f>IF($B86="","",INDEX(HISTORICO!$E$3:$E$2002,$B86))</f>
        <v/>
      </c>
      <c r="H86">
        <f>IF($B86="","",INDEX(HISTORICO!$H$3:$H$2002,$B86))</f>
        <v/>
      </c>
      <c r="I86">
        <f>IF($B86="","",INDEX(HISTORICO!$D$3:$D$2002,$B86))</f>
        <v/>
      </c>
      <c r="J86">
        <f>IF($B86="","",INDEX(HISTORICO!$B$3:$B$2002,$B86))</f>
        <v/>
      </c>
      <c r="K86">
        <f>IF($B86="","",INDEX(HISTORICO!$U$3:$U$2002,$B86))</f>
        <v/>
      </c>
      <c r="L86">
        <f>IF($B86="","",INDEX(HISTORICO!$I$3:$I$2002,$B86))</f>
        <v/>
      </c>
      <c r="M86">
        <f>IF($B86="","",INDEX(HISTORICO!$J$3:$J$2002,$B86))</f>
        <v/>
      </c>
      <c r="N86">
        <f>IF($B86="","",INDEX(HISTORICO!$K$3:$K$2002,$B86))</f>
        <v/>
      </c>
      <c r="O86">
        <f>IF($B86="","",INDEX(HISTORICO!$L$3:$L$2002,$B86))</f>
        <v/>
      </c>
      <c r="P86">
        <f>IF($B86="","",INDEX(HISTORICO!$M$3:$M$2002,$B86))</f>
        <v/>
      </c>
      <c r="Q86">
        <f>IF($B86="","",INDEX(HISTORICO!$N$3:$N$2002,$B86))</f>
        <v/>
      </c>
      <c r="R86">
        <f>IF($B86="","",INDEX(HISTORICO!$Q$3:$Q$2002,$B86))</f>
        <v/>
      </c>
      <c r="S86">
        <f>IF($B86="","",INDEX(HISTORICO!$P$3:$P$2002,$B86))</f>
        <v/>
      </c>
      <c r="T86">
        <f>IF($B86="","",INDEX(HISTORICO!$O$3:$O$2002,$B86))</f>
        <v/>
      </c>
      <c r="U86">
        <f>IF($B86="","",INDEX(HISTORICO!$R$3:$R$2002,$B86))</f>
        <v/>
      </c>
      <c r="V86">
        <f>IF($B86="","",INDEX(HISTORICO!$S$3:$S$2002,$B86))</f>
        <v/>
      </c>
      <c r="W86">
        <f>IF($B86="","",INDEX(HISTORICO!$T$3:$T$2002,$B86))</f>
        <v/>
      </c>
      <c r="X86">
        <f>IF($B86="","",INDEX(HISTORICO!$X$3:$X$2002,$B86))</f>
        <v/>
      </c>
      <c r="Y86">
        <f>IF($L86="","",IFERROR(INDEX(CONFIGURACOES!$C$37:$C$300,MATCH($L86,CONFIGURACOES!$B$37:$B$300,0)),""))</f>
        <v/>
      </c>
      <c r="Z86">
        <f>IF($L86="","",IFERROR(INDEX(CONFIGURACOES!$D$37:$D$300,MATCH($L86,CONFIGURACOES!$B$37:$B$300,0)),""))</f>
        <v/>
      </c>
      <c r="AA86">
        <f>IF($L86="","",IFERROR(INDEX(CONFIGURACOES!$E$37:$E$300,MATCH($L86,CONFIGURACOES!$B$37:$B$300,0)),""))</f>
        <v/>
      </c>
      <c r="AB86">
        <f>IF($L86="","",IFERROR(INDEX(CONFIGURACOES!$F$37:$F$300,MATCH($L86,CONFIGURACOES!$B$37:$B$300,0)),""))</f>
        <v/>
      </c>
      <c r="AC86">
        <f>IF($L86="","",IF($X86&lt;&gt;$X85,$AC85+1,$AC85))</f>
        <v/>
      </c>
      <c r="AD86">
        <f>IF($L86="","",IF($X86&lt;&gt;$X85,1,$AD85+1))</f>
        <v/>
      </c>
      <c r="AE86">
        <f>IF($L86="","",$AC86*10+$AD86)</f>
        <v/>
      </c>
      <c r="AF86">
        <f>IF($L86="","",SUMIF($X$2:$X$151,$X86,$U$2:$U$151))</f>
        <v/>
      </c>
      <c r="AG86">
        <f>IF($L86="","",SUMIF($X$2:$X$151,$X86,$W$2:$W$151))</f>
        <v/>
      </c>
    </row>
    <row r="87">
      <c r="A87" t="n">
        <v>86</v>
      </c>
      <c r="B87">
        <f>IFERROR(MATCH($A87,HISTORICO!$Y$3:$Y$2002,0),"")</f>
        <v/>
      </c>
      <c r="C87">
        <f>IF($B87="","",INDEX(HISTORICO!$A$3:$A$2002,$B87))</f>
        <v/>
      </c>
      <c r="D87">
        <f>IF($B87="","",INDEX(HISTORICO!$C$3:$C$2002,$B87))</f>
        <v/>
      </c>
      <c r="E87">
        <f>IF($B87="","",INDEX(HISTORICO!$F$3:$F$2002,$B87))</f>
        <v/>
      </c>
      <c r="F87">
        <f>IF($B87="","",INDEX(HISTORICO!$G$3:$G$2002,$B87))</f>
        <v/>
      </c>
      <c r="G87">
        <f>IF($B87="","",INDEX(HISTORICO!$E$3:$E$2002,$B87))</f>
        <v/>
      </c>
      <c r="H87">
        <f>IF($B87="","",INDEX(HISTORICO!$H$3:$H$2002,$B87))</f>
        <v/>
      </c>
      <c r="I87">
        <f>IF($B87="","",INDEX(HISTORICO!$D$3:$D$2002,$B87))</f>
        <v/>
      </c>
      <c r="J87">
        <f>IF($B87="","",INDEX(HISTORICO!$B$3:$B$2002,$B87))</f>
        <v/>
      </c>
      <c r="K87">
        <f>IF($B87="","",INDEX(HISTORICO!$U$3:$U$2002,$B87))</f>
        <v/>
      </c>
      <c r="L87">
        <f>IF($B87="","",INDEX(HISTORICO!$I$3:$I$2002,$B87))</f>
        <v/>
      </c>
      <c r="M87">
        <f>IF($B87="","",INDEX(HISTORICO!$J$3:$J$2002,$B87))</f>
        <v/>
      </c>
      <c r="N87">
        <f>IF($B87="","",INDEX(HISTORICO!$K$3:$K$2002,$B87))</f>
        <v/>
      </c>
      <c r="O87">
        <f>IF($B87="","",INDEX(HISTORICO!$L$3:$L$2002,$B87))</f>
        <v/>
      </c>
      <c r="P87">
        <f>IF($B87="","",INDEX(HISTORICO!$M$3:$M$2002,$B87))</f>
        <v/>
      </c>
      <c r="Q87">
        <f>IF($B87="","",INDEX(HISTORICO!$N$3:$N$2002,$B87))</f>
        <v/>
      </c>
      <c r="R87">
        <f>IF($B87="","",INDEX(HISTORICO!$Q$3:$Q$2002,$B87))</f>
        <v/>
      </c>
      <c r="S87">
        <f>IF($B87="","",INDEX(HISTORICO!$P$3:$P$2002,$B87))</f>
        <v/>
      </c>
      <c r="T87">
        <f>IF($B87="","",INDEX(HISTORICO!$O$3:$O$2002,$B87))</f>
        <v/>
      </c>
      <c r="U87">
        <f>IF($B87="","",INDEX(HISTORICO!$R$3:$R$2002,$B87))</f>
        <v/>
      </c>
      <c r="V87">
        <f>IF($B87="","",INDEX(HISTORICO!$S$3:$S$2002,$B87))</f>
        <v/>
      </c>
      <c r="W87">
        <f>IF($B87="","",INDEX(HISTORICO!$T$3:$T$2002,$B87))</f>
        <v/>
      </c>
      <c r="X87">
        <f>IF($B87="","",INDEX(HISTORICO!$X$3:$X$2002,$B87))</f>
        <v/>
      </c>
      <c r="Y87">
        <f>IF($L87="","",IFERROR(INDEX(CONFIGURACOES!$C$37:$C$300,MATCH($L87,CONFIGURACOES!$B$37:$B$300,0)),""))</f>
        <v/>
      </c>
      <c r="Z87">
        <f>IF($L87="","",IFERROR(INDEX(CONFIGURACOES!$D$37:$D$300,MATCH($L87,CONFIGURACOES!$B$37:$B$300,0)),""))</f>
        <v/>
      </c>
      <c r="AA87">
        <f>IF($L87="","",IFERROR(INDEX(CONFIGURACOES!$E$37:$E$300,MATCH($L87,CONFIGURACOES!$B$37:$B$300,0)),""))</f>
        <v/>
      </c>
      <c r="AB87">
        <f>IF($L87="","",IFERROR(INDEX(CONFIGURACOES!$F$37:$F$300,MATCH($L87,CONFIGURACOES!$B$37:$B$300,0)),""))</f>
        <v/>
      </c>
      <c r="AC87">
        <f>IF($L87="","",IF($X87&lt;&gt;$X86,$AC86+1,$AC86))</f>
        <v/>
      </c>
      <c r="AD87">
        <f>IF($L87="","",IF($X87&lt;&gt;$X86,1,$AD86+1))</f>
        <v/>
      </c>
      <c r="AE87">
        <f>IF($L87="","",$AC87*10+$AD87)</f>
        <v/>
      </c>
      <c r="AF87">
        <f>IF($L87="","",SUMIF($X$2:$X$151,$X87,$U$2:$U$151))</f>
        <v/>
      </c>
      <c r="AG87">
        <f>IF($L87="","",SUMIF($X$2:$X$151,$X87,$W$2:$W$151))</f>
        <v/>
      </c>
    </row>
    <row r="88">
      <c r="A88" t="n">
        <v>87</v>
      </c>
      <c r="B88">
        <f>IFERROR(MATCH($A88,HISTORICO!$Y$3:$Y$2002,0),"")</f>
        <v/>
      </c>
      <c r="C88">
        <f>IF($B88="","",INDEX(HISTORICO!$A$3:$A$2002,$B88))</f>
        <v/>
      </c>
      <c r="D88">
        <f>IF($B88="","",INDEX(HISTORICO!$C$3:$C$2002,$B88))</f>
        <v/>
      </c>
      <c r="E88">
        <f>IF($B88="","",INDEX(HISTORICO!$F$3:$F$2002,$B88))</f>
        <v/>
      </c>
      <c r="F88">
        <f>IF($B88="","",INDEX(HISTORICO!$G$3:$G$2002,$B88))</f>
        <v/>
      </c>
      <c r="G88">
        <f>IF($B88="","",INDEX(HISTORICO!$E$3:$E$2002,$B88))</f>
        <v/>
      </c>
      <c r="H88">
        <f>IF($B88="","",INDEX(HISTORICO!$H$3:$H$2002,$B88))</f>
        <v/>
      </c>
      <c r="I88">
        <f>IF($B88="","",INDEX(HISTORICO!$D$3:$D$2002,$B88))</f>
        <v/>
      </c>
      <c r="J88">
        <f>IF($B88="","",INDEX(HISTORICO!$B$3:$B$2002,$B88))</f>
        <v/>
      </c>
      <c r="K88">
        <f>IF($B88="","",INDEX(HISTORICO!$U$3:$U$2002,$B88))</f>
        <v/>
      </c>
      <c r="L88">
        <f>IF($B88="","",INDEX(HISTORICO!$I$3:$I$2002,$B88))</f>
        <v/>
      </c>
      <c r="M88">
        <f>IF($B88="","",INDEX(HISTORICO!$J$3:$J$2002,$B88))</f>
        <v/>
      </c>
      <c r="N88">
        <f>IF($B88="","",INDEX(HISTORICO!$K$3:$K$2002,$B88))</f>
        <v/>
      </c>
      <c r="O88">
        <f>IF($B88="","",INDEX(HISTORICO!$L$3:$L$2002,$B88))</f>
        <v/>
      </c>
      <c r="P88">
        <f>IF($B88="","",INDEX(HISTORICO!$M$3:$M$2002,$B88))</f>
        <v/>
      </c>
      <c r="Q88">
        <f>IF($B88="","",INDEX(HISTORICO!$N$3:$N$2002,$B88))</f>
        <v/>
      </c>
      <c r="R88">
        <f>IF($B88="","",INDEX(HISTORICO!$Q$3:$Q$2002,$B88))</f>
        <v/>
      </c>
      <c r="S88">
        <f>IF($B88="","",INDEX(HISTORICO!$P$3:$P$2002,$B88))</f>
        <v/>
      </c>
      <c r="T88">
        <f>IF($B88="","",INDEX(HISTORICO!$O$3:$O$2002,$B88))</f>
        <v/>
      </c>
      <c r="U88">
        <f>IF($B88="","",INDEX(HISTORICO!$R$3:$R$2002,$B88))</f>
        <v/>
      </c>
      <c r="V88">
        <f>IF($B88="","",INDEX(HISTORICO!$S$3:$S$2002,$B88))</f>
        <v/>
      </c>
      <c r="W88">
        <f>IF($B88="","",INDEX(HISTORICO!$T$3:$T$2002,$B88))</f>
        <v/>
      </c>
      <c r="X88">
        <f>IF($B88="","",INDEX(HISTORICO!$X$3:$X$2002,$B88))</f>
        <v/>
      </c>
      <c r="Y88">
        <f>IF($L88="","",IFERROR(INDEX(CONFIGURACOES!$C$37:$C$300,MATCH($L88,CONFIGURACOES!$B$37:$B$300,0)),""))</f>
        <v/>
      </c>
      <c r="Z88">
        <f>IF($L88="","",IFERROR(INDEX(CONFIGURACOES!$D$37:$D$300,MATCH($L88,CONFIGURACOES!$B$37:$B$300,0)),""))</f>
        <v/>
      </c>
      <c r="AA88">
        <f>IF($L88="","",IFERROR(INDEX(CONFIGURACOES!$E$37:$E$300,MATCH($L88,CONFIGURACOES!$B$37:$B$300,0)),""))</f>
        <v/>
      </c>
      <c r="AB88">
        <f>IF($L88="","",IFERROR(INDEX(CONFIGURACOES!$F$37:$F$300,MATCH($L88,CONFIGURACOES!$B$37:$B$300,0)),""))</f>
        <v/>
      </c>
      <c r="AC88">
        <f>IF($L88="","",IF($X88&lt;&gt;$X87,$AC87+1,$AC87))</f>
        <v/>
      </c>
      <c r="AD88">
        <f>IF($L88="","",IF($X88&lt;&gt;$X87,1,$AD87+1))</f>
        <v/>
      </c>
      <c r="AE88">
        <f>IF($L88="","",$AC88*10+$AD88)</f>
        <v/>
      </c>
      <c r="AF88">
        <f>IF($L88="","",SUMIF($X$2:$X$151,$X88,$U$2:$U$151))</f>
        <v/>
      </c>
      <c r="AG88">
        <f>IF($L88="","",SUMIF($X$2:$X$151,$X88,$W$2:$W$151))</f>
        <v/>
      </c>
    </row>
    <row r="89">
      <c r="A89" t="n">
        <v>88</v>
      </c>
      <c r="B89">
        <f>IFERROR(MATCH($A89,HISTORICO!$Y$3:$Y$2002,0),"")</f>
        <v/>
      </c>
      <c r="C89">
        <f>IF($B89="","",INDEX(HISTORICO!$A$3:$A$2002,$B89))</f>
        <v/>
      </c>
      <c r="D89">
        <f>IF($B89="","",INDEX(HISTORICO!$C$3:$C$2002,$B89))</f>
        <v/>
      </c>
      <c r="E89">
        <f>IF($B89="","",INDEX(HISTORICO!$F$3:$F$2002,$B89))</f>
        <v/>
      </c>
      <c r="F89">
        <f>IF($B89="","",INDEX(HISTORICO!$G$3:$G$2002,$B89))</f>
        <v/>
      </c>
      <c r="G89">
        <f>IF($B89="","",INDEX(HISTORICO!$E$3:$E$2002,$B89))</f>
        <v/>
      </c>
      <c r="H89">
        <f>IF($B89="","",INDEX(HISTORICO!$H$3:$H$2002,$B89))</f>
        <v/>
      </c>
      <c r="I89">
        <f>IF($B89="","",INDEX(HISTORICO!$D$3:$D$2002,$B89))</f>
        <v/>
      </c>
      <c r="J89">
        <f>IF($B89="","",INDEX(HISTORICO!$B$3:$B$2002,$B89))</f>
        <v/>
      </c>
      <c r="K89">
        <f>IF($B89="","",INDEX(HISTORICO!$U$3:$U$2002,$B89))</f>
        <v/>
      </c>
      <c r="L89">
        <f>IF($B89="","",INDEX(HISTORICO!$I$3:$I$2002,$B89))</f>
        <v/>
      </c>
      <c r="M89">
        <f>IF($B89="","",INDEX(HISTORICO!$J$3:$J$2002,$B89))</f>
        <v/>
      </c>
      <c r="N89">
        <f>IF($B89="","",INDEX(HISTORICO!$K$3:$K$2002,$B89))</f>
        <v/>
      </c>
      <c r="O89">
        <f>IF($B89="","",INDEX(HISTORICO!$L$3:$L$2002,$B89))</f>
        <v/>
      </c>
      <c r="P89">
        <f>IF($B89="","",INDEX(HISTORICO!$M$3:$M$2002,$B89))</f>
        <v/>
      </c>
      <c r="Q89">
        <f>IF($B89="","",INDEX(HISTORICO!$N$3:$N$2002,$B89))</f>
        <v/>
      </c>
      <c r="R89">
        <f>IF($B89="","",INDEX(HISTORICO!$Q$3:$Q$2002,$B89))</f>
        <v/>
      </c>
      <c r="S89">
        <f>IF($B89="","",INDEX(HISTORICO!$P$3:$P$2002,$B89))</f>
        <v/>
      </c>
      <c r="T89">
        <f>IF($B89="","",INDEX(HISTORICO!$O$3:$O$2002,$B89))</f>
        <v/>
      </c>
      <c r="U89">
        <f>IF($B89="","",INDEX(HISTORICO!$R$3:$R$2002,$B89))</f>
        <v/>
      </c>
      <c r="V89">
        <f>IF($B89="","",INDEX(HISTORICO!$S$3:$S$2002,$B89))</f>
        <v/>
      </c>
      <c r="W89">
        <f>IF($B89="","",INDEX(HISTORICO!$T$3:$T$2002,$B89))</f>
        <v/>
      </c>
      <c r="X89">
        <f>IF($B89="","",INDEX(HISTORICO!$X$3:$X$2002,$B89))</f>
        <v/>
      </c>
      <c r="Y89">
        <f>IF($L89="","",IFERROR(INDEX(CONFIGURACOES!$C$37:$C$300,MATCH($L89,CONFIGURACOES!$B$37:$B$300,0)),""))</f>
        <v/>
      </c>
      <c r="Z89">
        <f>IF($L89="","",IFERROR(INDEX(CONFIGURACOES!$D$37:$D$300,MATCH($L89,CONFIGURACOES!$B$37:$B$300,0)),""))</f>
        <v/>
      </c>
      <c r="AA89">
        <f>IF($L89="","",IFERROR(INDEX(CONFIGURACOES!$E$37:$E$300,MATCH($L89,CONFIGURACOES!$B$37:$B$300,0)),""))</f>
        <v/>
      </c>
      <c r="AB89">
        <f>IF($L89="","",IFERROR(INDEX(CONFIGURACOES!$F$37:$F$300,MATCH($L89,CONFIGURACOES!$B$37:$B$300,0)),""))</f>
        <v/>
      </c>
      <c r="AC89">
        <f>IF($L89="","",IF($X89&lt;&gt;$X88,$AC88+1,$AC88))</f>
        <v/>
      </c>
      <c r="AD89">
        <f>IF($L89="","",IF($X89&lt;&gt;$X88,1,$AD88+1))</f>
        <v/>
      </c>
      <c r="AE89">
        <f>IF($L89="","",$AC89*10+$AD89)</f>
        <v/>
      </c>
      <c r="AF89">
        <f>IF($L89="","",SUMIF($X$2:$X$151,$X89,$U$2:$U$151))</f>
        <v/>
      </c>
      <c r="AG89">
        <f>IF($L89="","",SUMIF($X$2:$X$151,$X89,$W$2:$W$151))</f>
        <v/>
      </c>
    </row>
    <row r="90">
      <c r="A90" t="n">
        <v>89</v>
      </c>
      <c r="B90">
        <f>IFERROR(MATCH($A90,HISTORICO!$Y$3:$Y$2002,0),"")</f>
        <v/>
      </c>
      <c r="C90">
        <f>IF($B90="","",INDEX(HISTORICO!$A$3:$A$2002,$B90))</f>
        <v/>
      </c>
      <c r="D90">
        <f>IF($B90="","",INDEX(HISTORICO!$C$3:$C$2002,$B90))</f>
        <v/>
      </c>
      <c r="E90">
        <f>IF($B90="","",INDEX(HISTORICO!$F$3:$F$2002,$B90))</f>
        <v/>
      </c>
      <c r="F90">
        <f>IF($B90="","",INDEX(HISTORICO!$G$3:$G$2002,$B90))</f>
        <v/>
      </c>
      <c r="G90">
        <f>IF($B90="","",INDEX(HISTORICO!$E$3:$E$2002,$B90))</f>
        <v/>
      </c>
      <c r="H90">
        <f>IF($B90="","",INDEX(HISTORICO!$H$3:$H$2002,$B90))</f>
        <v/>
      </c>
      <c r="I90">
        <f>IF($B90="","",INDEX(HISTORICO!$D$3:$D$2002,$B90))</f>
        <v/>
      </c>
      <c r="J90">
        <f>IF($B90="","",INDEX(HISTORICO!$B$3:$B$2002,$B90))</f>
        <v/>
      </c>
      <c r="K90">
        <f>IF($B90="","",INDEX(HISTORICO!$U$3:$U$2002,$B90))</f>
        <v/>
      </c>
      <c r="L90">
        <f>IF($B90="","",INDEX(HISTORICO!$I$3:$I$2002,$B90))</f>
        <v/>
      </c>
      <c r="M90">
        <f>IF($B90="","",INDEX(HISTORICO!$J$3:$J$2002,$B90))</f>
        <v/>
      </c>
      <c r="N90">
        <f>IF($B90="","",INDEX(HISTORICO!$K$3:$K$2002,$B90))</f>
        <v/>
      </c>
      <c r="O90">
        <f>IF($B90="","",INDEX(HISTORICO!$L$3:$L$2002,$B90))</f>
        <v/>
      </c>
      <c r="P90">
        <f>IF($B90="","",INDEX(HISTORICO!$M$3:$M$2002,$B90))</f>
        <v/>
      </c>
      <c r="Q90">
        <f>IF($B90="","",INDEX(HISTORICO!$N$3:$N$2002,$B90))</f>
        <v/>
      </c>
      <c r="R90">
        <f>IF($B90="","",INDEX(HISTORICO!$Q$3:$Q$2002,$B90))</f>
        <v/>
      </c>
      <c r="S90">
        <f>IF($B90="","",INDEX(HISTORICO!$P$3:$P$2002,$B90))</f>
        <v/>
      </c>
      <c r="T90">
        <f>IF($B90="","",INDEX(HISTORICO!$O$3:$O$2002,$B90))</f>
        <v/>
      </c>
      <c r="U90">
        <f>IF($B90="","",INDEX(HISTORICO!$R$3:$R$2002,$B90))</f>
        <v/>
      </c>
      <c r="V90">
        <f>IF($B90="","",INDEX(HISTORICO!$S$3:$S$2002,$B90))</f>
        <v/>
      </c>
      <c r="W90">
        <f>IF($B90="","",INDEX(HISTORICO!$T$3:$T$2002,$B90))</f>
        <v/>
      </c>
      <c r="X90">
        <f>IF($B90="","",INDEX(HISTORICO!$X$3:$X$2002,$B90))</f>
        <v/>
      </c>
      <c r="Y90">
        <f>IF($L90="","",IFERROR(INDEX(CONFIGURACOES!$C$37:$C$300,MATCH($L90,CONFIGURACOES!$B$37:$B$300,0)),""))</f>
        <v/>
      </c>
      <c r="Z90">
        <f>IF($L90="","",IFERROR(INDEX(CONFIGURACOES!$D$37:$D$300,MATCH($L90,CONFIGURACOES!$B$37:$B$300,0)),""))</f>
        <v/>
      </c>
      <c r="AA90">
        <f>IF($L90="","",IFERROR(INDEX(CONFIGURACOES!$E$37:$E$300,MATCH($L90,CONFIGURACOES!$B$37:$B$300,0)),""))</f>
        <v/>
      </c>
      <c r="AB90">
        <f>IF($L90="","",IFERROR(INDEX(CONFIGURACOES!$F$37:$F$300,MATCH($L90,CONFIGURACOES!$B$37:$B$300,0)),""))</f>
        <v/>
      </c>
      <c r="AC90">
        <f>IF($L90="","",IF($X90&lt;&gt;$X89,$AC89+1,$AC89))</f>
        <v/>
      </c>
      <c r="AD90">
        <f>IF($L90="","",IF($X90&lt;&gt;$X89,1,$AD89+1))</f>
        <v/>
      </c>
      <c r="AE90">
        <f>IF($L90="","",$AC90*10+$AD90)</f>
        <v/>
      </c>
      <c r="AF90">
        <f>IF($L90="","",SUMIF($X$2:$X$151,$X90,$U$2:$U$151))</f>
        <v/>
      </c>
      <c r="AG90">
        <f>IF($L90="","",SUMIF($X$2:$X$151,$X90,$W$2:$W$151))</f>
        <v/>
      </c>
    </row>
    <row r="91">
      <c r="A91" t="n">
        <v>90</v>
      </c>
      <c r="B91">
        <f>IFERROR(MATCH($A91,HISTORICO!$Y$3:$Y$2002,0),"")</f>
        <v/>
      </c>
      <c r="C91">
        <f>IF($B91="","",INDEX(HISTORICO!$A$3:$A$2002,$B91))</f>
        <v/>
      </c>
      <c r="D91">
        <f>IF($B91="","",INDEX(HISTORICO!$C$3:$C$2002,$B91))</f>
        <v/>
      </c>
      <c r="E91">
        <f>IF($B91="","",INDEX(HISTORICO!$F$3:$F$2002,$B91))</f>
        <v/>
      </c>
      <c r="F91">
        <f>IF($B91="","",INDEX(HISTORICO!$G$3:$G$2002,$B91))</f>
        <v/>
      </c>
      <c r="G91">
        <f>IF($B91="","",INDEX(HISTORICO!$E$3:$E$2002,$B91))</f>
        <v/>
      </c>
      <c r="H91">
        <f>IF($B91="","",INDEX(HISTORICO!$H$3:$H$2002,$B91))</f>
        <v/>
      </c>
      <c r="I91">
        <f>IF($B91="","",INDEX(HISTORICO!$D$3:$D$2002,$B91))</f>
        <v/>
      </c>
      <c r="J91">
        <f>IF($B91="","",INDEX(HISTORICO!$B$3:$B$2002,$B91))</f>
        <v/>
      </c>
      <c r="K91">
        <f>IF($B91="","",INDEX(HISTORICO!$U$3:$U$2002,$B91))</f>
        <v/>
      </c>
      <c r="L91">
        <f>IF($B91="","",INDEX(HISTORICO!$I$3:$I$2002,$B91))</f>
        <v/>
      </c>
      <c r="M91">
        <f>IF($B91="","",INDEX(HISTORICO!$J$3:$J$2002,$B91))</f>
        <v/>
      </c>
      <c r="N91">
        <f>IF($B91="","",INDEX(HISTORICO!$K$3:$K$2002,$B91))</f>
        <v/>
      </c>
      <c r="O91">
        <f>IF($B91="","",INDEX(HISTORICO!$L$3:$L$2002,$B91))</f>
        <v/>
      </c>
      <c r="P91">
        <f>IF($B91="","",INDEX(HISTORICO!$M$3:$M$2002,$B91))</f>
        <v/>
      </c>
      <c r="Q91">
        <f>IF($B91="","",INDEX(HISTORICO!$N$3:$N$2002,$B91))</f>
        <v/>
      </c>
      <c r="R91">
        <f>IF($B91="","",INDEX(HISTORICO!$Q$3:$Q$2002,$B91))</f>
        <v/>
      </c>
      <c r="S91">
        <f>IF($B91="","",INDEX(HISTORICO!$P$3:$P$2002,$B91))</f>
        <v/>
      </c>
      <c r="T91">
        <f>IF($B91="","",INDEX(HISTORICO!$O$3:$O$2002,$B91))</f>
        <v/>
      </c>
      <c r="U91">
        <f>IF($B91="","",INDEX(HISTORICO!$R$3:$R$2002,$B91))</f>
        <v/>
      </c>
      <c r="V91">
        <f>IF($B91="","",INDEX(HISTORICO!$S$3:$S$2002,$B91))</f>
        <v/>
      </c>
      <c r="W91">
        <f>IF($B91="","",INDEX(HISTORICO!$T$3:$T$2002,$B91))</f>
        <v/>
      </c>
      <c r="X91">
        <f>IF($B91="","",INDEX(HISTORICO!$X$3:$X$2002,$B91))</f>
        <v/>
      </c>
      <c r="Y91">
        <f>IF($L91="","",IFERROR(INDEX(CONFIGURACOES!$C$37:$C$300,MATCH($L91,CONFIGURACOES!$B$37:$B$300,0)),""))</f>
        <v/>
      </c>
      <c r="Z91">
        <f>IF($L91="","",IFERROR(INDEX(CONFIGURACOES!$D$37:$D$300,MATCH($L91,CONFIGURACOES!$B$37:$B$300,0)),""))</f>
        <v/>
      </c>
      <c r="AA91">
        <f>IF($L91="","",IFERROR(INDEX(CONFIGURACOES!$E$37:$E$300,MATCH($L91,CONFIGURACOES!$B$37:$B$300,0)),""))</f>
        <v/>
      </c>
      <c r="AB91">
        <f>IF($L91="","",IFERROR(INDEX(CONFIGURACOES!$F$37:$F$300,MATCH($L91,CONFIGURACOES!$B$37:$B$300,0)),""))</f>
        <v/>
      </c>
      <c r="AC91">
        <f>IF($L91="","",IF($X91&lt;&gt;$X90,$AC90+1,$AC90))</f>
        <v/>
      </c>
      <c r="AD91">
        <f>IF($L91="","",IF($X91&lt;&gt;$X90,1,$AD90+1))</f>
        <v/>
      </c>
      <c r="AE91">
        <f>IF($L91="","",$AC91*10+$AD91)</f>
        <v/>
      </c>
      <c r="AF91">
        <f>IF($L91="","",SUMIF($X$2:$X$151,$X91,$U$2:$U$151))</f>
        <v/>
      </c>
      <c r="AG91">
        <f>IF($L91="","",SUMIF($X$2:$X$151,$X91,$W$2:$W$151))</f>
        <v/>
      </c>
    </row>
    <row r="92">
      <c r="A92" t="n">
        <v>91</v>
      </c>
      <c r="B92">
        <f>IFERROR(MATCH($A92,HISTORICO!$Y$3:$Y$2002,0),"")</f>
        <v/>
      </c>
      <c r="C92">
        <f>IF($B92="","",INDEX(HISTORICO!$A$3:$A$2002,$B92))</f>
        <v/>
      </c>
      <c r="D92">
        <f>IF($B92="","",INDEX(HISTORICO!$C$3:$C$2002,$B92))</f>
        <v/>
      </c>
      <c r="E92">
        <f>IF($B92="","",INDEX(HISTORICO!$F$3:$F$2002,$B92))</f>
        <v/>
      </c>
      <c r="F92">
        <f>IF($B92="","",INDEX(HISTORICO!$G$3:$G$2002,$B92))</f>
        <v/>
      </c>
      <c r="G92">
        <f>IF($B92="","",INDEX(HISTORICO!$E$3:$E$2002,$B92))</f>
        <v/>
      </c>
      <c r="H92">
        <f>IF($B92="","",INDEX(HISTORICO!$H$3:$H$2002,$B92))</f>
        <v/>
      </c>
      <c r="I92">
        <f>IF($B92="","",INDEX(HISTORICO!$D$3:$D$2002,$B92))</f>
        <v/>
      </c>
      <c r="J92">
        <f>IF($B92="","",INDEX(HISTORICO!$B$3:$B$2002,$B92))</f>
        <v/>
      </c>
      <c r="K92">
        <f>IF($B92="","",INDEX(HISTORICO!$U$3:$U$2002,$B92))</f>
        <v/>
      </c>
      <c r="L92">
        <f>IF($B92="","",INDEX(HISTORICO!$I$3:$I$2002,$B92))</f>
        <v/>
      </c>
      <c r="M92">
        <f>IF($B92="","",INDEX(HISTORICO!$J$3:$J$2002,$B92))</f>
        <v/>
      </c>
      <c r="N92">
        <f>IF($B92="","",INDEX(HISTORICO!$K$3:$K$2002,$B92))</f>
        <v/>
      </c>
      <c r="O92">
        <f>IF($B92="","",INDEX(HISTORICO!$L$3:$L$2002,$B92))</f>
        <v/>
      </c>
      <c r="P92">
        <f>IF($B92="","",INDEX(HISTORICO!$M$3:$M$2002,$B92))</f>
        <v/>
      </c>
      <c r="Q92">
        <f>IF($B92="","",INDEX(HISTORICO!$N$3:$N$2002,$B92))</f>
        <v/>
      </c>
      <c r="R92">
        <f>IF($B92="","",INDEX(HISTORICO!$Q$3:$Q$2002,$B92))</f>
        <v/>
      </c>
      <c r="S92">
        <f>IF($B92="","",INDEX(HISTORICO!$P$3:$P$2002,$B92))</f>
        <v/>
      </c>
      <c r="T92">
        <f>IF($B92="","",INDEX(HISTORICO!$O$3:$O$2002,$B92))</f>
        <v/>
      </c>
      <c r="U92">
        <f>IF($B92="","",INDEX(HISTORICO!$R$3:$R$2002,$B92))</f>
        <v/>
      </c>
      <c r="V92">
        <f>IF($B92="","",INDEX(HISTORICO!$S$3:$S$2002,$B92))</f>
        <v/>
      </c>
      <c r="W92">
        <f>IF($B92="","",INDEX(HISTORICO!$T$3:$T$2002,$B92))</f>
        <v/>
      </c>
      <c r="X92">
        <f>IF($B92="","",INDEX(HISTORICO!$X$3:$X$2002,$B92))</f>
        <v/>
      </c>
      <c r="Y92">
        <f>IF($L92="","",IFERROR(INDEX(CONFIGURACOES!$C$37:$C$300,MATCH($L92,CONFIGURACOES!$B$37:$B$300,0)),""))</f>
        <v/>
      </c>
      <c r="Z92">
        <f>IF($L92="","",IFERROR(INDEX(CONFIGURACOES!$D$37:$D$300,MATCH($L92,CONFIGURACOES!$B$37:$B$300,0)),""))</f>
        <v/>
      </c>
      <c r="AA92">
        <f>IF($L92="","",IFERROR(INDEX(CONFIGURACOES!$E$37:$E$300,MATCH($L92,CONFIGURACOES!$B$37:$B$300,0)),""))</f>
        <v/>
      </c>
      <c r="AB92">
        <f>IF($L92="","",IFERROR(INDEX(CONFIGURACOES!$F$37:$F$300,MATCH($L92,CONFIGURACOES!$B$37:$B$300,0)),""))</f>
        <v/>
      </c>
      <c r="AC92">
        <f>IF($L92="","",IF($X92&lt;&gt;$X91,$AC91+1,$AC91))</f>
        <v/>
      </c>
      <c r="AD92">
        <f>IF($L92="","",IF($X92&lt;&gt;$X91,1,$AD91+1))</f>
        <v/>
      </c>
      <c r="AE92">
        <f>IF($L92="","",$AC92*10+$AD92)</f>
        <v/>
      </c>
      <c r="AF92">
        <f>IF($L92="","",SUMIF($X$2:$X$151,$X92,$U$2:$U$151))</f>
        <v/>
      </c>
      <c r="AG92">
        <f>IF($L92="","",SUMIF($X$2:$X$151,$X92,$W$2:$W$151))</f>
        <v/>
      </c>
    </row>
    <row r="93">
      <c r="A93" t="n">
        <v>92</v>
      </c>
      <c r="B93">
        <f>IFERROR(MATCH($A93,HISTORICO!$Y$3:$Y$2002,0),"")</f>
        <v/>
      </c>
      <c r="C93">
        <f>IF($B93="","",INDEX(HISTORICO!$A$3:$A$2002,$B93))</f>
        <v/>
      </c>
      <c r="D93">
        <f>IF($B93="","",INDEX(HISTORICO!$C$3:$C$2002,$B93))</f>
        <v/>
      </c>
      <c r="E93">
        <f>IF($B93="","",INDEX(HISTORICO!$F$3:$F$2002,$B93))</f>
        <v/>
      </c>
      <c r="F93">
        <f>IF($B93="","",INDEX(HISTORICO!$G$3:$G$2002,$B93))</f>
        <v/>
      </c>
      <c r="G93">
        <f>IF($B93="","",INDEX(HISTORICO!$E$3:$E$2002,$B93))</f>
        <v/>
      </c>
      <c r="H93">
        <f>IF($B93="","",INDEX(HISTORICO!$H$3:$H$2002,$B93))</f>
        <v/>
      </c>
      <c r="I93">
        <f>IF($B93="","",INDEX(HISTORICO!$D$3:$D$2002,$B93))</f>
        <v/>
      </c>
      <c r="J93">
        <f>IF($B93="","",INDEX(HISTORICO!$B$3:$B$2002,$B93))</f>
        <v/>
      </c>
      <c r="K93">
        <f>IF($B93="","",INDEX(HISTORICO!$U$3:$U$2002,$B93))</f>
        <v/>
      </c>
      <c r="L93">
        <f>IF($B93="","",INDEX(HISTORICO!$I$3:$I$2002,$B93))</f>
        <v/>
      </c>
      <c r="M93">
        <f>IF($B93="","",INDEX(HISTORICO!$J$3:$J$2002,$B93))</f>
        <v/>
      </c>
      <c r="N93">
        <f>IF($B93="","",INDEX(HISTORICO!$K$3:$K$2002,$B93))</f>
        <v/>
      </c>
      <c r="O93">
        <f>IF($B93="","",INDEX(HISTORICO!$L$3:$L$2002,$B93))</f>
        <v/>
      </c>
      <c r="P93">
        <f>IF($B93="","",INDEX(HISTORICO!$M$3:$M$2002,$B93))</f>
        <v/>
      </c>
      <c r="Q93">
        <f>IF($B93="","",INDEX(HISTORICO!$N$3:$N$2002,$B93))</f>
        <v/>
      </c>
      <c r="R93">
        <f>IF($B93="","",INDEX(HISTORICO!$Q$3:$Q$2002,$B93))</f>
        <v/>
      </c>
      <c r="S93">
        <f>IF($B93="","",INDEX(HISTORICO!$P$3:$P$2002,$B93))</f>
        <v/>
      </c>
      <c r="T93">
        <f>IF($B93="","",INDEX(HISTORICO!$O$3:$O$2002,$B93))</f>
        <v/>
      </c>
      <c r="U93">
        <f>IF($B93="","",INDEX(HISTORICO!$R$3:$R$2002,$B93))</f>
        <v/>
      </c>
      <c r="V93">
        <f>IF($B93="","",INDEX(HISTORICO!$S$3:$S$2002,$B93))</f>
        <v/>
      </c>
      <c r="W93">
        <f>IF($B93="","",INDEX(HISTORICO!$T$3:$T$2002,$B93))</f>
        <v/>
      </c>
      <c r="X93">
        <f>IF($B93="","",INDEX(HISTORICO!$X$3:$X$2002,$B93))</f>
        <v/>
      </c>
      <c r="Y93">
        <f>IF($L93="","",IFERROR(INDEX(CONFIGURACOES!$C$37:$C$300,MATCH($L93,CONFIGURACOES!$B$37:$B$300,0)),""))</f>
        <v/>
      </c>
      <c r="Z93">
        <f>IF($L93="","",IFERROR(INDEX(CONFIGURACOES!$D$37:$D$300,MATCH($L93,CONFIGURACOES!$B$37:$B$300,0)),""))</f>
        <v/>
      </c>
      <c r="AA93">
        <f>IF($L93="","",IFERROR(INDEX(CONFIGURACOES!$E$37:$E$300,MATCH($L93,CONFIGURACOES!$B$37:$B$300,0)),""))</f>
        <v/>
      </c>
      <c r="AB93">
        <f>IF($L93="","",IFERROR(INDEX(CONFIGURACOES!$F$37:$F$300,MATCH($L93,CONFIGURACOES!$B$37:$B$300,0)),""))</f>
        <v/>
      </c>
      <c r="AC93">
        <f>IF($L93="","",IF($X93&lt;&gt;$X92,$AC92+1,$AC92))</f>
        <v/>
      </c>
      <c r="AD93">
        <f>IF($L93="","",IF($X93&lt;&gt;$X92,1,$AD92+1))</f>
        <v/>
      </c>
      <c r="AE93">
        <f>IF($L93="","",$AC93*10+$AD93)</f>
        <v/>
      </c>
      <c r="AF93">
        <f>IF($L93="","",SUMIF($X$2:$X$151,$X93,$U$2:$U$151))</f>
        <v/>
      </c>
      <c r="AG93">
        <f>IF($L93="","",SUMIF($X$2:$X$151,$X93,$W$2:$W$151))</f>
        <v/>
      </c>
    </row>
    <row r="94">
      <c r="A94" t="n">
        <v>93</v>
      </c>
      <c r="B94">
        <f>IFERROR(MATCH($A94,HISTORICO!$Y$3:$Y$2002,0),"")</f>
        <v/>
      </c>
      <c r="C94">
        <f>IF($B94="","",INDEX(HISTORICO!$A$3:$A$2002,$B94))</f>
        <v/>
      </c>
      <c r="D94">
        <f>IF($B94="","",INDEX(HISTORICO!$C$3:$C$2002,$B94))</f>
        <v/>
      </c>
      <c r="E94">
        <f>IF($B94="","",INDEX(HISTORICO!$F$3:$F$2002,$B94))</f>
        <v/>
      </c>
      <c r="F94">
        <f>IF($B94="","",INDEX(HISTORICO!$G$3:$G$2002,$B94))</f>
        <v/>
      </c>
      <c r="G94">
        <f>IF($B94="","",INDEX(HISTORICO!$E$3:$E$2002,$B94))</f>
        <v/>
      </c>
      <c r="H94">
        <f>IF($B94="","",INDEX(HISTORICO!$H$3:$H$2002,$B94))</f>
        <v/>
      </c>
      <c r="I94">
        <f>IF($B94="","",INDEX(HISTORICO!$D$3:$D$2002,$B94))</f>
        <v/>
      </c>
      <c r="J94">
        <f>IF($B94="","",INDEX(HISTORICO!$B$3:$B$2002,$B94))</f>
        <v/>
      </c>
      <c r="K94">
        <f>IF($B94="","",INDEX(HISTORICO!$U$3:$U$2002,$B94))</f>
        <v/>
      </c>
      <c r="L94">
        <f>IF($B94="","",INDEX(HISTORICO!$I$3:$I$2002,$B94))</f>
        <v/>
      </c>
      <c r="M94">
        <f>IF($B94="","",INDEX(HISTORICO!$J$3:$J$2002,$B94))</f>
        <v/>
      </c>
      <c r="N94">
        <f>IF($B94="","",INDEX(HISTORICO!$K$3:$K$2002,$B94))</f>
        <v/>
      </c>
      <c r="O94">
        <f>IF($B94="","",INDEX(HISTORICO!$L$3:$L$2002,$B94))</f>
        <v/>
      </c>
      <c r="P94">
        <f>IF($B94="","",INDEX(HISTORICO!$M$3:$M$2002,$B94))</f>
        <v/>
      </c>
      <c r="Q94">
        <f>IF($B94="","",INDEX(HISTORICO!$N$3:$N$2002,$B94))</f>
        <v/>
      </c>
      <c r="R94">
        <f>IF($B94="","",INDEX(HISTORICO!$Q$3:$Q$2002,$B94))</f>
        <v/>
      </c>
      <c r="S94">
        <f>IF($B94="","",INDEX(HISTORICO!$P$3:$P$2002,$B94))</f>
        <v/>
      </c>
      <c r="T94">
        <f>IF($B94="","",INDEX(HISTORICO!$O$3:$O$2002,$B94))</f>
        <v/>
      </c>
      <c r="U94">
        <f>IF($B94="","",INDEX(HISTORICO!$R$3:$R$2002,$B94))</f>
        <v/>
      </c>
      <c r="V94">
        <f>IF($B94="","",INDEX(HISTORICO!$S$3:$S$2002,$B94))</f>
        <v/>
      </c>
      <c r="W94">
        <f>IF($B94="","",INDEX(HISTORICO!$T$3:$T$2002,$B94))</f>
        <v/>
      </c>
      <c r="X94">
        <f>IF($B94="","",INDEX(HISTORICO!$X$3:$X$2002,$B94))</f>
        <v/>
      </c>
      <c r="Y94">
        <f>IF($L94="","",IFERROR(INDEX(CONFIGURACOES!$C$37:$C$300,MATCH($L94,CONFIGURACOES!$B$37:$B$300,0)),""))</f>
        <v/>
      </c>
      <c r="Z94">
        <f>IF($L94="","",IFERROR(INDEX(CONFIGURACOES!$D$37:$D$300,MATCH($L94,CONFIGURACOES!$B$37:$B$300,0)),""))</f>
        <v/>
      </c>
      <c r="AA94">
        <f>IF($L94="","",IFERROR(INDEX(CONFIGURACOES!$E$37:$E$300,MATCH($L94,CONFIGURACOES!$B$37:$B$300,0)),""))</f>
        <v/>
      </c>
      <c r="AB94">
        <f>IF($L94="","",IFERROR(INDEX(CONFIGURACOES!$F$37:$F$300,MATCH($L94,CONFIGURACOES!$B$37:$B$300,0)),""))</f>
        <v/>
      </c>
      <c r="AC94">
        <f>IF($L94="","",IF($X94&lt;&gt;$X93,$AC93+1,$AC93))</f>
        <v/>
      </c>
      <c r="AD94">
        <f>IF($L94="","",IF($X94&lt;&gt;$X93,1,$AD93+1))</f>
        <v/>
      </c>
      <c r="AE94">
        <f>IF($L94="","",$AC94*10+$AD94)</f>
        <v/>
      </c>
      <c r="AF94">
        <f>IF($L94="","",SUMIF($X$2:$X$151,$X94,$U$2:$U$151))</f>
        <v/>
      </c>
      <c r="AG94">
        <f>IF($L94="","",SUMIF($X$2:$X$151,$X94,$W$2:$W$151))</f>
        <v/>
      </c>
    </row>
    <row r="95">
      <c r="A95" t="n">
        <v>94</v>
      </c>
      <c r="B95">
        <f>IFERROR(MATCH($A95,HISTORICO!$Y$3:$Y$2002,0),"")</f>
        <v/>
      </c>
      <c r="C95">
        <f>IF($B95="","",INDEX(HISTORICO!$A$3:$A$2002,$B95))</f>
        <v/>
      </c>
      <c r="D95">
        <f>IF($B95="","",INDEX(HISTORICO!$C$3:$C$2002,$B95))</f>
        <v/>
      </c>
      <c r="E95">
        <f>IF($B95="","",INDEX(HISTORICO!$F$3:$F$2002,$B95))</f>
        <v/>
      </c>
      <c r="F95">
        <f>IF($B95="","",INDEX(HISTORICO!$G$3:$G$2002,$B95))</f>
        <v/>
      </c>
      <c r="G95">
        <f>IF($B95="","",INDEX(HISTORICO!$E$3:$E$2002,$B95))</f>
        <v/>
      </c>
      <c r="H95">
        <f>IF($B95="","",INDEX(HISTORICO!$H$3:$H$2002,$B95))</f>
        <v/>
      </c>
      <c r="I95">
        <f>IF($B95="","",INDEX(HISTORICO!$D$3:$D$2002,$B95))</f>
        <v/>
      </c>
      <c r="J95">
        <f>IF($B95="","",INDEX(HISTORICO!$B$3:$B$2002,$B95))</f>
        <v/>
      </c>
      <c r="K95">
        <f>IF($B95="","",INDEX(HISTORICO!$U$3:$U$2002,$B95))</f>
        <v/>
      </c>
      <c r="L95">
        <f>IF($B95="","",INDEX(HISTORICO!$I$3:$I$2002,$B95))</f>
        <v/>
      </c>
      <c r="M95">
        <f>IF($B95="","",INDEX(HISTORICO!$J$3:$J$2002,$B95))</f>
        <v/>
      </c>
      <c r="N95">
        <f>IF($B95="","",INDEX(HISTORICO!$K$3:$K$2002,$B95))</f>
        <v/>
      </c>
      <c r="O95">
        <f>IF($B95="","",INDEX(HISTORICO!$L$3:$L$2002,$B95))</f>
        <v/>
      </c>
      <c r="P95">
        <f>IF($B95="","",INDEX(HISTORICO!$M$3:$M$2002,$B95))</f>
        <v/>
      </c>
      <c r="Q95">
        <f>IF($B95="","",INDEX(HISTORICO!$N$3:$N$2002,$B95))</f>
        <v/>
      </c>
      <c r="R95">
        <f>IF($B95="","",INDEX(HISTORICO!$Q$3:$Q$2002,$B95))</f>
        <v/>
      </c>
      <c r="S95">
        <f>IF($B95="","",INDEX(HISTORICO!$P$3:$P$2002,$B95))</f>
        <v/>
      </c>
      <c r="T95">
        <f>IF($B95="","",INDEX(HISTORICO!$O$3:$O$2002,$B95))</f>
        <v/>
      </c>
      <c r="U95">
        <f>IF($B95="","",INDEX(HISTORICO!$R$3:$R$2002,$B95))</f>
        <v/>
      </c>
      <c r="V95">
        <f>IF($B95="","",INDEX(HISTORICO!$S$3:$S$2002,$B95))</f>
        <v/>
      </c>
      <c r="W95">
        <f>IF($B95="","",INDEX(HISTORICO!$T$3:$T$2002,$B95))</f>
        <v/>
      </c>
      <c r="X95">
        <f>IF($B95="","",INDEX(HISTORICO!$X$3:$X$2002,$B95))</f>
        <v/>
      </c>
      <c r="Y95">
        <f>IF($L95="","",IFERROR(INDEX(CONFIGURACOES!$C$37:$C$300,MATCH($L95,CONFIGURACOES!$B$37:$B$300,0)),""))</f>
        <v/>
      </c>
      <c r="Z95">
        <f>IF($L95="","",IFERROR(INDEX(CONFIGURACOES!$D$37:$D$300,MATCH($L95,CONFIGURACOES!$B$37:$B$300,0)),""))</f>
        <v/>
      </c>
      <c r="AA95">
        <f>IF($L95="","",IFERROR(INDEX(CONFIGURACOES!$E$37:$E$300,MATCH($L95,CONFIGURACOES!$B$37:$B$300,0)),""))</f>
        <v/>
      </c>
      <c r="AB95">
        <f>IF($L95="","",IFERROR(INDEX(CONFIGURACOES!$F$37:$F$300,MATCH($L95,CONFIGURACOES!$B$37:$B$300,0)),""))</f>
        <v/>
      </c>
      <c r="AC95">
        <f>IF($L95="","",IF($X95&lt;&gt;$X94,$AC94+1,$AC94))</f>
        <v/>
      </c>
      <c r="AD95">
        <f>IF($L95="","",IF($X95&lt;&gt;$X94,1,$AD94+1))</f>
        <v/>
      </c>
      <c r="AE95">
        <f>IF($L95="","",$AC95*10+$AD95)</f>
        <v/>
      </c>
      <c r="AF95">
        <f>IF($L95="","",SUMIF($X$2:$X$151,$X95,$U$2:$U$151))</f>
        <v/>
      </c>
      <c r="AG95">
        <f>IF($L95="","",SUMIF($X$2:$X$151,$X95,$W$2:$W$151))</f>
        <v/>
      </c>
    </row>
    <row r="96">
      <c r="A96" t="n">
        <v>95</v>
      </c>
      <c r="B96">
        <f>IFERROR(MATCH($A96,HISTORICO!$Y$3:$Y$2002,0),"")</f>
        <v/>
      </c>
      <c r="C96">
        <f>IF($B96="","",INDEX(HISTORICO!$A$3:$A$2002,$B96))</f>
        <v/>
      </c>
      <c r="D96">
        <f>IF($B96="","",INDEX(HISTORICO!$C$3:$C$2002,$B96))</f>
        <v/>
      </c>
      <c r="E96">
        <f>IF($B96="","",INDEX(HISTORICO!$F$3:$F$2002,$B96))</f>
        <v/>
      </c>
      <c r="F96">
        <f>IF($B96="","",INDEX(HISTORICO!$G$3:$G$2002,$B96))</f>
        <v/>
      </c>
      <c r="G96">
        <f>IF($B96="","",INDEX(HISTORICO!$E$3:$E$2002,$B96))</f>
        <v/>
      </c>
      <c r="H96">
        <f>IF($B96="","",INDEX(HISTORICO!$H$3:$H$2002,$B96))</f>
        <v/>
      </c>
      <c r="I96">
        <f>IF($B96="","",INDEX(HISTORICO!$D$3:$D$2002,$B96))</f>
        <v/>
      </c>
      <c r="J96">
        <f>IF($B96="","",INDEX(HISTORICO!$B$3:$B$2002,$B96))</f>
        <v/>
      </c>
      <c r="K96">
        <f>IF($B96="","",INDEX(HISTORICO!$U$3:$U$2002,$B96))</f>
        <v/>
      </c>
      <c r="L96">
        <f>IF($B96="","",INDEX(HISTORICO!$I$3:$I$2002,$B96))</f>
        <v/>
      </c>
      <c r="M96">
        <f>IF($B96="","",INDEX(HISTORICO!$J$3:$J$2002,$B96))</f>
        <v/>
      </c>
      <c r="N96">
        <f>IF($B96="","",INDEX(HISTORICO!$K$3:$K$2002,$B96))</f>
        <v/>
      </c>
      <c r="O96">
        <f>IF($B96="","",INDEX(HISTORICO!$L$3:$L$2002,$B96))</f>
        <v/>
      </c>
      <c r="P96">
        <f>IF($B96="","",INDEX(HISTORICO!$M$3:$M$2002,$B96))</f>
        <v/>
      </c>
      <c r="Q96">
        <f>IF($B96="","",INDEX(HISTORICO!$N$3:$N$2002,$B96))</f>
        <v/>
      </c>
      <c r="R96">
        <f>IF($B96="","",INDEX(HISTORICO!$Q$3:$Q$2002,$B96))</f>
        <v/>
      </c>
      <c r="S96">
        <f>IF($B96="","",INDEX(HISTORICO!$P$3:$P$2002,$B96))</f>
        <v/>
      </c>
      <c r="T96">
        <f>IF($B96="","",INDEX(HISTORICO!$O$3:$O$2002,$B96))</f>
        <v/>
      </c>
      <c r="U96">
        <f>IF($B96="","",INDEX(HISTORICO!$R$3:$R$2002,$B96))</f>
        <v/>
      </c>
      <c r="V96">
        <f>IF($B96="","",INDEX(HISTORICO!$S$3:$S$2002,$B96))</f>
        <v/>
      </c>
      <c r="W96">
        <f>IF($B96="","",INDEX(HISTORICO!$T$3:$T$2002,$B96))</f>
        <v/>
      </c>
      <c r="X96">
        <f>IF($B96="","",INDEX(HISTORICO!$X$3:$X$2002,$B96))</f>
        <v/>
      </c>
      <c r="Y96">
        <f>IF($L96="","",IFERROR(INDEX(CONFIGURACOES!$C$37:$C$300,MATCH($L96,CONFIGURACOES!$B$37:$B$300,0)),""))</f>
        <v/>
      </c>
      <c r="Z96">
        <f>IF($L96="","",IFERROR(INDEX(CONFIGURACOES!$D$37:$D$300,MATCH($L96,CONFIGURACOES!$B$37:$B$300,0)),""))</f>
        <v/>
      </c>
      <c r="AA96">
        <f>IF($L96="","",IFERROR(INDEX(CONFIGURACOES!$E$37:$E$300,MATCH($L96,CONFIGURACOES!$B$37:$B$300,0)),""))</f>
        <v/>
      </c>
      <c r="AB96">
        <f>IF($L96="","",IFERROR(INDEX(CONFIGURACOES!$F$37:$F$300,MATCH($L96,CONFIGURACOES!$B$37:$B$300,0)),""))</f>
        <v/>
      </c>
      <c r="AC96">
        <f>IF($L96="","",IF($X96&lt;&gt;$X95,$AC95+1,$AC95))</f>
        <v/>
      </c>
      <c r="AD96">
        <f>IF($L96="","",IF($X96&lt;&gt;$X95,1,$AD95+1))</f>
        <v/>
      </c>
      <c r="AE96">
        <f>IF($L96="","",$AC96*10+$AD96)</f>
        <v/>
      </c>
      <c r="AF96">
        <f>IF($L96="","",SUMIF($X$2:$X$151,$X96,$U$2:$U$151))</f>
        <v/>
      </c>
      <c r="AG96">
        <f>IF($L96="","",SUMIF($X$2:$X$151,$X96,$W$2:$W$151))</f>
        <v/>
      </c>
    </row>
    <row r="97">
      <c r="A97" t="n">
        <v>96</v>
      </c>
      <c r="B97">
        <f>IFERROR(MATCH($A97,HISTORICO!$Y$3:$Y$2002,0),"")</f>
        <v/>
      </c>
      <c r="C97">
        <f>IF($B97="","",INDEX(HISTORICO!$A$3:$A$2002,$B97))</f>
        <v/>
      </c>
      <c r="D97">
        <f>IF($B97="","",INDEX(HISTORICO!$C$3:$C$2002,$B97))</f>
        <v/>
      </c>
      <c r="E97">
        <f>IF($B97="","",INDEX(HISTORICO!$F$3:$F$2002,$B97))</f>
        <v/>
      </c>
      <c r="F97">
        <f>IF($B97="","",INDEX(HISTORICO!$G$3:$G$2002,$B97))</f>
        <v/>
      </c>
      <c r="G97">
        <f>IF($B97="","",INDEX(HISTORICO!$E$3:$E$2002,$B97))</f>
        <v/>
      </c>
      <c r="H97">
        <f>IF($B97="","",INDEX(HISTORICO!$H$3:$H$2002,$B97))</f>
        <v/>
      </c>
      <c r="I97">
        <f>IF($B97="","",INDEX(HISTORICO!$D$3:$D$2002,$B97))</f>
        <v/>
      </c>
      <c r="J97">
        <f>IF($B97="","",INDEX(HISTORICO!$B$3:$B$2002,$B97))</f>
        <v/>
      </c>
      <c r="K97">
        <f>IF($B97="","",INDEX(HISTORICO!$U$3:$U$2002,$B97))</f>
        <v/>
      </c>
      <c r="L97">
        <f>IF($B97="","",INDEX(HISTORICO!$I$3:$I$2002,$B97))</f>
        <v/>
      </c>
      <c r="M97">
        <f>IF($B97="","",INDEX(HISTORICO!$J$3:$J$2002,$B97))</f>
        <v/>
      </c>
      <c r="N97">
        <f>IF($B97="","",INDEX(HISTORICO!$K$3:$K$2002,$B97))</f>
        <v/>
      </c>
      <c r="O97">
        <f>IF($B97="","",INDEX(HISTORICO!$L$3:$L$2002,$B97))</f>
        <v/>
      </c>
      <c r="P97">
        <f>IF($B97="","",INDEX(HISTORICO!$M$3:$M$2002,$B97))</f>
        <v/>
      </c>
      <c r="Q97">
        <f>IF($B97="","",INDEX(HISTORICO!$N$3:$N$2002,$B97))</f>
        <v/>
      </c>
      <c r="R97">
        <f>IF($B97="","",INDEX(HISTORICO!$Q$3:$Q$2002,$B97))</f>
        <v/>
      </c>
      <c r="S97">
        <f>IF($B97="","",INDEX(HISTORICO!$P$3:$P$2002,$B97))</f>
        <v/>
      </c>
      <c r="T97">
        <f>IF($B97="","",INDEX(HISTORICO!$O$3:$O$2002,$B97))</f>
        <v/>
      </c>
      <c r="U97">
        <f>IF($B97="","",INDEX(HISTORICO!$R$3:$R$2002,$B97))</f>
        <v/>
      </c>
      <c r="V97">
        <f>IF($B97="","",INDEX(HISTORICO!$S$3:$S$2002,$B97))</f>
        <v/>
      </c>
      <c r="W97">
        <f>IF($B97="","",INDEX(HISTORICO!$T$3:$T$2002,$B97))</f>
        <v/>
      </c>
      <c r="X97">
        <f>IF($B97="","",INDEX(HISTORICO!$X$3:$X$2002,$B97))</f>
        <v/>
      </c>
      <c r="Y97">
        <f>IF($L97="","",IFERROR(INDEX(CONFIGURACOES!$C$37:$C$300,MATCH($L97,CONFIGURACOES!$B$37:$B$300,0)),""))</f>
        <v/>
      </c>
      <c r="Z97">
        <f>IF($L97="","",IFERROR(INDEX(CONFIGURACOES!$D$37:$D$300,MATCH($L97,CONFIGURACOES!$B$37:$B$300,0)),""))</f>
        <v/>
      </c>
      <c r="AA97">
        <f>IF($L97="","",IFERROR(INDEX(CONFIGURACOES!$E$37:$E$300,MATCH($L97,CONFIGURACOES!$B$37:$B$300,0)),""))</f>
        <v/>
      </c>
      <c r="AB97">
        <f>IF($L97="","",IFERROR(INDEX(CONFIGURACOES!$F$37:$F$300,MATCH($L97,CONFIGURACOES!$B$37:$B$300,0)),""))</f>
        <v/>
      </c>
      <c r="AC97">
        <f>IF($L97="","",IF($X97&lt;&gt;$X96,$AC96+1,$AC96))</f>
        <v/>
      </c>
      <c r="AD97">
        <f>IF($L97="","",IF($X97&lt;&gt;$X96,1,$AD96+1))</f>
        <v/>
      </c>
      <c r="AE97">
        <f>IF($L97="","",$AC97*10+$AD97)</f>
        <v/>
      </c>
      <c r="AF97">
        <f>IF($L97="","",SUMIF($X$2:$X$151,$X97,$U$2:$U$151))</f>
        <v/>
      </c>
      <c r="AG97">
        <f>IF($L97="","",SUMIF($X$2:$X$151,$X97,$W$2:$W$151))</f>
        <v/>
      </c>
    </row>
    <row r="98">
      <c r="A98" t="n">
        <v>97</v>
      </c>
      <c r="B98">
        <f>IFERROR(MATCH($A98,HISTORICO!$Y$3:$Y$2002,0),"")</f>
        <v/>
      </c>
      <c r="C98">
        <f>IF($B98="","",INDEX(HISTORICO!$A$3:$A$2002,$B98))</f>
        <v/>
      </c>
      <c r="D98">
        <f>IF($B98="","",INDEX(HISTORICO!$C$3:$C$2002,$B98))</f>
        <v/>
      </c>
      <c r="E98">
        <f>IF($B98="","",INDEX(HISTORICO!$F$3:$F$2002,$B98))</f>
        <v/>
      </c>
      <c r="F98">
        <f>IF($B98="","",INDEX(HISTORICO!$G$3:$G$2002,$B98))</f>
        <v/>
      </c>
      <c r="G98">
        <f>IF($B98="","",INDEX(HISTORICO!$E$3:$E$2002,$B98))</f>
        <v/>
      </c>
      <c r="H98">
        <f>IF($B98="","",INDEX(HISTORICO!$H$3:$H$2002,$B98))</f>
        <v/>
      </c>
      <c r="I98">
        <f>IF($B98="","",INDEX(HISTORICO!$D$3:$D$2002,$B98))</f>
        <v/>
      </c>
      <c r="J98">
        <f>IF($B98="","",INDEX(HISTORICO!$B$3:$B$2002,$B98))</f>
        <v/>
      </c>
      <c r="K98">
        <f>IF($B98="","",INDEX(HISTORICO!$U$3:$U$2002,$B98))</f>
        <v/>
      </c>
      <c r="L98">
        <f>IF($B98="","",INDEX(HISTORICO!$I$3:$I$2002,$B98))</f>
        <v/>
      </c>
      <c r="M98">
        <f>IF($B98="","",INDEX(HISTORICO!$J$3:$J$2002,$B98))</f>
        <v/>
      </c>
      <c r="N98">
        <f>IF($B98="","",INDEX(HISTORICO!$K$3:$K$2002,$B98))</f>
        <v/>
      </c>
      <c r="O98">
        <f>IF($B98="","",INDEX(HISTORICO!$L$3:$L$2002,$B98))</f>
        <v/>
      </c>
      <c r="P98">
        <f>IF($B98="","",INDEX(HISTORICO!$M$3:$M$2002,$B98))</f>
        <v/>
      </c>
      <c r="Q98">
        <f>IF($B98="","",INDEX(HISTORICO!$N$3:$N$2002,$B98))</f>
        <v/>
      </c>
      <c r="R98">
        <f>IF($B98="","",INDEX(HISTORICO!$Q$3:$Q$2002,$B98))</f>
        <v/>
      </c>
      <c r="S98">
        <f>IF($B98="","",INDEX(HISTORICO!$P$3:$P$2002,$B98))</f>
        <v/>
      </c>
      <c r="T98">
        <f>IF($B98="","",INDEX(HISTORICO!$O$3:$O$2002,$B98))</f>
        <v/>
      </c>
      <c r="U98">
        <f>IF($B98="","",INDEX(HISTORICO!$R$3:$R$2002,$B98))</f>
        <v/>
      </c>
      <c r="V98">
        <f>IF($B98="","",INDEX(HISTORICO!$S$3:$S$2002,$B98))</f>
        <v/>
      </c>
      <c r="W98">
        <f>IF($B98="","",INDEX(HISTORICO!$T$3:$T$2002,$B98))</f>
        <v/>
      </c>
      <c r="X98">
        <f>IF($B98="","",INDEX(HISTORICO!$X$3:$X$2002,$B98))</f>
        <v/>
      </c>
      <c r="Y98">
        <f>IF($L98="","",IFERROR(INDEX(CONFIGURACOES!$C$37:$C$300,MATCH($L98,CONFIGURACOES!$B$37:$B$300,0)),""))</f>
        <v/>
      </c>
      <c r="Z98">
        <f>IF($L98="","",IFERROR(INDEX(CONFIGURACOES!$D$37:$D$300,MATCH($L98,CONFIGURACOES!$B$37:$B$300,0)),""))</f>
        <v/>
      </c>
      <c r="AA98">
        <f>IF($L98="","",IFERROR(INDEX(CONFIGURACOES!$E$37:$E$300,MATCH($L98,CONFIGURACOES!$B$37:$B$300,0)),""))</f>
        <v/>
      </c>
      <c r="AB98">
        <f>IF($L98="","",IFERROR(INDEX(CONFIGURACOES!$F$37:$F$300,MATCH($L98,CONFIGURACOES!$B$37:$B$300,0)),""))</f>
        <v/>
      </c>
      <c r="AC98">
        <f>IF($L98="","",IF($X98&lt;&gt;$X97,$AC97+1,$AC97))</f>
        <v/>
      </c>
      <c r="AD98">
        <f>IF($L98="","",IF($X98&lt;&gt;$X97,1,$AD97+1))</f>
        <v/>
      </c>
      <c r="AE98">
        <f>IF($L98="","",$AC98*10+$AD98)</f>
        <v/>
      </c>
      <c r="AF98">
        <f>IF($L98="","",SUMIF($X$2:$X$151,$X98,$U$2:$U$151))</f>
        <v/>
      </c>
      <c r="AG98">
        <f>IF($L98="","",SUMIF($X$2:$X$151,$X98,$W$2:$W$151))</f>
        <v/>
      </c>
    </row>
    <row r="99">
      <c r="A99" t="n">
        <v>98</v>
      </c>
      <c r="B99">
        <f>IFERROR(MATCH($A99,HISTORICO!$Y$3:$Y$2002,0),"")</f>
        <v/>
      </c>
      <c r="C99">
        <f>IF($B99="","",INDEX(HISTORICO!$A$3:$A$2002,$B99))</f>
        <v/>
      </c>
      <c r="D99">
        <f>IF($B99="","",INDEX(HISTORICO!$C$3:$C$2002,$B99))</f>
        <v/>
      </c>
      <c r="E99">
        <f>IF($B99="","",INDEX(HISTORICO!$F$3:$F$2002,$B99))</f>
        <v/>
      </c>
      <c r="F99">
        <f>IF($B99="","",INDEX(HISTORICO!$G$3:$G$2002,$B99))</f>
        <v/>
      </c>
      <c r="G99">
        <f>IF($B99="","",INDEX(HISTORICO!$E$3:$E$2002,$B99))</f>
        <v/>
      </c>
      <c r="H99">
        <f>IF($B99="","",INDEX(HISTORICO!$H$3:$H$2002,$B99))</f>
        <v/>
      </c>
      <c r="I99">
        <f>IF($B99="","",INDEX(HISTORICO!$D$3:$D$2002,$B99))</f>
        <v/>
      </c>
      <c r="J99">
        <f>IF($B99="","",INDEX(HISTORICO!$B$3:$B$2002,$B99))</f>
        <v/>
      </c>
      <c r="K99">
        <f>IF($B99="","",INDEX(HISTORICO!$U$3:$U$2002,$B99))</f>
        <v/>
      </c>
      <c r="L99">
        <f>IF($B99="","",INDEX(HISTORICO!$I$3:$I$2002,$B99))</f>
        <v/>
      </c>
      <c r="M99">
        <f>IF($B99="","",INDEX(HISTORICO!$J$3:$J$2002,$B99))</f>
        <v/>
      </c>
      <c r="N99">
        <f>IF($B99="","",INDEX(HISTORICO!$K$3:$K$2002,$B99))</f>
        <v/>
      </c>
      <c r="O99">
        <f>IF($B99="","",INDEX(HISTORICO!$L$3:$L$2002,$B99))</f>
        <v/>
      </c>
      <c r="P99">
        <f>IF($B99="","",INDEX(HISTORICO!$M$3:$M$2002,$B99))</f>
        <v/>
      </c>
      <c r="Q99">
        <f>IF($B99="","",INDEX(HISTORICO!$N$3:$N$2002,$B99))</f>
        <v/>
      </c>
      <c r="R99">
        <f>IF($B99="","",INDEX(HISTORICO!$Q$3:$Q$2002,$B99))</f>
        <v/>
      </c>
      <c r="S99">
        <f>IF($B99="","",INDEX(HISTORICO!$P$3:$P$2002,$B99))</f>
        <v/>
      </c>
      <c r="T99">
        <f>IF($B99="","",INDEX(HISTORICO!$O$3:$O$2002,$B99))</f>
        <v/>
      </c>
      <c r="U99">
        <f>IF($B99="","",INDEX(HISTORICO!$R$3:$R$2002,$B99))</f>
        <v/>
      </c>
      <c r="V99">
        <f>IF($B99="","",INDEX(HISTORICO!$S$3:$S$2002,$B99))</f>
        <v/>
      </c>
      <c r="W99">
        <f>IF($B99="","",INDEX(HISTORICO!$T$3:$T$2002,$B99))</f>
        <v/>
      </c>
      <c r="X99">
        <f>IF($B99="","",INDEX(HISTORICO!$X$3:$X$2002,$B99))</f>
        <v/>
      </c>
      <c r="Y99">
        <f>IF($L99="","",IFERROR(INDEX(CONFIGURACOES!$C$37:$C$300,MATCH($L99,CONFIGURACOES!$B$37:$B$300,0)),""))</f>
        <v/>
      </c>
      <c r="Z99">
        <f>IF($L99="","",IFERROR(INDEX(CONFIGURACOES!$D$37:$D$300,MATCH($L99,CONFIGURACOES!$B$37:$B$300,0)),""))</f>
        <v/>
      </c>
      <c r="AA99">
        <f>IF($L99="","",IFERROR(INDEX(CONFIGURACOES!$E$37:$E$300,MATCH($L99,CONFIGURACOES!$B$37:$B$300,0)),""))</f>
        <v/>
      </c>
      <c r="AB99">
        <f>IF($L99="","",IFERROR(INDEX(CONFIGURACOES!$F$37:$F$300,MATCH($L99,CONFIGURACOES!$B$37:$B$300,0)),""))</f>
        <v/>
      </c>
      <c r="AC99">
        <f>IF($L99="","",IF($X99&lt;&gt;$X98,$AC98+1,$AC98))</f>
        <v/>
      </c>
      <c r="AD99">
        <f>IF($L99="","",IF($X99&lt;&gt;$X98,1,$AD98+1))</f>
        <v/>
      </c>
      <c r="AE99">
        <f>IF($L99="","",$AC99*10+$AD99)</f>
        <v/>
      </c>
      <c r="AF99">
        <f>IF($L99="","",SUMIF($X$2:$X$151,$X99,$U$2:$U$151))</f>
        <v/>
      </c>
      <c r="AG99">
        <f>IF($L99="","",SUMIF($X$2:$X$151,$X99,$W$2:$W$151))</f>
        <v/>
      </c>
    </row>
    <row r="100">
      <c r="A100" t="n">
        <v>99</v>
      </c>
      <c r="B100">
        <f>IFERROR(MATCH($A100,HISTORICO!$Y$3:$Y$2002,0),"")</f>
        <v/>
      </c>
      <c r="C100">
        <f>IF($B100="","",INDEX(HISTORICO!$A$3:$A$2002,$B100))</f>
        <v/>
      </c>
      <c r="D100">
        <f>IF($B100="","",INDEX(HISTORICO!$C$3:$C$2002,$B100))</f>
        <v/>
      </c>
      <c r="E100">
        <f>IF($B100="","",INDEX(HISTORICO!$F$3:$F$2002,$B100))</f>
        <v/>
      </c>
      <c r="F100">
        <f>IF($B100="","",INDEX(HISTORICO!$G$3:$G$2002,$B100))</f>
        <v/>
      </c>
      <c r="G100">
        <f>IF($B100="","",INDEX(HISTORICO!$E$3:$E$2002,$B100))</f>
        <v/>
      </c>
      <c r="H100">
        <f>IF($B100="","",INDEX(HISTORICO!$H$3:$H$2002,$B100))</f>
        <v/>
      </c>
      <c r="I100">
        <f>IF($B100="","",INDEX(HISTORICO!$D$3:$D$2002,$B100))</f>
        <v/>
      </c>
      <c r="J100">
        <f>IF($B100="","",INDEX(HISTORICO!$B$3:$B$2002,$B100))</f>
        <v/>
      </c>
      <c r="K100">
        <f>IF($B100="","",INDEX(HISTORICO!$U$3:$U$2002,$B100))</f>
        <v/>
      </c>
      <c r="L100">
        <f>IF($B100="","",INDEX(HISTORICO!$I$3:$I$2002,$B100))</f>
        <v/>
      </c>
      <c r="M100">
        <f>IF($B100="","",INDEX(HISTORICO!$J$3:$J$2002,$B100))</f>
        <v/>
      </c>
      <c r="N100">
        <f>IF($B100="","",INDEX(HISTORICO!$K$3:$K$2002,$B100))</f>
        <v/>
      </c>
      <c r="O100">
        <f>IF($B100="","",INDEX(HISTORICO!$L$3:$L$2002,$B100))</f>
        <v/>
      </c>
      <c r="P100">
        <f>IF($B100="","",INDEX(HISTORICO!$M$3:$M$2002,$B100))</f>
        <v/>
      </c>
      <c r="Q100">
        <f>IF($B100="","",INDEX(HISTORICO!$N$3:$N$2002,$B100))</f>
        <v/>
      </c>
      <c r="R100">
        <f>IF($B100="","",INDEX(HISTORICO!$Q$3:$Q$2002,$B100))</f>
        <v/>
      </c>
      <c r="S100">
        <f>IF($B100="","",INDEX(HISTORICO!$P$3:$P$2002,$B100))</f>
        <v/>
      </c>
      <c r="T100">
        <f>IF($B100="","",INDEX(HISTORICO!$O$3:$O$2002,$B100))</f>
        <v/>
      </c>
      <c r="U100">
        <f>IF($B100="","",INDEX(HISTORICO!$R$3:$R$2002,$B100))</f>
        <v/>
      </c>
      <c r="V100">
        <f>IF($B100="","",INDEX(HISTORICO!$S$3:$S$2002,$B100))</f>
        <v/>
      </c>
      <c r="W100">
        <f>IF($B100="","",INDEX(HISTORICO!$T$3:$T$2002,$B100))</f>
        <v/>
      </c>
      <c r="X100">
        <f>IF($B100="","",INDEX(HISTORICO!$X$3:$X$2002,$B100))</f>
        <v/>
      </c>
      <c r="Y100">
        <f>IF($L100="","",IFERROR(INDEX(CONFIGURACOES!$C$37:$C$300,MATCH($L100,CONFIGURACOES!$B$37:$B$300,0)),""))</f>
        <v/>
      </c>
      <c r="Z100">
        <f>IF($L100="","",IFERROR(INDEX(CONFIGURACOES!$D$37:$D$300,MATCH($L100,CONFIGURACOES!$B$37:$B$300,0)),""))</f>
        <v/>
      </c>
      <c r="AA100">
        <f>IF($L100="","",IFERROR(INDEX(CONFIGURACOES!$E$37:$E$300,MATCH($L100,CONFIGURACOES!$B$37:$B$300,0)),""))</f>
        <v/>
      </c>
      <c r="AB100">
        <f>IF($L100="","",IFERROR(INDEX(CONFIGURACOES!$F$37:$F$300,MATCH($L100,CONFIGURACOES!$B$37:$B$300,0)),""))</f>
        <v/>
      </c>
      <c r="AC100">
        <f>IF($L100="","",IF($X100&lt;&gt;$X99,$AC99+1,$AC99))</f>
        <v/>
      </c>
      <c r="AD100">
        <f>IF($L100="","",IF($X100&lt;&gt;$X99,1,$AD99+1))</f>
        <v/>
      </c>
      <c r="AE100">
        <f>IF($L100="","",$AC100*10+$AD100)</f>
        <v/>
      </c>
      <c r="AF100">
        <f>IF($L100="","",SUMIF($X$2:$X$151,$X100,$U$2:$U$151))</f>
        <v/>
      </c>
      <c r="AG100">
        <f>IF($L100="","",SUMIF($X$2:$X$151,$X100,$W$2:$W$151))</f>
        <v/>
      </c>
    </row>
    <row r="101">
      <c r="A101" t="n">
        <v>100</v>
      </c>
      <c r="B101">
        <f>IFERROR(MATCH($A101,HISTORICO!$Y$3:$Y$2002,0),"")</f>
        <v/>
      </c>
      <c r="C101">
        <f>IF($B101="","",INDEX(HISTORICO!$A$3:$A$2002,$B101))</f>
        <v/>
      </c>
      <c r="D101">
        <f>IF($B101="","",INDEX(HISTORICO!$C$3:$C$2002,$B101))</f>
        <v/>
      </c>
      <c r="E101">
        <f>IF($B101="","",INDEX(HISTORICO!$F$3:$F$2002,$B101))</f>
        <v/>
      </c>
      <c r="F101">
        <f>IF($B101="","",INDEX(HISTORICO!$G$3:$G$2002,$B101))</f>
        <v/>
      </c>
      <c r="G101">
        <f>IF($B101="","",INDEX(HISTORICO!$E$3:$E$2002,$B101))</f>
        <v/>
      </c>
      <c r="H101">
        <f>IF($B101="","",INDEX(HISTORICO!$H$3:$H$2002,$B101))</f>
        <v/>
      </c>
      <c r="I101">
        <f>IF($B101="","",INDEX(HISTORICO!$D$3:$D$2002,$B101))</f>
        <v/>
      </c>
      <c r="J101">
        <f>IF($B101="","",INDEX(HISTORICO!$B$3:$B$2002,$B101))</f>
        <v/>
      </c>
      <c r="K101">
        <f>IF($B101="","",INDEX(HISTORICO!$U$3:$U$2002,$B101))</f>
        <v/>
      </c>
      <c r="L101">
        <f>IF($B101="","",INDEX(HISTORICO!$I$3:$I$2002,$B101))</f>
        <v/>
      </c>
      <c r="M101">
        <f>IF($B101="","",INDEX(HISTORICO!$J$3:$J$2002,$B101))</f>
        <v/>
      </c>
      <c r="N101">
        <f>IF($B101="","",INDEX(HISTORICO!$K$3:$K$2002,$B101))</f>
        <v/>
      </c>
      <c r="O101">
        <f>IF($B101="","",INDEX(HISTORICO!$L$3:$L$2002,$B101))</f>
        <v/>
      </c>
      <c r="P101">
        <f>IF($B101="","",INDEX(HISTORICO!$M$3:$M$2002,$B101))</f>
        <v/>
      </c>
      <c r="Q101">
        <f>IF($B101="","",INDEX(HISTORICO!$N$3:$N$2002,$B101))</f>
        <v/>
      </c>
      <c r="R101">
        <f>IF($B101="","",INDEX(HISTORICO!$Q$3:$Q$2002,$B101))</f>
        <v/>
      </c>
      <c r="S101">
        <f>IF($B101="","",INDEX(HISTORICO!$P$3:$P$2002,$B101))</f>
        <v/>
      </c>
      <c r="T101">
        <f>IF($B101="","",INDEX(HISTORICO!$O$3:$O$2002,$B101))</f>
        <v/>
      </c>
      <c r="U101">
        <f>IF($B101="","",INDEX(HISTORICO!$R$3:$R$2002,$B101))</f>
        <v/>
      </c>
      <c r="V101">
        <f>IF($B101="","",INDEX(HISTORICO!$S$3:$S$2002,$B101))</f>
        <v/>
      </c>
      <c r="W101">
        <f>IF($B101="","",INDEX(HISTORICO!$T$3:$T$2002,$B101))</f>
        <v/>
      </c>
      <c r="X101">
        <f>IF($B101="","",INDEX(HISTORICO!$X$3:$X$2002,$B101))</f>
        <v/>
      </c>
      <c r="Y101">
        <f>IF($L101="","",IFERROR(INDEX(CONFIGURACOES!$C$37:$C$300,MATCH($L101,CONFIGURACOES!$B$37:$B$300,0)),""))</f>
        <v/>
      </c>
      <c r="Z101">
        <f>IF($L101="","",IFERROR(INDEX(CONFIGURACOES!$D$37:$D$300,MATCH($L101,CONFIGURACOES!$B$37:$B$300,0)),""))</f>
        <v/>
      </c>
      <c r="AA101">
        <f>IF($L101="","",IFERROR(INDEX(CONFIGURACOES!$E$37:$E$300,MATCH($L101,CONFIGURACOES!$B$37:$B$300,0)),""))</f>
        <v/>
      </c>
      <c r="AB101">
        <f>IF($L101="","",IFERROR(INDEX(CONFIGURACOES!$F$37:$F$300,MATCH($L101,CONFIGURACOES!$B$37:$B$300,0)),""))</f>
        <v/>
      </c>
      <c r="AC101">
        <f>IF($L101="","",IF($X101&lt;&gt;$X100,$AC100+1,$AC100))</f>
        <v/>
      </c>
      <c r="AD101">
        <f>IF($L101="","",IF($X101&lt;&gt;$X100,1,$AD100+1))</f>
        <v/>
      </c>
      <c r="AE101">
        <f>IF($L101="","",$AC101*10+$AD101)</f>
        <v/>
      </c>
      <c r="AF101">
        <f>IF($L101="","",SUMIF($X$2:$X$151,$X101,$U$2:$U$151))</f>
        <v/>
      </c>
      <c r="AG101">
        <f>IF($L101="","",SUMIF($X$2:$X$151,$X101,$W$2:$W$151))</f>
        <v/>
      </c>
    </row>
    <row r="102">
      <c r="A102" t="n">
        <v>101</v>
      </c>
      <c r="B102">
        <f>IFERROR(MATCH($A102,HISTORICO!$Y$3:$Y$2002,0),"")</f>
        <v/>
      </c>
      <c r="C102">
        <f>IF($B102="","",INDEX(HISTORICO!$A$3:$A$2002,$B102))</f>
        <v/>
      </c>
      <c r="D102">
        <f>IF($B102="","",INDEX(HISTORICO!$C$3:$C$2002,$B102))</f>
        <v/>
      </c>
      <c r="E102">
        <f>IF($B102="","",INDEX(HISTORICO!$F$3:$F$2002,$B102))</f>
        <v/>
      </c>
      <c r="F102">
        <f>IF($B102="","",INDEX(HISTORICO!$G$3:$G$2002,$B102))</f>
        <v/>
      </c>
      <c r="G102">
        <f>IF($B102="","",INDEX(HISTORICO!$E$3:$E$2002,$B102))</f>
        <v/>
      </c>
      <c r="H102">
        <f>IF($B102="","",INDEX(HISTORICO!$H$3:$H$2002,$B102))</f>
        <v/>
      </c>
      <c r="I102">
        <f>IF($B102="","",INDEX(HISTORICO!$D$3:$D$2002,$B102))</f>
        <v/>
      </c>
      <c r="J102">
        <f>IF($B102="","",INDEX(HISTORICO!$B$3:$B$2002,$B102))</f>
        <v/>
      </c>
      <c r="K102">
        <f>IF($B102="","",INDEX(HISTORICO!$U$3:$U$2002,$B102))</f>
        <v/>
      </c>
      <c r="L102">
        <f>IF($B102="","",INDEX(HISTORICO!$I$3:$I$2002,$B102))</f>
        <v/>
      </c>
      <c r="M102">
        <f>IF($B102="","",INDEX(HISTORICO!$J$3:$J$2002,$B102))</f>
        <v/>
      </c>
      <c r="N102">
        <f>IF($B102="","",INDEX(HISTORICO!$K$3:$K$2002,$B102))</f>
        <v/>
      </c>
      <c r="O102">
        <f>IF($B102="","",INDEX(HISTORICO!$L$3:$L$2002,$B102))</f>
        <v/>
      </c>
      <c r="P102">
        <f>IF($B102="","",INDEX(HISTORICO!$M$3:$M$2002,$B102))</f>
        <v/>
      </c>
      <c r="Q102">
        <f>IF($B102="","",INDEX(HISTORICO!$N$3:$N$2002,$B102))</f>
        <v/>
      </c>
      <c r="R102">
        <f>IF($B102="","",INDEX(HISTORICO!$Q$3:$Q$2002,$B102))</f>
        <v/>
      </c>
      <c r="S102">
        <f>IF($B102="","",INDEX(HISTORICO!$P$3:$P$2002,$B102))</f>
        <v/>
      </c>
      <c r="T102">
        <f>IF($B102="","",INDEX(HISTORICO!$O$3:$O$2002,$B102))</f>
        <v/>
      </c>
      <c r="U102">
        <f>IF($B102="","",INDEX(HISTORICO!$R$3:$R$2002,$B102))</f>
        <v/>
      </c>
      <c r="V102">
        <f>IF($B102="","",INDEX(HISTORICO!$S$3:$S$2002,$B102))</f>
        <v/>
      </c>
      <c r="W102">
        <f>IF($B102="","",INDEX(HISTORICO!$T$3:$T$2002,$B102))</f>
        <v/>
      </c>
      <c r="X102">
        <f>IF($B102="","",INDEX(HISTORICO!$X$3:$X$2002,$B102))</f>
        <v/>
      </c>
      <c r="Y102">
        <f>IF($L102="","",IFERROR(INDEX(CONFIGURACOES!$C$37:$C$300,MATCH($L102,CONFIGURACOES!$B$37:$B$300,0)),""))</f>
        <v/>
      </c>
      <c r="Z102">
        <f>IF($L102="","",IFERROR(INDEX(CONFIGURACOES!$D$37:$D$300,MATCH($L102,CONFIGURACOES!$B$37:$B$300,0)),""))</f>
        <v/>
      </c>
      <c r="AA102">
        <f>IF($L102="","",IFERROR(INDEX(CONFIGURACOES!$E$37:$E$300,MATCH($L102,CONFIGURACOES!$B$37:$B$300,0)),""))</f>
        <v/>
      </c>
      <c r="AB102">
        <f>IF($L102="","",IFERROR(INDEX(CONFIGURACOES!$F$37:$F$300,MATCH($L102,CONFIGURACOES!$B$37:$B$300,0)),""))</f>
        <v/>
      </c>
      <c r="AC102">
        <f>IF($L102="","",IF($X102&lt;&gt;$X101,$AC101+1,$AC101))</f>
        <v/>
      </c>
      <c r="AD102">
        <f>IF($L102="","",IF($X102&lt;&gt;$X101,1,$AD101+1))</f>
        <v/>
      </c>
      <c r="AE102">
        <f>IF($L102="","",$AC102*10+$AD102)</f>
        <v/>
      </c>
      <c r="AF102">
        <f>IF($L102="","",SUMIF($X$2:$X$151,$X102,$U$2:$U$151))</f>
        <v/>
      </c>
      <c r="AG102">
        <f>IF($L102="","",SUMIF($X$2:$X$151,$X102,$W$2:$W$151))</f>
        <v/>
      </c>
    </row>
    <row r="103">
      <c r="A103" t="n">
        <v>102</v>
      </c>
      <c r="B103">
        <f>IFERROR(MATCH($A103,HISTORICO!$Y$3:$Y$2002,0),"")</f>
        <v/>
      </c>
      <c r="C103">
        <f>IF($B103="","",INDEX(HISTORICO!$A$3:$A$2002,$B103))</f>
        <v/>
      </c>
      <c r="D103">
        <f>IF($B103="","",INDEX(HISTORICO!$C$3:$C$2002,$B103))</f>
        <v/>
      </c>
      <c r="E103">
        <f>IF($B103="","",INDEX(HISTORICO!$F$3:$F$2002,$B103))</f>
        <v/>
      </c>
      <c r="F103">
        <f>IF($B103="","",INDEX(HISTORICO!$G$3:$G$2002,$B103))</f>
        <v/>
      </c>
      <c r="G103">
        <f>IF($B103="","",INDEX(HISTORICO!$E$3:$E$2002,$B103))</f>
        <v/>
      </c>
      <c r="H103">
        <f>IF($B103="","",INDEX(HISTORICO!$H$3:$H$2002,$B103))</f>
        <v/>
      </c>
      <c r="I103">
        <f>IF($B103="","",INDEX(HISTORICO!$D$3:$D$2002,$B103))</f>
        <v/>
      </c>
      <c r="J103">
        <f>IF($B103="","",INDEX(HISTORICO!$B$3:$B$2002,$B103))</f>
        <v/>
      </c>
      <c r="K103">
        <f>IF($B103="","",INDEX(HISTORICO!$U$3:$U$2002,$B103))</f>
        <v/>
      </c>
      <c r="L103">
        <f>IF($B103="","",INDEX(HISTORICO!$I$3:$I$2002,$B103))</f>
        <v/>
      </c>
      <c r="M103">
        <f>IF($B103="","",INDEX(HISTORICO!$J$3:$J$2002,$B103))</f>
        <v/>
      </c>
      <c r="N103">
        <f>IF($B103="","",INDEX(HISTORICO!$K$3:$K$2002,$B103))</f>
        <v/>
      </c>
      <c r="O103">
        <f>IF($B103="","",INDEX(HISTORICO!$L$3:$L$2002,$B103))</f>
        <v/>
      </c>
      <c r="P103">
        <f>IF($B103="","",INDEX(HISTORICO!$M$3:$M$2002,$B103))</f>
        <v/>
      </c>
      <c r="Q103">
        <f>IF($B103="","",INDEX(HISTORICO!$N$3:$N$2002,$B103))</f>
        <v/>
      </c>
      <c r="R103">
        <f>IF($B103="","",INDEX(HISTORICO!$Q$3:$Q$2002,$B103))</f>
        <v/>
      </c>
      <c r="S103">
        <f>IF($B103="","",INDEX(HISTORICO!$P$3:$P$2002,$B103))</f>
        <v/>
      </c>
      <c r="T103">
        <f>IF($B103="","",INDEX(HISTORICO!$O$3:$O$2002,$B103))</f>
        <v/>
      </c>
      <c r="U103">
        <f>IF($B103="","",INDEX(HISTORICO!$R$3:$R$2002,$B103))</f>
        <v/>
      </c>
      <c r="V103">
        <f>IF($B103="","",INDEX(HISTORICO!$S$3:$S$2002,$B103))</f>
        <v/>
      </c>
      <c r="W103">
        <f>IF($B103="","",INDEX(HISTORICO!$T$3:$T$2002,$B103))</f>
        <v/>
      </c>
      <c r="X103">
        <f>IF($B103="","",INDEX(HISTORICO!$X$3:$X$2002,$B103))</f>
        <v/>
      </c>
      <c r="Y103">
        <f>IF($L103="","",IFERROR(INDEX(CONFIGURACOES!$C$37:$C$300,MATCH($L103,CONFIGURACOES!$B$37:$B$300,0)),""))</f>
        <v/>
      </c>
      <c r="Z103">
        <f>IF($L103="","",IFERROR(INDEX(CONFIGURACOES!$D$37:$D$300,MATCH($L103,CONFIGURACOES!$B$37:$B$300,0)),""))</f>
        <v/>
      </c>
      <c r="AA103">
        <f>IF($L103="","",IFERROR(INDEX(CONFIGURACOES!$E$37:$E$300,MATCH($L103,CONFIGURACOES!$B$37:$B$300,0)),""))</f>
        <v/>
      </c>
      <c r="AB103">
        <f>IF($L103="","",IFERROR(INDEX(CONFIGURACOES!$F$37:$F$300,MATCH($L103,CONFIGURACOES!$B$37:$B$300,0)),""))</f>
        <v/>
      </c>
      <c r="AC103">
        <f>IF($L103="","",IF($X103&lt;&gt;$X102,$AC102+1,$AC102))</f>
        <v/>
      </c>
      <c r="AD103">
        <f>IF($L103="","",IF($X103&lt;&gt;$X102,1,$AD102+1))</f>
        <v/>
      </c>
      <c r="AE103">
        <f>IF($L103="","",$AC103*10+$AD103)</f>
        <v/>
      </c>
      <c r="AF103">
        <f>IF($L103="","",SUMIF($X$2:$X$151,$X103,$U$2:$U$151))</f>
        <v/>
      </c>
      <c r="AG103">
        <f>IF($L103="","",SUMIF($X$2:$X$151,$X103,$W$2:$W$151))</f>
        <v/>
      </c>
    </row>
    <row r="104">
      <c r="A104" t="n">
        <v>103</v>
      </c>
      <c r="B104">
        <f>IFERROR(MATCH($A104,HISTORICO!$Y$3:$Y$2002,0),"")</f>
        <v/>
      </c>
      <c r="C104">
        <f>IF($B104="","",INDEX(HISTORICO!$A$3:$A$2002,$B104))</f>
        <v/>
      </c>
      <c r="D104">
        <f>IF($B104="","",INDEX(HISTORICO!$C$3:$C$2002,$B104))</f>
        <v/>
      </c>
      <c r="E104">
        <f>IF($B104="","",INDEX(HISTORICO!$F$3:$F$2002,$B104))</f>
        <v/>
      </c>
      <c r="F104">
        <f>IF($B104="","",INDEX(HISTORICO!$G$3:$G$2002,$B104))</f>
        <v/>
      </c>
      <c r="G104">
        <f>IF($B104="","",INDEX(HISTORICO!$E$3:$E$2002,$B104))</f>
        <v/>
      </c>
      <c r="H104">
        <f>IF($B104="","",INDEX(HISTORICO!$H$3:$H$2002,$B104))</f>
        <v/>
      </c>
      <c r="I104">
        <f>IF($B104="","",INDEX(HISTORICO!$D$3:$D$2002,$B104))</f>
        <v/>
      </c>
      <c r="J104">
        <f>IF($B104="","",INDEX(HISTORICO!$B$3:$B$2002,$B104))</f>
        <v/>
      </c>
      <c r="K104">
        <f>IF($B104="","",INDEX(HISTORICO!$U$3:$U$2002,$B104))</f>
        <v/>
      </c>
      <c r="L104">
        <f>IF($B104="","",INDEX(HISTORICO!$I$3:$I$2002,$B104))</f>
        <v/>
      </c>
      <c r="M104">
        <f>IF($B104="","",INDEX(HISTORICO!$J$3:$J$2002,$B104))</f>
        <v/>
      </c>
      <c r="N104">
        <f>IF($B104="","",INDEX(HISTORICO!$K$3:$K$2002,$B104))</f>
        <v/>
      </c>
      <c r="O104">
        <f>IF($B104="","",INDEX(HISTORICO!$L$3:$L$2002,$B104))</f>
        <v/>
      </c>
      <c r="P104">
        <f>IF($B104="","",INDEX(HISTORICO!$M$3:$M$2002,$B104))</f>
        <v/>
      </c>
      <c r="Q104">
        <f>IF($B104="","",INDEX(HISTORICO!$N$3:$N$2002,$B104))</f>
        <v/>
      </c>
      <c r="R104">
        <f>IF($B104="","",INDEX(HISTORICO!$Q$3:$Q$2002,$B104))</f>
        <v/>
      </c>
      <c r="S104">
        <f>IF($B104="","",INDEX(HISTORICO!$P$3:$P$2002,$B104))</f>
        <v/>
      </c>
      <c r="T104">
        <f>IF($B104="","",INDEX(HISTORICO!$O$3:$O$2002,$B104))</f>
        <v/>
      </c>
      <c r="U104">
        <f>IF($B104="","",INDEX(HISTORICO!$R$3:$R$2002,$B104))</f>
        <v/>
      </c>
      <c r="V104">
        <f>IF($B104="","",INDEX(HISTORICO!$S$3:$S$2002,$B104))</f>
        <v/>
      </c>
      <c r="W104">
        <f>IF($B104="","",INDEX(HISTORICO!$T$3:$T$2002,$B104))</f>
        <v/>
      </c>
      <c r="X104">
        <f>IF($B104="","",INDEX(HISTORICO!$X$3:$X$2002,$B104))</f>
        <v/>
      </c>
      <c r="Y104">
        <f>IF($L104="","",IFERROR(INDEX(CONFIGURACOES!$C$37:$C$300,MATCH($L104,CONFIGURACOES!$B$37:$B$300,0)),""))</f>
        <v/>
      </c>
      <c r="Z104">
        <f>IF($L104="","",IFERROR(INDEX(CONFIGURACOES!$D$37:$D$300,MATCH($L104,CONFIGURACOES!$B$37:$B$300,0)),""))</f>
        <v/>
      </c>
      <c r="AA104">
        <f>IF($L104="","",IFERROR(INDEX(CONFIGURACOES!$E$37:$E$300,MATCH($L104,CONFIGURACOES!$B$37:$B$300,0)),""))</f>
        <v/>
      </c>
      <c r="AB104">
        <f>IF($L104="","",IFERROR(INDEX(CONFIGURACOES!$F$37:$F$300,MATCH($L104,CONFIGURACOES!$B$37:$B$300,0)),""))</f>
        <v/>
      </c>
      <c r="AC104">
        <f>IF($L104="","",IF($X104&lt;&gt;$X103,$AC103+1,$AC103))</f>
        <v/>
      </c>
      <c r="AD104">
        <f>IF($L104="","",IF($X104&lt;&gt;$X103,1,$AD103+1))</f>
        <v/>
      </c>
      <c r="AE104">
        <f>IF($L104="","",$AC104*10+$AD104)</f>
        <v/>
      </c>
      <c r="AF104">
        <f>IF($L104="","",SUMIF($X$2:$X$151,$X104,$U$2:$U$151))</f>
        <v/>
      </c>
      <c r="AG104">
        <f>IF($L104="","",SUMIF($X$2:$X$151,$X104,$W$2:$W$151))</f>
        <v/>
      </c>
    </row>
    <row r="105">
      <c r="A105" t="n">
        <v>104</v>
      </c>
      <c r="B105">
        <f>IFERROR(MATCH($A105,HISTORICO!$Y$3:$Y$2002,0),"")</f>
        <v/>
      </c>
      <c r="C105">
        <f>IF($B105="","",INDEX(HISTORICO!$A$3:$A$2002,$B105))</f>
        <v/>
      </c>
      <c r="D105">
        <f>IF($B105="","",INDEX(HISTORICO!$C$3:$C$2002,$B105))</f>
        <v/>
      </c>
      <c r="E105">
        <f>IF($B105="","",INDEX(HISTORICO!$F$3:$F$2002,$B105))</f>
        <v/>
      </c>
      <c r="F105">
        <f>IF($B105="","",INDEX(HISTORICO!$G$3:$G$2002,$B105))</f>
        <v/>
      </c>
      <c r="G105">
        <f>IF($B105="","",INDEX(HISTORICO!$E$3:$E$2002,$B105))</f>
        <v/>
      </c>
      <c r="H105">
        <f>IF($B105="","",INDEX(HISTORICO!$H$3:$H$2002,$B105))</f>
        <v/>
      </c>
      <c r="I105">
        <f>IF($B105="","",INDEX(HISTORICO!$D$3:$D$2002,$B105))</f>
        <v/>
      </c>
      <c r="J105">
        <f>IF($B105="","",INDEX(HISTORICO!$B$3:$B$2002,$B105))</f>
        <v/>
      </c>
      <c r="K105">
        <f>IF($B105="","",INDEX(HISTORICO!$U$3:$U$2002,$B105))</f>
        <v/>
      </c>
      <c r="L105">
        <f>IF($B105="","",INDEX(HISTORICO!$I$3:$I$2002,$B105))</f>
        <v/>
      </c>
      <c r="M105">
        <f>IF($B105="","",INDEX(HISTORICO!$J$3:$J$2002,$B105))</f>
        <v/>
      </c>
      <c r="N105">
        <f>IF($B105="","",INDEX(HISTORICO!$K$3:$K$2002,$B105))</f>
        <v/>
      </c>
      <c r="O105">
        <f>IF($B105="","",INDEX(HISTORICO!$L$3:$L$2002,$B105))</f>
        <v/>
      </c>
      <c r="P105">
        <f>IF($B105="","",INDEX(HISTORICO!$M$3:$M$2002,$B105))</f>
        <v/>
      </c>
      <c r="Q105">
        <f>IF($B105="","",INDEX(HISTORICO!$N$3:$N$2002,$B105))</f>
        <v/>
      </c>
      <c r="R105">
        <f>IF($B105="","",INDEX(HISTORICO!$Q$3:$Q$2002,$B105))</f>
        <v/>
      </c>
      <c r="S105">
        <f>IF($B105="","",INDEX(HISTORICO!$P$3:$P$2002,$B105))</f>
        <v/>
      </c>
      <c r="T105">
        <f>IF($B105="","",INDEX(HISTORICO!$O$3:$O$2002,$B105))</f>
        <v/>
      </c>
      <c r="U105">
        <f>IF($B105="","",INDEX(HISTORICO!$R$3:$R$2002,$B105))</f>
        <v/>
      </c>
      <c r="V105">
        <f>IF($B105="","",INDEX(HISTORICO!$S$3:$S$2002,$B105))</f>
        <v/>
      </c>
      <c r="W105">
        <f>IF($B105="","",INDEX(HISTORICO!$T$3:$T$2002,$B105))</f>
        <v/>
      </c>
      <c r="X105">
        <f>IF($B105="","",INDEX(HISTORICO!$X$3:$X$2002,$B105))</f>
        <v/>
      </c>
      <c r="Y105">
        <f>IF($L105="","",IFERROR(INDEX(CONFIGURACOES!$C$37:$C$300,MATCH($L105,CONFIGURACOES!$B$37:$B$300,0)),""))</f>
        <v/>
      </c>
      <c r="Z105">
        <f>IF($L105="","",IFERROR(INDEX(CONFIGURACOES!$D$37:$D$300,MATCH($L105,CONFIGURACOES!$B$37:$B$300,0)),""))</f>
        <v/>
      </c>
      <c r="AA105">
        <f>IF($L105="","",IFERROR(INDEX(CONFIGURACOES!$E$37:$E$300,MATCH($L105,CONFIGURACOES!$B$37:$B$300,0)),""))</f>
        <v/>
      </c>
      <c r="AB105">
        <f>IF($L105="","",IFERROR(INDEX(CONFIGURACOES!$F$37:$F$300,MATCH($L105,CONFIGURACOES!$B$37:$B$300,0)),""))</f>
        <v/>
      </c>
      <c r="AC105">
        <f>IF($L105="","",IF($X105&lt;&gt;$X104,$AC104+1,$AC104))</f>
        <v/>
      </c>
      <c r="AD105">
        <f>IF($L105="","",IF($X105&lt;&gt;$X104,1,$AD104+1))</f>
        <v/>
      </c>
      <c r="AE105">
        <f>IF($L105="","",$AC105*10+$AD105)</f>
        <v/>
      </c>
      <c r="AF105">
        <f>IF($L105="","",SUMIF($X$2:$X$151,$X105,$U$2:$U$151))</f>
        <v/>
      </c>
      <c r="AG105">
        <f>IF($L105="","",SUMIF($X$2:$X$151,$X105,$W$2:$W$151))</f>
        <v/>
      </c>
    </row>
    <row r="106">
      <c r="A106" t="n">
        <v>105</v>
      </c>
      <c r="B106">
        <f>IFERROR(MATCH($A106,HISTORICO!$Y$3:$Y$2002,0),"")</f>
        <v/>
      </c>
      <c r="C106">
        <f>IF($B106="","",INDEX(HISTORICO!$A$3:$A$2002,$B106))</f>
        <v/>
      </c>
      <c r="D106">
        <f>IF($B106="","",INDEX(HISTORICO!$C$3:$C$2002,$B106))</f>
        <v/>
      </c>
      <c r="E106">
        <f>IF($B106="","",INDEX(HISTORICO!$F$3:$F$2002,$B106))</f>
        <v/>
      </c>
      <c r="F106">
        <f>IF($B106="","",INDEX(HISTORICO!$G$3:$G$2002,$B106))</f>
        <v/>
      </c>
      <c r="G106">
        <f>IF($B106="","",INDEX(HISTORICO!$E$3:$E$2002,$B106))</f>
        <v/>
      </c>
      <c r="H106">
        <f>IF($B106="","",INDEX(HISTORICO!$H$3:$H$2002,$B106))</f>
        <v/>
      </c>
      <c r="I106">
        <f>IF($B106="","",INDEX(HISTORICO!$D$3:$D$2002,$B106))</f>
        <v/>
      </c>
      <c r="J106">
        <f>IF($B106="","",INDEX(HISTORICO!$B$3:$B$2002,$B106))</f>
        <v/>
      </c>
      <c r="K106">
        <f>IF($B106="","",INDEX(HISTORICO!$U$3:$U$2002,$B106))</f>
        <v/>
      </c>
      <c r="L106">
        <f>IF($B106="","",INDEX(HISTORICO!$I$3:$I$2002,$B106))</f>
        <v/>
      </c>
      <c r="M106">
        <f>IF($B106="","",INDEX(HISTORICO!$J$3:$J$2002,$B106))</f>
        <v/>
      </c>
      <c r="N106">
        <f>IF($B106="","",INDEX(HISTORICO!$K$3:$K$2002,$B106))</f>
        <v/>
      </c>
      <c r="O106">
        <f>IF($B106="","",INDEX(HISTORICO!$L$3:$L$2002,$B106))</f>
        <v/>
      </c>
      <c r="P106">
        <f>IF($B106="","",INDEX(HISTORICO!$M$3:$M$2002,$B106))</f>
        <v/>
      </c>
      <c r="Q106">
        <f>IF($B106="","",INDEX(HISTORICO!$N$3:$N$2002,$B106))</f>
        <v/>
      </c>
      <c r="R106">
        <f>IF($B106="","",INDEX(HISTORICO!$Q$3:$Q$2002,$B106))</f>
        <v/>
      </c>
      <c r="S106">
        <f>IF($B106="","",INDEX(HISTORICO!$P$3:$P$2002,$B106))</f>
        <v/>
      </c>
      <c r="T106">
        <f>IF($B106="","",INDEX(HISTORICO!$O$3:$O$2002,$B106))</f>
        <v/>
      </c>
      <c r="U106">
        <f>IF($B106="","",INDEX(HISTORICO!$R$3:$R$2002,$B106))</f>
        <v/>
      </c>
      <c r="V106">
        <f>IF($B106="","",INDEX(HISTORICO!$S$3:$S$2002,$B106))</f>
        <v/>
      </c>
      <c r="W106">
        <f>IF($B106="","",INDEX(HISTORICO!$T$3:$T$2002,$B106))</f>
        <v/>
      </c>
      <c r="X106">
        <f>IF($B106="","",INDEX(HISTORICO!$X$3:$X$2002,$B106))</f>
        <v/>
      </c>
      <c r="Y106">
        <f>IF($L106="","",IFERROR(INDEX(CONFIGURACOES!$C$37:$C$300,MATCH($L106,CONFIGURACOES!$B$37:$B$300,0)),""))</f>
        <v/>
      </c>
      <c r="Z106">
        <f>IF($L106="","",IFERROR(INDEX(CONFIGURACOES!$D$37:$D$300,MATCH($L106,CONFIGURACOES!$B$37:$B$300,0)),""))</f>
        <v/>
      </c>
      <c r="AA106">
        <f>IF($L106="","",IFERROR(INDEX(CONFIGURACOES!$E$37:$E$300,MATCH($L106,CONFIGURACOES!$B$37:$B$300,0)),""))</f>
        <v/>
      </c>
      <c r="AB106">
        <f>IF($L106="","",IFERROR(INDEX(CONFIGURACOES!$F$37:$F$300,MATCH($L106,CONFIGURACOES!$B$37:$B$300,0)),""))</f>
        <v/>
      </c>
      <c r="AC106">
        <f>IF($L106="","",IF($X106&lt;&gt;$X105,$AC105+1,$AC105))</f>
        <v/>
      </c>
      <c r="AD106">
        <f>IF($L106="","",IF($X106&lt;&gt;$X105,1,$AD105+1))</f>
        <v/>
      </c>
      <c r="AE106">
        <f>IF($L106="","",$AC106*10+$AD106)</f>
        <v/>
      </c>
      <c r="AF106">
        <f>IF($L106="","",SUMIF($X$2:$X$151,$X106,$U$2:$U$151))</f>
        <v/>
      </c>
      <c r="AG106">
        <f>IF($L106="","",SUMIF($X$2:$X$151,$X106,$W$2:$W$151))</f>
        <v/>
      </c>
    </row>
    <row r="107">
      <c r="A107" t="n">
        <v>106</v>
      </c>
      <c r="B107">
        <f>IFERROR(MATCH($A107,HISTORICO!$Y$3:$Y$2002,0),"")</f>
        <v/>
      </c>
      <c r="C107">
        <f>IF($B107="","",INDEX(HISTORICO!$A$3:$A$2002,$B107))</f>
        <v/>
      </c>
      <c r="D107">
        <f>IF($B107="","",INDEX(HISTORICO!$C$3:$C$2002,$B107))</f>
        <v/>
      </c>
      <c r="E107">
        <f>IF($B107="","",INDEX(HISTORICO!$F$3:$F$2002,$B107))</f>
        <v/>
      </c>
      <c r="F107">
        <f>IF($B107="","",INDEX(HISTORICO!$G$3:$G$2002,$B107))</f>
        <v/>
      </c>
      <c r="G107">
        <f>IF($B107="","",INDEX(HISTORICO!$E$3:$E$2002,$B107))</f>
        <v/>
      </c>
      <c r="H107">
        <f>IF($B107="","",INDEX(HISTORICO!$H$3:$H$2002,$B107))</f>
        <v/>
      </c>
      <c r="I107">
        <f>IF($B107="","",INDEX(HISTORICO!$D$3:$D$2002,$B107))</f>
        <v/>
      </c>
      <c r="J107">
        <f>IF($B107="","",INDEX(HISTORICO!$B$3:$B$2002,$B107))</f>
        <v/>
      </c>
      <c r="K107">
        <f>IF($B107="","",INDEX(HISTORICO!$U$3:$U$2002,$B107))</f>
        <v/>
      </c>
      <c r="L107">
        <f>IF($B107="","",INDEX(HISTORICO!$I$3:$I$2002,$B107))</f>
        <v/>
      </c>
      <c r="M107">
        <f>IF($B107="","",INDEX(HISTORICO!$J$3:$J$2002,$B107))</f>
        <v/>
      </c>
      <c r="N107">
        <f>IF($B107="","",INDEX(HISTORICO!$K$3:$K$2002,$B107))</f>
        <v/>
      </c>
      <c r="O107">
        <f>IF($B107="","",INDEX(HISTORICO!$L$3:$L$2002,$B107))</f>
        <v/>
      </c>
      <c r="P107">
        <f>IF($B107="","",INDEX(HISTORICO!$M$3:$M$2002,$B107))</f>
        <v/>
      </c>
      <c r="Q107">
        <f>IF($B107="","",INDEX(HISTORICO!$N$3:$N$2002,$B107))</f>
        <v/>
      </c>
      <c r="R107">
        <f>IF($B107="","",INDEX(HISTORICO!$Q$3:$Q$2002,$B107))</f>
        <v/>
      </c>
      <c r="S107">
        <f>IF($B107="","",INDEX(HISTORICO!$P$3:$P$2002,$B107))</f>
        <v/>
      </c>
      <c r="T107">
        <f>IF($B107="","",INDEX(HISTORICO!$O$3:$O$2002,$B107))</f>
        <v/>
      </c>
      <c r="U107">
        <f>IF($B107="","",INDEX(HISTORICO!$R$3:$R$2002,$B107))</f>
        <v/>
      </c>
      <c r="V107">
        <f>IF($B107="","",INDEX(HISTORICO!$S$3:$S$2002,$B107))</f>
        <v/>
      </c>
      <c r="W107">
        <f>IF($B107="","",INDEX(HISTORICO!$T$3:$T$2002,$B107))</f>
        <v/>
      </c>
      <c r="X107">
        <f>IF($B107="","",INDEX(HISTORICO!$X$3:$X$2002,$B107))</f>
        <v/>
      </c>
      <c r="Y107">
        <f>IF($L107="","",IFERROR(INDEX(CONFIGURACOES!$C$37:$C$300,MATCH($L107,CONFIGURACOES!$B$37:$B$300,0)),""))</f>
        <v/>
      </c>
      <c r="Z107">
        <f>IF($L107="","",IFERROR(INDEX(CONFIGURACOES!$D$37:$D$300,MATCH($L107,CONFIGURACOES!$B$37:$B$300,0)),""))</f>
        <v/>
      </c>
      <c r="AA107">
        <f>IF($L107="","",IFERROR(INDEX(CONFIGURACOES!$E$37:$E$300,MATCH($L107,CONFIGURACOES!$B$37:$B$300,0)),""))</f>
        <v/>
      </c>
      <c r="AB107">
        <f>IF($L107="","",IFERROR(INDEX(CONFIGURACOES!$F$37:$F$300,MATCH($L107,CONFIGURACOES!$B$37:$B$300,0)),""))</f>
        <v/>
      </c>
      <c r="AC107">
        <f>IF($L107="","",IF($X107&lt;&gt;$X106,$AC106+1,$AC106))</f>
        <v/>
      </c>
      <c r="AD107">
        <f>IF($L107="","",IF($X107&lt;&gt;$X106,1,$AD106+1))</f>
        <v/>
      </c>
      <c r="AE107">
        <f>IF($L107="","",$AC107*10+$AD107)</f>
        <v/>
      </c>
      <c r="AF107">
        <f>IF($L107="","",SUMIF($X$2:$X$151,$X107,$U$2:$U$151))</f>
        <v/>
      </c>
      <c r="AG107">
        <f>IF($L107="","",SUMIF($X$2:$X$151,$X107,$W$2:$W$151))</f>
        <v/>
      </c>
    </row>
    <row r="108">
      <c r="A108" t="n">
        <v>107</v>
      </c>
      <c r="B108">
        <f>IFERROR(MATCH($A108,HISTORICO!$Y$3:$Y$2002,0),"")</f>
        <v/>
      </c>
      <c r="C108">
        <f>IF($B108="","",INDEX(HISTORICO!$A$3:$A$2002,$B108))</f>
        <v/>
      </c>
      <c r="D108">
        <f>IF($B108="","",INDEX(HISTORICO!$C$3:$C$2002,$B108))</f>
        <v/>
      </c>
      <c r="E108">
        <f>IF($B108="","",INDEX(HISTORICO!$F$3:$F$2002,$B108))</f>
        <v/>
      </c>
      <c r="F108">
        <f>IF($B108="","",INDEX(HISTORICO!$G$3:$G$2002,$B108))</f>
        <v/>
      </c>
      <c r="G108">
        <f>IF($B108="","",INDEX(HISTORICO!$E$3:$E$2002,$B108))</f>
        <v/>
      </c>
      <c r="H108">
        <f>IF($B108="","",INDEX(HISTORICO!$H$3:$H$2002,$B108))</f>
        <v/>
      </c>
      <c r="I108">
        <f>IF($B108="","",INDEX(HISTORICO!$D$3:$D$2002,$B108))</f>
        <v/>
      </c>
      <c r="J108">
        <f>IF($B108="","",INDEX(HISTORICO!$B$3:$B$2002,$B108))</f>
        <v/>
      </c>
      <c r="K108">
        <f>IF($B108="","",INDEX(HISTORICO!$U$3:$U$2002,$B108))</f>
        <v/>
      </c>
      <c r="L108">
        <f>IF($B108="","",INDEX(HISTORICO!$I$3:$I$2002,$B108))</f>
        <v/>
      </c>
      <c r="M108">
        <f>IF($B108="","",INDEX(HISTORICO!$J$3:$J$2002,$B108))</f>
        <v/>
      </c>
      <c r="N108">
        <f>IF($B108="","",INDEX(HISTORICO!$K$3:$K$2002,$B108))</f>
        <v/>
      </c>
      <c r="O108">
        <f>IF($B108="","",INDEX(HISTORICO!$L$3:$L$2002,$B108))</f>
        <v/>
      </c>
      <c r="P108">
        <f>IF($B108="","",INDEX(HISTORICO!$M$3:$M$2002,$B108))</f>
        <v/>
      </c>
      <c r="Q108">
        <f>IF($B108="","",INDEX(HISTORICO!$N$3:$N$2002,$B108))</f>
        <v/>
      </c>
      <c r="R108">
        <f>IF($B108="","",INDEX(HISTORICO!$Q$3:$Q$2002,$B108))</f>
        <v/>
      </c>
      <c r="S108">
        <f>IF($B108="","",INDEX(HISTORICO!$P$3:$P$2002,$B108))</f>
        <v/>
      </c>
      <c r="T108">
        <f>IF($B108="","",INDEX(HISTORICO!$O$3:$O$2002,$B108))</f>
        <v/>
      </c>
      <c r="U108">
        <f>IF($B108="","",INDEX(HISTORICO!$R$3:$R$2002,$B108))</f>
        <v/>
      </c>
      <c r="V108">
        <f>IF($B108="","",INDEX(HISTORICO!$S$3:$S$2002,$B108))</f>
        <v/>
      </c>
      <c r="W108">
        <f>IF($B108="","",INDEX(HISTORICO!$T$3:$T$2002,$B108))</f>
        <v/>
      </c>
      <c r="X108">
        <f>IF($B108="","",INDEX(HISTORICO!$X$3:$X$2002,$B108))</f>
        <v/>
      </c>
      <c r="Y108">
        <f>IF($L108="","",IFERROR(INDEX(CONFIGURACOES!$C$37:$C$300,MATCH($L108,CONFIGURACOES!$B$37:$B$300,0)),""))</f>
        <v/>
      </c>
      <c r="Z108">
        <f>IF($L108="","",IFERROR(INDEX(CONFIGURACOES!$D$37:$D$300,MATCH($L108,CONFIGURACOES!$B$37:$B$300,0)),""))</f>
        <v/>
      </c>
      <c r="AA108">
        <f>IF($L108="","",IFERROR(INDEX(CONFIGURACOES!$E$37:$E$300,MATCH($L108,CONFIGURACOES!$B$37:$B$300,0)),""))</f>
        <v/>
      </c>
      <c r="AB108">
        <f>IF($L108="","",IFERROR(INDEX(CONFIGURACOES!$F$37:$F$300,MATCH($L108,CONFIGURACOES!$B$37:$B$300,0)),""))</f>
        <v/>
      </c>
      <c r="AC108">
        <f>IF($L108="","",IF($X108&lt;&gt;$X107,$AC107+1,$AC107))</f>
        <v/>
      </c>
      <c r="AD108">
        <f>IF($L108="","",IF($X108&lt;&gt;$X107,1,$AD107+1))</f>
        <v/>
      </c>
      <c r="AE108">
        <f>IF($L108="","",$AC108*10+$AD108)</f>
        <v/>
      </c>
      <c r="AF108">
        <f>IF($L108="","",SUMIF($X$2:$X$151,$X108,$U$2:$U$151))</f>
        <v/>
      </c>
      <c r="AG108">
        <f>IF($L108="","",SUMIF($X$2:$X$151,$X108,$W$2:$W$151))</f>
        <v/>
      </c>
    </row>
    <row r="109">
      <c r="A109" t="n">
        <v>108</v>
      </c>
      <c r="B109">
        <f>IFERROR(MATCH($A109,HISTORICO!$Y$3:$Y$2002,0),"")</f>
        <v/>
      </c>
      <c r="C109">
        <f>IF($B109="","",INDEX(HISTORICO!$A$3:$A$2002,$B109))</f>
        <v/>
      </c>
      <c r="D109">
        <f>IF($B109="","",INDEX(HISTORICO!$C$3:$C$2002,$B109))</f>
        <v/>
      </c>
      <c r="E109">
        <f>IF($B109="","",INDEX(HISTORICO!$F$3:$F$2002,$B109))</f>
        <v/>
      </c>
      <c r="F109">
        <f>IF($B109="","",INDEX(HISTORICO!$G$3:$G$2002,$B109))</f>
        <v/>
      </c>
      <c r="G109">
        <f>IF($B109="","",INDEX(HISTORICO!$E$3:$E$2002,$B109))</f>
        <v/>
      </c>
      <c r="H109">
        <f>IF($B109="","",INDEX(HISTORICO!$H$3:$H$2002,$B109))</f>
        <v/>
      </c>
      <c r="I109">
        <f>IF($B109="","",INDEX(HISTORICO!$D$3:$D$2002,$B109))</f>
        <v/>
      </c>
      <c r="J109">
        <f>IF($B109="","",INDEX(HISTORICO!$B$3:$B$2002,$B109))</f>
        <v/>
      </c>
      <c r="K109">
        <f>IF($B109="","",INDEX(HISTORICO!$U$3:$U$2002,$B109))</f>
        <v/>
      </c>
      <c r="L109">
        <f>IF($B109="","",INDEX(HISTORICO!$I$3:$I$2002,$B109))</f>
        <v/>
      </c>
      <c r="M109">
        <f>IF($B109="","",INDEX(HISTORICO!$J$3:$J$2002,$B109))</f>
        <v/>
      </c>
      <c r="N109">
        <f>IF($B109="","",INDEX(HISTORICO!$K$3:$K$2002,$B109))</f>
        <v/>
      </c>
      <c r="O109">
        <f>IF($B109="","",INDEX(HISTORICO!$L$3:$L$2002,$B109))</f>
        <v/>
      </c>
      <c r="P109">
        <f>IF($B109="","",INDEX(HISTORICO!$M$3:$M$2002,$B109))</f>
        <v/>
      </c>
      <c r="Q109">
        <f>IF($B109="","",INDEX(HISTORICO!$N$3:$N$2002,$B109))</f>
        <v/>
      </c>
      <c r="R109">
        <f>IF($B109="","",INDEX(HISTORICO!$Q$3:$Q$2002,$B109))</f>
        <v/>
      </c>
      <c r="S109">
        <f>IF($B109="","",INDEX(HISTORICO!$P$3:$P$2002,$B109))</f>
        <v/>
      </c>
      <c r="T109">
        <f>IF($B109="","",INDEX(HISTORICO!$O$3:$O$2002,$B109))</f>
        <v/>
      </c>
      <c r="U109">
        <f>IF($B109="","",INDEX(HISTORICO!$R$3:$R$2002,$B109))</f>
        <v/>
      </c>
      <c r="V109">
        <f>IF($B109="","",INDEX(HISTORICO!$S$3:$S$2002,$B109))</f>
        <v/>
      </c>
      <c r="W109">
        <f>IF($B109="","",INDEX(HISTORICO!$T$3:$T$2002,$B109))</f>
        <v/>
      </c>
      <c r="X109">
        <f>IF($B109="","",INDEX(HISTORICO!$X$3:$X$2002,$B109))</f>
        <v/>
      </c>
      <c r="Y109">
        <f>IF($L109="","",IFERROR(INDEX(CONFIGURACOES!$C$37:$C$300,MATCH($L109,CONFIGURACOES!$B$37:$B$300,0)),""))</f>
        <v/>
      </c>
      <c r="Z109">
        <f>IF($L109="","",IFERROR(INDEX(CONFIGURACOES!$D$37:$D$300,MATCH($L109,CONFIGURACOES!$B$37:$B$300,0)),""))</f>
        <v/>
      </c>
      <c r="AA109">
        <f>IF($L109="","",IFERROR(INDEX(CONFIGURACOES!$E$37:$E$300,MATCH($L109,CONFIGURACOES!$B$37:$B$300,0)),""))</f>
        <v/>
      </c>
      <c r="AB109">
        <f>IF($L109="","",IFERROR(INDEX(CONFIGURACOES!$F$37:$F$300,MATCH($L109,CONFIGURACOES!$B$37:$B$300,0)),""))</f>
        <v/>
      </c>
      <c r="AC109">
        <f>IF($L109="","",IF($X109&lt;&gt;$X108,$AC108+1,$AC108))</f>
        <v/>
      </c>
      <c r="AD109">
        <f>IF($L109="","",IF($X109&lt;&gt;$X108,1,$AD108+1))</f>
        <v/>
      </c>
      <c r="AE109">
        <f>IF($L109="","",$AC109*10+$AD109)</f>
        <v/>
      </c>
      <c r="AF109">
        <f>IF($L109="","",SUMIF($X$2:$X$151,$X109,$U$2:$U$151))</f>
        <v/>
      </c>
      <c r="AG109">
        <f>IF($L109="","",SUMIF($X$2:$X$151,$X109,$W$2:$W$151))</f>
        <v/>
      </c>
    </row>
    <row r="110">
      <c r="A110" t="n">
        <v>109</v>
      </c>
      <c r="B110">
        <f>IFERROR(MATCH($A110,HISTORICO!$Y$3:$Y$2002,0),"")</f>
        <v/>
      </c>
      <c r="C110">
        <f>IF($B110="","",INDEX(HISTORICO!$A$3:$A$2002,$B110))</f>
        <v/>
      </c>
      <c r="D110">
        <f>IF($B110="","",INDEX(HISTORICO!$C$3:$C$2002,$B110))</f>
        <v/>
      </c>
      <c r="E110">
        <f>IF($B110="","",INDEX(HISTORICO!$F$3:$F$2002,$B110))</f>
        <v/>
      </c>
      <c r="F110">
        <f>IF($B110="","",INDEX(HISTORICO!$G$3:$G$2002,$B110))</f>
        <v/>
      </c>
      <c r="G110">
        <f>IF($B110="","",INDEX(HISTORICO!$E$3:$E$2002,$B110))</f>
        <v/>
      </c>
      <c r="H110">
        <f>IF($B110="","",INDEX(HISTORICO!$H$3:$H$2002,$B110))</f>
        <v/>
      </c>
      <c r="I110">
        <f>IF($B110="","",INDEX(HISTORICO!$D$3:$D$2002,$B110))</f>
        <v/>
      </c>
      <c r="J110">
        <f>IF($B110="","",INDEX(HISTORICO!$B$3:$B$2002,$B110))</f>
        <v/>
      </c>
      <c r="K110">
        <f>IF($B110="","",INDEX(HISTORICO!$U$3:$U$2002,$B110))</f>
        <v/>
      </c>
      <c r="L110">
        <f>IF($B110="","",INDEX(HISTORICO!$I$3:$I$2002,$B110))</f>
        <v/>
      </c>
      <c r="M110">
        <f>IF($B110="","",INDEX(HISTORICO!$J$3:$J$2002,$B110))</f>
        <v/>
      </c>
      <c r="N110">
        <f>IF($B110="","",INDEX(HISTORICO!$K$3:$K$2002,$B110))</f>
        <v/>
      </c>
      <c r="O110">
        <f>IF($B110="","",INDEX(HISTORICO!$L$3:$L$2002,$B110))</f>
        <v/>
      </c>
      <c r="P110">
        <f>IF($B110="","",INDEX(HISTORICO!$M$3:$M$2002,$B110))</f>
        <v/>
      </c>
      <c r="Q110">
        <f>IF($B110="","",INDEX(HISTORICO!$N$3:$N$2002,$B110))</f>
        <v/>
      </c>
      <c r="R110">
        <f>IF($B110="","",INDEX(HISTORICO!$Q$3:$Q$2002,$B110))</f>
        <v/>
      </c>
      <c r="S110">
        <f>IF($B110="","",INDEX(HISTORICO!$P$3:$P$2002,$B110))</f>
        <v/>
      </c>
      <c r="T110">
        <f>IF($B110="","",INDEX(HISTORICO!$O$3:$O$2002,$B110))</f>
        <v/>
      </c>
      <c r="U110">
        <f>IF($B110="","",INDEX(HISTORICO!$R$3:$R$2002,$B110))</f>
        <v/>
      </c>
      <c r="V110">
        <f>IF($B110="","",INDEX(HISTORICO!$S$3:$S$2002,$B110))</f>
        <v/>
      </c>
      <c r="W110">
        <f>IF($B110="","",INDEX(HISTORICO!$T$3:$T$2002,$B110))</f>
        <v/>
      </c>
      <c r="X110">
        <f>IF($B110="","",INDEX(HISTORICO!$X$3:$X$2002,$B110))</f>
        <v/>
      </c>
      <c r="Y110">
        <f>IF($L110="","",IFERROR(INDEX(CONFIGURACOES!$C$37:$C$300,MATCH($L110,CONFIGURACOES!$B$37:$B$300,0)),""))</f>
        <v/>
      </c>
      <c r="Z110">
        <f>IF($L110="","",IFERROR(INDEX(CONFIGURACOES!$D$37:$D$300,MATCH($L110,CONFIGURACOES!$B$37:$B$300,0)),""))</f>
        <v/>
      </c>
      <c r="AA110">
        <f>IF($L110="","",IFERROR(INDEX(CONFIGURACOES!$E$37:$E$300,MATCH($L110,CONFIGURACOES!$B$37:$B$300,0)),""))</f>
        <v/>
      </c>
      <c r="AB110">
        <f>IF($L110="","",IFERROR(INDEX(CONFIGURACOES!$F$37:$F$300,MATCH($L110,CONFIGURACOES!$B$37:$B$300,0)),""))</f>
        <v/>
      </c>
      <c r="AC110">
        <f>IF($L110="","",IF($X110&lt;&gt;$X109,$AC109+1,$AC109))</f>
        <v/>
      </c>
      <c r="AD110">
        <f>IF($L110="","",IF($X110&lt;&gt;$X109,1,$AD109+1))</f>
        <v/>
      </c>
      <c r="AE110">
        <f>IF($L110="","",$AC110*10+$AD110)</f>
        <v/>
      </c>
      <c r="AF110">
        <f>IF($L110="","",SUMIF($X$2:$X$151,$X110,$U$2:$U$151))</f>
        <v/>
      </c>
      <c r="AG110">
        <f>IF($L110="","",SUMIF($X$2:$X$151,$X110,$W$2:$W$151))</f>
        <v/>
      </c>
    </row>
    <row r="111">
      <c r="A111" t="n">
        <v>110</v>
      </c>
      <c r="B111">
        <f>IFERROR(MATCH($A111,HISTORICO!$Y$3:$Y$2002,0),"")</f>
        <v/>
      </c>
      <c r="C111">
        <f>IF($B111="","",INDEX(HISTORICO!$A$3:$A$2002,$B111))</f>
        <v/>
      </c>
      <c r="D111">
        <f>IF($B111="","",INDEX(HISTORICO!$C$3:$C$2002,$B111))</f>
        <v/>
      </c>
      <c r="E111">
        <f>IF($B111="","",INDEX(HISTORICO!$F$3:$F$2002,$B111))</f>
        <v/>
      </c>
      <c r="F111">
        <f>IF($B111="","",INDEX(HISTORICO!$G$3:$G$2002,$B111))</f>
        <v/>
      </c>
      <c r="G111">
        <f>IF($B111="","",INDEX(HISTORICO!$E$3:$E$2002,$B111))</f>
        <v/>
      </c>
      <c r="H111">
        <f>IF($B111="","",INDEX(HISTORICO!$H$3:$H$2002,$B111))</f>
        <v/>
      </c>
      <c r="I111">
        <f>IF($B111="","",INDEX(HISTORICO!$D$3:$D$2002,$B111))</f>
        <v/>
      </c>
      <c r="J111">
        <f>IF($B111="","",INDEX(HISTORICO!$B$3:$B$2002,$B111))</f>
        <v/>
      </c>
      <c r="K111">
        <f>IF($B111="","",INDEX(HISTORICO!$U$3:$U$2002,$B111))</f>
        <v/>
      </c>
      <c r="L111">
        <f>IF($B111="","",INDEX(HISTORICO!$I$3:$I$2002,$B111))</f>
        <v/>
      </c>
      <c r="M111">
        <f>IF($B111="","",INDEX(HISTORICO!$J$3:$J$2002,$B111))</f>
        <v/>
      </c>
      <c r="N111">
        <f>IF($B111="","",INDEX(HISTORICO!$K$3:$K$2002,$B111))</f>
        <v/>
      </c>
      <c r="O111">
        <f>IF($B111="","",INDEX(HISTORICO!$L$3:$L$2002,$B111))</f>
        <v/>
      </c>
      <c r="P111">
        <f>IF($B111="","",INDEX(HISTORICO!$M$3:$M$2002,$B111))</f>
        <v/>
      </c>
      <c r="Q111">
        <f>IF($B111="","",INDEX(HISTORICO!$N$3:$N$2002,$B111))</f>
        <v/>
      </c>
      <c r="R111">
        <f>IF($B111="","",INDEX(HISTORICO!$Q$3:$Q$2002,$B111))</f>
        <v/>
      </c>
      <c r="S111">
        <f>IF($B111="","",INDEX(HISTORICO!$P$3:$P$2002,$B111))</f>
        <v/>
      </c>
      <c r="T111">
        <f>IF($B111="","",INDEX(HISTORICO!$O$3:$O$2002,$B111))</f>
        <v/>
      </c>
      <c r="U111">
        <f>IF($B111="","",INDEX(HISTORICO!$R$3:$R$2002,$B111))</f>
        <v/>
      </c>
      <c r="V111">
        <f>IF($B111="","",INDEX(HISTORICO!$S$3:$S$2002,$B111))</f>
        <v/>
      </c>
      <c r="W111">
        <f>IF($B111="","",INDEX(HISTORICO!$T$3:$T$2002,$B111))</f>
        <v/>
      </c>
      <c r="X111">
        <f>IF($B111="","",INDEX(HISTORICO!$X$3:$X$2002,$B111))</f>
        <v/>
      </c>
      <c r="Y111">
        <f>IF($L111="","",IFERROR(INDEX(CONFIGURACOES!$C$37:$C$300,MATCH($L111,CONFIGURACOES!$B$37:$B$300,0)),""))</f>
        <v/>
      </c>
      <c r="Z111">
        <f>IF($L111="","",IFERROR(INDEX(CONFIGURACOES!$D$37:$D$300,MATCH($L111,CONFIGURACOES!$B$37:$B$300,0)),""))</f>
        <v/>
      </c>
      <c r="AA111">
        <f>IF($L111="","",IFERROR(INDEX(CONFIGURACOES!$E$37:$E$300,MATCH($L111,CONFIGURACOES!$B$37:$B$300,0)),""))</f>
        <v/>
      </c>
      <c r="AB111">
        <f>IF($L111="","",IFERROR(INDEX(CONFIGURACOES!$F$37:$F$300,MATCH($L111,CONFIGURACOES!$B$37:$B$300,0)),""))</f>
        <v/>
      </c>
      <c r="AC111">
        <f>IF($L111="","",IF($X111&lt;&gt;$X110,$AC110+1,$AC110))</f>
        <v/>
      </c>
      <c r="AD111">
        <f>IF($L111="","",IF($X111&lt;&gt;$X110,1,$AD110+1))</f>
        <v/>
      </c>
      <c r="AE111">
        <f>IF($L111="","",$AC111*10+$AD111)</f>
        <v/>
      </c>
      <c r="AF111">
        <f>IF($L111="","",SUMIF($X$2:$X$151,$X111,$U$2:$U$151))</f>
        <v/>
      </c>
      <c r="AG111">
        <f>IF($L111="","",SUMIF($X$2:$X$151,$X111,$W$2:$W$151))</f>
        <v/>
      </c>
    </row>
    <row r="112">
      <c r="A112" t="n">
        <v>111</v>
      </c>
      <c r="B112">
        <f>IFERROR(MATCH($A112,HISTORICO!$Y$3:$Y$2002,0),"")</f>
        <v/>
      </c>
      <c r="C112">
        <f>IF($B112="","",INDEX(HISTORICO!$A$3:$A$2002,$B112))</f>
        <v/>
      </c>
      <c r="D112">
        <f>IF($B112="","",INDEX(HISTORICO!$C$3:$C$2002,$B112))</f>
        <v/>
      </c>
      <c r="E112">
        <f>IF($B112="","",INDEX(HISTORICO!$F$3:$F$2002,$B112))</f>
        <v/>
      </c>
      <c r="F112">
        <f>IF($B112="","",INDEX(HISTORICO!$G$3:$G$2002,$B112))</f>
        <v/>
      </c>
      <c r="G112">
        <f>IF($B112="","",INDEX(HISTORICO!$E$3:$E$2002,$B112))</f>
        <v/>
      </c>
      <c r="H112">
        <f>IF($B112="","",INDEX(HISTORICO!$H$3:$H$2002,$B112))</f>
        <v/>
      </c>
      <c r="I112">
        <f>IF($B112="","",INDEX(HISTORICO!$D$3:$D$2002,$B112))</f>
        <v/>
      </c>
      <c r="J112">
        <f>IF($B112="","",INDEX(HISTORICO!$B$3:$B$2002,$B112))</f>
        <v/>
      </c>
      <c r="K112">
        <f>IF($B112="","",INDEX(HISTORICO!$U$3:$U$2002,$B112))</f>
        <v/>
      </c>
      <c r="L112">
        <f>IF($B112="","",INDEX(HISTORICO!$I$3:$I$2002,$B112))</f>
        <v/>
      </c>
      <c r="M112">
        <f>IF($B112="","",INDEX(HISTORICO!$J$3:$J$2002,$B112))</f>
        <v/>
      </c>
      <c r="N112">
        <f>IF($B112="","",INDEX(HISTORICO!$K$3:$K$2002,$B112))</f>
        <v/>
      </c>
      <c r="O112">
        <f>IF($B112="","",INDEX(HISTORICO!$L$3:$L$2002,$B112))</f>
        <v/>
      </c>
      <c r="P112">
        <f>IF($B112="","",INDEX(HISTORICO!$M$3:$M$2002,$B112))</f>
        <v/>
      </c>
      <c r="Q112">
        <f>IF($B112="","",INDEX(HISTORICO!$N$3:$N$2002,$B112))</f>
        <v/>
      </c>
      <c r="R112">
        <f>IF($B112="","",INDEX(HISTORICO!$Q$3:$Q$2002,$B112))</f>
        <v/>
      </c>
      <c r="S112">
        <f>IF($B112="","",INDEX(HISTORICO!$P$3:$P$2002,$B112))</f>
        <v/>
      </c>
      <c r="T112">
        <f>IF($B112="","",INDEX(HISTORICO!$O$3:$O$2002,$B112))</f>
        <v/>
      </c>
      <c r="U112">
        <f>IF($B112="","",INDEX(HISTORICO!$R$3:$R$2002,$B112))</f>
        <v/>
      </c>
      <c r="V112">
        <f>IF($B112="","",INDEX(HISTORICO!$S$3:$S$2002,$B112))</f>
        <v/>
      </c>
      <c r="W112">
        <f>IF($B112="","",INDEX(HISTORICO!$T$3:$T$2002,$B112))</f>
        <v/>
      </c>
      <c r="X112">
        <f>IF($B112="","",INDEX(HISTORICO!$X$3:$X$2002,$B112))</f>
        <v/>
      </c>
      <c r="Y112">
        <f>IF($L112="","",IFERROR(INDEX(CONFIGURACOES!$C$37:$C$300,MATCH($L112,CONFIGURACOES!$B$37:$B$300,0)),""))</f>
        <v/>
      </c>
      <c r="Z112">
        <f>IF($L112="","",IFERROR(INDEX(CONFIGURACOES!$D$37:$D$300,MATCH($L112,CONFIGURACOES!$B$37:$B$300,0)),""))</f>
        <v/>
      </c>
      <c r="AA112">
        <f>IF($L112="","",IFERROR(INDEX(CONFIGURACOES!$E$37:$E$300,MATCH($L112,CONFIGURACOES!$B$37:$B$300,0)),""))</f>
        <v/>
      </c>
      <c r="AB112">
        <f>IF($L112="","",IFERROR(INDEX(CONFIGURACOES!$F$37:$F$300,MATCH($L112,CONFIGURACOES!$B$37:$B$300,0)),""))</f>
        <v/>
      </c>
      <c r="AC112">
        <f>IF($L112="","",IF($X112&lt;&gt;$X111,$AC111+1,$AC111))</f>
        <v/>
      </c>
      <c r="AD112">
        <f>IF($L112="","",IF($X112&lt;&gt;$X111,1,$AD111+1))</f>
        <v/>
      </c>
      <c r="AE112">
        <f>IF($L112="","",$AC112*10+$AD112)</f>
        <v/>
      </c>
      <c r="AF112">
        <f>IF($L112="","",SUMIF($X$2:$X$151,$X112,$U$2:$U$151))</f>
        <v/>
      </c>
      <c r="AG112">
        <f>IF($L112="","",SUMIF($X$2:$X$151,$X112,$W$2:$W$151))</f>
        <v/>
      </c>
    </row>
    <row r="113">
      <c r="A113" t="n">
        <v>112</v>
      </c>
      <c r="B113">
        <f>IFERROR(MATCH($A113,HISTORICO!$Y$3:$Y$2002,0),"")</f>
        <v/>
      </c>
      <c r="C113">
        <f>IF($B113="","",INDEX(HISTORICO!$A$3:$A$2002,$B113))</f>
        <v/>
      </c>
      <c r="D113">
        <f>IF($B113="","",INDEX(HISTORICO!$C$3:$C$2002,$B113))</f>
        <v/>
      </c>
      <c r="E113">
        <f>IF($B113="","",INDEX(HISTORICO!$F$3:$F$2002,$B113))</f>
        <v/>
      </c>
      <c r="F113">
        <f>IF($B113="","",INDEX(HISTORICO!$G$3:$G$2002,$B113))</f>
        <v/>
      </c>
      <c r="G113">
        <f>IF($B113="","",INDEX(HISTORICO!$E$3:$E$2002,$B113))</f>
        <v/>
      </c>
      <c r="H113">
        <f>IF($B113="","",INDEX(HISTORICO!$H$3:$H$2002,$B113))</f>
        <v/>
      </c>
      <c r="I113">
        <f>IF($B113="","",INDEX(HISTORICO!$D$3:$D$2002,$B113))</f>
        <v/>
      </c>
      <c r="J113">
        <f>IF($B113="","",INDEX(HISTORICO!$B$3:$B$2002,$B113))</f>
        <v/>
      </c>
      <c r="K113">
        <f>IF($B113="","",INDEX(HISTORICO!$U$3:$U$2002,$B113))</f>
        <v/>
      </c>
      <c r="L113">
        <f>IF($B113="","",INDEX(HISTORICO!$I$3:$I$2002,$B113))</f>
        <v/>
      </c>
      <c r="M113">
        <f>IF($B113="","",INDEX(HISTORICO!$J$3:$J$2002,$B113))</f>
        <v/>
      </c>
      <c r="N113">
        <f>IF($B113="","",INDEX(HISTORICO!$K$3:$K$2002,$B113))</f>
        <v/>
      </c>
      <c r="O113">
        <f>IF($B113="","",INDEX(HISTORICO!$L$3:$L$2002,$B113))</f>
        <v/>
      </c>
      <c r="P113">
        <f>IF($B113="","",INDEX(HISTORICO!$M$3:$M$2002,$B113))</f>
        <v/>
      </c>
      <c r="Q113">
        <f>IF($B113="","",INDEX(HISTORICO!$N$3:$N$2002,$B113))</f>
        <v/>
      </c>
      <c r="R113">
        <f>IF($B113="","",INDEX(HISTORICO!$Q$3:$Q$2002,$B113))</f>
        <v/>
      </c>
      <c r="S113">
        <f>IF($B113="","",INDEX(HISTORICO!$P$3:$P$2002,$B113))</f>
        <v/>
      </c>
      <c r="T113">
        <f>IF($B113="","",INDEX(HISTORICO!$O$3:$O$2002,$B113))</f>
        <v/>
      </c>
      <c r="U113">
        <f>IF($B113="","",INDEX(HISTORICO!$R$3:$R$2002,$B113))</f>
        <v/>
      </c>
      <c r="V113">
        <f>IF($B113="","",INDEX(HISTORICO!$S$3:$S$2002,$B113))</f>
        <v/>
      </c>
      <c r="W113">
        <f>IF($B113="","",INDEX(HISTORICO!$T$3:$T$2002,$B113))</f>
        <v/>
      </c>
      <c r="X113">
        <f>IF($B113="","",INDEX(HISTORICO!$X$3:$X$2002,$B113))</f>
        <v/>
      </c>
      <c r="Y113">
        <f>IF($L113="","",IFERROR(INDEX(CONFIGURACOES!$C$37:$C$300,MATCH($L113,CONFIGURACOES!$B$37:$B$300,0)),""))</f>
        <v/>
      </c>
      <c r="Z113">
        <f>IF($L113="","",IFERROR(INDEX(CONFIGURACOES!$D$37:$D$300,MATCH($L113,CONFIGURACOES!$B$37:$B$300,0)),""))</f>
        <v/>
      </c>
      <c r="AA113">
        <f>IF($L113="","",IFERROR(INDEX(CONFIGURACOES!$E$37:$E$300,MATCH($L113,CONFIGURACOES!$B$37:$B$300,0)),""))</f>
        <v/>
      </c>
      <c r="AB113">
        <f>IF($L113="","",IFERROR(INDEX(CONFIGURACOES!$F$37:$F$300,MATCH($L113,CONFIGURACOES!$B$37:$B$300,0)),""))</f>
        <v/>
      </c>
      <c r="AC113">
        <f>IF($L113="","",IF($X113&lt;&gt;$X112,$AC112+1,$AC112))</f>
        <v/>
      </c>
      <c r="AD113">
        <f>IF($L113="","",IF($X113&lt;&gt;$X112,1,$AD112+1))</f>
        <v/>
      </c>
      <c r="AE113">
        <f>IF($L113="","",$AC113*10+$AD113)</f>
        <v/>
      </c>
      <c r="AF113">
        <f>IF($L113="","",SUMIF($X$2:$X$151,$X113,$U$2:$U$151))</f>
        <v/>
      </c>
      <c r="AG113">
        <f>IF($L113="","",SUMIF($X$2:$X$151,$X113,$W$2:$W$151))</f>
        <v/>
      </c>
    </row>
    <row r="114">
      <c r="A114" t="n">
        <v>113</v>
      </c>
      <c r="B114">
        <f>IFERROR(MATCH($A114,HISTORICO!$Y$3:$Y$2002,0),"")</f>
        <v/>
      </c>
      <c r="C114">
        <f>IF($B114="","",INDEX(HISTORICO!$A$3:$A$2002,$B114))</f>
        <v/>
      </c>
      <c r="D114">
        <f>IF($B114="","",INDEX(HISTORICO!$C$3:$C$2002,$B114))</f>
        <v/>
      </c>
      <c r="E114">
        <f>IF($B114="","",INDEX(HISTORICO!$F$3:$F$2002,$B114))</f>
        <v/>
      </c>
      <c r="F114">
        <f>IF($B114="","",INDEX(HISTORICO!$G$3:$G$2002,$B114))</f>
        <v/>
      </c>
      <c r="G114">
        <f>IF($B114="","",INDEX(HISTORICO!$E$3:$E$2002,$B114))</f>
        <v/>
      </c>
      <c r="H114">
        <f>IF($B114="","",INDEX(HISTORICO!$H$3:$H$2002,$B114))</f>
        <v/>
      </c>
      <c r="I114">
        <f>IF($B114="","",INDEX(HISTORICO!$D$3:$D$2002,$B114))</f>
        <v/>
      </c>
      <c r="J114">
        <f>IF($B114="","",INDEX(HISTORICO!$B$3:$B$2002,$B114))</f>
        <v/>
      </c>
      <c r="K114">
        <f>IF($B114="","",INDEX(HISTORICO!$U$3:$U$2002,$B114))</f>
        <v/>
      </c>
      <c r="L114">
        <f>IF($B114="","",INDEX(HISTORICO!$I$3:$I$2002,$B114))</f>
        <v/>
      </c>
      <c r="M114">
        <f>IF($B114="","",INDEX(HISTORICO!$J$3:$J$2002,$B114))</f>
        <v/>
      </c>
      <c r="N114">
        <f>IF($B114="","",INDEX(HISTORICO!$K$3:$K$2002,$B114))</f>
        <v/>
      </c>
      <c r="O114">
        <f>IF($B114="","",INDEX(HISTORICO!$L$3:$L$2002,$B114))</f>
        <v/>
      </c>
      <c r="P114">
        <f>IF($B114="","",INDEX(HISTORICO!$M$3:$M$2002,$B114))</f>
        <v/>
      </c>
      <c r="Q114">
        <f>IF($B114="","",INDEX(HISTORICO!$N$3:$N$2002,$B114))</f>
        <v/>
      </c>
      <c r="R114">
        <f>IF($B114="","",INDEX(HISTORICO!$Q$3:$Q$2002,$B114))</f>
        <v/>
      </c>
      <c r="S114">
        <f>IF($B114="","",INDEX(HISTORICO!$P$3:$P$2002,$B114))</f>
        <v/>
      </c>
      <c r="T114">
        <f>IF($B114="","",INDEX(HISTORICO!$O$3:$O$2002,$B114))</f>
        <v/>
      </c>
      <c r="U114">
        <f>IF($B114="","",INDEX(HISTORICO!$R$3:$R$2002,$B114))</f>
        <v/>
      </c>
      <c r="V114">
        <f>IF($B114="","",INDEX(HISTORICO!$S$3:$S$2002,$B114))</f>
        <v/>
      </c>
      <c r="W114">
        <f>IF($B114="","",INDEX(HISTORICO!$T$3:$T$2002,$B114))</f>
        <v/>
      </c>
      <c r="X114">
        <f>IF($B114="","",INDEX(HISTORICO!$X$3:$X$2002,$B114))</f>
        <v/>
      </c>
      <c r="Y114">
        <f>IF($L114="","",IFERROR(INDEX(CONFIGURACOES!$C$37:$C$300,MATCH($L114,CONFIGURACOES!$B$37:$B$300,0)),""))</f>
        <v/>
      </c>
      <c r="Z114">
        <f>IF($L114="","",IFERROR(INDEX(CONFIGURACOES!$D$37:$D$300,MATCH($L114,CONFIGURACOES!$B$37:$B$300,0)),""))</f>
        <v/>
      </c>
      <c r="AA114">
        <f>IF($L114="","",IFERROR(INDEX(CONFIGURACOES!$E$37:$E$300,MATCH($L114,CONFIGURACOES!$B$37:$B$300,0)),""))</f>
        <v/>
      </c>
      <c r="AB114">
        <f>IF($L114="","",IFERROR(INDEX(CONFIGURACOES!$F$37:$F$300,MATCH($L114,CONFIGURACOES!$B$37:$B$300,0)),""))</f>
        <v/>
      </c>
      <c r="AC114">
        <f>IF($L114="","",IF($X114&lt;&gt;$X113,$AC113+1,$AC113))</f>
        <v/>
      </c>
      <c r="AD114">
        <f>IF($L114="","",IF($X114&lt;&gt;$X113,1,$AD113+1))</f>
        <v/>
      </c>
      <c r="AE114">
        <f>IF($L114="","",$AC114*10+$AD114)</f>
        <v/>
      </c>
      <c r="AF114">
        <f>IF($L114="","",SUMIF($X$2:$X$151,$X114,$U$2:$U$151))</f>
        <v/>
      </c>
      <c r="AG114">
        <f>IF($L114="","",SUMIF($X$2:$X$151,$X114,$W$2:$W$151))</f>
        <v/>
      </c>
    </row>
    <row r="115">
      <c r="A115" t="n">
        <v>114</v>
      </c>
      <c r="B115">
        <f>IFERROR(MATCH($A115,HISTORICO!$Y$3:$Y$2002,0),"")</f>
        <v/>
      </c>
      <c r="C115">
        <f>IF($B115="","",INDEX(HISTORICO!$A$3:$A$2002,$B115))</f>
        <v/>
      </c>
      <c r="D115">
        <f>IF($B115="","",INDEX(HISTORICO!$C$3:$C$2002,$B115))</f>
        <v/>
      </c>
      <c r="E115">
        <f>IF($B115="","",INDEX(HISTORICO!$F$3:$F$2002,$B115))</f>
        <v/>
      </c>
      <c r="F115">
        <f>IF($B115="","",INDEX(HISTORICO!$G$3:$G$2002,$B115))</f>
        <v/>
      </c>
      <c r="G115">
        <f>IF($B115="","",INDEX(HISTORICO!$E$3:$E$2002,$B115))</f>
        <v/>
      </c>
      <c r="H115">
        <f>IF($B115="","",INDEX(HISTORICO!$H$3:$H$2002,$B115))</f>
        <v/>
      </c>
      <c r="I115">
        <f>IF($B115="","",INDEX(HISTORICO!$D$3:$D$2002,$B115))</f>
        <v/>
      </c>
      <c r="J115">
        <f>IF($B115="","",INDEX(HISTORICO!$B$3:$B$2002,$B115))</f>
        <v/>
      </c>
      <c r="K115">
        <f>IF($B115="","",INDEX(HISTORICO!$U$3:$U$2002,$B115))</f>
        <v/>
      </c>
      <c r="L115">
        <f>IF($B115="","",INDEX(HISTORICO!$I$3:$I$2002,$B115))</f>
        <v/>
      </c>
      <c r="M115">
        <f>IF($B115="","",INDEX(HISTORICO!$J$3:$J$2002,$B115))</f>
        <v/>
      </c>
      <c r="N115">
        <f>IF($B115="","",INDEX(HISTORICO!$K$3:$K$2002,$B115))</f>
        <v/>
      </c>
      <c r="O115">
        <f>IF($B115="","",INDEX(HISTORICO!$L$3:$L$2002,$B115))</f>
        <v/>
      </c>
      <c r="P115">
        <f>IF($B115="","",INDEX(HISTORICO!$M$3:$M$2002,$B115))</f>
        <v/>
      </c>
      <c r="Q115">
        <f>IF($B115="","",INDEX(HISTORICO!$N$3:$N$2002,$B115))</f>
        <v/>
      </c>
      <c r="R115">
        <f>IF($B115="","",INDEX(HISTORICO!$Q$3:$Q$2002,$B115))</f>
        <v/>
      </c>
      <c r="S115">
        <f>IF($B115="","",INDEX(HISTORICO!$P$3:$P$2002,$B115))</f>
        <v/>
      </c>
      <c r="T115">
        <f>IF($B115="","",INDEX(HISTORICO!$O$3:$O$2002,$B115))</f>
        <v/>
      </c>
      <c r="U115">
        <f>IF($B115="","",INDEX(HISTORICO!$R$3:$R$2002,$B115))</f>
        <v/>
      </c>
      <c r="V115">
        <f>IF($B115="","",INDEX(HISTORICO!$S$3:$S$2002,$B115))</f>
        <v/>
      </c>
      <c r="W115">
        <f>IF($B115="","",INDEX(HISTORICO!$T$3:$T$2002,$B115))</f>
        <v/>
      </c>
      <c r="X115">
        <f>IF($B115="","",INDEX(HISTORICO!$X$3:$X$2002,$B115))</f>
        <v/>
      </c>
      <c r="Y115">
        <f>IF($L115="","",IFERROR(INDEX(CONFIGURACOES!$C$37:$C$300,MATCH($L115,CONFIGURACOES!$B$37:$B$300,0)),""))</f>
        <v/>
      </c>
      <c r="Z115">
        <f>IF($L115="","",IFERROR(INDEX(CONFIGURACOES!$D$37:$D$300,MATCH($L115,CONFIGURACOES!$B$37:$B$300,0)),""))</f>
        <v/>
      </c>
      <c r="AA115">
        <f>IF($L115="","",IFERROR(INDEX(CONFIGURACOES!$E$37:$E$300,MATCH($L115,CONFIGURACOES!$B$37:$B$300,0)),""))</f>
        <v/>
      </c>
      <c r="AB115">
        <f>IF($L115="","",IFERROR(INDEX(CONFIGURACOES!$F$37:$F$300,MATCH($L115,CONFIGURACOES!$B$37:$B$300,0)),""))</f>
        <v/>
      </c>
      <c r="AC115">
        <f>IF($L115="","",IF($X115&lt;&gt;$X114,$AC114+1,$AC114))</f>
        <v/>
      </c>
      <c r="AD115">
        <f>IF($L115="","",IF($X115&lt;&gt;$X114,1,$AD114+1))</f>
        <v/>
      </c>
      <c r="AE115">
        <f>IF($L115="","",$AC115*10+$AD115)</f>
        <v/>
      </c>
      <c r="AF115">
        <f>IF($L115="","",SUMIF($X$2:$X$151,$X115,$U$2:$U$151))</f>
        <v/>
      </c>
      <c r="AG115">
        <f>IF($L115="","",SUMIF($X$2:$X$151,$X115,$W$2:$W$151))</f>
        <v/>
      </c>
    </row>
    <row r="116">
      <c r="A116" t="n">
        <v>115</v>
      </c>
      <c r="B116">
        <f>IFERROR(MATCH($A116,HISTORICO!$Y$3:$Y$2002,0),"")</f>
        <v/>
      </c>
      <c r="C116">
        <f>IF($B116="","",INDEX(HISTORICO!$A$3:$A$2002,$B116))</f>
        <v/>
      </c>
      <c r="D116">
        <f>IF($B116="","",INDEX(HISTORICO!$C$3:$C$2002,$B116))</f>
        <v/>
      </c>
      <c r="E116">
        <f>IF($B116="","",INDEX(HISTORICO!$F$3:$F$2002,$B116))</f>
        <v/>
      </c>
      <c r="F116">
        <f>IF($B116="","",INDEX(HISTORICO!$G$3:$G$2002,$B116))</f>
        <v/>
      </c>
      <c r="G116">
        <f>IF($B116="","",INDEX(HISTORICO!$E$3:$E$2002,$B116))</f>
        <v/>
      </c>
      <c r="H116">
        <f>IF($B116="","",INDEX(HISTORICO!$H$3:$H$2002,$B116))</f>
        <v/>
      </c>
      <c r="I116">
        <f>IF($B116="","",INDEX(HISTORICO!$D$3:$D$2002,$B116))</f>
        <v/>
      </c>
      <c r="J116">
        <f>IF($B116="","",INDEX(HISTORICO!$B$3:$B$2002,$B116))</f>
        <v/>
      </c>
      <c r="K116">
        <f>IF($B116="","",INDEX(HISTORICO!$U$3:$U$2002,$B116))</f>
        <v/>
      </c>
      <c r="L116">
        <f>IF($B116="","",INDEX(HISTORICO!$I$3:$I$2002,$B116))</f>
        <v/>
      </c>
      <c r="M116">
        <f>IF($B116="","",INDEX(HISTORICO!$J$3:$J$2002,$B116))</f>
        <v/>
      </c>
      <c r="N116">
        <f>IF($B116="","",INDEX(HISTORICO!$K$3:$K$2002,$B116))</f>
        <v/>
      </c>
      <c r="O116">
        <f>IF($B116="","",INDEX(HISTORICO!$L$3:$L$2002,$B116))</f>
        <v/>
      </c>
      <c r="P116">
        <f>IF($B116="","",INDEX(HISTORICO!$M$3:$M$2002,$B116))</f>
        <v/>
      </c>
      <c r="Q116">
        <f>IF($B116="","",INDEX(HISTORICO!$N$3:$N$2002,$B116))</f>
        <v/>
      </c>
      <c r="R116">
        <f>IF($B116="","",INDEX(HISTORICO!$Q$3:$Q$2002,$B116))</f>
        <v/>
      </c>
      <c r="S116">
        <f>IF($B116="","",INDEX(HISTORICO!$P$3:$P$2002,$B116))</f>
        <v/>
      </c>
      <c r="T116">
        <f>IF($B116="","",INDEX(HISTORICO!$O$3:$O$2002,$B116))</f>
        <v/>
      </c>
      <c r="U116">
        <f>IF($B116="","",INDEX(HISTORICO!$R$3:$R$2002,$B116))</f>
        <v/>
      </c>
      <c r="V116">
        <f>IF($B116="","",INDEX(HISTORICO!$S$3:$S$2002,$B116))</f>
        <v/>
      </c>
      <c r="W116">
        <f>IF($B116="","",INDEX(HISTORICO!$T$3:$T$2002,$B116))</f>
        <v/>
      </c>
      <c r="X116">
        <f>IF($B116="","",INDEX(HISTORICO!$X$3:$X$2002,$B116))</f>
        <v/>
      </c>
      <c r="Y116">
        <f>IF($L116="","",IFERROR(INDEX(CONFIGURACOES!$C$37:$C$300,MATCH($L116,CONFIGURACOES!$B$37:$B$300,0)),""))</f>
        <v/>
      </c>
      <c r="Z116">
        <f>IF($L116="","",IFERROR(INDEX(CONFIGURACOES!$D$37:$D$300,MATCH($L116,CONFIGURACOES!$B$37:$B$300,0)),""))</f>
        <v/>
      </c>
      <c r="AA116">
        <f>IF($L116="","",IFERROR(INDEX(CONFIGURACOES!$E$37:$E$300,MATCH($L116,CONFIGURACOES!$B$37:$B$300,0)),""))</f>
        <v/>
      </c>
      <c r="AB116">
        <f>IF($L116="","",IFERROR(INDEX(CONFIGURACOES!$F$37:$F$300,MATCH($L116,CONFIGURACOES!$B$37:$B$300,0)),""))</f>
        <v/>
      </c>
      <c r="AC116">
        <f>IF($L116="","",IF($X116&lt;&gt;$X115,$AC115+1,$AC115))</f>
        <v/>
      </c>
      <c r="AD116">
        <f>IF($L116="","",IF($X116&lt;&gt;$X115,1,$AD115+1))</f>
        <v/>
      </c>
      <c r="AE116">
        <f>IF($L116="","",$AC116*10+$AD116)</f>
        <v/>
      </c>
      <c r="AF116">
        <f>IF($L116="","",SUMIF($X$2:$X$151,$X116,$U$2:$U$151))</f>
        <v/>
      </c>
      <c r="AG116">
        <f>IF($L116="","",SUMIF($X$2:$X$151,$X116,$W$2:$W$151))</f>
        <v/>
      </c>
    </row>
    <row r="117">
      <c r="A117" t="n">
        <v>116</v>
      </c>
      <c r="B117">
        <f>IFERROR(MATCH($A117,HISTORICO!$Y$3:$Y$2002,0),"")</f>
        <v/>
      </c>
      <c r="C117">
        <f>IF($B117="","",INDEX(HISTORICO!$A$3:$A$2002,$B117))</f>
        <v/>
      </c>
      <c r="D117">
        <f>IF($B117="","",INDEX(HISTORICO!$C$3:$C$2002,$B117))</f>
        <v/>
      </c>
      <c r="E117">
        <f>IF($B117="","",INDEX(HISTORICO!$F$3:$F$2002,$B117))</f>
        <v/>
      </c>
      <c r="F117">
        <f>IF($B117="","",INDEX(HISTORICO!$G$3:$G$2002,$B117))</f>
        <v/>
      </c>
      <c r="G117">
        <f>IF($B117="","",INDEX(HISTORICO!$E$3:$E$2002,$B117))</f>
        <v/>
      </c>
      <c r="H117">
        <f>IF($B117="","",INDEX(HISTORICO!$H$3:$H$2002,$B117))</f>
        <v/>
      </c>
      <c r="I117">
        <f>IF($B117="","",INDEX(HISTORICO!$D$3:$D$2002,$B117))</f>
        <v/>
      </c>
      <c r="J117">
        <f>IF($B117="","",INDEX(HISTORICO!$B$3:$B$2002,$B117))</f>
        <v/>
      </c>
      <c r="K117">
        <f>IF($B117="","",INDEX(HISTORICO!$U$3:$U$2002,$B117))</f>
        <v/>
      </c>
      <c r="L117">
        <f>IF($B117="","",INDEX(HISTORICO!$I$3:$I$2002,$B117))</f>
        <v/>
      </c>
      <c r="M117">
        <f>IF($B117="","",INDEX(HISTORICO!$J$3:$J$2002,$B117))</f>
        <v/>
      </c>
      <c r="N117">
        <f>IF($B117="","",INDEX(HISTORICO!$K$3:$K$2002,$B117))</f>
        <v/>
      </c>
      <c r="O117">
        <f>IF($B117="","",INDEX(HISTORICO!$L$3:$L$2002,$B117))</f>
        <v/>
      </c>
      <c r="P117">
        <f>IF($B117="","",INDEX(HISTORICO!$M$3:$M$2002,$B117))</f>
        <v/>
      </c>
      <c r="Q117">
        <f>IF($B117="","",INDEX(HISTORICO!$N$3:$N$2002,$B117))</f>
        <v/>
      </c>
      <c r="R117">
        <f>IF($B117="","",INDEX(HISTORICO!$Q$3:$Q$2002,$B117))</f>
        <v/>
      </c>
      <c r="S117">
        <f>IF($B117="","",INDEX(HISTORICO!$P$3:$P$2002,$B117))</f>
        <v/>
      </c>
      <c r="T117">
        <f>IF($B117="","",INDEX(HISTORICO!$O$3:$O$2002,$B117))</f>
        <v/>
      </c>
      <c r="U117">
        <f>IF($B117="","",INDEX(HISTORICO!$R$3:$R$2002,$B117))</f>
        <v/>
      </c>
      <c r="V117">
        <f>IF($B117="","",INDEX(HISTORICO!$S$3:$S$2002,$B117))</f>
        <v/>
      </c>
      <c r="W117">
        <f>IF($B117="","",INDEX(HISTORICO!$T$3:$T$2002,$B117))</f>
        <v/>
      </c>
      <c r="X117">
        <f>IF($B117="","",INDEX(HISTORICO!$X$3:$X$2002,$B117))</f>
        <v/>
      </c>
      <c r="Y117">
        <f>IF($L117="","",IFERROR(INDEX(CONFIGURACOES!$C$37:$C$300,MATCH($L117,CONFIGURACOES!$B$37:$B$300,0)),""))</f>
        <v/>
      </c>
      <c r="Z117">
        <f>IF($L117="","",IFERROR(INDEX(CONFIGURACOES!$D$37:$D$300,MATCH($L117,CONFIGURACOES!$B$37:$B$300,0)),""))</f>
        <v/>
      </c>
      <c r="AA117">
        <f>IF($L117="","",IFERROR(INDEX(CONFIGURACOES!$E$37:$E$300,MATCH($L117,CONFIGURACOES!$B$37:$B$300,0)),""))</f>
        <v/>
      </c>
      <c r="AB117">
        <f>IF($L117="","",IFERROR(INDEX(CONFIGURACOES!$F$37:$F$300,MATCH($L117,CONFIGURACOES!$B$37:$B$300,0)),""))</f>
        <v/>
      </c>
      <c r="AC117">
        <f>IF($L117="","",IF($X117&lt;&gt;$X116,$AC116+1,$AC116))</f>
        <v/>
      </c>
      <c r="AD117">
        <f>IF($L117="","",IF($X117&lt;&gt;$X116,1,$AD116+1))</f>
        <v/>
      </c>
      <c r="AE117">
        <f>IF($L117="","",$AC117*10+$AD117)</f>
        <v/>
      </c>
      <c r="AF117">
        <f>IF($L117="","",SUMIF($X$2:$X$151,$X117,$U$2:$U$151))</f>
        <v/>
      </c>
      <c r="AG117">
        <f>IF($L117="","",SUMIF($X$2:$X$151,$X117,$W$2:$W$151))</f>
        <v/>
      </c>
    </row>
    <row r="118">
      <c r="A118" t="n">
        <v>117</v>
      </c>
      <c r="B118">
        <f>IFERROR(MATCH($A118,HISTORICO!$Y$3:$Y$2002,0),"")</f>
        <v/>
      </c>
      <c r="C118">
        <f>IF($B118="","",INDEX(HISTORICO!$A$3:$A$2002,$B118))</f>
        <v/>
      </c>
      <c r="D118">
        <f>IF($B118="","",INDEX(HISTORICO!$C$3:$C$2002,$B118))</f>
        <v/>
      </c>
      <c r="E118">
        <f>IF($B118="","",INDEX(HISTORICO!$F$3:$F$2002,$B118))</f>
        <v/>
      </c>
      <c r="F118">
        <f>IF($B118="","",INDEX(HISTORICO!$G$3:$G$2002,$B118))</f>
        <v/>
      </c>
      <c r="G118">
        <f>IF($B118="","",INDEX(HISTORICO!$E$3:$E$2002,$B118))</f>
        <v/>
      </c>
      <c r="H118">
        <f>IF($B118="","",INDEX(HISTORICO!$H$3:$H$2002,$B118))</f>
        <v/>
      </c>
      <c r="I118">
        <f>IF($B118="","",INDEX(HISTORICO!$D$3:$D$2002,$B118))</f>
        <v/>
      </c>
      <c r="J118">
        <f>IF($B118="","",INDEX(HISTORICO!$B$3:$B$2002,$B118))</f>
        <v/>
      </c>
      <c r="K118">
        <f>IF($B118="","",INDEX(HISTORICO!$U$3:$U$2002,$B118))</f>
        <v/>
      </c>
      <c r="L118">
        <f>IF($B118="","",INDEX(HISTORICO!$I$3:$I$2002,$B118))</f>
        <v/>
      </c>
      <c r="M118">
        <f>IF($B118="","",INDEX(HISTORICO!$J$3:$J$2002,$B118))</f>
        <v/>
      </c>
      <c r="N118">
        <f>IF($B118="","",INDEX(HISTORICO!$K$3:$K$2002,$B118))</f>
        <v/>
      </c>
      <c r="O118">
        <f>IF($B118="","",INDEX(HISTORICO!$L$3:$L$2002,$B118))</f>
        <v/>
      </c>
      <c r="P118">
        <f>IF($B118="","",INDEX(HISTORICO!$M$3:$M$2002,$B118))</f>
        <v/>
      </c>
      <c r="Q118">
        <f>IF($B118="","",INDEX(HISTORICO!$N$3:$N$2002,$B118))</f>
        <v/>
      </c>
      <c r="R118">
        <f>IF($B118="","",INDEX(HISTORICO!$Q$3:$Q$2002,$B118))</f>
        <v/>
      </c>
      <c r="S118">
        <f>IF($B118="","",INDEX(HISTORICO!$P$3:$P$2002,$B118))</f>
        <v/>
      </c>
      <c r="T118">
        <f>IF($B118="","",INDEX(HISTORICO!$O$3:$O$2002,$B118))</f>
        <v/>
      </c>
      <c r="U118">
        <f>IF($B118="","",INDEX(HISTORICO!$R$3:$R$2002,$B118))</f>
        <v/>
      </c>
      <c r="V118">
        <f>IF($B118="","",INDEX(HISTORICO!$S$3:$S$2002,$B118))</f>
        <v/>
      </c>
      <c r="W118">
        <f>IF($B118="","",INDEX(HISTORICO!$T$3:$T$2002,$B118))</f>
        <v/>
      </c>
      <c r="X118">
        <f>IF($B118="","",INDEX(HISTORICO!$X$3:$X$2002,$B118))</f>
        <v/>
      </c>
      <c r="Y118">
        <f>IF($L118="","",IFERROR(INDEX(CONFIGURACOES!$C$37:$C$300,MATCH($L118,CONFIGURACOES!$B$37:$B$300,0)),""))</f>
        <v/>
      </c>
      <c r="Z118">
        <f>IF($L118="","",IFERROR(INDEX(CONFIGURACOES!$D$37:$D$300,MATCH($L118,CONFIGURACOES!$B$37:$B$300,0)),""))</f>
        <v/>
      </c>
      <c r="AA118">
        <f>IF($L118="","",IFERROR(INDEX(CONFIGURACOES!$E$37:$E$300,MATCH($L118,CONFIGURACOES!$B$37:$B$300,0)),""))</f>
        <v/>
      </c>
      <c r="AB118">
        <f>IF($L118="","",IFERROR(INDEX(CONFIGURACOES!$F$37:$F$300,MATCH($L118,CONFIGURACOES!$B$37:$B$300,0)),""))</f>
        <v/>
      </c>
      <c r="AC118">
        <f>IF($L118="","",IF($X118&lt;&gt;$X117,$AC117+1,$AC117))</f>
        <v/>
      </c>
      <c r="AD118">
        <f>IF($L118="","",IF($X118&lt;&gt;$X117,1,$AD117+1))</f>
        <v/>
      </c>
      <c r="AE118">
        <f>IF($L118="","",$AC118*10+$AD118)</f>
        <v/>
      </c>
      <c r="AF118">
        <f>IF($L118="","",SUMIF($X$2:$X$151,$X118,$U$2:$U$151))</f>
        <v/>
      </c>
      <c r="AG118">
        <f>IF($L118="","",SUMIF($X$2:$X$151,$X118,$W$2:$W$151))</f>
        <v/>
      </c>
    </row>
    <row r="119">
      <c r="A119" t="n">
        <v>118</v>
      </c>
      <c r="B119">
        <f>IFERROR(MATCH($A119,HISTORICO!$Y$3:$Y$2002,0),"")</f>
        <v/>
      </c>
      <c r="C119">
        <f>IF($B119="","",INDEX(HISTORICO!$A$3:$A$2002,$B119))</f>
        <v/>
      </c>
      <c r="D119">
        <f>IF($B119="","",INDEX(HISTORICO!$C$3:$C$2002,$B119))</f>
        <v/>
      </c>
      <c r="E119">
        <f>IF($B119="","",INDEX(HISTORICO!$F$3:$F$2002,$B119))</f>
        <v/>
      </c>
      <c r="F119">
        <f>IF($B119="","",INDEX(HISTORICO!$G$3:$G$2002,$B119))</f>
        <v/>
      </c>
      <c r="G119">
        <f>IF($B119="","",INDEX(HISTORICO!$E$3:$E$2002,$B119))</f>
        <v/>
      </c>
      <c r="H119">
        <f>IF($B119="","",INDEX(HISTORICO!$H$3:$H$2002,$B119))</f>
        <v/>
      </c>
      <c r="I119">
        <f>IF($B119="","",INDEX(HISTORICO!$D$3:$D$2002,$B119))</f>
        <v/>
      </c>
      <c r="J119">
        <f>IF($B119="","",INDEX(HISTORICO!$B$3:$B$2002,$B119))</f>
        <v/>
      </c>
      <c r="K119">
        <f>IF($B119="","",INDEX(HISTORICO!$U$3:$U$2002,$B119))</f>
        <v/>
      </c>
      <c r="L119">
        <f>IF($B119="","",INDEX(HISTORICO!$I$3:$I$2002,$B119))</f>
        <v/>
      </c>
      <c r="M119">
        <f>IF($B119="","",INDEX(HISTORICO!$J$3:$J$2002,$B119))</f>
        <v/>
      </c>
      <c r="N119">
        <f>IF($B119="","",INDEX(HISTORICO!$K$3:$K$2002,$B119))</f>
        <v/>
      </c>
      <c r="O119">
        <f>IF($B119="","",INDEX(HISTORICO!$L$3:$L$2002,$B119))</f>
        <v/>
      </c>
      <c r="P119">
        <f>IF($B119="","",INDEX(HISTORICO!$M$3:$M$2002,$B119))</f>
        <v/>
      </c>
      <c r="Q119">
        <f>IF($B119="","",INDEX(HISTORICO!$N$3:$N$2002,$B119))</f>
        <v/>
      </c>
      <c r="R119">
        <f>IF($B119="","",INDEX(HISTORICO!$Q$3:$Q$2002,$B119))</f>
        <v/>
      </c>
      <c r="S119">
        <f>IF($B119="","",INDEX(HISTORICO!$P$3:$P$2002,$B119))</f>
        <v/>
      </c>
      <c r="T119">
        <f>IF($B119="","",INDEX(HISTORICO!$O$3:$O$2002,$B119))</f>
        <v/>
      </c>
      <c r="U119">
        <f>IF($B119="","",INDEX(HISTORICO!$R$3:$R$2002,$B119))</f>
        <v/>
      </c>
      <c r="V119">
        <f>IF($B119="","",INDEX(HISTORICO!$S$3:$S$2002,$B119))</f>
        <v/>
      </c>
      <c r="W119">
        <f>IF($B119="","",INDEX(HISTORICO!$T$3:$T$2002,$B119))</f>
        <v/>
      </c>
      <c r="X119">
        <f>IF($B119="","",INDEX(HISTORICO!$X$3:$X$2002,$B119))</f>
        <v/>
      </c>
      <c r="Y119">
        <f>IF($L119="","",IFERROR(INDEX(CONFIGURACOES!$C$37:$C$300,MATCH($L119,CONFIGURACOES!$B$37:$B$300,0)),""))</f>
        <v/>
      </c>
      <c r="Z119">
        <f>IF($L119="","",IFERROR(INDEX(CONFIGURACOES!$D$37:$D$300,MATCH($L119,CONFIGURACOES!$B$37:$B$300,0)),""))</f>
        <v/>
      </c>
      <c r="AA119">
        <f>IF($L119="","",IFERROR(INDEX(CONFIGURACOES!$E$37:$E$300,MATCH($L119,CONFIGURACOES!$B$37:$B$300,0)),""))</f>
        <v/>
      </c>
      <c r="AB119">
        <f>IF($L119="","",IFERROR(INDEX(CONFIGURACOES!$F$37:$F$300,MATCH($L119,CONFIGURACOES!$B$37:$B$300,0)),""))</f>
        <v/>
      </c>
      <c r="AC119">
        <f>IF($L119="","",IF($X119&lt;&gt;$X118,$AC118+1,$AC118))</f>
        <v/>
      </c>
      <c r="AD119">
        <f>IF($L119="","",IF($X119&lt;&gt;$X118,1,$AD118+1))</f>
        <v/>
      </c>
      <c r="AE119">
        <f>IF($L119="","",$AC119*10+$AD119)</f>
        <v/>
      </c>
      <c r="AF119">
        <f>IF($L119="","",SUMIF($X$2:$X$151,$X119,$U$2:$U$151))</f>
        <v/>
      </c>
      <c r="AG119">
        <f>IF($L119="","",SUMIF($X$2:$X$151,$X119,$W$2:$W$151))</f>
        <v/>
      </c>
    </row>
    <row r="120">
      <c r="A120" t="n">
        <v>119</v>
      </c>
      <c r="B120">
        <f>IFERROR(MATCH($A120,HISTORICO!$Y$3:$Y$2002,0),"")</f>
        <v/>
      </c>
      <c r="C120">
        <f>IF($B120="","",INDEX(HISTORICO!$A$3:$A$2002,$B120))</f>
        <v/>
      </c>
      <c r="D120">
        <f>IF($B120="","",INDEX(HISTORICO!$C$3:$C$2002,$B120))</f>
        <v/>
      </c>
      <c r="E120">
        <f>IF($B120="","",INDEX(HISTORICO!$F$3:$F$2002,$B120))</f>
        <v/>
      </c>
      <c r="F120">
        <f>IF($B120="","",INDEX(HISTORICO!$G$3:$G$2002,$B120))</f>
        <v/>
      </c>
      <c r="G120">
        <f>IF($B120="","",INDEX(HISTORICO!$E$3:$E$2002,$B120))</f>
        <v/>
      </c>
      <c r="H120">
        <f>IF($B120="","",INDEX(HISTORICO!$H$3:$H$2002,$B120))</f>
        <v/>
      </c>
      <c r="I120">
        <f>IF($B120="","",INDEX(HISTORICO!$D$3:$D$2002,$B120))</f>
        <v/>
      </c>
      <c r="J120">
        <f>IF($B120="","",INDEX(HISTORICO!$B$3:$B$2002,$B120))</f>
        <v/>
      </c>
      <c r="K120">
        <f>IF($B120="","",INDEX(HISTORICO!$U$3:$U$2002,$B120))</f>
        <v/>
      </c>
      <c r="L120">
        <f>IF($B120="","",INDEX(HISTORICO!$I$3:$I$2002,$B120))</f>
        <v/>
      </c>
      <c r="M120">
        <f>IF($B120="","",INDEX(HISTORICO!$J$3:$J$2002,$B120))</f>
        <v/>
      </c>
      <c r="N120">
        <f>IF($B120="","",INDEX(HISTORICO!$K$3:$K$2002,$B120))</f>
        <v/>
      </c>
      <c r="O120">
        <f>IF($B120="","",INDEX(HISTORICO!$L$3:$L$2002,$B120))</f>
        <v/>
      </c>
      <c r="P120">
        <f>IF($B120="","",INDEX(HISTORICO!$M$3:$M$2002,$B120))</f>
        <v/>
      </c>
      <c r="Q120">
        <f>IF($B120="","",INDEX(HISTORICO!$N$3:$N$2002,$B120))</f>
        <v/>
      </c>
      <c r="R120">
        <f>IF($B120="","",INDEX(HISTORICO!$Q$3:$Q$2002,$B120))</f>
        <v/>
      </c>
      <c r="S120">
        <f>IF($B120="","",INDEX(HISTORICO!$P$3:$P$2002,$B120))</f>
        <v/>
      </c>
      <c r="T120">
        <f>IF($B120="","",INDEX(HISTORICO!$O$3:$O$2002,$B120))</f>
        <v/>
      </c>
      <c r="U120">
        <f>IF($B120="","",INDEX(HISTORICO!$R$3:$R$2002,$B120))</f>
        <v/>
      </c>
      <c r="V120">
        <f>IF($B120="","",INDEX(HISTORICO!$S$3:$S$2002,$B120))</f>
        <v/>
      </c>
      <c r="W120">
        <f>IF($B120="","",INDEX(HISTORICO!$T$3:$T$2002,$B120))</f>
        <v/>
      </c>
      <c r="X120">
        <f>IF($B120="","",INDEX(HISTORICO!$X$3:$X$2002,$B120))</f>
        <v/>
      </c>
      <c r="Y120">
        <f>IF($L120="","",IFERROR(INDEX(CONFIGURACOES!$C$37:$C$300,MATCH($L120,CONFIGURACOES!$B$37:$B$300,0)),""))</f>
        <v/>
      </c>
      <c r="Z120">
        <f>IF($L120="","",IFERROR(INDEX(CONFIGURACOES!$D$37:$D$300,MATCH($L120,CONFIGURACOES!$B$37:$B$300,0)),""))</f>
        <v/>
      </c>
      <c r="AA120">
        <f>IF($L120="","",IFERROR(INDEX(CONFIGURACOES!$E$37:$E$300,MATCH($L120,CONFIGURACOES!$B$37:$B$300,0)),""))</f>
        <v/>
      </c>
      <c r="AB120">
        <f>IF($L120="","",IFERROR(INDEX(CONFIGURACOES!$F$37:$F$300,MATCH($L120,CONFIGURACOES!$B$37:$B$300,0)),""))</f>
        <v/>
      </c>
      <c r="AC120">
        <f>IF($L120="","",IF($X120&lt;&gt;$X119,$AC119+1,$AC119))</f>
        <v/>
      </c>
      <c r="AD120">
        <f>IF($L120="","",IF($X120&lt;&gt;$X119,1,$AD119+1))</f>
        <v/>
      </c>
      <c r="AE120">
        <f>IF($L120="","",$AC120*10+$AD120)</f>
        <v/>
      </c>
      <c r="AF120">
        <f>IF($L120="","",SUMIF($X$2:$X$151,$X120,$U$2:$U$151))</f>
        <v/>
      </c>
      <c r="AG120">
        <f>IF($L120="","",SUMIF($X$2:$X$151,$X120,$W$2:$W$151))</f>
        <v/>
      </c>
    </row>
    <row r="121">
      <c r="A121" t="n">
        <v>120</v>
      </c>
      <c r="B121">
        <f>IFERROR(MATCH($A121,HISTORICO!$Y$3:$Y$2002,0),"")</f>
        <v/>
      </c>
      <c r="C121">
        <f>IF($B121="","",INDEX(HISTORICO!$A$3:$A$2002,$B121))</f>
        <v/>
      </c>
      <c r="D121">
        <f>IF($B121="","",INDEX(HISTORICO!$C$3:$C$2002,$B121))</f>
        <v/>
      </c>
      <c r="E121">
        <f>IF($B121="","",INDEX(HISTORICO!$F$3:$F$2002,$B121))</f>
        <v/>
      </c>
      <c r="F121">
        <f>IF($B121="","",INDEX(HISTORICO!$G$3:$G$2002,$B121))</f>
        <v/>
      </c>
      <c r="G121">
        <f>IF($B121="","",INDEX(HISTORICO!$E$3:$E$2002,$B121))</f>
        <v/>
      </c>
      <c r="H121">
        <f>IF($B121="","",INDEX(HISTORICO!$H$3:$H$2002,$B121))</f>
        <v/>
      </c>
      <c r="I121">
        <f>IF($B121="","",INDEX(HISTORICO!$D$3:$D$2002,$B121))</f>
        <v/>
      </c>
      <c r="J121">
        <f>IF($B121="","",INDEX(HISTORICO!$B$3:$B$2002,$B121))</f>
        <v/>
      </c>
      <c r="K121">
        <f>IF($B121="","",INDEX(HISTORICO!$U$3:$U$2002,$B121))</f>
        <v/>
      </c>
      <c r="L121">
        <f>IF($B121="","",INDEX(HISTORICO!$I$3:$I$2002,$B121))</f>
        <v/>
      </c>
      <c r="M121">
        <f>IF($B121="","",INDEX(HISTORICO!$J$3:$J$2002,$B121))</f>
        <v/>
      </c>
      <c r="N121">
        <f>IF($B121="","",INDEX(HISTORICO!$K$3:$K$2002,$B121))</f>
        <v/>
      </c>
      <c r="O121">
        <f>IF($B121="","",INDEX(HISTORICO!$L$3:$L$2002,$B121))</f>
        <v/>
      </c>
      <c r="P121">
        <f>IF($B121="","",INDEX(HISTORICO!$M$3:$M$2002,$B121))</f>
        <v/>
      </c>
      <c r="Q121">
        <f>IF($B121="","",INDEX(HISTORICO!$N$3:$N$2002,$B121))</f>
        <v/>
      </c>
      <c r="R121">
        <f>IF($B121="","",INDEX(HISTORICO!$Q$3:$Q$2002,$B121))</f>
        <v/>
      </c>
      <c r="S121">
        <f>IF($B121="","",INDEX(HISTORICO!$P$3:$P$2002,$B121))</f>
        <v/>
      </c>
      <c r="T121">
        <f>IF($B121="","",INDEX(HISTORICO!$O$3:$O$2002,$B121))</f>
        <v/>
      </c>
      <c r="U121">
        <f>IF($B121="","",INDEX(HISTORICO!$R$3:$R$2002,$B121))</f>
        <v/>
      </c>
      <c r="V121">
        <f>IF($B121="","",INDEX(HISTORICO!$S$3:$S$2002,$B121))</f>
        <v/>
      </c>
      <c r="W121">
        <f>IF($B121="","",INDEX(HISTORICO!$T$3:$T$2002,$B121))</f>
        <v/>
      </c>
      <c r="X121">
        <f>IF($B121="","",INDEX(HISTORICO!$X$3:$X$2002,$B121))</f>
        <v/>
      </c>
      <c r="Y121">
        <f>IF($L121="","",IFERROR(INDEX(CONFIGURACOES!$C$37:$C$300,MATCH($L121,CONFIGURACOES!$B$37:$B$300,0)),""))</f>
        <v/>
      </c>
      <c r="Z121">
        <f>IF($L121="","",IFERROR(INDEX(CONFIGURACOES!$D$37:$D$300,MATCH($L121,CONFIGURACOES!$B$37:$B$300,0)),""))</f>
        <v/>
      </c>
      <c r="AA121">
        <f>IF($L121="","",IFERROR(INDEX(CONFIGURACOES!$E$37:$E$300,MATCH($L121,CONFIGURACOES!$B$37:$B$300,0)),""))</f>
        <v/>
      </c>
      <c r="AB121">
        <f>IF($L121="","",IFERROR(INDEX(CONFIGURACOES!$F$37:$F$300,MATCH($L121,CONFIGURACOES!$B$37:$B$300,0)),""))</f>
        <v/>
      </c>
      <c r="AC121">
        <f>IF($L121="","",IF($X121&lt;&gt;$X120,$AC120+1,$AC120))</f>
        <v/>
      </c>
      <c r="AD121">
        <f>IF($L121="","",IF($X121&lt;&gt;$X120,1,$AD120+1))</f>
        <v/>
      </c>
      <c r="AE121">
        <f>IF($L121="","",$AC121*10+$AD121)</f>
        <v/>
      </c>
      <c r="AF121">
        <f>IF($L121="","",SUMIF($X$2:$X$151,$X121,$U$2:$U$151))</f>
        <v/>
      </c>
      <c r="AG121">
        <f>IF($L121="","",SUMIF($X$2:$X$151,$X121,$W$2:$W$151))</f>
        <v/>
      </c>
    </row>
    <row r="122">
      <c r="A122" t="n">
        <v>121</v>
      </c>
      <c r="B122">
        <f>IFERROR(MATCH($A122,HISTORICO!$Y$3:$Y$2002,0),"")</f>
        <v/>
      </c>
      <c r="C122">
        <f>IF($B122="","",INDEX(HISTORICO!$A$3:$A$2002,$B122))</f>
        <v/>
      </c>
      <c r="D122">
        <f>IF($B122="","",INDEX(HISTORICO!$C$3:$C$2002,$B122))</f>
        <v/>
      </c>
      <c r="E122">
        <f>IF($B122="","",INDEX(HISTORICO!$F$3:$F$2002,$B122))</f>
        <v/>
      </c>
      <c r="F122">
        <f>IF($B122="","",INDEX(HISTORICO!$G$3:$G$2002,$B122))</f>
        <v/>
      </c>
      <c r="G122">
        <f>IF($B122="","",INDEX(HISTORICO!$E$3:$E$2002,$B122))</f>
        <v/>
      </c>
      <c r="H122">
        <f>IF($B122="","",INDEX(HISTORICO!$H$3:$H$2002,$B122))</f>
        <v/>
      </c>
      <c r="I122">
        <f>IF($B122="","",INDEX(HISTORICO!$D$3:$D$2002,$B122))</f>
        <v/>
      </c>
      <c r="J122">
        <f>IF($B122="","",INDEX(HISTORICO!$B$3:$B$2002,$B122))</f>
        <v/>
      </c>
      <c r="K122">
        <f>IF($B122="","",INDEX(HISTORICO!$U$3:$U$2002,$B122))</f>
        <v/>
      </c>
      <c r="L122">
        <f>IF($B122="","",INDEX(HISTORICO!$I$3:$I$2002,$B122))</f>
        <v/>
      </c>
      <c r="M122">
        <f>IF($B122="","",INDEX(HISTORICO!$J$3:$J$2002,$B122))</f>
        <v/>
      </c>
      <c r="N122">
        <f>IF($B122="","",INDEX(HISTORICO!$K$3:$K$2002,$B122))</f>
        <v/>
      </c>
      <c r="O122">
        <f>IF($B122="","",INDEX(HISTORICO!$L$3:$L$2002,$B122))</f>
        <v/>
      </c>
      <c r="P122">
        <f>IF($B122="","",INDEX(HISTORICO!$M$3:$M$2002,$B122))</f>
        <v/>
      </c>
      <c r="Q122">
        <f>IF($B122="","",INDEX(HISTORICO!$N$3:$N$2002,$B122))</f>
        <v/>
      </c>
      <c r="R122">
        <f>IF($B122="","",INDEX(HISTORICO!$Q$3:$Q$2002,$B122))</f>
        <v/>
      </c>
      <c r="S122">
        <f>IF($B122="","",INDEX(HISTORICO!$P$3:$P$2002,$B122))</f>
        <v/>
      </c>
      <c r="T122">
        <f>IF($B122="","",INDEX(HISTORICO!$O$3:$O$2002,$B122))</f>
        <v/>
      </c>
      <c r="U122">
        <f>IF($B122="","",INDEX(HISTORICO!$R$3:$R$2002,$B122))</f>
        <v/>
      </c>
      <c r="V122">
        <f>IF($B122="","",INDEX(HISTORICO!$S$3:$S$2002,$B122))</f>
        <v/>
      </c>
      <c r="W122">
        <f>IF($B122="","",INDEX(HISTORICO!$T$3:$T$2002,$B122))</f>
        <v/>
      </c>
      <c r="X122">
        <f>IF($B122="","",INDEX(HISTORICO!$X$3:$X$2002,$B122))</f>
        <v/>
      </c>
      <c r="Y122">
        <f>IF($L122="","",IFERROR(INDEX(CONFIGURACOES!$C$37:$C$300,MATCH($L122,CONFIGURACOES!$B$37:$B$300,0)),""))</f>
        <v/>
      </c>
      <c r="Z122">
        <f>IF($L122="","",IFERROR(INDEX(CONFIGURACOES!$D$37:$D$300,MATCH($L122,CONFIGURACOES!$B$37:$B$300,0)),""))</f>
        <v/>
      </c>
      <c r="AA122">
        <f>IF($L122="","",IFERROR(INDEX(CONFIGURACOES!$E$37:$E$300,MATCH($L122,CONFIGURACOES!$B$37:$B$300,0)),""))</f>
        <v/>
      </c>
      <c r="AB122">
        <f>IF($L122="","",IFERROR(INDEX(CONFIGURACOES!$F$37:$F$300,MATCH($L122,CONFIGURACOES!$B$37:$B$300,0)),""))</f>
        <v/>
      </c>
      <c r="AC122">
        <f>IF($L122="","",IF($X122&lt;&gt;$X121,$AC121+1,$AC121))</f>
        <v/>
      </c>
      <c r="AD122">
        <f>IF($L122="","",IF($X122&lt;&gt;$X121,1,$AD121+1))</f>
        <v/>
      </c>
      <c r="AE122">
        <f>IF($L122="","",$AC122*10+$AD122)</f>
        <v/>
      </c>
      <c r="AF122">
        <f>IF($L122="","",SUMIF($X$2:$X$151,$X122,$U$2:$U$151))</f>
        <v/>
      </c>
      <c r="AG122">
        <f>IF($L122="","",SUMIF($X$2:$X$151,$X122,$W$2:$W$151))</f>
        <v/>
      </c>
    </row>
    <row r="123">
      <c r="A123" t="n">
        <v>122</v>
      </c>
      <c r="B123">
        <f>IFERROR(MATCH($A123,HISTORICO!$Y$3:$Y$2002,0),"")</f>
        <v/>
      </c>
      <c r="C123">
        <f>IF($B123="","",INDEX(HISTORICO!$A$3:$A$2002,$B123))</f>
        <v/>
      </c>
      <c r="D123">
        <f>IF($B123="","",INDEX(HISTORICO!$C$3:$C$2002,$B123))</f>
        <v/>
      </c>
      <c r="E123">
        <f>IF($B123="","",INDEX(HISTORICO!$F$3:$F$2002,$B123))</f>
        <v/>
      </c>
      <c r="F123">
        <f>IF($B123="","",INDEX(HISTORICO!$G$3:$G$2002,$B123))</f>
        <v/>
      </c>
      <c r="G123">
        <f>IF($B123="","",INDEX(HISTORICO!$E$3:$E$2002,$B123))</f>
        <v/>
      </c>
      <c r="H123">
        <f>IF($B123="","",INDEX(HISTORICO!$H$3:$H$2002,$B123))</f>
        <v/>
      </c>
      <c r="I123">
        <f>IF($B123="","",INDEX(HISTORICO!$D$3:$D$2002,$B123))</f>
        <v/>
      </c>
      <c r="J123">
        <f>IF($B123="","",INDEX(HISTORICO!$B$3:$B$2002,$B123))</f>
        <v/>
      </c>
      <c r="K123">
        <f>IF($B123="","",INDEX(HISTORICO!$U$3:$U$2002,$B123))</f>
        <v/>
      </c>
      <c r="L123">
        <f>IF($B123="","",INDEX(HISTORICO!$I$3:$I$2002,$B123))</f>
        <v/>
      </c>
      <c r="M123">
        <f>IF($B123="","",INDEX(HISTORICO!$J$3:$J$2002,$B123))</f>
        <v/>
      </c>
      <c r="N123">
        <f>IF($B123="","",INDEX(HISTORICO!$K$3:$K$2002,$B123))</f>
        <v/>
      </c>
      <c r="O123">
        <f>IF($B123="","",INDEX(HISTORICO!$L$3:$L$2002,$B123))</f>
        <v/>
      </c>
      <c r="P123">
        <f>IF($B123="","",INDEX(HISTORICO!$M$3:$M$2002,$B123))</f>
        <v/>
      </c>
      <c r="Q123">
        <f>IF($B123="","",INDEX(HISTORICO!$N$3:$N$2002,$B123))</f>
        <v/>
      </c>
      <c r="R123">
        <f>IF($B123="","",INDEX(HISTORICO!$Q$3:$Q$2002,$B123))</f>
        <v/>
      </c>
      <c r="S123">
        <f>IF($B123="","",INDEX(HISTORICO!$P$3:$P$2002,$B123))</f>
        <v/>
      </c>
      <c r="T123">
        <f>IF($B123="","",INDEX(HISTORICO!$O$3:$O$2002,$B123))</f>
        <v/>
      </c>
      <c r="U123">
        <f>IF($B123="","",INDEX(HISTORICO!$R$3:$R$2002,$B123))</f>
        <v/>
      </c>
      <c r="V123">
        <f>IF($B123="","",INDEX(HISTORICO!$S$3:$S$2002,$B123))</f>
        <v/>
      </c>
      <c r="W123">
        <f>IF($B123="","",INDEX(HISTORICO!$T$3:$T$2002,$B123))</f>
        <v/>
      </c>
      <c r="X123">
        <f>IF($B123="","",INDEX(HISTORICO!$X$3:$X$2002,$B123))</f>
        <v/>
      </c>
      <c r="Y123">
        <f>IF($L123="","",IFERROR(INDEX(CONFIGURACOES!$C$37:$C$300,MATCH($L123,CONFIGURACOES!$B$37:$B$300,0)),""))</f>
        <v/>
      </c>
      <c r="Z123">
        <f>IF($L123="","",IFERROR(INDEX(CONFIGURACOES!$D$37:$D$300,MATCH($L123,CONFIGURACOES!$B$37:$B$300,0)),""))</f>
        <v/>
      </c>
      <c r="AA123">
        <f>IF($L123="","",IFERROR(INDEX(CONFIGURACOES!$E$37:$E$300,MATCH($L123,CONFIGURACOES!$B$37:$B$300,0)),""))</f>
        <v/>
      </c>
      <c r="AB123">
        <f>IF($L123="","",IFERROR(INDEX(CONFIGURACOES!$F$37:$F$300,MATCH($L123,CONFIGURACOES!$B$37:$B$300,0)),""))</f>
        <v/>
      </c>
      <c r="AC123">
        <f>IF($L123="","",IF($X123&lt;&gt;$X122,$AC122+1,$AC122))</f>
        <v/>
      </c>
      <c r="AD123">
        <f>IF($L123="","",IF($X123&lt;&gt;$X122,1,$AD122+1))</f>
        <v/>
      </c>
      <c r="AE123">
        <f>IF($L123="","",$AC123*10+$AD123)</f>
        <v/>
      </c>
      <c r="AF123">
        <f>IF($L123="","",SUMIF($X$2:$X$151,$X123,$U$2:$U$151))</f>
        <v/>
      </c>
      <c r="AG123">
        <f>IF($L123="","",SUMIF($X$2:$X$151,$X123,$W$2:$W$151))</f>
        <v/>
      </c>
    </row>
    <row r="124">
      <c r="A124" t="n">
        <v>123</v>
      </c>
      <c r="B124">
        <f>IFERROR(MATCH($A124,HISTORICO!$Y$3:$Y$2002,0),"")</f>
        <v/>
      </c>
      <c r="C124">
        <f>IF($B124="","",INDEX(HISTORICO!$A$3:$A$2002,$B124))</f>
        <v/>
      </c>
      <c r="D124">
        <f>IF($B124="","",INDEX(HISTORICO!$C$3:$C$2002,$B124))</f>
        <v/>
      </c>
      <c r="E124">
        <f>IF($B124="","",INDEX(HISTORICO!$F$3:$F$2002,$B124))</f>
        <v/>
      </c>
      <c r="F124">
        <f>IF($B124="","",INDEX(HISTORICO!$G$3:$G$2002,$B124))</f>
        <v/>
      </c>
      <c r="G124">
        <f>IF($B124="","",INDEX(HISTORICO!$E$3:$E$2002,$B124))</f>
        <v/>
      </c>
      <c r="H124">
        <f>IF($B124="","",INDEX(HISTORICO!$H$3:$H$2002,$B124))</f>
        <v/>
      </c>
      <c r="I124">
        <f>IF($B124="","",INDEX(HISTORICO!$D$3:$D$2002,$B124))</f>
        <v/>
      </c>
      <c r="J124">
        <f>IF($B124="","",INDEX(HISTORICO!$B$3:$B$2002,$B124))</f>
        <v/>
      </c>
      <c r="K124">
        <f>IF($B124="","",INDEX(HISTORICO!$U$3:$U$2002,$B124))</f>
        <v/>
      </c>
      <c r="L124">
        <f>IF($B124="","",INDEX(HISTORICO!$I$3:$I$2002,$B124))</f>
        <v/>
      </c>
      <c r="M124">
        <f>IF($B124="","",INDEX(HISTORICO!$J$3:$J$2002,$B124))</f>
        <v/>
      </c>
      <c r="N124">
        <f>IF($B124="","",INDEX(HISTORICO!$K$3:$K$2002,$B124))</f>
        <v/>
      </c>
      <c r="O124">
        <f>IF($B124="","",INDEX(HISTORICO!$L$3:$L$2002,$B124))</f>
        <v/>
      </c>
      <c r="P124">
        <f>IF($B124="","",INDEX(HISTORICO!$M$3:$M$2002,$B124))</f>
        <v/>
      </c>
      <c r="Q124">
        <f>IF($B124="","",INDEX(HISTORICO!$N$3:$N$2002,$B124))</f>
        <v/>
      </c>
      <c r="R124">
        <f>IF($B124="","",INDEX(HISTORICO!$Q$3:$Q$2002,$B124))</f>
        <v/>
      </c>
      <c r="S124">
        <f>IF($B124="","",INDEX(HISTORICO!$P$3:$P$2002,$B124))</f>
        <v/>
      </c>
      <c r="T124">
        <f>IF($B124="","",INDEX(HISTORICO!$O$3:$O$2002,$B124))</f>
        <v/>
      </c>
      <c r="U124">
        <f>IF($B124="","",INDEX(HISTORICO!$R$3:$R$2002,$B124))</f>
        <v/>
      </c>
      <c r="V124">
        <f>IF($B124="","",INDEX(HISTORICO!$S$3:$S$2002,$B124))</f>
        <v/>
      </c>
      <c r="W124">
        <f>IF($B124="","",INDEX(HISTORICO!$T$3:$T$2002,$B124))</f>
        <v/>
      </c>
      <c r="X124">
        <f>IF($B124="","",INDEX(HISTORICO!$X$3:$X$2002,$B124))</f>
        <v/>
      </c>
      <c r="Y124">
        <f>IF($L124="","",IFERROR(INDEX(CONFIGURACOES!$C$37:$C$300,MATCH($L124,CONFIGURACOES!$B$37:$B$300,0)),""))</f>
        <v/>
      </c>
      <c r="Z124">
        <f>IF($L124="","",IFERROR(INDEX(CONFIGURACOES!$D$37:$D$300,MATCH($L124,CONFIGURACOES!$B$37:$B$300,0)),""))</f>
        <v/>
      </c>
      <c r="AA124">
        <f>IF($L124="","",IFERROR(INDEX(CONFIGURACOES!$E$37:$E$300,MATCH($L124,CONFIGURACOES!$B$37:$B$300,0)),""))</f>
        <v/>
      </c>
      <c r="AB124">
        <f>IF($L124="","",IFERROR(INDEX(CONFIGURACOES!$F$37:$F$300,MATCH($L124,CONFIGURACOES!$B$37:$B$300,0)),""))</f>
        <v/>
      </c>
      <c r="AC124">
        <f>IF($L124="","",IF($X124&lt;&gt;$X123,$AC123+1,$AC123))</f>
        <v/>
      </c>
      <c r="AD124">
        <f>IF($L124="","",IF($X124&lt;&gt;$X123,1,$AD123+1))</f>
        <v/>
      </c>
      <c r="AE124">
        <f>IF($L124="","",$AC124*10+$AD124)</f>
        <v/>
      </c>
      <c r="AF124">
        <f>IF($L124="","",SUMIF($X$2:$X$151,$X124,$U$2:$U$151))</f>
        <v/>
      </c>
      <c r="AG124">
        <f>IF($L124="","",SUMIF($X$2:$X$151,$X124,$W$2:$W$151))</f>
        <v/>
      </c>
    </row>
    <row r="125">
      <c r="A125" t="n">
        <v>124</v>
      </c>
      <c r="B125">
        <f>IFERROR(MATCH($A125,HISTORICO!$Y$3:$Y$2002,0),"")</f>
        <v/>
      </c>
      <c r="C125">
        <f>IF($B125="","",INDEX(HISTORICO!$A$3:$A$2002,$B125))</f>
        <v/>
      </c>
      <c r="D125">
        <f>IF($B125="","",INDEX(HISTORICO!$C$3:$C$2002,$B125))</f>
        <v/>
      </c>
      <c r="E125">
        <f>IF($B125="","",INDEX(HISTORICO!$F$3:$F$2002,$B125))</f>
        <v/>
      </c>
      <c r="F125">
        <f>IF($B125="","",INDEX(HISTORICO!$G$3:$G$2002,$B125))</f>
        <v/>
      </c>
      <c r="G125">
        <f>IF($B125="","",INDEX(HISTORICO!$E$3:$E$2002,$B125))</f>
        <v/>
      </c>
      <c r="H125">
        <f>IF($B125="","",INDEX(HISTORICO!$H$3:$H$2002,$B125))</f>
        <v/>
      </c>
      <c r="I125">
        <f>IF($B125="","",INDEX(HISTORICO!$D$3:$D$2002,$B125))</f>
        <v/>
      </c>
      <c r="J125">
        <f>IF($B125="","",INDEX(HISTORICO!$B$3:$B$2002,$B125))</f>
        <v/>
      </c>
      <c r="K125">
        <f>IF($B125="","",INDEX(HISTORICO!$U$3:$U$2002,$B125))</f>
        <v/>
      </c>
      <c r="L125">
        <f>IF($B125="","",INDEX(HISTORICO!$I$3:$I$2002,$B125))</f>
        <v/>
      </c>
      <c r="M125">
        <f>IF($B125="","",INDEX(HISTORICO!$J$3:$J$2002,$B125))</f>
        <v/>
      </c>
      <c r="N125">
        <f>IF($B125="","",INDEX(HISTORICO!$K$3:$K$2002,$B125))</f>
        <v/>
      </c>
      <c r="O125">
        <f>IF($B125="","",INDEX(HISTORICO!$L$3:$L$2002,$B125))</f>
        <v/>
      </c>
      <c r="P125">
        <f>IF($B125="","",INDEX(HISTORICO!$M$3:$M$2002,$B125))</f>
        <v/>
      </c>
      <c r="Q125">
        <f>IF($B125="","",INDEX(HISTORICO!$N$3:$N$2002,$B125))</f>
        <v/>
      </c>
      <c r="R125">
        <f>IF($B125="","",INDEX(HISTORICO!$Q$3:$Q$2002,$B125))</f>
        <v/>
      </c>
      <c r="S125">
        <f>IF($B125="","",INDEX(HISTORICO!$P$3:$P$2002,$B125))</f>
        <v/>
      </c>
      <c r="T125">
        <f>IF($B125="","",INDEX(HISTORICO!$O$3:$O$2002,$B125))</f>
        <v/>
      </c>
      <c r="U125">
        <f>IF($B125="","",INDEX(HISTORICO!$R$3:$R$2002,$B125))</f>
        <v/>
      </c>
      <c r="V125">
        <f>IF($B125="","",INDEX(HISTORICO!$S$3:$S$2002,$B125))</f>
        <v/>
      </c>
      <c r="W125">
        <f>IF($B125="","",INDEX(HISTORICO!$T$3:$T$2002,$B125))</f>
        <v/>
      </c>
      <c r="X125">
        <f>IF($B125="","",INDEX(HISTORICO!$X$3:$X$2002,$B125))</f>
        <v/>
      </c>
      <c r="Y125">
        <f>IF($L125="","",IFERROR(INDEX(CONFIGURACOES!$C$37:$C$300,MATCH($L125,CONFIGURACOES!$B$37:$B$300,0)),""))</f>
        <v/>
      </c>
      <c r="Z125">
        <f>IF($L125="","",IFERROR(INDEX(CONFIGURACOES!$D$37:$D$300,MATCH($L125,CONFIGURACOES!$B$37:$B$300,0)),""))</f>
        <v/>
      </c>
      <c r="AA125">
        <f>IF($L125="","",IFERROR(INDEX(CONFIGURACOES!$E$37:$E$300,MATCH($L125,CONFIGURACOES!$B$37:$B$300,0)),""))</f>
        <v/>
      </c>
      <c r="AB125">
        <f>IF($L125="","",IFERROR(INDEX(CONFIGURACOES!$F$37:$F$300,MATCH($L125,CONFIGURACOES!$B$37:$B$300,0)),""))</f>
        <v/>
      </c>
      <c r="AC125">
        <f>IF($L125="","",IF($X125&lt;&gt;$X124,$AC124+1,$AC124))</f>
        <v/>
      </c>
      <c r="AD125">
        <f>IF($L125="","",IF($X125&lt;&gt;$X124,1,$AD124+1))</f>
        <v/>
      </c>
      <c r="AE125">
        <f>IF($L125="","",$AC125*10+$AD125)</f>
        <v/>
      </c>
      <c r="AF125">
        <f>IF($L125="","",SUMIF($X$2:$X$151,$X125,$U$2:$U$151))</f>
        <v/>
      </c>
      <c r="AG125">
        <f>IF($L125="","",SUMIF($X$2:$X$151,$X125,$W$2:$W$151))</f>
        <v/>
      </c>
    </row>
    <row r="126">
      <c r="A126" t="n">
        <v>125</v>
      </c>
      <c r="B126">
        <f>IFERROR(MATCH($A126,HISTORICO!$Y$3:$Y$2002,0),"")</f>
        <v/>
      </c>
      <c r="C126">
        <f>IF($B126="","",INDEX(HISTORICO!$A$3:$A$2002,$B126))</f>
        <v/>
      </c>
      <c r="D126">
        <f>IF($B126="","",INDEX(HISTORICO!$C$3:$C$2002,$B126))</f>
        <v/>
      </c>
      <c r="E126">
        <f>IF($B126="","",INDEX(HISTORICO!$F$3:$F$2002,$B126))</f>
        <v/>
      </c>
      <c r="F126">
        <f>IF($B126="","",INDEX(HISTORICO!$G$3:$G$2002,$B126))</f>
        <v/>
      </c>
      <c r="G126">
        <f>IF($B126="","",INDEX(HISTORICO!$E$3:$E$2002,$B126))</f>
        <v/>
      </c>
      <c r="H126">
        <f>IF($B126="","",INDEX(HISTORICO!$H$3:$H$2002,$B126))</f>
        <v/>
      </c>
      <c r="I126">
        <f>IF($B126="","",INDEX(HISTORICO!$D$3:$D$2002,$B126))</f>
        <v/>
      </c>
      <c r="J126">
        <f>IF($B126="","",INDEX(HISTORICO!$B$3:$B$2002,$B126))</f>
        <v/>
      </c>
      <c r="K126">
        <f>IF($B126="","",INDEX(HISTORICO!$U$3:$U$2002,$B126))</f>
        <v/>
      </c>
      <c r="L126">
        <f>IF($B126="","",INDEX(HISTORICO!$I$3:$I$2002,$B126))</f>
        <v/>
      </c>
      <c r="M126">
        <f>IF($B126="","",INDEX(HISTORICO!$J$3:$J$2002,$B126))</f>
        <v/>
      </c>
      <c r="N126">
        <f>IF($B126="","",INDEX(HISTORICO!$K$3:$K$2002,$B126))</f>
        <v/>
      </c>
      <c r="O126">
        <f>IF($B126="","",INDEX(HISTORICO!$L$3:$L$2002,$B126))</f>
        <v/>
      </c>
      <c r="P126">
        <f>IF($B126="","",INDEX(HISTORICO!$M$3:$M$2002,$B126))</f>
        <v/>
      </c>
      <c r="Q126">
        <f>IF($B126="","",INDEX(HISTORICO!$N$3:$N$2002,$B126))</f>
        <v/>
      </c>
      <c r="R126">
        <f>IF($B126="","",INDEX(HISTORICO!$Q$3:$Q$2002,$B126))</f>
        <v/>
      </c>
      <c r="S126">
        <f>IF($B126="","",INDEX(HISTORICO!$P$3:$P$2002,$B126))</f>
        <v/>
      </c>
      <c r="T126">
        <f>IF($B126="","",INDEX(HISTORICO!$O$3:$O$2002,$B126))</f>
        <v/>
      </c>
      <c r="U126">
        <f>IF($B126="","",INDEX(HISTORICO!$R$3:$R$2002,$B126))</f>
        <v/>
      </c>
      <c r="V126">
        <f>IF($B126="","",INDEX(HISTORICO!$S$3:$S$2002,$B126))</f>
        <v/>
      </c>
      <c r="W126">
        <f>IF($B126="","",INDEX(HISTORICO!$T$3:$T$2002,$B126))</f>
        <v/>
      </c>
      <c r="X126">
        <f>IF($B126="","",INDEX(HISTORICO!$X$3:$X$2002,$B126))</f>
        <v/>
      </c>
      <c r="Y126">
        <f>IF($L126="","",IFERROR(INDEX(CONFIGURACOES!$C$37:$C$300,MATCH($L126,CONFIGURACOES!$B$37:$B$300,0)),""))</f>
        <v/>
      </c>
      <c r="Z126">
        <f>IF($L126="","",IFERROR(INDEX(CONFIGURACOES!$D$37:$D$300,MATCH($L126,CONFIGURACOES!$B$37:$B$300,0)),""))</f>
        <v/>
      </c>
      <c r="AA126">
        <f>IF($L126="","",IFERROR(INDEX(CONFIGURACOES!$E$37:$E$300,MATCH($L126,CONFIGURACOES!$B$37:$B$300,0)),""))</f>
        <v/>
      </c>
      <c r="AB126">
        <f>IF($L126="","",IFERROR(INDEX(CONFIGURACOES!$F$37:$F$300,MATCH($L126,CONFIGURACOES!$B$37:$B$300,0)),""))</f>
        <v/>
      </c>
      <c r="AC126">
        <f>IF($L126="","",IF($X126&lt;&gt;$X125,$AC125+1,$AC125))</f>
        <v/>
      </c>
      <c r="AD126">
        <f>IF($L126="","",IF($X126&lt;&gt;$X125,1,$AD125+1))</f>
        <v/>
      </c>
      <c r="AE126">
        <f>IF($L126="","",$AC126*10+$AD126)</f>
        <v/>
      </c>
      <c r="AF126">
        <f>IF($L126="","",SUMIF($X$2:$X$151,$X126,$U$2:$U$151))</f>
        <v/>
      </c>
      <c r="AG126">
        <f>IF($L126="","",SUMIF($X$2:$X$151,$X126,$W$2:$W$151))</f>
        <v/>
      </c>
    </row>
    <row r="127">
      <c r="A127" t="n">
        <v>126</v>
      </c>
      <c r="B127">
        <f>IFERROR(MATCH($A127,HISTORICO!$Y$3:$Y$2002,0),"")</f>
        <v/>
      </c>
      <c r="C127">
        <f>IF($B127="","",INDEX(HISTORICO!$A$3:$A$2002,$B127))</f>
        <v/>
      </c>
      <c r="D127">
        <f>IF($B127="","",INDEX(HISTORICO!$C$3:$C$2002,$B127))</f>
        <v/>
      </c>
      <c r="E127">
        <f>IF($B127="","",INDEX(HISTORICO!$F$3:$F$2002,$B127))</f>
        <v/>
      </c>
      <c r="F127">
        <f>IF($B127="","",INDEX(HISTORICO!$G$3:$G$2002,$B127))</f>
        <v/>
      </c>
      <c r="G127">
        <f>IF($B127="","",INDEX(HISTORICO!$E$3:$E$2002,$B127))</f>
        <v/>
      </c>
      <c r="H127">
        <f>IF($B127="","",INDEX(HISTORICO!$H$3:$H$2002,$B127))</f>
        <v/>
      </c>
      <c r="I127">
        <f>IF($B127="","",INDEX(HISTORICO!$D$3:$D$2002,$B127))</f>
        <v/>
      </c>
      <c r="J127">
        <f>IF($B127="","",INDEX(HISTORICO!$B$3:$B$2002,$B127))</f>
        <v/>
      </c>
      <c r="K127">
        <f>IF($B127="","",INDEX(HISTORICO!$U$3:$U$2002,$B127))</f>
        <v/>
      </c>
      <c r="L127">
        <f>IF($B127="","",INDEX(HISTORICO!$I$3:$I$2002,$B127))</f>
        <v/>
      </c>
      <c r="M127">
        <f>IF($B127="","",INDEX(HISTORICO!$J$3:$J$2002,$B127))</f>
        <v/>
      </c>
      <c r="N127">
        <f>IF($B127="","",INDEX(HISTORICO!$K$3:$K$2002,$B127))</f>
        <v/>
      </c>
      <c r="O127">
        <f>IF($B127="","",INDEX(HISTORICO!$L$3:$L$2002,$B127))</f>
        <v/>
      </c>
      <c r="P127">
        <f>IF($B127="","",INDEX(HISTORICO!$M$3:$M$2002,$B127))</f>
        <v/>
      </c>
      <c r="Q127">
        <f>IF($B127="","",INDEX(HISTORICO!$N$3:$N$2002,$B127))</f>
        <v/>
      </c>
      <c r="R127">
        <f>IF($B127="","",INDEX(HISTORICO!$Q$3:$Q$2002,$B127))</f>
        <v/>
      </c>
      <c r="S127">
        <f>IF($B127="","",INDEX(HISTORICO!$P$3:$P$2002,$B127))</f>
        <v/>
      </c>
      <c r="T127">
        <f>IF($B127="","",INDEX(HISTORICO!$O$3:$O$2002,$B127))</f>
        <v/>
      </c>
      <c r="U127">
        <f>IF($B127="","",INDEX(HISTORICO!$R$3:$R$2002,$B127))</f>
        <v/>
      </c>
      <c r="V127">
        <f>IF($B127="","",INDEX(HISTORICO!$S$3:$S$2002,$B127))</f>
        <v/>
      </c>
      <c r="W127">
        <f>IF($B127="","",INDEX(HISTORICO!$T$3:$T$2002,$B127))</f>
        <v/>
      </c>
      <c r="X127">
        <f>IF($B127="","",INDEX(HISTORICO!$X$3:$X$2002,$B127))</f>
        <v/>
      </c>
      <c r="Y127">
        <f>IF($L127="","",IFERROR(INDEX(CONFIGURACOES!$C$37:$C$300,MATCH($L127,CONFIGURACOES!$B$37:$B$300,0)),""))</f>
        <v/>
      </c>
      <c r="Z127">
        <f>IF($L127="","",IFERROR(INDEX(CONFIGURACOES!$D$37:$D$300,MATCH($L127,CONFIGURACOES!$B$37:$B$300,0)),""))</f>
        <v/>
      </c>
      <c r="AA127">
        <f>IF($L127="","",IFERROR(INDEX(CONFIGURACOES!$E$37:$E$300,MATCH($L127,CONFIGURACOES!$B$37:$B$300,0)),""))</f>
        <v/>
      </c>
      <c r="AB127">
        <f>IF($L127="","",IFERROR(INDEX(CONFIGURACOES!$F$37:$F$300,MATCH($L127,CONFIGURACOES!$B$37:$B$300,0)),""))</f>
        <v/>
      </c>
      <c r="AC127">
        <f>IF($L127="","",IF($X127&lt;&gt;$X126,$AC126+1,$AC126))</f>
        <v/>
      </c>
      <c r="AD127">
        <f>IF($L127="","",IF($X127&lt;&gt;$X126,1,$AD126+1))</f>
        <v/>
      </c>
      <c r="AE127">
        <f>IF($L127="","",$AC127*10+$AD127)</f>
        <v/>
      </c>
      <c r="AF127">
        <f>IF($L127="","",SUMIF($X$2:$X$151,$X127,$U$2:$U$151))</f>
        <v/>
      </c>
      <c r="AG127">
        <f>IF($L127="","",SUMIF($X$2:$X$151,$X127,$W$2:$W$151))</f>
        <v/>
      </c>
    </row>
    <row r="128">
      <c r="A128" t="n">
        <v>127</v>
      </c>
      <c r="B128">
        <f>IFERROR(MATCH($A128,HISTORICO!$Y$3:$Y$2002,0),"")</f>
        <v/>
      </c>
      <c r="C128">
        <f>IF($B128="","",INDEX(HISTORICO!$A$3:$A$2002,$B128))</f>
        <v/>
      </c>
      <c r="D128">
        <f>IF($B128="","",INDEX(HISTORICO!$C$3:$C$2002,$B128))</f>
        <v/>
      </c>
      <c r="E128">
        <f>IF($B128="","",INDEX(HISTORICO!$F$3:$F$2002,$B128))</f>
        <v/>
      </c>
      <c r="F128">
        <f>IF($B128="","",INDEX(HISTORICO!$G$3:$G$2002,$B128))</f>
        <v/>
      </c>
      <c r="G128">
        <f>IF($B128="","",INDEX(HISTORICO!$E$3:$E$2002,$B128))</f>
        <v/>
      </c>
      <c r="H128">
        <f>IF($B128="","",INDEX(HISTORICO!$H$3:$H$2002,$B128))</f>
        <v/>
      </c>
      <c r="I128">
        <f>IF($B128="","",INDEX(HISTORICO!$D$3:$D$2002,$B128))</f>
        <v/>
      </c>
      <c r="J128">
        <f>IF($B128="","",INDEX(HISTORICO!$B$3:$B$2002,$B128))</f>
        <v/>
      </c>
      <c r="K128">
        <f>IF($B128="","",INDEX(HISTORICO!$U$3:$U$2002,$B128))</f>
        <v/>
      </c>
      <c r="L128">
        <f>IF($B128="","",INDEX(HISTORICO!$I$3:$I$2002,$B128))</f>
        <v/>
      </c>
      <c r="M128">
        <f>IF($B128="","",INDEX(HISTORICO!$J$3:$J$2002,$B128))</f>
        <v/>
      </c>
      <c r="N128">
        <f>IF($B128="","",INDEX(HISTORICO!$K$3:$K$2002,$B128))</f>
        <v/>
      </c>
      <c r="O128">
        <f>IF($B128="","",INDEX(HISTORICO!$L$3:$L$2002,$B128))</f>
        <v/>
      </c>
      <c r="P128">
        <f>IF($B128="","",INDEX(HISTORICO!$M$3:$M$2002,$B128))</f>
        <v/>
      </c>
      <c r="Q128">
        <f>IF($B128="","",INDEX(HISTORICO!$N$3:$N$2002,$B128))</f>
        <v/>
      </c>
      <c r="R128">
        <f>IF($B128="","",INDEX(HISTORICO!$Q$3:$Q$2002,$B128))</f>
        <v/>
      </c>
      <c r="S128">
        <f>IF($B128="","",INDEX(HISTORICO!$P$3:$P$2002,$B128))</f>
        <v/>
      </c>
      <c r="T128">
        <f>IF($B128="","",INDEX(HISTORICO!$O$3:$O$2002,$B128))</f>
        <v/>
      </c>
      <c r="U128">
        <f>IF($B128="","",INDEX(HISTORICO!$R$3:$R$2002,$B128))</f>
        <v/>
      </c>
      <c r="V128">
        <f>IF($B128="","",INDEX(HISTORICO!$S$3:$S$2002,$B128))</f>
        <v/>
      </c>
      <c r="W128">
        <f>IF($B128="","",INDEX(HISTORICO!$T$3:$T$2002,$B128))</f>
        <v/>
      </c>
      <c r="X128">
        <f>IF($B128="","",INDEX(HISTORICO!$X$3:$X$2002,$B128))</f>
        <v/>
      </c>
      <c r="Y128">
        <f>IF($L128="","",IFERROR(INDEX(CONFIGURACOES!$C$37:$C$300,MATCH($L128,CONFIGURACOES!$B$37:$B$300,0)),""))</f>
        <v/>
      </c>
      <c r="Z128">
        <f>IF($L128="","",IFERROR(INDEX(CONFIGURACOES!$D$37:$D$300,MATCH($L128,CONFIGURACOES!$B$37:$B$300,0)),""))</f>
        <v/>
      </c>
      <c r="AA128">
        <f>IF($L128="","",IFERROR(INDEX(CONFIGURACOES!$E$37:$E$300,MATCH($L128,CONFIGURACOES!$B$37:$B$300,0)),""))</f>
        <v/>
      </c>
      <c r="AB128">
        <f>IF($L128="","",IFERROR(INDEX(CONFIGURACOES!$F$37:$F$300,MATCH($L128,CONFIGURACOES!$B$37:$B$300,0)),""))</f>
        <v/>
      </c>
      <c r="AC128">
        <f>IF($L128="","",IF($X128&lt;&gt;$X127,$AC127+1,$AC127))</f>
        <v/>
      </c>
      <c r="AD128">
        <f>IF($L128="","",IF($X128&lt;&gt;$X127,1,$AD127+1))</f>
        <v/>
      </c>
      <c r="AE128">
        <f>IF($L128="","",$AC128*10+$AD128)</f>
        <v/>
      </c>
      <c r="AF128">
        <f>IF($L128="","",SUMIF($X$2:$X$151,$X128,$U$2:$U$151))</f>
        <v/>
      </c>
      <c r="AG128">
        <f>IF($L128="","",SUMIF($X$2:$X$151,$X128,$W$2:$W$151))</f>
        <v/>
      </c>
    </row>
    <row r="129">
      <c r="A129" t="n">
        <v>128</v>
      </c>
      <c r="B129">
        <f>IFERROR(MATCH($A129,HISTORICO!$Y$3:$Y$2002,0),"")</f>
        <v/>
      </c>
      <c r="C129">
        <f>IF($B129="","",INDEX(HISTORICO!$A$3:$A$2002,$B129))</f>
        <v/>
      </c>
      <c r="D129">
        <f>IF($B129="","",INDEX(HISTORICO!$C$3:$C$2002,$B129))</f>
        <v/>
      </c>
      <c r="E129">
        <f>IF($B129="","",INDEX(HISTORICO!$F$3:$F$2002,$B129))</f>
        <v/>
      </c>
      <c r="F129">
        <f>IF($B129="","",INDEX(HISTORICO!$G$3:$G$2002,$B129))</f>
        <v/>
      </c>
      <c r="G129">
        <f>IF($B129="","",INDEX(HISTORICO!$E$3:$E$2002,$B129))</f>
        <v/>
      </c>
      <c r="H129">
        <f>IF($B129="","",INDEX(HISTORICO!$H$3:$H$2002,$B129))</f>
        <v/>
      </c>
      <c r="I129">
        <f>IF($B129="","",INDEX(HISTORICO!$D$3:$D$2002,$B129))</f>
        <v/>
      </c>
      <c r="J129">
        <f>IF($B129="","",INDEX(HISTORICO!$B$3:$B$2002,$B129))</f>
        <v/>
      </c>
      <c r="K129">
        <f>IF($B129="","",INDEX(HISTORICO!$U$3:$U$2002,$B129))</f>
        <v/>
      </c>
      <c r="L129">
        <f>IF($B129="","",INDEX(HISTORICO!$I$3:$I$2002,$B129))</f>
        <v/>
      </c>
      <c r="M129">
        <f>IF($B129="","",INDEX(HISTORICO!$J$3:$J$2002,$B129))</f>
        <v/>
      </c>
      <c r="N129">
        <f>IF($B129="","",INDEX(HISTORICO!$K$3:$K$2002,$B129))</f>
        <v/>
      </c>
      <c r="O129">
        <f>IF($B129="","",INDEX(HISTORICO!$L$3:$L$2002,$B129))</f>
        <v/>
      </c>
      <c r="P129">
        <f>IF($B129="","",INDEX(HISTORICO!$M$3:$M$2002,$B129))</f>
        <v/>
      </c>
      <c r="Q129">
        <f>IF($B129="","",INDEX(HISTORICO!$N$3:$N$2002,$B129))</f>
        <v/>
      </c>
      <c r="R129">
        <f>IF($B129="","",INDEX(HISTORICO!$Q$3:$Q$2002,$B129))</f>
        <v/>
      </c>
      <c r="S129">
        <f>IF($B129="","",INDEX(HISTORICO!$P$3:$P$2002,$B129))</f>
        <v/>
      </c>
      <c r="T129">
        <f>IF($B129="","",INDEX(HISTORICO!$O$3:$O$2002,$B129))</f>
        <v/>
      </c>
      <c r="U129">
        <f>IF($B129="","",INDEX(HISTORICO!$R$3:$R$2002,$B129))</f>
        <v/>
      </c>
      <c r="V129">
        <f>IF($B129="","",INDEX(HISTORICO!$S$3:$S$2002,$B129))</f>
        <v/>
      </c>
      <c r="W129">
        <f>IF($B129="","",INDEX(HISTORICO!$T$3:$T$2002,$B129))</f>
        <v/>
      </c>
      <c r="X129">
        <f>IF($B129="","",INDEX(HISTORICO!$X$3:$X$2002,$B129))</f>
        <v/>
      </c>
      <c r="Y129">
        <f>IF($L129="","",IFERROR(INDEX(CONFIGURACOES!$C$37:$C$300,MATCH($L129,CONFIGURACOES!$B$37:$B$300,0)),""))</f>
        <v/>
      </c>
      <c r="Z129">
        <f>IF($L129="","",IFERROR(INDEX(CONFIGURACOES!$D$37:$D$300,MATCH($L129,CONFIGURACOES!$B$37:$B$300,0)),""))</f>
        <v/>
      </c>
      <c r="AA129">
        <f>IF($L129="","",IFERROR(INDEX(CONFIGURACOES!$E$37:$E$300,MATCH($L129,CONFIGURACOES!$B$37:$B$300,0)),""))</f>
        <v/>
      </c>
      <c r="AB129">
        <f>IF($L129="","",IFERROR(INDEX(CONFIGURACOES!$F$37:$F$300,MATCH($L129,CONFIGURACOES!$B$37:$B$300,0)),""))</f>
        <v/>
      </c>
      <c r="AC129">
        <f>IF($L129="","",IF($X129&lt;&gt;$X128,$AC128+1,$AC128))</f>
        <v/>
      </c>
      <c r="AD129">
        <f>IF($L129="","",IF($X129&lt;&gt;$X128,1,$AD128+1))</f>
        <v/>
      </c>
      <c r="AE129">
        <f>IF($L129="","",$AC129*10+$AD129)</f>
        <v/>
      </c>
      <c r="AF129">
        <f>IF($L129="","",SUMIF($X$2:$X$151,$X129,$U$2:$U$151))</f>
        <v/>
      </c>
      <c r="AG129">
        <f>IF($L129="","",SUMIF($X$2:$X$151,$X129,$W$2:$W$151))</f>
        <v/>
      </c>
    </row>
    <row r="130">
      <c r="A130" t="n">
        <v>129</v>
      </c>
      <c r="B130">
        <f>IFERROR(MATCH($A130,HISTORICO!$Y$3:$Y$2002,0),"")</f>
        <v/>
      </c>
      <c r="C130">
        <f>IF($B130="","",INDEX(HISTORICO!$A$3:$A$2002,$B130))</f>
        <v/>
      </c>
      <c r="D130">
        <f>IF($B130="","",INDEX(HISTORICO!$C$3:$C$2002,$B130))</f>
        <v/>
      </c>
      <c r="E130">
        <f>IF($B130="","",INDEX(HISTORICO!$F$3:$F$2002,$B130))</f>
        <v/>
      </c>
      <c r="F130">
        <f>IF($B130="","",INDEX(HISTORICO!$G$3:$G$2002,$B130))</f>
        <v/>
      </c>
      <c r="G130">
        <f>IF($B130="","",INDEX(HISTORICO!$E$3:$E$2002,$B130))</f>
        <v/>
      </c>
      <c r="H130">
        <f>IF($B130="","",INDEX(HISTORICO!$H$3:$H$2002,$B130))</f>
        <v/>
      </c>
      <c r="I130">
        <f>IF($B130="","",INDEX(HISTORICO!$D$3:$D$2002,$B130))</f>
        <v/>
      </c>
      <c r="J130">
        <f>IF($B130="","",INDEX(HISTORICO!$B$3:$B$2002,$B130))</f>
        <v/>
      </c>
      <c r="K130">
        <f>IF($B130="","",INDEX(HISTORICO!$U$3:$U$2002,$B130))</f>
        <v/>
      </c>
      <c r="L130">
        <f>IF($B130="","",INDEX(HISTORICO!$I$3:$I$2002,$B130))</f>
        <v/>
      </c>
      <c r="M130">
        <f>IF($B130="","",INDEX(HISTORICO!$J$3:$J$2002,$B130))</f>
        <v/>
      </c>
      <c r="N130">
        <f>IF($B130="","",INDEX(HISTORICO!$K$3:$K$2002,$B130))</f>
        <v/>
      </c>
      <c r="O130">
        <f>IF($B130="","",INDEX(HISTORICO!$L$3:$L$2002,$B130))</f>
        <v/>
      </c>
      <c r="P130">
        <f>IF($B130="","",INDEX(HISTORICO!$M$3:$M$2002,$B130))</f>
        <v/>
      </c>
      <c r="Q130">
        <f>IF($B130="","",INDEX(HISTORICO!$N$3:$N$2002,$B130))</f>
        <v/>
      </c>
      <c r="R130">
        <f>IF($B130="","",INDEX(HISTORICO!$Q$3:$Q$2002,$B130))</f>
        <v/>
      </c>
      <c r="S130">
        <f>IF($B130="","",INDEX(HISTORICO!$P$3:$P$2002,$B130))</f>
        <v/>
      </c>
      <c r="T130">
        <f>IF($B130="","",INDEX(HISTORICO!$O$3:$O$2002,$B130))</f>
        <v/>
      </c>
      <c r="U130">
        <f>IF($B130="","",INDEX(HISTORICO!$R$3:$R$2002,$B130))</f>
        <v/>
      </c>
      <c r="V130">
        <f>IF($B130="","",INDEX(HISTORICO!$S$3:$S$2002,$B130))</f>
        <v/>
      </c>
      <c r="W130">
        <f>IF($B130="","",INDEX(HISTORICO!$T$3:$T$2002,$B130))</f>
        <v/>
      </c>
      <c r="X130">
        <f>IF($B130="","",INDEX(HISTORICO!$X$3:$X$2002,$B130))</f>
        <v/>
      </c>
      <c r="Y130">
        <f>IF($L130="","",IFERROR(INDEX(CONFIGURACOES!$C$37:$C$300,MATCH($L130,CONFIGURACOES!$B$37:$B$300,0)),""))</f>
        <v/>
      </c>
      <c r="Z130">
        <f>IF($L130="","",IFERROR(INDEX(CONFIGURACOES!$D$37:$D$300,MATCH($L130,CONFIGURACOES!$B$37:$B$300,0)),""))</f>
        <v/>
      </c>
      <c r="AA130">
        <f>IF($L130="","",IFERROR(INDEX(CONFIGURACOES!$E$37:$E$300,MATCH($L130,CONFIGURACOES!$B$37:$B$300,0)),""))</f>
        <v/>
      </c>
      <c r="AB130">
        <f>IF($L130="","",IFERROR(INDEX(CONFIGURACOES!$F$37:$F$300,MATCH($L130,CONFIGURACOES!$B$37:$B$300,0)),""))</f>
        <v/>
      </c>
      <c r="AC130">
        <f>IF($L130="","",IF($X130&lt;&gt;$X129,$AC129+1,$AC129))</f>
        <v/>
      </c>
      <c r="AD130">
        <f>IF($L130="","",IF($X130&lt;&gt;$X129,1,$AD129+1))</f>
        <v/>
      </c>
      <c r="AE130">
        <f>IF($L130="","",$AC130*10+$AD130)</f>
        <v/>
      </c>
      <c r="AF130">
        <f>IF($L130="","",SUMIF($X$2:$X$151,$X130,$U$2:$U$151))</f>
        <v/>
      </c>
      <c r="AG130">
        <f>IF($L130="","",SUMIF($X$2:$X$151,$X130,$W$2:$W$151))</f>
        <v/>
      </c>
    </row>
    <row r="131">
      <c r="A131" t="n">
        <v>130</v>
      </c>
      <c r="B131">
        <f>IFERROR(MATCH($A131,HISTORICO!$Y$3:$Y$2002,0),"")</f>
        <v/>
      </c>
      <c r="C131">
        <f>IF($B131="","",INDEX(HISTORICO!$A$3:$A$2002,$B131))</f>
        <v/>
      </c>
      <c r="D131">
        <f>IF($B131="","",INDEX(HISTORICO!$C$3:$C$2002,$B131))</f>
        <v/>
      </c>
      <c r="E131">
        <f>IF($B131="","",INDEX(HISTORICO!$F$3:$F$2002,$B131))</f>
        <v/>
      </c>
      <c r="F131">
        <f>IF($B131="","",INDEX(HISTORICO!$G$3:$G$2002,$B131))</f>
        <v/>
      </c>
      <c r="G131">
        <f>IF($B131="","",INDEX(HISTORICO!$E$3:$E$2002,$B131))</f>
        <v/>
      </c>
      <c r="H131">
        <f>IF($B131="","",INDEX(HISTORICO!$H$3:$H$2002,$B131))</f>
        <v/>
      </c>
      <c r="I131">
        <f>IF($B131="","",INDEX(HISTORICO!$D$3:$D$2002,$B131))</f>
        <v/>
      </c>
      <c r="J131">
        <f>IF($B131="","",INDEX(HISTORICO!$B$3:$B$2002,$B131))</f>
        <v/>
      </c>
      <c r="K131">
        <f>IF($B131="","",INDEX(HISTORICO!$U$3:$U$2002,$B131))</f>
        <v/>
      </c>
      <c r="L131">
        <f>IF($B131="","",INDEX(HISTORICO!$I$3:$I$2002,$B131))</f>
        <v/>
      </c>
      <c r="M131">
        <f>IF($B131="","",INDEX(HISTORICO!$J$3:$J$2002,$B131))</f>
        <v/>
      </c>
      <c r="N131">
        <f>IF($B131="","",INDEX(HISTORICO!$K$3:$K$2002,$B131))</f>
        <v/>
      </c>
      <c r="O131">
        <f>IF($B131="","",INDEX(HISTORICO!$L$3:$L$2002,$B131))</f>
        <v/>
      </c>
      <c r="P131">
        <f>IF($B131="","",INDEX(HISTORICO!$M$3:$M$2002,$B131))</f>
        <v/>
      </c>
      <c r="Q131">
        <f>IF($B131="","",INDEX(HISTORICO!$N$3:$N$2002,$B131))</f>
        <v/>
      </c>
      <c r="R131">
        <f>IF($B131="","",INDEX(HISTORICO!$Q$3:$Q$2002,$B131))</f>
        <v/>
      </c>
      <c r="S131">
        <f>IF($B131="","",INDEX(HISTORICO!$P$3:$P$2002,$B131))</f>
        <v/>
      </c>
      <c r="T131">
        <f>IF($B131="","",INDEX(HISTORICO!$O$3:$O$2002,$B131))</f>
        <v/>
      </c>
      <c r="U131">
        <f>IF($B131="","",INDEX(HISTORICO!$R$3:$R$2002,$B131))</f>
        <v/>
      </c>
      <c r="V131">
        <f>IF($B131="","",INDEX(HISTORICO!$S$3:$S$2002,$B131))</f>
        <v/>
      </c>
      <c r="W131">
        <f>IF($B131="","",INDEX(HISTORICO!$T$3:$T$2002,$B131))</f>
        <v/>
      </c>
      <c r="X131">
        <f>IF($B131="","",INDEX(HISTORICO!$X$3:$X$2002,$B131))</f>
        <v/>
      </c>
      <c r="Y131">
        <f>IF($L131="","",IFERROR(INDEX(CONFIGURACOES!$C$37:$C$300,MATCH($L131,CONFIGURACOES!$B$37:$B$300,0)),""))</f>
        <v/>
      </c>
      <c r="Z131">
        <f>IF($L131="","",IFERROR(INDEX(CONFIGURACOES!$D$37:$D$300,MATCH($L131,CONFIGURACOES!$B$37:$B$300,0)),""))</f>
        <v/>
      </c>
      <c r="AA131">
        <f>IF($L131="","",IFERROR(INDEX(CONFIGURACOES!$E$37:$E$300,MATCH($L131,CONFIGURACOES!$B$37:$B$300,0)),""))</f>
        <v/>
      </c>
      <c r="AB131">
        <f>IF($L131="","",IFERROR(INDEX(CONFIGURACOES!$F$37:$F$300,MATCH($L131,CONFIGURACOES!$B$37:$B$300,0)),""))</f>
        <v/>
      </c>
      <c r="AC131">
        <f>IF($L131="","",IF($X131&lt;&gt;$X130,$AC130+1,$AC130))</f>
        <v/>
      </c>
      <c r="AD131">
        <f>IF($L131="","",IF($X131&lt;&gt;$X130,1,$AD130+1))</f>
        <v/>
      </c>
      <c r="AE131">
        <f>IF($L131="","",$AC131*10+$AD131)</f>
        <v/>
      </c>
      <c r="AF131">
        <f>IF($L131="","",SUMIF($X$2:$X$151,$X131,$U$2:$U$151))</f>
        <v/>
      </c>
      <c r="AG131">
        <f>IF($L131="","",SUMIF($X$2:$X$151,$X131,$W$2:$W$151))</f>
        <v/>
      </c>
    </row>
    <row r="132">
      <c r="A132" t="n">
        <v>131</v>
      </c>
      <c r="B132">
        <f>IFERROR(MATCH($A132,HISTORICO!$Y$3:$Y$2002,0),"")</f>
        <v/>
      </c>
      <c r="C132">
        <f>IF($B132="","",INDEX(HISTORICO!$A$3:$A$2002,$B132))</f>
        <v/>
      </c>
      <c r="D132">
        <f>IF($B132="","",INDEX(HISTORICO!$C$3:$C$2002,$B132))</f>
        <v/>
      </c>
      <c r="E132">
        <f>IF($B132="","",INDEX(HISTORICO!$F$3:$F$2002,$B132))</f>
        <v/>
      </c>
      <c r="F132">
        <f>IF($B132="","",INDEX(HISTORICO!$G$3:$G$2002,$B132))</f>
        <v/>
      </c>
      <c r="G132">
        <f>IF($B132="","",INDEX(HISTORICO!$E$3:$E$2002,$B132))</f>
        <v/>
      </c>
      <c r="H132">
        <f>IF($B132="","",INDEX(HISTORICO!$H$3:$H$2002,$B132))</f>
        <v/>
      </c>
      <c r="I132">
        <f>IF($B132="","",INDEX(HISTORICO!$D$3:$D$2002,$B132))</f>
        <v/>
      </c>
      <c r="J132">
        <f>IF($B132="","",INDEX(HISTORICO!$B$3:$B$2002,$B132))</f>
        <v/>
      </c>
      <c r="K132">
        <f>IF($B132="","",INDEX(HISTORICO!$U$3:$U$2002,$B132))</f>
        <v/>
      </c>
      <c r="L132">
        <f>IF($B132="","",INDEX(HISTORICO!$I$3:$I$2002,$B132))</f>
        <v/>
      </c>
      <c r="M132">
        <f>IF($B132="","",INDEX(HISTORICO!$J$3:$J$2002,$B132))</f>
        <v/>
      </c>
      <c r="N132">
        <f>IF($B132="","",INDEX(HISTORICO!$K$3:$K$2002,$B132))</f>
        <v/>
      </c>
      <c r="O132">
        <f>IF($B132="","",INDEX(HISTORICO!$L$3:$L$2002,$B132))</f>
        <v/>
      </c>
      <c r="P132">
        <f>IF($B132="","",INDEX(HISTORICO!$M$3:$M$2002,$B132))</f>
        <v/>
      </c>
      <c r="Q132">
        <f>IF($B132="","",INDEX(HISTORICO!$N$3:$N$2002,$B132))</f>
        <v/>
      </c>
      <c r="R132">
        <f>IF($B132="","",INDEX(HISTORICO!$Q$3:$Q$2002,$B132))</f>
        <v/>
      </c>
      <c r="S132">
        <f>IF($B132="","",INDEX(HISTORICO!$P$3:$P$2002,$B132))</f>
        <v/>
      </c>
      <c r="T132">
        <f>IF($B132="","",INDEX(HISTORICO!$O$3:$O$2002,$B132))</f>
        <v/>
      </c>
      <c r="U132">
        <f>IF($B132="","",INDEX(HISTORICO!$R$3:$R$2002,$B132))</f>
        <v/>
      </c>
      <c r="V132">
        <f>IF($B132="","",INDEX(HISTORICO!$S$3:$S$2002,$B132))</f>
        <v/>
      </c>
      <c r="W132">
        <f>IF($B132="","",INDEX(HISTORICO!$T$3:$T$2002,$B132))</f>
        <v/>
      </c>
      <c r="X132">
        <f>IF($B132="","",INDEX(HISTORICO!$X$3:$X$2002,$B132))</f>
        <v/>
      </c>
      <c r="Y132">
        <f>IF($L132="","",IFERROR(INDEX(CONFIGURACOES!$C$37:$C$300,MATCH($L132,CONFIGURACOES!$B$37:$B$300,0)),""))</f>
        <v/>
      </c>
      <c r="Z132">
        <f>IF($L132="","",IFERROR(INDEX(CONFIGURACOES!$D$37:$D$300,MATCH($L132,CONFIGURACOES!$B$37:$B$300,0)),""))</f>
        <v/>
      </c>
      <c r="AA132">
        <f>IF($L132="","",IFERROR(INDEX(CONFIGURACOES!$E$37:$E$300,MATCH($L132,CONFIGURACOES!$B$37:$B$300,0)),""))</f>
        <v/>
      </c>
      <c r="AB132">
        <f>IF($L132="","",IFERROR(INDEX(CONFIGURACOES!$F$37:$F$300,MATCH($L132,CONFIGURACOES!$B$37:$B$300,0)),""))</f>
        <v/>
      </c>
      <c r="AC132">
        <f>IF($L132="","",IF($X132&lt;&gt;$X131,$AC131+1,$AC131))</f>
        <v/>
      </c>
      <c r="AD132">
        <f>IF($L132="","",IF($X132&lt;&gt;$X131,1,$AD131+1))</f>
        <v/>
      </c>
      <c r="AE132">
        <f>IF($L132="","",$AC132*10+$AD132)</f>
        <v/>
      </c>
      <c r="AF132">
        <f>IF($L132="","",SUMIF($X$2:$X$151,$X132,$U$2:$U$151))</f>
        <v/>
      </c>
      <c r="AG132">
        <f>IF($L132="","",SUMIF($X$2:$X$151,$X132,$W$2:$W$151))</f>
        <v/>
      </c>
    </row>
    <row r="133">
      <c r="A133" t="n">
        <v>132</v>
      </c>
      <c r="B133">
        <f>IFERROR(MATCH($A133,HISTORICO!$Y$3:$Y$2002,0),"")</f>
        <v/>
      </c>
      <c r="C133">
        <f>IF($B133="","",INDEX(HISTORICO!$A$3:$A$2002,$B133))</f>
        <v/>
      </c>
      <c r="D133">
        <f>IF($B133="","",INDEX(HISTORICO!$C$3:$C$2002,$B133))</f>
        <v/>
      </c>
      <c r="E133">
        <f>IF($B133="","",INDEX(HISTORICO!$F$3:$F$2002,$B133))</f>
        <v/>
      </c>
      <c r="F133">
        <f>IF($B133="","",INDEX(HISTORICO!$G$3:$G$2002,$B133))</f>
        <v/>
      </c>
      <c r="G133">
        <f>IF($B133="","",INDEX(HISTORICO!$E$3:$E$2002,$B133))</f>
        <v/>
      </c>
      <c r="H133">
        <f>IF($B133="","",INDEX(HISTORICO!$H$3:$H$2002,$B133))</f>
        <v/>
      </c>
      <c r="I133">
        <f>IF($B133="","",INDEX(HISTORICO!$D$3:$D$2002,$B133))</f>
        <v/>
      </c>
      <c r="J133">
        <f>IF($B133="","",INDEX(HISTORICO!$B$3:$B$2002,$B133))</f>
        <v/>
      </c>
      <c r="K133">
        <f>IF($B133="","",INDEX(HISTORICO!$U$3:$U$2002,$B133))</f>
        <v/>
      </c>
      <c r="L133">
        <f>IF($B133="","",INDEX(HISTORICO!$I$3:$I$2002,$B133))</f>
        <v/>
      </c>
      <c r="M133">
        <f>IF($B133="","",INDEX(HISTORICO!$J$3:$J$2002,$B133))</f>
        <v/>
      </c>
      <c r="N133">
        <f>IF($B133="","",INDEX(HISTORICO!$K$3:$K$2002,$B133))</f>
        <v/>
      </c>
      <c r="O133">
        <f>IF($B133="","",INDEX(HISTORICO!$L$3:$L$2002,$B133))</f>
        <v/>
      </c>
      <c r="P133">
        <f>IF($B133="","",INDEX(HISTORICO!$M$3:$M$2002,$B133))</f>
        <v/>
      </c>
      <c r="Q133">
        <f>IF($B133="","",INDEX(HISTORICO!$N$3:$N$2002,$B133))</f>
        <v/>
      </c>
      <c r="R133">
        <f>IF($B133="","",INDEX(HISTORICO!$Q$3:$Q$2002,$B133))</f>
        <v/>
      </c>
      <c r="S133">
        <f>IF($B133="","",INDEX(HISTORICO!$P$3:$P$2002,$B133))</f>
        <v/>
      </c>
      <c r="T133">
        <f>IF($B133="","",INDEX(HISTORICO!$O$3:$O$2002,$B133))</f>
        <v/>
      </c>
      <c r="U133">
        <f>IF($B133="","",INDEX(HISTORICO!$R$3:$R$2002,$B133))</f>
        <v/>
      </c>
      <c r="V133">
        <f>IF($B133="","",INDEX(HISTORICO!$S$3:$S$2002,$B133))</f>
        <v/>
      </c>
      <c r="W133">
        <f>IF($B133="","",INDEX(HISTORICO!$T$3:$T$2002,$B133))</f>
        <v/>
      </c>
      <c r="X133">
        <f>IF($B133="","",INDEX(HISTORICO!$X$3:$X$2002,$B133))</f>
        <v/>
      </c>
      <c r="Y133">
        <f>IF($L133="","",IFERROR(INDEX(CONFIGURACOES!$C$37:$C$300,MATCH($L133,CONFIGURACOES!$B$37:$B$300,0)),""))</f>
        <v/>
      </c>
      <c r="Z133">
        <f>IF($L133="","",IFERROR(INDEX(CONFIGURACOES!$D$37:$D$300,MATCH($L133,CONFIGURACOES!$B$37:$B$300,0)),""))</f>
        <v/>
      </c>
      <c r="AA133">
        <f>IF($L133="","",IFERROR(INDEX(CONFIGURACOES!$E$37:$E$300,MATCH($L133,CONFIGURACOES!$B$37:$B$300,0)),""))</f>
        <v/>
      </c>
      <c r="AB133">
        <f>IF($L133="","",IFERROR(INDEX(CONFIGURACOES!$F$37:$F$300,MATCH($L133,CONFIGURACOES!$B$37:$B$300,0)),""))</f>
        <v/>
      </c>
      <c r="AC133">
        <f>IF($L133="","",IF($X133&lt;&gt;$X132,$AC132+1,$AC132))</f>
        <v/>
      </c>
      <c r="AD133">
        <f>IF($L133="","",IF($X133&lt;&gt;$X132,1,$AD132+1))</f>
        <v/>
      </c>
      <c r="AE133">
        <f>IF($L133="","",$AC133*10+$AD133)</f>
        <v/>
      </c>
      <c r="AF133">
        <f>IF($L133="","",SUMIF($X$2:$X$151,$X133,$U$2:$U$151))</f>
        <v/>
      </c>
      <c r="AG133">
        <f>IF($L133="","",SUMIF($X$2:$X$151,$X133,$W$2:$W$151))</f>
        <v/>
      </c>
    </row>
    <row r="134">
      <c r="A134" t="n">
        <v>133</v>
      </c>
      <c r="B134">
        <f>IFERROR(MATCH($A134,HISTORICO!$Y$3:$Y$2002,0),"")</f>
        <v/>
      </c>
      <c r="C134">
        <f>IF($B134="","",INDEX(HISTORICO!$A$3:$A$2002,$B134))</f>
        <v/>
      </c>
      <c r="D134">
        <f>IF($B134="","",INDEX(HISTORICO!$C$3:$C$2002,$B134))</f>
        <v/>
      </c>
      <c r="E134">
        <f>IF($B134="","",INDEX(HISTORICO!$F$3:$F$2002,$B134))</f>
        <v/>
      </c>
      <c r="F134">
        <f>IF($B134="","",INDEX(HISTORICO!$G$3:$G$2002,$B134))</f>
        <v/>
      </c>
      <c r="G134">
        <f>IF($B134="","",INDEX(HISTORICO!$E$3:$E$2002,$B134))</f>
        <v/>
      </c>
      <c r="H134">
        <f>IF($B134="","",INDEX(HISTORICO!$H$3:$H$2002,$B134))</f>
        <v/>
      </c>
      <c r="I134">
        <f>IF($B134="","",INDEX(HISTORICO!$D$3:$D$2002,$B134))</f>
        <v/>
      </c>
      <c r="J134">
        <f>IF($B134="","",INDEX(HISTORICO!$B$3:$B$2002,$B134))</f>
        <v/>
      </c>
      <c r="K134">
        <f>IF($B134="","",INDEX(HISTORICO!$U$3:$U$2002,$B134))</f>
        <v/>
      </c>
      <c r="L134">
        <f>IF($B134="","",INDEX(HISTORICO!$I$3:$I$2002,$B134))</f>
        <v/>
      </c>
      <c r="M134">
        <f>IF($B134="","",INDEX(HISTORICO!$J$3:$J$2002,$B134))</f>
        <v/>
      </c>
      <c r="N134">
        <f>IF($B134="","",INDEX(HISTORICO!$K$3:$K$2002,$B134))</f>
        <v/>
      </c>
      <c r="O134">
        <f>IF($B134="","",INDEX(HISTORICO!$L$3:$L$2002,$B134))</f>
        <v/>
      </c>
      <c r="P134">
        <f>IF($B134="","",INDEX(HISTORICO!$M$3:$M$2002,$B134))</f>
        <v/>
      </c>
      <c r="Q134">
        <f>IF($B134="","",INDEX(HISTORICO!$N$3:$N$2002,$B134))</f>
        <v/>
      </c>
      <c r="R134">
        <f>IF($B134="","",INDEX(HISTORICO!$Q$3:$Q$2002,$B134))</f>
        <v/>
      </c>
      <c r="S134">
        <f>IF($B134="","",INDEX(HISTORICO!$P$3:$P$2002,$B134))</f>
        <v/>
      </c>
      <c r="T134">
        <f>IF($B134="","",INDEX(HISTORICO!$O$3:$O$2002,$B134))</f>
        <v/>
      </c>
      <c r="U134">
        <f>IF($B134="","",INDEX(HISTORICO!$R$3:$R$2002,$B134))</f>
        <v/>
      </c>
      <c r="V134">
        <f>IF($B134="","",INDEX(HISTORICO!$S$3:$S$2002,$B134))</f>
        <v/>
      </c>
      <c r="W134">
        <f>IF($B134="","",INDEX(HISTORICO!$T$3:$T$2002,$B134))</f>
        <v/>
      </c>
      <c r="X134">
        <f>IF($B134="","",INDEX(HISTORICO!$X$3:$X$2002,$B134))</f>
        <v/>
      </c>
      <c r="Y134">
        <f>IF($L134="","",IFERROR(INDEX(CONFIGURACOES!$C$37:$C$300,MATCH($L134,CONFIGURACOES!$B$37:$B$300,0)),""))</f>
        <v/>
      </c>
      <c r="Z134">
        <f>IF($L134="","",IFERROR(INDEX(CONFIGURACOES!$D$37:$D$300,MATCH($L134,CONFIGURACOES!$B$37:$B$300,0)),""))</f>
        <v/>
      </c>
      <c r="AA134">
        <f>IF($L134="","",IFERROR(INDEX(CONFIGURACOES!$E$37:$E$300,MATCH($L134,CONFIGURACOES!$B$37:$B$300,0)),""))</f>
        <v/>
      </c>
      <c r="AB134">
        <f>IF($L134="","",IFERROR(INDEX(CONFIGURACOES!$F$37:$F$300,MATCH($L134,CONFIGURACOES!$B$37:$B$300,0)),""))</f>
        <v/>
      </c>
      <c r="AC134">
        <f>IF($L134="","",IF($X134&lt;&gt;$X133,$AC133+1,$AC133))</f>
        <v/>
      </c>
      <c r="AD134">
        <f>IF($L134="","",IF($X134&lt;&gt;$X133,1,$AD133+1))</f>
        <v/>
      </c>
      <c r="AE134">
        <f>IF($L134="","",$AC134*10+$AD134)</f>
        <v/>
      </c>
      <c r="AF134">
        <f>IF($L134="","",SUMIF($X$2:$X$151,$X134,$U$2:$U$151))</f>
        <v/>
      </c>
      <c r="AG134">
        <f>IF($L134="","",SUMIF($X$2:$X$151,$X134,$W$2:$W$151))</f>
        <v/>
      </c>
    </row>
    <row r="135">
      <c r="A135" t="n">
        <v>134</v>
      </c>
      <c r="B135">
        <f>IFERROR(MATCH($A135,HISTORICO!$Y$3:$Y$2002,0),"")</f>
        <v/>
      </c>
      <c r="C135">
        <f>IF($B135="","",INDEX(HISTORICO!$A$3:$A$2002,$B135))</f>
        <v/>
      </c>
      <c r="D135">
        <f>IF($B135="","",INDEX(HISTORICO!$C$3:$C$2002,$B135))</f>
        <v/>
      </c>
      <c r="E135">
        <f>IF($B135="","",INDEX(HISTORICO!$F$3:$F$2002,$B135))</f>
        <v/>
      </c>
      <c r="F135">
        <f>IF($B135="","",INDEX(HISTORICO!$G$3:$G$2002,$B135))</f>
        <v/>
      </c>
      <c r="G135">
        <f>IF($B135="","",INDEX(HISTORICO!$E$3:$E$2002,$B135))</f>
        <v/>
      </c>
      <c r="H135">
        <f>IF($B135="","",INDEX(HISTORICO!$H$3:$H$2002,$B135))</f>
        <v/>
      </c>
      <c r="I135">
        <f>IF($B135="","",INDEX(HISTORICO!$D$3:$D$2002,$B135))</f>
        <v/>
      </c>
      <c r="J135">
        <f>IF($B135="","",INDEX(HISTORICO!$B$3:$B$2002,$B135))</f>
        <v/>
      </c>
      <c r="K135">
        <f>IF($B135="","",INDEX(HISTORICO!$U$3:$U$2002,$B135))</f>
        <v/>
      </c>
      <c r="L135">
        <f>IF($B135="","",INDEX(HISTORICO!$I$3:$I$2002,$B135))</f>
        <v/>
      </c>
      <c r="M135">
        <f>IF($B135="","",INDEX(HISTORICO!$J$3:$J$2002,$B135))</f>
        <v/>
      </c>
      <c r="N135">
        <f>IF($B135="","",INDEX(HISTORICO!$K$3:$K$2002,$B135))</f>
        <v/>
      </c>
      <c r="O135">
        <f>IF($B135="","",INDEX(HISTORICO!$L$3:$L$2002,$B135))</f>
        <v/>
      </c>
      <c r="P135">
        <f>IF($B135="","",INDEX(HISTORICO!$M$3:$M$2002,$B135))</f>
        <v/>
      </c>
      <c r="Q135">
        <f>IF($B135="","",INDEX(HISTORICO!$N$3:$N$2002,$B135))</f>
        <v/>
      </c>
      <c r="R135">
        <f>IF($B135="","",INDEX(HISTORICO!$Q$3:$Q$2002,$B135))</f>
        <v/>
      </c>
      <c r="S135">
        <f>IF($B135="","",INDEX(HISTORICO!$P$3:$P$2002,$B135))</f>
        <v/>
      </c>
      <c r="T135">
        <f>IF($B135="","",INDEX(HISTORICO!$O$3:$O$2002,$B135))</f>
        <v/>
      </c>
      <c r="U135">
        <f>IF($B135="","",INDEX(HISTORICO!$R$3:$R$2002,$B135))</f>
        <v/>
      </c>
      <c r="V135">
        <f>IF($B135="","",INDEX(HISTORICO!$S$3:$S$2002,$B135))</f>
        <v/>
      </c>
      <c r="W135">
        <f>IF($B135="","",INDEX(HISTORICO!$T$3:$T$2002,$B135))</f>
        <v/>
      </c>
      <c r="X135">
        <f>IF($B135="","",INDEX(HISTORICO!$X$3:$X$2002,$B135))</f>
        <v/>
      </c>
      <c r="Y135">
        <f>IF($L135="","",IFERROR(INDEX(CONFIGURACOES!$C$37:$C$300,MATCH($L135,CONFIGURACOES!$B$37:$B$300,0)),""))</f>
        <v/>
      </c>
      <c r="Z135">
        <f>IF($L135="","",IFERROR(INDEX(CONFIGURACOES!$D$37:$D$300,MATCH($L135,CONFIGURACOES!$B$37:$B$300,0)),""))</f>
        <v/>
      </c>
      <c r="AA135">
        <f>IF($L135="","",IFERROR(INDEX(CONFIGURACOES!$E$37:$E$300,MATCH($L135,CONFIGURACOES!$B$37:$B$300,0)),""))</f>
        <v/>
      </c>
      <c r="AB135">
        <f>IF($L135="","",IFERROR(INDEX(CONFIGURACOES!$F$37:$F$300,MATCH($L135,CONFIGURACOES!$B$37:$B$300,0)),""))</f>
        <v/>
      </c>
      <c r="AC135">
        <f>IF($L135="","",IF($X135&lt;&gt;$X134,$AC134+1,$AC134))</f>
        <v/>
      </c>
      <c r="AD135">
        <f>IF($L135="","",IF($X135&lt;&gt;$X134,1,$AD134+1))</f>
        <v/>
      </c>
      <c r="AE135">
        <f>IF($L135="","",$AC135*10+$AD135)</f>
        <v/>
      </c>
      <c r="AF135">
        <f>IF($L135="","",SUMIF($X$2:$X$151,$X135,$U$2:$U$151))</f>
        <v/>
      </c>
      <c r="AG135">
        <f>IF($L135="","",SUMIF($X$2:$X$151,$X135,$W$2:$W$151))</f>
        <v/>
      </c>
    </row>
    <row r="136">
      <c r="A136" t="n">
        <v>135</v>
      </c>
      <c r="B136">
        <f>IFERROR(MATCH($A136,HISTORICO!$Y$3:$Y$2002,0),"")</f>
        <v/>
      </c>
      <c r="C136">
        <f>IF($B136="","",INDEX(HISTORICO!$A$3:$A$2002,$B136))</f>
        <v/>
      </c>
      <c r="D136">
        <f>IF($B136="","",INDEX(HISTORICO!$C$3:$C$2002,$B136))</f>
        <v/>
      </c>
      <c r="E136">
        <f>IF($B136="","",INDEX(HISTORICO!$F$3:$F$2002,$B136))</f>
        <v/>
      </c>
      <c r="F136">
        <f>IF($B136="","",INDEX(HISTORICO!$G$3:$G$2002,$B136))</f>
        <v/>
      </c>
      <c r="G136">
        <f>IF($B136="","",INDEX(HISTORICO!$E$3:$E$2002,$B136))</f>
        <v/>
      </c>
      <c r="H136">
        <f>IF($B136="","",INDEX(HISTORICO!$H$3:$H$2002,$B136))</f>
        <v/>
      </c>
      <c r="I136">
        <f>IF($B136="","",INDEX(HISTORICO!$D$3:$D$2002,$B136))</f>
        <v/>
      </c>
      <c r="J136">
        <f>IF($B136="","",INDEX(HISTORICO!$B$3:$B$2002,$B136))</f>
        <v/>
      </c>
      <c r="K136">
        <f>IF($B136="","",INDEX(HISTORICO!$U$3:$U$2002,$B136))</f>
        <v/>
      </c>
      <c r="L136">
        <f>IF($B136="","",INDEX(HISTORICO!$I$3:$I$2002,$B136))</f>
        <v/>
      </c>
      <c r="M136">
        <f>IF($B136="","",INDEX(HISTORICO!$J$3:$J$2002,$B136))</f>
        <v/>
      </c>
      <c r="N136">
        <f>IF($B136="","",INDEX(HISTORICO!$K$3:$K$2002,$B136))</f>
        <v/>
      </c>
      <c r="O136">
        <f>IF($B136="","",INDEX(HISTORICO!$L$3:$L$2002,$B136))</f>
        <v/>
      </c>
      <c r="P136">
        <f>IF($B136="","",INDEX(HISTORICO!$M$3:$M$2002,$B136))</f>
        <v/>
      </c>
      <c r="Q136">
        <f>IF($B136="","",INDEX(HISTORICO!$N$3:$N$2002,$B136))</f>
        <v/>
      </c>
      <c r="R136">
        <f>IF($B136="","",INDEX(HISTORICO!$Q$3:$Q$2002,$B136))</f>
        <v/>
      </c>
      <c r="S136">
        <f>IF($B136="","",INDEX(HISTORICO!$P$3:$P$2002,$B136))</f>
        <v/>
      </c>
      <c r="T136">
        <f>IF($B136="","",INDEX(HISTORICO!$O$3:$O$2002,$B136))</f>
        <v/>
      </c>
      <c r="U136">
        <f>IF($B136="","",INDEX(HISTORICO!$R$3:$R$2002,$B136))</f>
        <v/>
      </c>
      <c r="V136">
        <f>IF($B136="","",INDEX(HISTORICO!$S$3:$S$2002,$B136))</f>
        <v/>
      </c>
      <c r="W136">
        <f>IF($B136="","",INDEX(HISTORICO!$T$3:$T$2002,$B136))</f>
        <v/>
      </c>
      <c r="X136">
        <f>IF($B136="","",INDEX(HISTORICO!$X$3:$X$2002,$B136))</f>
        <v/>
      </c>
      <c r="Y136">
        <f>IF($L136="","",IFERROR(INDEX(CONFIGURACOES!$C$37:$C$300,MATCH($L136,CONFIGURACOES!$B$37:$B$300,0)),""))</f>
        <v/>
      </c>
      <c r="Z136">
        <f>IF($L136="","",IFERROR(INDEX(CONFIGURACOES!$D$37:$D$300,MATCH($L136,CONFIGURACOES!$B$37:$B$300,0)),""))</f>
        <v/>
      </c>
      <c r="AA136">
        <f>IF($L136="","",IFERROR(INDEX(CONFIGURACOES!$E$37:$E$300,MATCH($L136,CONFIGURACOES!$B$37:$B$300,0)),""))</f>
        <v/>
      </c>
      <c r="AB136">
        <f>IF($L136="","",IFERROR(INDEX(CONFIGURACOES!$F$37:$F$300,MATCH($L136,CONFIGURACOES!$B$37:$B$300,0)),""))</f>
        <v/>
      </c>
      <c r="AC136">
        <f>IF($L136="","",IF($X136&lt;&gt;$X135,$AC135+1,$AC135))</f>
        <v/>
      </c>
      <c r="AD136">
        <f>IF($L136="","",IF($X136&lt;&gt;$X135,1,$AD135+1))</f>
        <v/>
      </c>
      <c r="AE136">
        <f>IF($L136="","",$AC136*10+$AD136)</f>
        <v/>
      </c>
      <c r="AF136">
        <f>IF($L136="","",SUMIF($X$2:$X$151,$X136,$U$2:$U$151))</f>
        <v/>
      </c>
      <c r="AG136">
        <f>IF($L136="","",SUMIF($X$2:$X$151,$X136,$W$2:$W$151))</f>
        <v/>
      </c>
    </row>
    <row r="137">
      <c r="A137" t="n">
        <v>136</v>
      </c>
      <c r="B137">
        <f>IFERROR(MATCH($A137,HISTORICO!$Y$3:$Y$2002,0),"")</f>
        <v/>
      </c>
      <c r="C137">
        <f>IF($B137="","",INDEX(HISTORICO!$A$3:$A$2002,$B137))</f>
        <v/>
      </c>
      <c r="D137">
        <f>IF($B137="","",INDEX(HISTORICO!$C$3:$C$2002,$B137))</f>
        <v/>
      </c>
      <c r="E137">
        <f>IF($B137="","",INDEX(HISTORICO!$F$3:$F$2002,$B137))</f>
        <v/>
      </c>
      <c r="F137">
        <f>IF($B137="","",INDEX(HISTORICO!$G$3:$G$2002,$B137))</f>
        <v/>
      </c>
      <c r="G137">
        <f>IF($B137="","",INDEX(HISTORICO!$E$3:$E$2002,$B137))</f>
        <v/>
      </c>
      <c r="H137">
        <f>IF($B137="","",INDEX(HISTORICO!$H$3:$H$2002,$B137))</f>
        <v/>
      </c>
      <c r="I137">
        <f>IF($B137="","",INDEX(HISTORICO!$D$3:$D$2002,$B137))</f>
        <v/>
      </c>
      <c r="J137">
        <f>IF($B137="","",INDEX(HISTORICO!$B$3:$B$2002,$B137))</f>
        <v/>
      </c>
      <c r="K137">
        <f>IF($B137="","",INDEX(HISTORICO!$U$3:$U$2002,$B137))</f>
        <v/>
      </c>
      <c r="L137">
        <f>IF($B137="","",INDEX(HISTORICO!$I$3:$I$2002,$B137))</f>
        <v/>
      </c>
      <c r="M137">
        <f>IF($B137="","",INDEX(HISTORICO!$J$3:$J$2002,$B137))</f>
        <v/>
      </c>
      <c r="N137">
        <f>IF($B137="","",INDEX(HISTORICO!$K$3:$K$2002,$B137))</f>
        <v/>
      </c>
      <c r="O137">
        <f>IF($B137="","",INDEX(HISTORICO!$L$3:$L$2002,$B137))</f>
        <v/>
      </c>
      <c r="P137">
        <f>IF($B137="","",INDEX(HISTORICO!$M$3:$M$2002,$B137))</f>
        <v/>
      </c>
      <c r="Q137">
        <f>IF($B137="","",INDEX(HISTORICO!$N$3:$N$2002,$B137))</f>
        <v/>
      </c>
      <c r="R137">
        <f>IF($B137="","",INDEX(HISTORICO!$Q$3:$Q$2002,$B137))</f>
        <v/>
      </c>
      <c r="S137">
        <f>IF($B137="","",INDEX(HISTORICO!$P$3:$P$2002,$B137))</f>
        <v/>
      </c>
      <c r="T137">
        <f>IF($B137="","",INDEX(HISTORICO!$O$3:$O$2002,$B137))</f>
        <v/>
      </c>
      <c r="U137">
        <f>IF($B137="","",INDEX(HISTORICO!$R$3:$R$2002,$B137))</f>
        <v/>
      </c>
      <c r="V137">
        <f>IF($B137="","",INDEX(HISTORICO!$S$3:$S$2002,$B137))</f>
        <v/>
      </c>
      <c r="W137">
        <f>IF($B137="","",INDEX(HISTORICO!$T$3:$T$2002,$B137))</f>
        <v/>
      </c>
      <c r="X137">
        <f>IF($B137="","",INDEX(HISTORICO!$X$3:$X$2002,$B137))</f>
        <v/>
      </c>
      <c r="Y137">
        <f>IF($L137="","",IFERROR(INDEX(CONFIGURACOES!$C$37:$C$300,MATCH($L137,CONFIGURACOES!$B$37:$B$300,0)),""))</f>
        <v/>
      </c>
      <c r="Z137">
        <f>IF($L137="","",IFERROR(INDEX(CONFIGURACOES!$D$37:$D$300,MATCH($L137,CONFIGURACOES!$B$37:$B$300,0)),""))</f>
        <v/>
      </c>
      <c r="AA137">
        <f>IF($L137="","",IFERROR(INDEX(CONFIGURACOES!$E$37:$E$300,MATCH($L137,CONFIGURACOES!$B$37:$B$300,0)),""))</f>
        <v/>
      </c>
      <c r="AB137">
        <f>IF($L137="","",IFERROR(INDEX(CONFIGURACOES!$F$37:$F$300,MATCH($L137,CONFIGURACOES!$B$37:$B$300,0)),""))</f>
        <v/>
      </c>
      <c r="AC137">
        <f>IF($L137="","",IF($X137&lt;&gt;$X136,$AC136+1,$AC136))</f>
        <v/>
      </c>
      <c r="AD137">
        <f>IF($L137="","",IF($X137&lt;&gt;$X136,1,$AD136+1))</f>
        <v/>
      </c>
      <c r="AE137">
        <f>IF($L137="","",$AC137*10+$AD137)</f>
        <v/>
      </c>
      <c r="AF137">
        <f>IF($L137="","",SUMIF($X$2:$X$151,$X137,$U$2:$U$151))</f>
        <v/>
      </c>
      <c r="AG137">
        <f>IF($L137="","",SUMIF($X$2:$X$151,$X137,$W$2:$W$151))</f>
        <v/>
      </c>
    </row>
    <row r="138">
      <c r="A138" t="n">
        <v>137</v>
      </c>
      <c r="B138">
        <f>IFERROR(MATCH($A138,HISTORICO!$Y$3:$Y$2002,0),"")</f>
        <v/>
      </c>
      <c r="C138">
        <f>IF($B138="","",INDEX(HISTORICO!$A$3:$A$2002,$B138))</f>
        <v/>
      </c>
      <c r="D138">
        <f>IF($B138="","",INDEX(HISTORICO!$C$3:$C$2002,$B138))</f>
        <v/>
      </c>
      <c r="E138">
        <f>IF($B138="","",INDEX(HISTORICO!$F$3:$F$2002,$B138))</f>
        <v/>
      </c>
      <c r="F138">
        <f>IF($B138="","",INDEX(HISTORICO!$G$3:$G$2002,$B138))</f>
        <v/>
      </c>
      <c r="G138">
        <f>IF($B138="","",INDEX(HISTORICO!$E$3:$E$2002,$B138))</f>
        <v/>
      </c>
      <c r="H138">
        <f>IF($B138="","",INDEX(HISTORICO!$H$3:$H$2002,$B138))</f>
        <v/>
      </c>
      <c r="I138">
        <f>IF($B138="","",INDEX(HISTORICO!$D$3:$D$2002,$B138))</f>
        <v/>
      </c>
      <c r="J138">
        <f>IF($B138="","",INDEX(HISTORICO!$B$3:$B$2002,$B138))</f>
        <v/>
      </c>
      <c r="K138">
        <f>IF($B138="","",INDEX(HISTORICO!$U$3:$U$2002,$B138))</f>
        <v/>
      </c>
      <c r="L138">
        <f>IF($B138="","",INDEX(HISTORICO!$I$3:$I$2002,$B138))</f>
        <v/>
      </c>
      <c r="M138">
        <f>IF($B138="","",INDEX(HISTORICO!$J$3:$J$2002,$B138))</f>
        <v/>
      </c>
      <c r="N138">
        <f>IF($B138="","",INDEX(HISTORICO!$K$3:$K$2002,$B138))</f>
        <v/>
      </c>
      <c r="O138">
        <f>IF($B138="","",INDEX(HISTORICO!$L$3:$L$2002,$B138))</f>
        <v/>
      </c>
      <c r="P138">
        <f>IF($B138="","",INDEX(HISTORICO!$M$3:$M$2002,$B138))</f>
        <v/>
      </c>
      <c r="Q138">
        <f>IF($B138="","",INDEX(HISTORICO!$N$3:$N$2002,$B138))</f>
        <v/>
      </c>
      <c r="R138">
        <f>IF($B138="","",INDEX(HISTORICO!$Q$3:$Q$2002,$B138))</f>
        <v/>
      </c>
      <c r="S138">
        <f>IF($B138="","",INDEX(HISTORICO!$P$3:$P$2002,$B138))</f>
        <v/>
      </c>
      <c r="T138">
        <f>IF($B138="","",INDEX(HISTORICO!$O$3:$O$2002,$B138))</f>
        <v/>
      </c>
      <c r="U138">
        <f>IF($B138="","",INDEX(HISTORICO!$R$3:$R$2002,$B138))</f>
        <v/>
      </c>
      <c r="V138">
        <f>IF($B138="","",INDEX(HISTORICO!$S$3:$S$2002,$B138))</f>
        <v/>
      </c>
      <c r="W138">
        <f>IF($B138="","",INDEX(HISTORICO!$T$3:$T$2002,$B138))</f>
        <v/>
      </c>
      <c r="X138">
        <f>IF($B138="","",INDEX(HISTORICO!$X$3:$X$2002,$B138))</f>
        <v/>
      </c>
      <c r="Y138">
        <f>IF($L138="","",IFERROR(INDEX(CONFIGURACOES!$C$37:$C$300,MATCH($L138,CONFIGURACOES!$B$37:$B$300,0)),""))</f>
        <v/>
      </c>
      <c r="Z138">
        <f>IF($L138="","",IFERROR(INDEX(CONFIGURACOES!$D$37:$D$300,MATCH($L138,CONFIGURACOES!$B$37:$B$300,0)),""))</f>
        <v/>
      </c>
      <c r="AA138">
        <f>IF($L138="","",IFERROR(INDEX(CONFIGURACOES!$E$37:$E$300,MATCH($L138,CONFIGURACOES!$B$37:$B$300,0)),""))</f>
        <v/>
      </c>
      <c r="AB138">
        <f>IF($L138="","",IFERROR(INDEX(CONFIGURACOES!$F$37:$F$300,MATCH($L138,CONFIGURACOES!$B$37:$B$300,0)),""))</f>
        <v/>
      </c>
      <c r="AC138">
        <f>IF($L138="","",IF($X138&lt;&gt;$X137,$AC137+1,$AC137))</f>
        <v/>
      </c>
      <c r="AD138">
        <f>IF($L138="","",IF($X138&lt;&gt;$X137,1,$AD137+1))</f>
        <v/>
      </c>
      <c r="AE138">
        <f>IF($L138="","",$AC138*10+$AD138)</f>
        <v/>
      </c>
      <c r="AF138">
        <f>IF($L138="","",SUMIF($X$2:$X$151,$X138,$U$2:$U$151))</f>
        <v/>
      </c>
      <c r="AG138">
        <f>IF($L138="","",SUMIF($X$2:$X$151,$X138,$W$2:$W$151))</f>
        <v/>
      </c>
    </row>
    <row r="139">
      <c r="A139" t="n">
        <v>138</v>
      </c>
      <c r="B139">
        <f>IFERROR(MATCH($A139,HISTORICO!$Y$3:$Y$2002,0),"")</f>
        <v/>
      </c>
      <c r="C139">
        <f>IF($B139="","",INDEX(HISTORICO!$A$3:$A$2002,$B139))</f>
        <v/>
      </c>
      <c r="D139">
        <f>IF($B139="","",INDEX(HISTORICO!$C$3:$C$2002,$B139))</f>
        <v/>
      </c>
      <c r="E139">
        <f>IF($B139="","",INDEX(HISTORICO!$F$3:$F$2002,$B139))</f>
        <v/>
      </c>
      <c r="F139">
        <f>IF($B139="","",INDEX(HISTORICO!$G$3:$G$2002,$B139))</f>
        <v/>
      </c>
      <c r="G139">
        <f>IF($B139="","",INDEX(HISTORICO!$E$3:$E$2002,$B139))</f>
        <v/>
      </c>
      <c r="H139">
        <f>IF($B139="","",INDEX(HISTORICO!$H$3:$H$2002,$B139))</f>
        <v/>
      </c>
      <c r="I139">
        <f>IF($B139="","",INDEX(HISTORICO!$D$3:$D$2002,$B139))</f>
        <v/>
      </c>
      <c r="J139">
        <f>IF($B139="","",INDEX(HISTORICO!$B$3:$B$2002,$B139))</f>
        <v/>
      </c>
      <c r="K139">
        <f>IF($B139="","",INDEX(HISTORICO!$U$3:$U$2002,$B139))</f>
        <v/>
      </c>
      <c r="L139">
        <f>IF($B139="","",INDEX(HISTORICO!$I$3:$I$2002,$B139))</f>
        <v/>
      </c>
      <c r="M139">
        <f>IF($B139="","",INDEX(HISTORICO!$J$3:$J$2002,$B139))</f>
        <v/>
      </c>
      <c r="N139">
        <f>IF($B139="","",INDEX(HISTORICO!$K$3:$K$2002,$B139))</f>
        <v/>
      </c>
      <c r="O139">
        <f>IF($B139="","",INDEX(HISTORICO!$L$3:$L$2002,$B139))</f>
        <v/>
      </c>
      <c r="P139">
        <f>IF($B139="","",INDEX(HISTORICO!$M$3:$M$2002,$B139))</f>
        <v/>
      </c>
      <c r="Q139">
        <f>IF($B139="","",INDEX(HISTORICO!$N$3:$N$2002,$B139))</f>
        <v/>
      </c>
      <c r="R139">
        <f>IF($B139="","",INDEX(HISTORICO!$Q$3:$Q$2002,$B139))</f>
        <v/>
      </c>
      <c r="S139">
        <f>IF($B139="","",INDEX(HISTORICO!$P$3:$P$2002,$B139))</f>
        <v/>
      </c>
      <c r="T139">
        <f>IF($B139="","",INDEX(HISTORICO!$O$3:$O$2002,$B139))</f>
        <v/>
      </c>
      <c r="U139">
        <f>IF($B139="","",INDEX(HISTORICO!$R$3:$R$2002,$B139))</f>
        <v/>
      </c>
      <c r="V139">
        <f>IF($B139="","",INDEX(HISTORICO!$S$3:$S$2002,$B139))</f>
        <v/>
      </c>
      <c r="W139">
        <f>IF($B139="","",INDEX(HISTORICO!$T$3:$T$2002,$B139))</f>
        <v/>
      </c>
      <c r="X139">
        <f>IF($B139="","",INDEX(HISTORICO!$X$3:$X$2002,$B139))</f>
        <v/>
      </c>
      <c r="Y139">
        <f>IF($L139="","",IFERROR(INDEX(CONFIGURACOES!$C$37:$C$300,MATCH($L139,CONFIGURACOES!$B$37:$B$300,0)),""))</f>
        <v/>
      </c>
      <c r="Z139">
        <f>IF($L139="","",IFERROR(INDEX(CONFIGURACOES!$D$37:$D$300,MATCH($L139,CONFIGURACOES!$B$37:$B$300,0)),""))</f>
        <v/>
      </c>
      <c r="AA139">
        <f>IF($L139="","",IFERROR(INDEX(CONFIGURACOES!$E$37:$E$300,MATCH($L139,CONFIGURACOES!$B$37:$B$300,0)),""))</f>
        <v/>
      </c>
      <c r="AB139">
        <f>IF($L139="","",IFERROR(INDEX(CONFIGURACOES!$F$37:$F$300,MATCH($L139,CONFIGURACOES!$B$37:$B$300,0)),""))</f>
        <v/>
      </c>
      <c r="AC139">
        <f>IF($L139="","",IF($X139&lt;&gt;$X138,$AC138+1,$AC138))</f>
        <v/>
      </c>
      <c r="AD139">
        <f>IF($L139="","",IF($X139&lt;&gt;$X138,1,$AD138+1))</f>
        <v/>
      </c>
      <c r="AE139">
        <f>IF($L139="","",$AC139*10+$AD139)</f>
        <v/>
      </c>
      <c r="AF139">
        <f>IF($L139="","",SUMIF($X$2:$X$151,$X139,$U$2:$U$151))</f>
        <v/>
      </c>
      <c r="AG139">
        <f>IF($L139="","",SUMIF($X$2:$X$151,$X139,$W$2:$W$151))</f>
        <v/>
      </c>
    </row>
    <row r="140">
      <c r="A140" t="n">
        <v>139</v>
      </c>
      <c r="B140">
        <f>IFERROR(MATCH($A140,HISTORICO!$Y$3:$Y$2002,0),"")</f>
        <v/>
      </c>
      <c r="C140">
        <f>IF($B140="","",INDEX(HISTORICO!$A$3:$A$2002,$B140))</f>
        <v/>
      </c>
      <c r="D140">
        <f>IF($B140="","",INDEX(HISTORICO!$C$3:$C$2002,$B140))</f>
        <v/>
      </c>
      <c r="E140">
        <f>IF($B140="","",INDEX(HISTORICO!$F$3:$F$2002,$B140))</f>
        <v/>
      </c>
      <c r="F140">
        <f>IF($B140="","",INDEX(HISTORICO!$G$3:$G$2002,$B140))</f>
        <v/>
      </c>
      <c r="G140">
        <f>IF($B140="","",INDEX(HISTORICO!$E$3:$E$2002,$B140))</f>
        <v/>
      </c>
      <c r="H140">
        <f>IF($B140="","",INDEX(HISTORICO!$H$3:$H$2002,$B140))</f>
        <v/>
      </c>
      <c r="I140">
        <f>IF($B140="","",INDEX(HISTORICO!$D$3:$D$2002,$B140))</f>
        <v/>
      </c>
      <c r="J140">
        <f>IF($B140="","",INDEX(HISTORICO!$B$3:$B$2002,$B140))</f>
        <v/>
      </c>
      <c r="K140">
        <f>IF($B140="","",INDEX(HISTORICO!$U$3:$U$2002,$B140))</f>
        <v/>
      </c>
      <c r="L140">
        <f>IF($B140="","",INDEX(HISTORICO!$I$3:$I$2002,$B140))</f>
        <v/>
      </c>
      <c r="M140">
        <f>IF($B140="","",INDEX(HISTORICO!$J$3:$J$2002,$B140))</f>
        <v/>
      </c>
      <c r="N140">
        <f>IF($B140="","",INDEX(HISTORICO!$K$3:$K$2002,$B140))</f>
        <v/>
      </c>
      <c r="O140">
        <f>IF($B140="","",INDEX(HISTORICO!$L$3:$L$2002,$B140))</f>
        <v/>
      </c>
      <c r="P140">
        <f>IF($B140="","",INDEX(HISTORICO!$M$3:$M$2002,$B140))</f>
        <v/>
      </c>
      <c r="Q140">
        <f>IF($B140="","",INDEX(HISTORICO!$N$3:$N$2002,$B140))</f>
        <v/>
      </c>
      <c r="R140">
        <f>IF($B140="","",INDEX(HISTORICO!$Q$3:$Q$2002,$B140))</f>
        <v/>
      </c>
      <c r="S140">
        <f>IF($B140="","",INDEX(HISTORICO!$P$3:$P$2002,$B140))</f>
        <v/>
      </c>
      <c r="T140">
        <f>IF($B140="","",INDEX(HISTORICO!$O$3:$O$2002,$B140))</f>
        <v/>
      </c>
      <c r="U140">
        <f>IF($B140="","",INDEX(HISTORICO!$R$3:$R$2002,$B140))</f>
        <v/>
      </c>
      <c r="V140">
        <f>IF($B140="","",INDEX(HISTORICO!$S$3:$S$2002,$B140))</f>
        <v/>
      </c>
      <c r="W140">
        <f>IF($B140="","",INDEX(HISTORICO!$T$3:$T$2002,$B140))</f>
        <v/>
      </c>
      <c r="X140">
        <f>IF($B140="","",INDEX(HISTORICO!$X$3:$X$2002,$B140))</f>
        <v/>
      </c>
      <c r="Y140">
        <f>IF($L140="","",IFERROR(INDEX(CONFIGURACOES!$C$37:$C$300,MATCH($L140,CONFIGURACOES!$B$37:$B$300,0)),""))</f>
        <v/>
      </c>
      <c r="Z140">
        <f>IF($L140="","",IFERROR(INDEX(CONFIGURACOES!$D$37:$D$300,MATCH($L140,CONFIGURACOES!$B$37:$B$300,0)),""))</f>
        <v/>
      </c>
      <c r="AA140">
        <f>IF($L140="","",IFERROR(INDEX(CONFIGURACOES!$E$37:$E$300,MATCH($L140,CONFIGURACOES!$B$37:$B$300,0)),""))</f>
        <v/>
      </c>
      <c r="AB140">
        <f>IF($L140="","",IFERROR(INDEX(CONFIGURACOES!$F$37:$F$300,MATCH($L140,CONFIGURACOES!$B$37:$B$300,0)),""))</f>
        <v/>
      </c>
      <c r="AC140">
        <f>IF($L140="","",IF($X140&lt;&gt;$X139,$AC139+1,$AC139))</f>
        <v/>
      </c>
      <c r="AD140">
        <f>IF($L140="","",IF($X140&lt;&gt;$X139,1,$AD139+1))</f>
        <v/>
      </c>
      <c r="AE140">
        <f>IF($L140="","",$AC140*10+$AD140)</f>
        <v/>
      </c>
      <c r="AF140">
        <f>IF($L140="","",SUMIF($X$2:$X$151,$X140,$U$2:$U$151))</f>
        <v/>
      </c>
      <c r="AG140">
        <f>IF($L140="","",SUMIF($X$2:$X$151,$X140,$W$2:$W$151))</f>
        <v/>
      </c>
    </row>
    <row r="141">
      <c r="A141" t="n">
        <v>140</v>
      </c>
      <c r="B141">
        <f>IFERROR(MATCH($A141,HISTORICO!$Y$3:$Y$2002,0),"")</f>
        <v/>
      </c>
      <c r="C141">
        <f>IF($B141="","",INDEX(HISTORICO!$A$3:$A$2002,$B141))</f>
        <v/>
      </c>
      <c r="D141">
        <f>IF($B141="","",INDEX(HISTORICO!$C$3:$C$2002,$B141))</f>
        <v/>
      </c>
      <c r="E141">
        <f>IF($B141="","",INDEX(HISTORICO!$F$3:$F$2002,$B141))</f>
        <v/>
      </c>
      <c r="F141">
        <f>IF($B141="","",INDEX(HISTORICO!$G$3:$G$2002,$B141))</f>
        <v/>
      </c>
      <c r="G141">
        <f>IF($B141="","",INDEX(HISTORICO!$E$3:$E$2002,$B141))</f>
        <v/>
      </c>
      <c r="H141">
        <f>IF($B141="","",INDEX(HISTORICO!$H$3:$H$2002,$B141))</f>
        <v/>
      </c>
      <c r="I141">
        <f>IF($B141="","",INDEX(HISTORICO!$D$3:$D$2002,$B141))</f>
        <v/>
      </c>
      <c r="J141">
        <f>IF($B141="","",INDEX(HISTORICO!$B$3:$B$2002,$B141))</f>
        <v/>
      </c>
      <c r="K141">
        <f>IF($B141="","",INDEX(HISTORICO!$U$3:$U$2002,$B141))</f>
        <v/>
      </c>
      <c r="L141">
        <f>IF($B141="","",INDEX(HISTORICO!$I$3:$I$2002,$B141))</f>
        <v/>
      </c>
      <c r="M141">
        <f>IF($B141="","",INDEX(HISTORICO!$J$3:$J$2002,$B141))</f>
        <v/>
      </c>
      <c r="N141">
        <f>IF($B141="","",INDEX(HISTORICO!$K$3:$K$2002,$B141))</f>
        <v/>
      </c>
      <c r="O141">
        <f>IF($B141="","",INDEX(HISTORICO!$L$3:$L$2002,$B141))</f>
        <v/>
      </c>
      <c r="P141">
        <f>IF($B141="","",INDEX(HISTORICO!$M$3:$M$2002,$B141))</f>
        <v/>
      </c>
      <c r="Q141">
        <f>IF($B141="","",INDEX(HISTORICO!$N$3:$N$2002,$B141))</f>
        <v/>
      </c>
      <c r="R141">
        <f>IF($B141="","",INDEX(HISTORICO!$Q$3:$Q$2002,$B141))</f>
        <v/>
      </c>
      <c r="S141">
        <f>IF($B141="","",INDEX(HISTORICO!$P$3:$P$2002,$B141))</f>
        <v/>
      </c>
      <c r="T141">
        <f>IF($B141="","",INDEX(HISTORICO!$O$3:$O$2002,$B141))</f>
        <v/>
      </c>
      <c r="U141">
        <f>IF($B141="","",INDEX(HISTORICO!$R$3:$R$2002,$B141))</f>
        <v/>
      </c>
      <c r="V141">
        <f>IF($B141="","",INDEX(HISTORICO!$S$3:$S$2002,$B141))</f>
        <v/>
      </c>
      <c r="W141">
        <f>IF($B141="","",INDEX(HISTORICO!$T$3:$T$2002,$B141))</f>
        <v/>
      </c>
      <c r="X141">
        <f>IF($B141="","",INDEX(HISTORICO!$X$3:$X$2002,$B141))</f>
        <v/>
      </c>
      <c r="Y141">
        <f>IF($L141="","",IFERROR(INDEX(CONFIGURACOES!$C$37:$C$300,MATCH($L141,CONFIGURACOES!$B$37:$B$300,0)),""))</f>
        <v/>
      </c>
      <c r="Z141">
        <f>IF($L141="","",IFERROR(INDEX(CONFIGURACOES!$D$37:$D$300,MATCH($L141,CONFIGURACOES!$B$37:$B$300,0)),""))</f>
        <v/>
      </c>
      <c r="AA141">
        <f>IF($L141="","",IFERROR(INDEX(CONFIGURACOES!$E$37:$E$300,MATCH($L141,CONFIGURACOES!$B$37:$B$300,0)),""))</f>
        <v/>
      </c>
      <c r="AB141">
        <f>IF($L141="","",IFERROR(INDEX(CONFIGURACOES!$F$37:$F$300,MATCH($L141,CONFIGURACOES!$B$37:$B$300,0)),""))</f>
        <v/>
      </c>
      <c r="AC141">
        <f>IF($L141="","",IF($X141&lt;&gt;$X140,$AC140+1,$AC140))</f>
        <v/>
      </c>
      <c r="AD141">
        <f>IF($L141="","",IF($X141&lt;&gt;$X140,1,$AD140+1))</f>
        <v/>
      </c>
      <c r="AE141">
        <f>IF($L141="","",$AC141*10+$AD141)</f>
        <v/>
      </c>
      <c r="AF141">
        <f>IF($L141="","",SUMIF($X$2:$X$151,$X141,$U$2:$U$151))</f>
        <v/>
      </c>
      <c r="AG141">
        <f>IF($L141="","",SUMIF($X$2:$X$151,$X141,$W$2:$W$151))</f>
        <v/>
      </c>
    </row>
    <row r="142">
      <c r="A142" t="n">
        <v>141</v>
      </c>
      <c r="B142">
        <f>IFERROR(MATCH($A142,HISTORICO!$Y$3:$Y$2002,0),"")</f>
        <v/>
      </c>
      <c r="C142">
        <f>IF($B142="","",INDEX(HISTORICO!$A$3:$A$2002,$B142))</f>
        <v/>
      </c>
      <c r="D142">
        <f>IF($B142="","",INDEX(HISTORICO!$C$3:$C$2002,$B142))</f>
        <v/>
      </c>
      <c r="E142">
        <f>IF($B142="","",INDEX(HISTORICO!$F$3:$F$2002,$B142))</f>
        <v/>
      </c>
      <c r="F142">
        <f>IF($B142="","",INDEX(HISTORICO!$G$3:$G$2002,$B142))</f>
        <v/>
      </c>
      <c r="G142">
        <f>IF($B142="","",INDEX(HISTORICO!$E$3:$E$2002,$B142))</f>
        <v/>
      </c>
      <c r="H142">
        <f>IF($B142="","",INDEX(HISTORICO!$H$3:$H$2002,$B142))</f>
        <v/>
      </c>
      <c r="I142">
        <f>IF($B142="","",INDEX(HISTORICO!$D$3:$D$2002,$B142))</f>
        <v/>
      </c>
      <c r="J142">
        <f>IF($B142="","",INDEX(HISTORICO!$B$3:$B$2002,$B142))</f>
        <v/>
      </c>
      <c r="K142">
        <f>IF($B142="","",INDEX(HISTORICO!$U$3:$U$2002,$B142))</f>
        <v/>
      </c>
      <c r="L142">
        <f>IF($B142="","",INDEX(HISTORICO!$I$3:$I$2002,$B142))</f>
        <v/>
      </c>
      <c r="M142">
        <f>IF($B142="","",INDEX(HISTORICO!$J$3:$J$2002,$B142))</f>
        <v/>
      </c>
      <c r="N142">
        <f>IF($B142="","",INDEX(HISTORICO!$K$3:$K$2002,$B142))</f>
        <v/>
      </c>
      <c r="O142">
        <f>IF($B142="","",INDEX(HISTORICO!$L$3:$L$2002,$B142))</f>
        <v/>
      </c>
      <c r="P142">
        <f>IF($B142="","",INDEX(HISTORICO!$M$3:$M$2002,$B142))</f>
        <v/>
      </c>
      <c r="Q142">
        <f>IF($B142="","",INDEX(HISTORICO!$N$3:$N$2002,$B142))</f>
        <v/>
      </c>
      <c r="R142">
        <f>IF($B142="","",INDEX(HISTORICO!$Q$3:$Q$2002,$B142))</f>
        <v/>
      </c>
      <c r="S142">
        <f>IF($B142="","",INDEX(HISTORICO!$P$3:$P$2002,$B142))</f>
        <v/>
      </c>
      <c r="T142">
        <f>IF($B142="","",INDEX(HISTORICO!$O$3:$O$2002,$B142))</f>
        <v/>
      </c>
      <c r="U142">
        <f>IF($B142="","",INDEX(HISTORICO!$R$3:$R$2002,$B142))</f>
        <v/>
      </c>
      <c r="V142">
        <f>IF($B142="","",INDEX(HISTORICO!$S$3:$S$2002,$B142))</f>
        <v/>
      </c>
      <c r="W142">
        <f>IF($B142="","",INDEX(HISTORICO!$T$3:$T$2002,$B142))</f>
        <v/>
      </c>
      <c r="X142">
        <f>IF($B142="","",INDEX(HISTORICO!$X$3:$X$2002,$B142))</f>
        <v/>
      </c>
      <c r="Y142">
        <f>IF($L142="","",IFERROR(INDEX(CONFIGURACOES!$C$37:$C$300,MATCH($L142,CONFIGURACOES!$B$37:$B$300,0)),""))</f>
        <v/>
      </c>
      <c r="Z142">
        <f>IF($L142="","",IFERROR(INDEX(CONFIGURACOES!$D$37:$D$300,MATCH($L142,CONFIGURACOES!$B$37:$B$300,0)),""))</f>
        <v/>
      </c>
      <c r="AA142">
        <f>IF($L142="","",IFERROR(INDEX(CONFIGURACOES!$E$37:$E$300,MATCH($L142,CONFIGURACOES!$B$37:$B$300,0)),""))</f>
        <v/>
      </c>
      <c r="AB142">
        <f>IF($L142="","",IFERROR(INDEX(CONFIGURACOES!$F$37:$F$300,MATCH($L142,CONFIGURACOES!$B$37:$B$300,0)),""))</f>
        <v/>
      </c>
      <c r="AC142">
        <f>IF($L142="","",IF($X142&lt;&gt;$X141,$AC141+1,$AC141))</f>
        <v/>
      </c>
      <c r="AD142">
        <f>IF($L142="","",IF($X142&lt;&gt;$X141,1,$AD141+1))</f>
        <v/>
      </c>
      <c r="AE142">
        <f>IF($L142="","",$AC142*10+$AD142)</f>
        <v/>
      </c>
      <c r="AF142">
        <f>IF($L142="","",SUMIF($X$2:$X$151,$X142,$U$2:$U$151))</f>
        <v/>
      </c>
      <c r="AG142">
        <f>IF($L142="","",SUMIF($X$2:$X$151,$X142,$W$2:$W$151))</f>
        <v/>
      </c>
    </row>
    <row r="143">
      <c r="A143" t="n">
        <v>142</v>
      </c>
      <c r="B143">
        <f>IFERROR(MATCH($A143,HISTORICO!$Y$3:$Y$2002,0),"")</f>
        <v/>
      </c>
      <c r="C143">
        <f>IF($B143="","",INDEX(HISTORICO!$A$3:$A$2002,$B143))</f>
        <v/>
      </c>
      <c r="D143">
        <f>IF($B143="","",INDEX(HISTORICO!$C$3:$C$2002,$B143))</f>
        <v/>
      </c>
      <c r="E143">
        <f>IF($B143="","",INDEX(HISTORICO!$F$3:$F$2002,$B143))</f>
        <v/>
      </c>
      <c r="F143">
        <f>IF($B143="","",INDEX(HISTORICO!$G$3:$G$2002,$B143))</f>
        <v/>
      </c>
      <c r="G143">
        <f>IF($B143="","",INDEX(HISTORICO!$E$3:$E$2002,$B143))</f>
        <v/>
      </c>
      <c r="H143">
        <f>IF($B143="","",INDEX(HISTORICO!$H$3:$H$2002,$B143))</f>
        <v/>
      </c>
      <c r="I143">
        <f>IF($B143="","",INDEX(HISTORICO!$D$3:$D$2002,$B143))</f>
        <v/>
      </c>
      <c r="J143">
        <f>IF($B143="","",INDEX(HISTORICO!$B$3:$B$2002,$B143))</f>
        <v/>
      </c>
      <c r="K143">
        <f>IF($B143="","",INDEX(HISTORICO!$U$3:$U$2002,$B143))</f>
        <v/>
      </c>
      <c r="L143">
        <f>IF($B143="","",INDEX(HISTORICO!$I$3:$I$2002,$B143))</f>
        <v/>
      </c>
      <c r="M143">
        <f>IF($B143="","",INDEX(HISTORICO!$J$3:$J$2002,$B143))</f>
        <v/>
      </c>
      <c r="N143">
        <f>IF($B143="","",INDEX(HISTORICO!$K$3:$K$2002,$B143))</f>
        <v/>
      </c>
      <c r="O143">
        <f>IF($B143="","",INDEX(HISTORICO!$L$3:$L$2002,$B143))</f>
        <v/>
      </c>
      <c r="P143">
        <f>IF($B143="","",INDEX(HISTORICO!$M$3:$M$2002,$B143))</f>
        <v/>
      </c>
      <c r="Q143">
        <f>IF($B143="","",INDEX(HISTORICO!$N$3:$N$2002,$B143))</f>
        <v/>
      </c>
      <c r="R143">
        <f>IF($B143="","",INDEX(HISTORICO!$Q$3:$Q$2002,$B143))</f>
        <v/>
      </c>
      <c r="S143">
        <f>IF($B143="","",INDEX(HISTORICO!$P$3:$P$2002,$B143))</f>
        <v/>
      </c>
      <c r="T143">
        <f>IF($B143="","",INDEX(HISTORICO!$O$3:$O$2002,$B143))</f>
        <v/>
      </c>
      <c r="U143">
        <f>IF($B143="","",INDEX(HISTORICO!$R$3:$R$2002,$B143))</f>
        <v/>
      </c>
      <c r="V143">
        <f>IF($B143="","",INDEX(HISTORICO!$S$3:$S$2002,$B143))</f>
        <v/>
      </c>
      <c r="W143">
        <f>IF($B143="","",INDEX(HISTORICO!$T$3:$T$2002,$B143))</f>
        <v/>
      </c>
      <c r="X143">
        <f>IF($B143="","",INDEX(HISTORICO!$X$3:$X$2002,$B143))</f>
        <v/>
      </c>
      <c r="Y143">
        <f>IF($L143="","",IFERROR(INDEX(CONFIGURACOES!$C$37:$C$300,MATCH($L143,CONFIGURACOES!$B$37:$B$300,0)),""))</f>
        <v/>
      </c>
      <c r="Z143">
        <f>IF($L143="","",IFERROR(INDEX(CONFIGURACOES!$D$37:$D$300,MATCH($L143,CONFIGURACOES!$B$37:$B$300,0)),""))</f>
        <v/>
      </c>
      <c r="AA143">
        <f>IF($L143="","",IFERROR(INDEX(CONFIGURACOES!$E$37:$E$300,MATCH($L143,CONFIGURACOES!$B$37:$B$300,0)),""))</f>
        <v/>
      </c>
      <c r="AB143">
        <f>IF($L143="","",IFERROR(INDEX(CONFIGURACOES!$F$37:$F$300,MATCH($L143,CONFIGURACOES!$B$37:$B$300,0)),""))</f>
        <v/>
      </c>
      <c r="AC143">
        <f>IF($L143="","",IF($X143&lt;&gt;$X142,$AC142+1,$AC142))</f>
        <v/>
      </c>
      <c r="AD143">
        <f>IF($L143="","",IF($X143&lt;&gt;$X142,1,$AD142+1))</f>
        <v/>
      </c>
      <c r="AE143">
        <f>IF($L143="","",$AC143*10+$AD143)</f>
        <v/>
      </c>
      <c r="AF143">
        <f>IF($L143="","",SUMIF($X$2:$X$151,$X143,$U$2:$U$151))</f>
        <v/>
      </c>
      <c r="AG143">
        <f>IF($L143="","",SUMIF($X$2:$X$151,$X143,$W$2:$W$151))</f>
        <v/>
      </c>
    </row>
    <row r="144">
      <c r="A144" t="n">
        <v>143</v>
      </c>
      <c r="B144">
        <f>IFERROR(MATCH($A144,HISTORICO!$Y$3:$Y$2002,0),"")</f>
        <v/>
      </c>
      <c r="C144">
        <f>IF($B144="","",INDEX(HISTORICO!$A$3:$A$2002,$B144))</f>
        <v/>
      </c>
      <c r="D144">
        <f>IF($B144="","",INDEX(HISTORICO!$C$3:$C$2002,$B144))</f>
        <v/>
      </c>
      <c r="E144">
        <f>IF($B144="","",INDEX(HISTORICO!$F$3:$F$2002,$B144))</f>
        <v/>
      </c>
      <c r="F144">
        <f>IF($B144="","",INDEX(HISTORICO!$G$3:$G$2002,$B144))</f>
        <v/>
      </c>
      <c r="G144">
        <f>IF($B144="","",INDEX(HISTORICO!$E$3:$E$2002,$B144))</f>
        <v/>
      </c>
      <c r="H144">
        <f>IF($B144="","",INDEX(HISTORICO!$H$3:$H$2002,$B144))</f>
        <v/>
      </c>
      <c r="I144">
        <f>IF($B144="","",INDEX(HISTORICO!$D$3:$D$2002,$B144))</f>
        <v/>
      </c>
      <c r="J144">
        <f>IF($B144="","",INDEX(HISTORICO!$B$3:$B$2002,$B144))</f>
        <v/>
      </c>
      <c r="K144">
        <f>IF($B144="","",INDEX(HISTORICO!$U$3:$U$2002,$B144))</f>
        <v/>
      </c>
      <c r="L144">
        <f>IF($B144="","",INDEX(HISTORICO!$I$3:$I$2002,$B144))</f>
        <v/>
      </c>
      <c r="M144">
        <f>IF($B144="","",INDEX(HISTORICO!$J$3:$J$2002,$B144))</f>
        <v/>
      </c>
      <c r="N144">
        <f>IF($B144="","",INDEX(HISTORICO!$K$3:$K$2002,$B144))</f>
        <v/>
      </c>
      <c r="O144">
        <f>IF($B144="","",INDEX(HISTORICO!$L$3:$L$2002,$B144))</f>
        <v/>
      </c>
      <c r="P144">
        <f>IF($B144="","",INDEX(HISTORICO!$M$3:$M$2002,$B144))</f>
        <v/>
      </c>
      <c r="Q144">
        <f>IF($B144="","",INDEX(HISTORICO!$N$3:$N$2002,$B144))</f>
        <v/>
      </c>
      <c r="R144">
        <f>IF($B144="","",INDEX(HISTORICO!$Q$3:$Q$2002,$B144))</f>
        <v/>
      </c>
      <c r="S144">
        <f>IF($B144="","",INDEX(HISTORICO!$P$3:$P$2002,$B144))</f>
        <v/>
      </c>
      <c r="T144">
        <f>IF($B144="","",INDEX(HISTORICO!$O$3:$O$2002,$B144))</f>
        <v/>
      </c>
      <c r="U144">
        <f>IF($B144="","",INDEX(HISTORICO!$R$3:$R$2002,$B144))</f>
        <v/>
      </c>
      <c r="V144">
        <f>IF($B144="","",INDEX(HISTORICO!$S$3:$S$2002,$B144))</f>
        <v/>
      </c>
      <c r="W144">
        <f>IF($B144="","",INDEX(HISTORICO!$T$3:$T$2002,$B144))</f>
        <v/>
      </c>
      <c r="X144">
        <f>IF($B144="","",INDEX(HISTORICO!$X$3:$X$2002,$B144))</f>
        <v/>
      </c>
      <c r="Y144">
        <f>IF($L144="","",IFERROR(INDEX(CONFIGURACOES!$C$37:$C$300,MATCH($L144,CONFIGURACOES!$B$37:$B$300,0)),""))</f>
        <v/>
      </c>
      <c r="Z144">
        <f>IF($L144="","",IFERROR(INDEX(CONFIGURACOES!$D$37:$D$300,MATCH($L144,CONFIGURACOES!$B$37:$B$300,0)),""))</f>
        <v/>
      </c>
      <c r="AA144">
        <f>IF($L144="","",IFERROR(INDEX(CONFIGURACOES!$E$37:$E$300,MATCH($L144,CONFIGURACOES!$B$37:$B$300,0)),""))</f>
        <v/>
      </c>
      <c r="AB144">
        <f>IF($L144="","",IFERROR(INDEX(CONFIGURACOES!$F$37:$F$300,MATCH($L144,CONFIGURACOES!$B$37:$B$300,0)),""))</f>
        <v/>
      </c>
      <c r="AC144">
        <f>IF($L144="","",IF($X144&lt;&gt;$X143,$AC143+1,$AC143))</f>
        <v/>
      </c>
      <c r="AD144">
        <f>IF($L144="","",IF($X144&lt;&gt;$X143,1,$AD143+1))</f>
        <v/>
      </c>
      <c r="AE144">
        <f>IF($L144="","",$AC144*10+$AD144)</f>
        <v/>
      </c>
      <c r="AF144">
        <f>IF($L144="","",SUMIF($X$2:$X$151,$X144,$U$2:$U$151))</f>
        <v/>
      </c>
      <c r="AG144">
        <f>IF($L144="","",SUMIF($X$2:$X$151,$X144,$W$2:$W$151))</f>
        <v/>
      </c>
    </row>
    <row r="145">
      <c r="A145" t="n">
        <v>144</v>
      </c>
      <c r="B145">
        <f>IFERROR(MATCH($A145,HISTORICO!$Y$3:$Y$2002,0),"")</f>
        <v/>
      </c>
      <c r="C145">
        <f>IF($B145="","",INDEX(HISTORICO!$A$3:$A$2002,$B145))</f>
        <v/>
      </c>
      <c r="D145">
        <f>IF($B145="","",INDEX(HISTORICO!$C$3:$C$2002,$B145))</f>
        <v/>
      </c>
      <c r="E145">
        <f>IF($B145="","",INDEX(HISTORICO!$F$3:$F$2002,$B145))</f>
        <v/>
      </c>
      <c r="F145">
        <f>IF($B145="","",INDEX(HISTORICO!$G$3:$G$2002,$B145))</f>
        <v/>
      </c>
      <c r="G145">
        <f>IF($B145="","",INDEX(HISTORICO!$E$3:$E$2002,$B145))</f>
        <v/>
      </c>
      <c r="H145">
        <f>IF($B145="","",INDEX(HISTORICO!$H$3:$H$2002,$B145))</f>
        <v/>
      </c>
      <c r="I145">
        <f>IF($B145="","",INDEX(HISTORICO!$D$3:$D$2002,$B145))</f>
        <v/>
      </c>
      <c r="J145">
        <f>IF($B145="","",INDEX(HISTORICO!$B$3:$B$2002,$B145))</f>
        <v/>
      </c>
      <c r="K145">
        <f>IF($B145="","",INDEX(HISTORICO!$U$3:$U$2002,$B145))</f>
        <v/>
      </c>
      <c r="L145">
        <f>IF($B145="","",INDEX(HISTORICO!$I$3:$I$2002,$B145))</f>
        <v/>
      </c>
      <c r="M145">
        <f>IF($B145="","",INDEX(HISTORICO!$J$3:$J$2002,$B145))</f>
        <v/>
      </c>
      <c r="N145">
        <f>IF($B145="","",INDEX(HISTORICO!$K$3:$K$2002,$B145))</f>
        <v/>
      </c>
      <c r="O145">
        <f>IF($B145="","",INDEX(HISTORICO!$L$3:$L$2002,$B145))</f>
        <v/>
      </c>
      <c r="P145">
        <f>IF($B145="","",INDEX(HISTORICO!$M$3:$M$2002,$B145))</f>
        <v/>
      </c>
      <c r="Q145">
        <f>IF($B145="","",INDEX(HISTORICO!$N$3:$N$2002,$B145))</f>
        <v/>
      </c>
      <c r="R145">
        <f>IF($B145="","",INDEX(HISTORICO!$Q$3:$Q$2002,$B145))</f>
        <v/>
      </c>
      <c r="S145">
        <f>IF($B145="","",INDEX(HISTORICO!$P$3:$P$2002,$B145))</f>
        <v/>
      </c>
      <c r="T145">
        <f>IF($B145="","",INDEX(HISTORICO!$O$3:$O$2002,$B145))</f>
        <v/>
      </c>
      <c r="U145">
        <f>IF($B145="","",INDEX(HISTORICO!$R$3:$R$2002,$B145))</f>
        <v/>
      </c>
      <c r="V145">
        <f>IF($B145="","",INDEX(HISTORICO!$S$3:$S$2002,$B145))</f>
        <v/>
      </c>
      <c r="W145">
        <f>IF($B145="","",INDEX(HISTORICO!$T$3:$T$2002,$B145))</f>
        <v/>
      </c>
      <c r="X145">
        <f>IF($B145="","",INDEX(HISTORICO!$X$3:$X$2002,$B145))</f>
        <v/>
      </c>
      <c r="Y145">
        <f>IF($L145="","",IFERROR(INDEX(CONFIGURACOES!$C$37:$C$300,MATCH($L145,CONFIGURACOES!$B$37:$B$300,0)),""))</f>
        <v/>
      </c>
      <c r="Z145">
        <f>IF($L145="","",IFERROR(INDEX(CONFIGURACOES!$D$37:$D$300,MATCH($L145,CONFIGURACOES!$B$37:$B$300,0)),""))</f>
        <v/>
      </c>
      <c r="AA145">
        <f>IF($L145="","",IFERROR(INDEX(CONFIGURACOES!$E$37:$E$300,MATCH($L145,CONFIGURACOES!$B$37:$B$300,0)),""))</f>
        <v/>
      </c>
      <c r="AB145">
        <f>IF($L145="","",IFERROR(INDEX(CONFIGURACOES!$F$37:$F$300,MATCH($L145,CONFIGURACOES!$B$37:$B$300,0)),""))</f>
        <v/>
      </c>
      <c r="AC145">
        <f>IF($L145="","",IF($X145&lt;&gt;$X144,$AC144+1,$AC144))</f>
        <v/>
      </c>
      <c r="AD145">
        <f>IF($L145="","",IF($X145&lt;&gt;$X144,1,$AD144+1))</f>
        <v/>
      </c>
      <c r="AE145">
        <f>IF($L145="","",$AC145*10+$AD145)</f>
        <v/>
      </c>
      <c r="AF145">
        <f>IF($L145="","",SUMIF($X$2:$X$151,$X145,$U$2:$U$151))</f>
        <v/>
      </c>
      <c r="AG145">
        <f>IF($L145="","",SUMIF($X$2:$X$151,$X145,$W$2:$W$151))</f>
        <v/>
      </c>
    </row>
    <row r="146">
      <c r="A146" t="n">
        <v>145</v>
      </c>
      <c r="B146">
        <f>IFERROR(MATCH($A146,HISTORICO!$Y$3:$Y$2002,0),"")</f>
        <v/>
      </c>
      <c r="C146">
        <f>IF($B146="","",INDEX(HISTORICO!$A$3:$A$2002,$B146))</f>
        <v/>
      </c>
      <c r="D146">
        <f>IF($B146="","",INDEX(HISTORICO!$C$3:$C$2002,$B146))</f>
        <v/>
      </c>
      <c r="E146">
        <f>IF($B146="","",INDEX(HISTORICO!$F$3:$F$2002,$B146))</f>
        <v/>
      </c>
      <c r="F146">
        <f>IF($B146="","",INDEX(HISTORICO!$G$3:$G$2002,$B146))</f>
        <v/>
      </c>
      <c r="G146">
        <f>IF($B146="","",INDEX(HISTORICO!$E$3:$E$2002,$B146))</f>
        <v/>
      </c>
      <c r="H146">
        <f>IF($B146="","",INDEX(HISTORICO!$H$3:$H$2002,$B146))</f>
        <v/>
      </c>
      <c r="I146">
        <f>IF($B146="","",INDEX(HISTORICO!$D$3:$D$2002,$B146))</f>
        <v/>
      </c>
      <c r="J146">
        <f>IF($B146="","",INDEX(HISTORICO!$B$3:$B$2002,$B146))</f>
        <v/>
      </c>
      <c r="K146">
        <f>IF($B146="","",INDEX(HISTORICO!$U$3:$U$2002,$B146))</f>
        <v/>
      </c>
      <c r="L146">
        <f>IF($B146="","",INDEX(HISTORICO!$I$3:$I$2002,$B146))</f>
        <v/>
      </c>
      <c r="M146">
        <f>IF($B146="","",INDEX(HISTORICO!$J$3:$J$2002,$B146))</f>
        <v/>
      </c>
      <c r="N146">
        <f>IF($B146="","",INDEX(HISTORICO!$K$3:$K$2002,$B146))</f>
        <v/>
      </c>
      <c r="O146">
        <f>IF($B146="","",INDEX(HISTORICO!$L$3:$L$2002,$B146))</f>
        <v/>
      </c>
      <c r="P146">
        <f>IF($B146="","",INDEX(HISTORICO!$M$3:$M$2002,$B146))</f>
        <v/>
      </c>
      <c r="Q146">
        <f>IF($B146="","",INDEX(HISTORICO!$N$3:$N$2002,$B146))</f>
        <v/>
      </c>
      <c r="R146">
        <f>IF($B146="","",INDEX(HISTORICO!$Q$3:$Q$2002,$B146))</f>
        <v/>
      </c>
      <c r="S146">
        <f>IF($B146="","",INDEX(HISTORICO!$P$3:$P$2002,$B146))</f>
        <v/>
      </c>
      <c r="T146">
        <f>IF($B146="","",INDEX(HISTORICO!$O$3:$O$2002,$B146))</f>
        <v/>
      </c>
      <c r="U146">
        <f>IF($B146="","",INDEX(HISTORICO!$R$3:$R$2002,$B146))</f>
        <v/>
      </c>
      <c r="V146">
        <f>IF($B146="","",INDEX(HISTORICO!$S$3:$S$2002,$B146))</f>
        <v/>
      </c>
      <c r="W146">
        <f>IF($B146="","",INDEX(HISTORICO!$T$3:$T$2002,$B146))</f>
        <v/>
      </c>
      <c r="X146">
        <f>IF($B146="","",INDEX(HISTORICO!$X$3:$X$2002,$B146))</f>
        <v/>
      </c>
      <c r="Y146">
        <f>IF($L146="","",IFERROR(INDEX(CONFIGURACOES!$C$37:$C$300,MATCH($L146,CONFIGURACOES!$B$37:$B$300,0)),""))</f>
        <v/>
      </c>
      <c r="Z146">
        <f>IF($L146="","",IFERROR(INDEX(CONFIGURACOES!$D$37:$D$300,MATCH($L146,CONFIGURACOES!$B$37:$B$300,0)),""))</f>
        <v/>
      </c>
      <c r="AA146">
        <f>IF($L146="","",IFERROR(INDEX(CONFIGURACOES!$E$37:$E$300,MATCH($L146,CONFIGURACOES!$B$37:$B$300,0)),""))</f>
        <v/>
      </c>
      <c r="AB146">
        <f>IF($L146="","",IFERROR(INDEX(CONFIGURACOES!$F$37:$F$300,MATCH($L146,CONFIGURACOES!$B$37:$B$300,0)),""))</f>
        <v/>
      </c>
      <c r="AC146">
        <f>IF($L146="","",IF($X146&lt;&gt;$X145,$AC145+1,$AC145))</f>
        <v/>
      </c>
      <c r="AD146">
        <f>IF($L146="","",IF($X146&lt;&gt;$X145,1,$AD145+1))</f>
        <v/>
      </c>
      <c r="AE146">
        <f>IF($L146="","",$AC146*10+$AD146)</f>
        <v/>
      </c>
      <c r="AF146">
        <f>IF($L146="","",SUMIF($X$2:$X$151,$X146,$U$2:$U$151))</f>
        <v/>
      </c>
      <c r="AG146">
        <f>IF($L146="","",SUMIF($X$2:$X$151,$X146,$W$2:$W$151))</f>
        <v/>
      </c>
    </row>
    <row r="147">
      <c r="A147" t="n">
        <v>146</v>
      </c>
      <c r="B147">
        <f>IFERROR(MATCH($A147,HISTORICO!$Y$3:$Y$2002,0),"")</f>
        <v/>
      </c>
      <c r="C147">
        <f>IF($B147="","",INDEX(HISTORICO!$A$3:$A$2002,$B147))</f>
        <v/>
      </c>
      <c r="D147">
        <f>IF($B147="","",INDEX(HISTORICO!$C$3:$C$2002,$B147))</f>
        <v/>
      </c>
      <c r="E147">
        <f>IF($B147="","",INDEX(HISTORICO!$F$3:$F$2002,$B147))</f>
        <v/>
      </c>
      <c r="F147">
        <f>IF($B147="","",INDEX(HISTORICO!$G$3:$G$2002,$B147))</f>
        <v/>
      </c>
      <c r="G147">
        <f>IF($B147="","",INDEX(HISTORICO!$E$3:$E$2002,$B147))</f>
        <v/>
      </c>
      <c r="H147">
        <f>IF($B147="","",INDEX(HISTORICO!$H$3:$H$2002,$B147))</f>
        <v/>
      </c>
      <c r="I147">
        <f>IF($B147="","",INDEX(HISTORICO!$D$3:$D$2002,$B147))</f>
        <v/>
      </c>
      <c r="J147">
        <f>IF($B147="","",INDEX(HISTORICO!$B$3:$B$2002,$B147))</f>
        <v/>
      </c>
      <c r="K147">
        <f>IF($B147="","",INDEX(HISTORICO!$U$3:$U$2002,$B147))</f>
        <v/>
      </c>
      <c r="L147">
        <f>IF($B147="","",INDEX(HISTORICO!$I$3:$I$2002,$B147))</f>
        <v/>
      </c>
      <c r="M147">
        <f>IF($B147="","",INDEX(HISTORICO!$J$3:$J$2002,$B147))</f>
        <v/>
      </c>
      <c r="N147">
        <f>IF($B147="","",INDEX(HISTORICO!$K$3:$K$2002,$B147))</f>
        <v/>
      </c>
      <c r="O147">
        <f>IF($B147="","",INDEX(HISTORICO!$L$3:$L$2002,$B147))</f>
        <v/>
      </c>
      <c r="P147">
        <f>IF($B147="","",INDEX(HISTORICO!$M$3:$M$2002,$B147))</f>
        <v/>
      </c>
      <c r="Q147">
        <f>IF($B147="","",INDEX(HISTORICO!$N$3:$N$2002,$B147))</f>
        <v/>
      </c>
      <c r="R147">
        <f>IF($B147="","",INDEX(HISTORICO!$Q$3:$Q$2002,$B147))</f>
        <v/>
      </c>
      <c r="S147">
        <f>IF($B147="","",INDEX(HISTORICO!$P$3:$P$2002,$B147))</f>
        <v/>
      </c>
      <c r="T147">
        <f>IF($B147="","",INDEX(HISTORICO!$O$3:$O$2002,$B147))</f>
        <v/>
      </c>
      <c r="U147">
        <f>IF($B147="","",INDEX(HISTORICO!$R$3:$R$2002,$B147))</f>
        <v/>
      </c>
      <c r="V147">
        <f>IF($B147="","",INDEX(HISTORICO!$S$3:$S$2002,$B147))</f>
        <v/>
      </c>
      <c r="W147">
        <f>IF($B147="","",INDEX(HISTORICO!$T$3:$T$2002,$B147))</f>
        <v/>
      </c>
      <c r="X147">
        <f>IF($B147="","",INDEX(HISTORICO!$X$3:$X$2002,$B147))</f>
        <v/>
      </c>
      <c r="Y147">
        <f>IF($L147="","",IFERROR(INDEX(CONFIGURACOES!$C$37:$C$300,MATCH($L147,CONFIGURACOES!$B$37:$B$300,0)),""))</f>
        <v/>
      </c>
      <c r="Z147">
        <f>IF($L147="","",IFERROR(INDEX(CONFIGURACOES!$D$37:$D$300,MATCH($L147,CONFIGURACOES!$B$37:$B$300,0)),""))</f>
        <v/>
      </c>
      <c r="AA147">
        <f>IF($L147="","",IFERROR(INDEX(CONFIGURACOES!$E$37:$E$300,MATCH($L147,CONFIGURACOES!$B$37:$B$300,0)),""))</f>
        <v/>
      </c>
      <c r="AB147">
        <f>IF($L147="","",IFERROR(INDEX(CONFIGURACOES!$F$37:$F$300,MATCH($L147,CONFIGURACOES!$B$37:$B$300,0)),""))</f>
        <v/>
      </c>
      <c r="AC147">
        <f>IF($L147="","",IF($X147&lt;&gt;$X146,$AC146+1,$AC146))</f>
        <v/>
      </c>
      <c r="AD147">
        <f>IF($L147="","",IF($X147&lt;&gt;$X146,1,$AD146+1))</f>
        <v/>
      </c>
      <c r="AE147">
        <f>IF($L147="","",$AC147*10+$AD147)</f>
        <v/>
      </c>
      <c r="AF147">
        <f>IF($L147="","",SUMIF($X$2:$X$151,$X147,$U$2:$U$151))</f>
        <v/>
      </c>
      <c r="AG147">
        <f>IF($L147="","",SUMIF($X$2:$X$151,$X147,$W$2:$W$151))</f>
        <v/>
      </c>
    </row>
    <row r="148">
      <c r="A148" t="n">
        <v>147</v>
      </c>
      <c r="B148">
        <f>IFERROR(MATCH($A148,HISTORICO!$Y$3:$Y$2002,0),"")</f>
        <v/>
      </c>
      <c r="C148">
        <f>IF($B148="","",INDEX(HISTORICO!$A$3:$A$2002,$B148))</f>
        <v/>
      </c>
      <c r="D148">
        <f>IF($B148="","",INDEX(HISTORICO!$C$3:$C$2002,$B148))</f>
        <v/>
      </c>
      <c r="E148">
        <f>IF($B148="","",INDEX(HISTORICO!$F$3:$F$2002,$B148))</f>
        <v/>
      </c>
      <c r="F148">
        <f>IF($B148="","",INDEX(HISTORICO!$G$3:$G$2002,$B148))</f>
        <v/>
      </c>
      <c r="G148">
        <f>IF($B148="","",INDEX(HISTORICO!$E$3:$E$2002,$B148))</f>
        <v/>
      </c>
      <c r="H148">
        <f>IF($B148="","",INDEX(HISTORICO!$H$3:$H$2002,$B148))</f>
        <v/>
      </c>
      <c r="I148">
        <f>IF($B148="","",INDEX(HISTORICO!$D$3:$D$2002,$B148))</f>
        <v/>
      </c>
      <c r="J148">
        <f>IF($B148="","",INDEX(HISTORICO!$B$3:$B$2002,$B148))</f>
        <v/>
      </c>
      <c r="K148">
        <f>IF($B148="","",INDEX(HISTORICO!$U$3:$U$2002,$B148))</f>
        <v/>
      </c>
      <c r="L148">
        <f>IF($B148="","",INDEX(HISTORICO!$I$3:$I$2002,$B148))</f>
        <v/>
      </c>
      <c r="M148">
        <f>IF($B148="","",INDEX(HISTORICO!$J$3:$J$2002,$B148))</f>
        <v/>
      </c>
      <c r="N148">
        <f>IF($B148="","",INDEX(HISTORICO!$K$3:$K$2002,$B148))</f>
        <v/>
      </c>
      <c r="O148">
        <f>IF($B148="","",INDEX(HISTORICO!$L$3:$L$2002,$B148))</f>
        <v/>
      </c>
      <c r="P148">
        <f>IF($B148="","",INDEX(HISTORICO!$M$3:$M$2002,$B148))</f>
        <v/>
      </c>
      <c r="Q148">
        <f>IF($B148="","",INDEX(HISTORICO!$N$3:$N$2002,$B148))</f>
        <v/>
      </c>
      <c r="R148">
        <f>IF($B148="","",INDEX(HISTORICO!$Q$3:$Q$2002,$B148))</f>
        <v/>
      </c>
      <c r="S148">
        <f>IF($B148="","",INDEX(HISTORICO!$P$3:$P$2002,$B148))</f>
        <v/>
      </c>
      <c r="T148">
        <f>IF($B148="","",INDEX(HISTORICO!$O$3:$O$2002,$B148))</f>
        <v/>
      </c>
      <c r="U148">
        <f>IF($B148="","",INDEX(HISTORICO!$R$3:$R$2002,$B148))</f>
        <v/>
      </c>
      <c r="V148">
        <f>IF($B148="","",INDEX(HISTORICO!$S$3:$S$2002,$B148))</f>
        <v/>
      </c>
      <c r="W148">
        <f>IF($B148="","",INDEX(HISTORICO!$T$3:$T$2002,$B148))</f>
        <v/>
      </c>
      <c r="X148">
        <f>IF($B148="","",INDEX(HISTORICO!$X$3:$X$2002,$B148))</f>
        <v/>
      </c>
      <c r="Y148">
        <f>IF($L148="","",IFERROR(INDEX(CONFIGURACOES!$C$37:$C$300,MATCH($L148,CONFIGURACOES!$B$37:$B$300,0)),""))</f>
        <v/>
      </c>
      <c r="Z148">
        <f>IF($L148="","",IFERROR(INDEX(CONFIGURACOES!$D$37:$D$300,MATCH($L148,CONFIGURACOES!$B$37:$B$300,0)),""))</f>
        <v/>
      </c>
      <c r="AA148">
        <f>IF($L148="","",IFERROR(INDEX(CONFIGURACOES!$E$37:$E$300,MATCH($L148,CONFIGURACOES!$B$37:$B$300,0)),""))</f>
        <v/>
      </c>
      <c r="AB148">
        <f>IF($L148="","",IFERROR(INDEX(CONFIGURACOES!$F$37:$F$300,MATCH($L148,CONFIGURACOES!$B$37:$B$300,0)),""))</f>
        <v/>
      </c>
      <c r="AC148">
        <f>IF($L148="","",IF($X148&lt;&gt;$X147,$AC147+1,$AC147))</f>
        <v/>
      </c>
      <c r="AD148">
        <f>IF($L148="","",IF($X148&lt;&gt;$X147,1,$AD147+1))</f>
        <v/>
      </c>
      <c r="AE148">
        <f>IF($L148="","",$AC148*10+$AD148)</f>
        <v/>
      </c>
      <c r="AF148">
        <f>IF($L148="","",SUMIF($X$2:$X$151,$X148,$U$2:$U$151))</f>
        <v/>
      </c>
      <c r="AG148">
        <f>IF($L148="","",SUMIF($X$2:$X$151,$X148,$W$2:$W$151))</f>
        <v/>
      </c>
    </row>
    <row r="149">
      <c r="A149" t="n">
        <v>148</v>
      </c>
      <c r="B149">
        <f>IFERROR(MATCH($A149,HISTORICO!$Y$3:$Y$2002,0),"")</f>
        <v/>
      </c>
      <c r="C149">
        <f>IF($B149="","",INDEX(HISTORICO!$A$3:$A$2002,$B149))</f>
        <v/>
      </c>
      <c r="D149">
        <f>IF($B149="","",INDEX(HISTORICO!$C$3:$C$2002,$B149))</f>
        <v/>
      </c>
      <c r="E149">
        <f>IF($B149="","",INDEX(HISTORICO!$F$3:$F$2002,$B149))</f>
        <v/>
      </c>
      <c r="F149">
        <f>IF($B149="","",INDEX(HISTORICO!$G$3:$G$2002,$B149))</f>
        <v/>
      </c>
      <c r="G149">
        <f>IF($B149="","",INDEX(HISTORICO!$E$3:$E$2002,$B149))</f>
        <v/>
      </c>
      <c r="H149">
        <f>IF($B149="","",INDEX(HISTORICO!$H$3:$H$2002,$B149))</f>
        <v/>
      </c>
      <c r="I149">
        <f>IF($B149="","",INDEX(HISTORICO!$D$3:$D$2002,$B149))</f>
        <v/>
      </c>
      <c r="J149">
        <f>IF($B149="","",INDEX(HISTORICO!$B$3:$B$2002,$B149))</f>
        <v/>
      </c>
      <c r="K149">
        <f>IF($B149="","",INDEX(HISTORICO!$U$3:$U$2002,$B149))</f>
        <v/>
      </c>
      <c r="L149">
        <f>IF($B149="","",INDEX(HISTORICO!$I$3:$I$2002,$B149))</f>
        <v/>
      </c>
      <c r="M149">
        <f>IF($B149="","",INDEX(HISTORICO!$J$3:$J$2002,$B149))</f>
        <v/>
      </c>
      <c r="N149">
        <f>IF($B149="","",INDEX(HISTORICO!$K$3:$K$2002,$B149))</f>
        <v/>
      </c>
      <c r="O149">
        <f>IF($B149="","",INDEX(HISTORICO!$L$3:$L$2002,$B149))</f>
        <v/>
      </c>
      <c r="P149">
        <f>IF($B149="","",INDEX(HISTORICO!$M$3:$M$2002,$B149))</f>
        <v/>
      </c>
      <c r="Q149">
        <f>IF($B149="","",INDEX(HISTORICO!$N$3:$N$2002,$B149))</f>
        <v/>
      </c>
      <c r="R149">
        <f>IF($B149="","",INDEX(HISTORICO!$Q$3:$Q$2002,$B149))</f>
        <v/>
      </c>
      <c r="S149">
        <f>IF($B149="","",INDEX(HISTORICO!$P$3:$P$2002,$B149))</f>
        <v/>
      </c>
      <c r="T149">
        <f>IF($B149="","",INDEX(HISTORICO!$O$3:$O$2002,$B149))</f>
        <v/>
      </c>
      <c r="U149">
        <f>IF($B149="","",INDEX(HISTORICO!$R$3:$R$2002,$B149))</f>
        <v/>
      </c>
      <c r="V149">
        <f>IF($B149="","",INDEX(HISTORICO!$S$3:$S$2002,$B149))</f>
        <v/>
      </c>
      <c r="W149">
        <f>IF($B149="","",INDEX(HISTORICO!$T$3:$T$2002,$B149))</f>
        <v/>
      </c>
      <c r="X149">
        <f>IF($B149="","",INDEX(HISTORICO!$X$3:$X$2002,$B149))</f>
        <v/>
      </c>
      <c r="Y149">
        <f>IF($L149="","",IFERROR(INDEX(CONFIGURACOES!$C$37:$C$300,MATCH($L149,CONFIGURACOES!$B$37:$B$300,0)),""))</f>
        <v/>
      </c>
      <c r="Z149">
        <f>IF($L149="","",IFERROR(INDEX(CONFIGURACOES!$D$37:$D$300,MATCH($L149,CONFIGURACOES!$B$37:$B$300,0)),""))</f>
        <v/>
      </c>
      <c r="AA149">
        <f>IF($L149="","",IFERROR(INDEX(CONFIGURACOES!$E$37:$E$300,MATCH($L149,CONFIGURACOES!$B$37:$B$300,0)),""))</f>
        <v/>
      </c>
      <c r="AB149">
        <f>IF($L149="","",IFERROR(INDEX(CONFIGURACOES!$F$37:$F$300,MATCH($L149,CONFIGURACOES!$B$37:$B$300,0)),""))</f>
        <v/>
      </c>
      <c r="AC149">
        <f>IF($L149="","",IF($X149&lt;&gt;$X148,$AC148+1,$AC148))</f>
        <v/>
      </c>
      <c r="AD149">
        <f>IF($L149="","",IF($X149&lt;&gt;$X148,1,$AD148+1))</f>
        <v/>
      </c>
      <c r="AE149">
        <f>IF($L149="","",$AC149*10+$AD149)</f>
        <v/>
      </c>
      <c r="AF149">
        <f>IF($L149="","",SUMIF($X$2:$X$151,$X149,$U$2:$U$151))</f>
        <v/>
      </c>
      <c r="AG149">
        <f>IF($L149="","",SUMIF($X$2:$X$151,$X149,$W$2:$W$151))</f>
        <v/>
      </c>
    </row>
    <row r="150">
      <c r="A150" t="n">
        <v>149</v>
      </c>
      <c r="B150">
        <f>IFERROR(MATCH($A150,HISTORICO!$Y$3:$Y$2002,0),"")</f>
        <v/>
      </c>
      <c r="C150">
        <f>IF($B150="","",INDEX(HISTORICO!$A$3:$A$2002,$B150))</f>
        <v/>
      </c>
      <c r="D150">
        <f>IF($B150="","",INDEX(HISTORICO!$C$3:$C$2002,$B150))</f>
        <v/>
      </c>
      <c r="E150">
        <f>IF($B150="","",INDEX(HISTORICO!$F$3:$F$2002,$B150))</f>
        <v/>
      </c>
      <c r="F150">
        <f>IF($B150="","",INDEX(HISTORICO!$G$3:$G$2002,$B150))</f>
        <v/>
      </c>
      <c r="G150">
        <f>IF($B150="","",INDEX(HISTORICO!$E$3:$E$2002,$B150))</f>
        <v/>
      </c>
      <c r="H150">
        <f>IF($B150="","",INDEX(HISTORICO!$H$3:$H$2002,$B150))</f>
        <v/>
      </c>
      <c r="I150">
        <f>IF($B150="","",INDEX(HISTORICO!$D$3:$D$2002,$B150))</f>
        <v/>
      </c>
      <c r="J150">
        <f>IF($B150="","",INDEX(HISTORICO!$B$3:$B$2002,$B150))</f>
        <v/>
      </c>
      <c r="K150">
        <f>IF($B150="","",INDEX(HISTORICO!$U$3:$U$2002,$B150))</f>
        <v/>
      </c>
      <c r="L150">
        <f>IF($B150="","",INDEX(HISTORICO!$I$3:$I$2002,$B150))</f>
        <v/>
      </c>
      <c r="M150">
        <f>IF($B150="","",INDEX(HISTORICO!$J$3:$J$2002,$B150))</f>
        <v/>
      </c>
      <c r="N150">
        <f>IF($B150="","",INDEX(HISTORICO!$K$3:$K$2002,$B150))</f>
        <v/>
      </c>
      <c r="O150">
        <f>IF($B150="","",INDEX(HISTORICO!$L$3:$L$2002,$B150))</f>
        <v/>
      </c>
      <c r="P150">
        <f>IF($B150="","",INDEX(HISTORICO!$M$3:$M$2002,$B150))</f>
        <v/>
      </c>
      <c r="Q150">
        <f>IF($B150="","",INDEX(HISTORICO!$N$3:$N$2002,$B150))</f>
        <v/>
      </c>
      <c r="R150">
        <f>IF($B150="","",INDEX(HISTORICO!$Q$3:$Q$2002,$B150))</f>
        <v/>
      </c>
      <c r="S150">
        <f>IF($B150="","",INDEX(HISTORICO!$P$3:$P$2002,$B150))</f>
        <v/>
      </c>
      <c r="T150">
        <f>IF($B150="","",INDEX(HISTORICO!$O$3:$O$2002,$B150))</f>
        <v/>
      </c>
      <c r="U150">
        <f>IF($B150="","",INDEX(HISTORICO!$R$3:$R$2002,$B150))</f>
        <v/>
      </c>
      <c r="V150">
        <f>IF($B150="","",INDEX(HISTORICO!$S$3:$S$2002,$B150))</f>
        <v/>
      </c>
      <c r="W150">
        <f>IF($B150="","",INDEX(HISTORICO!$T$3:$T$2002,$B150))</f>
        <v/>
      </c>
      <c r="X150">
        <f>IF($B150="","",INDEX(HISTORICO!$X$3:$X$2002,$B150))</f>
        <v/>
      </c>
      <c r="Y150">
        <f>IF($L150="","",IFERROR(INDEX(CONFIGURACOES!$C$37:$C$300,MATCH($L150,CONFIGURACOES!$B$37:$B$300,0)),""))</f>
        <v/>
      </c>
      <c r="Z150">
        <f>IF($L150="","",IFERROR(INDEX(CONFIGURACOES!$D$37:$D$300,MATCH($L150,CONFIGURACOES!$B$37:$B$300,0)),""))</f>
        <v/>
      </c>
      <c r="AA150">
        <f>IF($L150="","",IFERROR(INDEX(CONFIGURACOES!$E$37:$E$300,MATCH($L150,CONFIGURACOES!$B$37:$B$300,0)),""))</f>
        <v/>
      </c>
      <c r="AB150">
        <f>IF($L150="","",IFERROR(INDEX(CONFIGURACOES!$F$37:$F$300,MATCH($L150,CONFIGURACOES!$B$37:$B$300,0)),""))</f>
        <v/>
      </c>
      <c r="AC150">
        <f>IF($L150="","",IF($X150&lt;&gt;$X149,$AC149+1,$AC149))</f>
        <v/>
      </c>
      <c r="AD150">
        <f>IF($L150="","",IF($X150&lt;&gt;$X149,1,$AD149+1))</f>
        <v/>
      </c>
      <c r="AE150">
        <f>IF($L150="","",$AC150*10+$AD150)</f>
        <v/>
      </c>
      <c r="AF150">
        <f>IF($L150="","",SUMIF($X$2:$X$151,$X150,$U$2:$U$151))</f>
        <v/>
      </c>
      <c r="AG150">
        <f>IF($L150="","",SUMIF($X$2:$X$151,$X150,$W$2:$W$151))</f>
        <v/>
      </c>
    </row>
    <row r="151">
      <c r="A151" t="n">
        <v>150</v>
      </c>
      <c r="B151">
        <f>IFERROR(MATCH($A151,HISTORICO!$Y$3:$Y$2002,0),"")</f>
        <v/>
      </c>
      <c r="C151">
        <f>IF($B151="","",INDEX(HISTORICO!$A$3:$A$2002,$B151))</f>
        <v/>
      </c>
      <c r="D151">
        <f>IF($B151="","",INDEX(HISTORICO!$C$3:$C$2002,$B151))</f>
        <v/>
      </c>
      <c r="E151">
        <f>IF($B151="","",INDEX(HISTORICO!$F$3:$F$2002,$B151))</f>
        <v/>
      </c>
      <c r="F151">
        <f>IF($B151="","",INDEX(HISTORICO!$G$3:$G$2002,$B151))</f>
        <v/>
      </c>
      <c r="G151">
        <f>IF($B151="","",INDEX(HISTORICO!$E$3:$E$2002,$B151))</f>
        <v/>
      </c>
      <c r="H151">
        <f>IF($B151="","",INDEX(HISTORICO!$H$3:$H$2002,$B151))</f>
        <v/>
      </c>
      <c r="I151">
        <f>IF($B151="","",INDEX(HISTORICO!$D$3:$D$2002,$B151))</f>
        <v/>
      </c>
      <c r="J151">
        <f>IF($B151="","",INDEX(HISTORICO!$B$3:$B$2002,$B151))</f>
        <v/>
      </c>
      <c r="K151">
        <f>IF($B151="","",INDEX(HISTORICO!$U$3:$U$2002,$B151))</f>
        <v/>
      </c>
      <c r="L151">
        <f>IF($B151="","",INDEX(HISTORICO!$I$3:$I$2002,$B151))</f>
        <v/>
      </c>
      <c r="M151">
        <f>IF($B151="","",INDEX(HISTORICO!$J$3:$J$2002,$B151))</f>
        <v/>
      </c>
      <c r="N151">
        <f>IF($B151="","",INDEX(HISTORICO!$K$3:$K$2002,$B151))</f>
        <v/>
      </c>
      <c r="O151">
        <f>IF($B151="","",INDEX(HISTORICO!$L$3:$L$2002,$B151))</f>
        <v/>
      </c>
      <c r="P151">
        <f>IF($B151="","",INDEX(HISTORICO!$M$3:$M$2002,$B151))</f>
        <v/>
      </c>
      <c r="Q151">
        <f>IF($B151="","",INDEX(HISTORICO!$N$3:$N$2002,$B151))</f>
        <v/>
      </c>
      <c r="R151">
        <f>IF($B151="","",INDEX(HISTORICO!$Q$3:$Q$2002,$B151))</f>
        <v/>
      </c>
      <c r="S151">
        <f>IF($B151="","",INDEX(HISTORICO!$P$3:$P$2002,$B151))</f>
        <v/>
      </c>
      <c r="T151">
        <f>IF($B151="","",INDEX(HISTORICO!$O$3:$O$2002,$B151))</f>
        <v/>
      </c>
      <c r="U151">
        <f>IF($B151="","",INDEX(HISTORICO!$R$3:$R$2002,$B151))</f>
        <v/>
      </c>
      <c r="V151">
        <f>IF($B151="","",INDEX(HISTORICO!$S$3:$S$2002,$B151))</f>
        <v/>
      </c>
      <c r="W151">
        <f>IF($B151="","",INDEX(HISTORICO!$T$3:$T$2002,$B151))</f>
        <v/>
      </c>
      <c r="X151">
        <f>IF($B151="","",INDEX(HISTORICO!$X$3:$X$2002,$B151))</f>
        <v/>
      </c>
      <c r="Y151">
        <f>IF($L151="","",IFERROR(INDEX(CONFIGURACOES!$C$37:$C$300,MATCH($L151,CONFIGURACOES!$B$37:$B$300,0)),""))</f>
        <v/>
      </c>
      <c r="Z151">
        <f>IF($L151="","",IFERROR(INDEX(CONFIGURACOES!$D$37:$D$300,MATCH($L151,CONFIGURACOES!$B$37:$B$300,0)),""))</f>
        <v/>
      </c>
      <c r="AA151">
        <f>IF($L151="","",IFERROR(INDEX(CONFIGURACOES!$E$37:$E$300,MATCH($L151,CONFIGURACOES!$B$37:$B$300,0)),""))</f>
        <v/>
      </c>
      <c r="AB151">
        <f>IF($L151="","",IFERROR(INDEX(CONFIGURACOES!$F$37:$F$300,MATCH($L151,CONFIGURACOES!$B$37:$B$300,0)),""))</f>
        <v/>
      </c>
      <c r="AC151">
        <f>IF($L151="","",IF($X151&lt;&gt;$X150,$AC150+1,$AC150))</f>
        <v/>
      </c>
      <c r="AD151">
        <f>IF($L151="","",IF($X151&lt;&gt;$X150,1,$AD150+1))</f>
        <v/>
      </c>
      <c r="AE151">
        <f>IF($L151="","",$AC151*10+$AD151)</f>
        <v/>
      </c>
      <c r="AF151">
        <f>IF($L151="","",SUMIF($X$2:$X$151,$X151,$U$2:$U$151))</f>
        <v/>
      </c>
      <c r="AG151">
        <f>IF($L151="","",SUMIF($X$2:$X$151,$X151,$W$2:$W$151))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de Controle de Medicoes</dc:creator>
  <dc:title>Controle e Relatorio de Medicoes</dc:title>
  <dc:description>Sistema de cadastro, historico, pesquisa e relatorio de medicoes. Dados de teste extraidos do PDF de referencia ENG003341 (NOTA 29655103).</dc:description>
  <dc:subject>Medicoes de obra - MEMORIA DE QUANTIDADES</dc:subject>
  <dcterms:created xsi:type="dcterms:W3CDTF">2026-09-10T16:50:29Z</dcterms:created>
  <dcterms:modified xsi:type="dcterms:W3CDTF">2026-09-10T16:50:30Z</dcterms:modified>
</cp:coreProperties>
</file>